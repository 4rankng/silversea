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ÔNG TY NEPO\KHÁCH HÀNG\"/>
    </mc:Choice>
  </mc:AlternateContent>
  <xr:revisionPtr revIDLastSave="0" documentId="13_ncr:1_{9975F719-5A66-4725-9A44-E3BF3B2C0153}" xr6:coauthVersionLast="47" xr6:coauthVersionMax="47" xr10:uidLastSave="{00000000-0000-0000-0000-000000000000}"/>
  <bookViews>
    <workbookView xWindow="-60" yWindow="-60" windowWidth="28920" windowHeight="15720" firstSheet="1" activeTab="1" xr2:uid="{00000000-000D-0000-FFFF-FFFF00000000}"/>
  </bookViews>
  <sheets>
    <sheet name="Dữ liệu nguồn" sheetId="20" r:id="rId1"/>
    <sheet name="Tổng hợp" sheetId="1" r:id="rId2"/>
    <sheet name="Mộc Sương" sheetId="2" r:id="rId3"/>
    <sheet name="Ligarden" sheetId="9" r:id="rId4"/>
    <sheet name="Tan Lap MC" sheetId="8" r:id="rId5"/>
    <sheet name="Vista" sheetId="4" r:id="rId6"/>
    <sheet name="Vinatea MC" sheetId="5" r:id="rId7"/>
    <sheet name="Tra Thu Dan" sheetId="6" r:id="rId8"/>
    <sheet name="Khi Vina" sheetId="7" r:id="rId9"/>
    <sheet name="Codo MC" sheetId="10" r:id="rId10"/>
    <sheet name="Hải Nam" sheetId="11" r:id="rId11"/>
    <sheet name="Vietsun" sheetId="12" r:id="rId12"/>
    <sheet name="Tan Viet Hung" sheetId="13" r:id="rId13"/>
    <sheet name="Che My Lam" sheetId="15" r:id="rId14"/>
    <sheet name="Phu Tai" sheetId="16" r:id="rId15"/>
    <sheet name="Hai Dang" sheetId="21" r:id="rId16"/>
    <sheet name="An Khanh" sheetId="22" r:id="rId17"/>
    <sheet name="Hong Anh Phat" sheetId="23" r:id="rId18"/>
    <sheet name="Anh Phương VS" sheetId="26" r:id="rId19"/>
    <sheet name="Vietimex" sheetId="27" r:id="rId20"/>
    <sheet name="Hùng Thuận" sheetId="29" r:id="rId21"/>
    <sheet name="Satoen" sheetId="32" r:id="rId22"/>
    <sheet name="KHÁCH LẺ" sheetId="34" r:id="rId23"/>
    <sheet name="Anh Hiệp" sheetId="37" r:id="rId24"/>
    <sheet name="Vượng Phát" sheetId="38" r:id="rId25"/>
    <sheet name="Chè Mường Hoa" sheetId="40" r:id="rId26"/>
    <sheet name="Chè Tô Múa" sheetId="41" r:id="rId27"/>
    <sheet name="Hân Trang" sheetId="42" r:id="rId28"/>
    <sheet name="TUÂN THÀNH PHÁT" sheetId="46" r:id="rId29"/>
    <sheet name="VIỆT VƯƠNG" sheetId="54" r:id="rId30"/>
    <sheet name="CTY AT-AT" sheetId="71" r:id="rId31"/>
    <sheet name="HHD MC" sheetId="89" r:id="rId32"/>
    <sheet name="TỔNG CTY CHÈ" sheetId="90" r:id="rId33"/>
    <sheet name="LÊ MINH" sheetId="93" r:id="rId34"/>
    <sheet name="Mr Huy VS" sheetId="94" r:id="rId35"/>
    <sheet name="Mr Huấn VS" sheetId="95" r:id="rId36"/>
    <sheet name="Chè Nà Tân" sheetId="96" r:id="rId37"/>
    <sheet name="Cty Thuận Vũ" sheetId="97" r:id="rId38"/>
    <sheet name="Cty Minh An" sheetId="98" r:id="rId39"/>
    <sheet name="Cty Dahua" sheetId="99" r:id="rId40"/>
    <sheet name="PAM Cargo" sheetId="101" r:id="rId41"/>
    <sheet name="Nam Tùng" sheetId="102" r:id="rId42"/>
    <sheet name="Indigo" sheetId="103" r:id="rId43"/>
    <sheet name="ARI+ SONATA" sheetId="104" r:id="rId44"/>
    <sheet name="Nitoda" sheetId="105" r:id="rId45"/>
    <sheet name="CN Cao HB" sheetId="106" r:id="rId46"/>
    <sheet name="Phúc An" sheetId="107" r:id="rId47"/>
    <sheet name="Bông sen vàng" sheetId="108" r:id="rId48"/>
    <sheet name="Vinatea F&amp;B" sheetId="109" r:id="rId49"/>
    <sheet name="Sheet1" sheetId="53" r:id="rId50"/>
  </sheets>
  <definedNames>
    <definedName name="_xlnm._FilterDatabase" localSheetId="0" hidden="1">'Dữ liệu nguồn'!$A$12:$AB$127</definedName>
    <definedName name="HHD_MC">'Tổng hợp'!$B$33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F119" i="21" l="1"/>
  <c r="F120" i="21" s="1"/>
  <c r="G99" i="103" l="1"/>
  <c r="G100" i="103"/>
  <c r="G101" i="103" s="1"/>
  <c r="G102" i="103" s="1"/>
  <c r="G103" i="103" s="1"/>
  <c r="G104" i="103" s="1"/>
  <c r="G105" i="103" s="1"/>
  <c r="G106" i="103" s="1"/>
  <c r="G107" i="103" s="1"/>
  <c r="G108" i="103" s="1"/>
  <c r="G109" i="103" s="1"/>
  <c r="F155" i="12" l="1"/>
  <c r="F156" i="12"/>
  <c r="F157" i="12" s="1"/>
  <c r="F158" i="12" s="1"/>
  <c r="F159" i="12" s="1"/>
  <c r="G74" i="102" l="1"/>
  <c r="G75" i="102" s="1"/>
  <c r="G76" i="102" s="1"/>
  <c r="G77" i="102" s="1"/>
  <c r="F108" i="22"/>
  <c r="F109" i="22" s="1"/>
  <c r="F110" i="22" s="1"/>
  <c r="F95" i="8" l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G41" i="108"/>
  <c r="G42" i="108" s="1"/>
  <c r="G43" i="108" s="1"/>
  <c r="G44" i="108" s="1"/>
  <c r="G45" i="108" s="1"/>
  <c r="G46" i="108" s="1"/>
  <c r="G47" i="108" s="1"/>
  <c r="G48" i="108" s="1"/>
  <c r="G49" i="108" s="1"/>
  <c r="G50" i="108" s="1"/>
  <c r="F6" i="34" l="1"/>
  <c r="F5" i="34"/>
  <c r="F7" i="34" l="1"/>
  <c r="G94" i="103"/>
  <c r="G95" i="103"/>
  <c r="G96" i="103" s="1"/>
  <c r="G97" i="103" s="1"/>
  <c r="G98" i="103" s="1"/>
  <c r="F105" i="22" l="1"/>
  <c r="F106" i="22" s="1"/>
  <c r="F107" i="22" s="1"/>
  <c r="F114" i="21" l="1"/>
  <c r="F115" i="21"/>
  <c r="F116" i="21" s="1"/>
  <c r="F117" i="21" s="1"/>
  <c r="F118" i="21" s="1"/>
  <c r="F160" i="5" l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H105" i="13"/>
  <c r="H106" i="13" s="1"/>
  <c r="H107" i="13" s="1"/>
  <c r="H108" i="13" s="1"/>
  <c r="H109" i="13" s="1"/>
  <c r="H110" i="13" s="1"/>
  <c r="H111" i="13" s="1"/>
  <c r="H112" i="13" s="1"/>
  <c r="H113" i="13" s="1"/>
  <c r="H114" i="13" s="1"/>
  <c r="H115" i="13" s="1"/>
  <c r="H116" i="13" s="1"/>
  <c r="H117" i="13" s="1"/>
  <c r="H118" i="13" s="1"/>
  <c r="H119" i="13" s="1"/>
  <c r="H120" i="13" s="1"/>
  <c r="H121" i="13" s="1"/>
  <c r="H122" i="13" s="1"/>
  <c r="H123" i="13" s="1"/>
  <c r="H124" i="13" s="1"/>
  <c r="H125" i="13" s="1"/>
  <c r="H126" i="13" s="1"/>
  <c r="H127" i="13" s="1"/>
  <c r="H128" i="13" s="1"/>
  <c r="H129" i="13" s="1"/>
  <c r="H130" i="13" s="1"/>
  <c r="H131" i="13" s="1"/>
  <c r="H132" i="13" s="1"/>
  <c r="H133" i="13" s="1"/>
  <c r="D32" i="42" l="1"/>
  <c r="F10" i="29" l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F29" i="29" s="1"/>
  <c r="F30" i="29" s="1"/>
  <c r="F31" i="29" s="1"/>
  <c r="F32" i="29" s="1"/>
  <c r="F33" i="29" s="1"/>
  <c r="F34" i="29" s="1"/>
  <c r="F35" i="29" s="1"/>
  <c r="F36" i="29" s="1"/>
  <c r="F37" i="29" s="1"/>
  <c r="F38" i="29" s="1"/>
  <c r="F39" i="29" s="1"/>
  <c r="F40" i="29" s="1"/>
  <c r="F41" i="29" s="1"/>
  <c r="F42" i="29" s="1"/>
  <c r="F43" i="29" s="1"/>
  <c r="F44" i="29" s="1"/>
  <c r="F45" i="29" s="1"/>
  <c r="F46" i="29" s="1"/>
  <c r="F47" i="29" s="1"/>
  <c r="F48" i="29" s="1"/>
  <c r="F49" i="29" s="1"/>
  <c r="F50" i="29" s="1"/>
  <c r="F51" i="29" s="1"/>
  <c r="F52" i="29" s="1"/>
  <c r="F53" i="29" s="1"/>
  <c r="F54" i="29" s="1"/>
  <c r="F55" i="29" s="1"/>
  <c r="F56" i="29" s="1"/>
  <c r="F57" i="29" s="1"/>
  <c r="F58" i="29" s="1"/>
  <c r="F59" i="29" s="1"/>
  <c r="F60" i="29" s="1"/>
  <c r="F61" i="29" s="1"/>
  <c r="F62" i="29" s="1"/>
  <c r="F6" i="42" l="1"/>
  <c r="D101" i="22" l="1"/>
  <c r="F100" i="22" l="1"/>
  <c r="F101" i="22" s="1"/>
  <c r="F102" i="22" s="1"/>
  <c r="F103" i="22" s="1"/>
  <c r="F104" i="22" s="1"/>
  <c r="F151" i="5" l="1"/>
  <c r="F152" i="5"/>
  <c r="F153" i="5" s="1"/>
  <c r="F154" i="5" s="1"/>
  <c r="F155" i="5" s="1"/>
  <c r="F156" i="5" s="1"/>
  <c r="F157" i="5" s="1"/>
  <c r="F158" i="5" s="1"/>
  <c r="F159" i="5" s="1"/>
  <c r="F110" i="21" l="1"/>
  <c r="F105" i="21"/>
  <c r="F106" i="21" s="1"/>
  <c r="F107" i="21" s="1"/>
  <c r="F108" i="21" s="1"/>
  <c r="F109" i="21" s="1"/>
  <c r="F125" i="105" l="1"/>
  <c r="I84" i="103" l="1"/>
  <c r="F97" i="22" l="1"/>
  <c r="F98" i="22" s="1"/>
  <c r="F99" i="22" s="1"/>
  <c r="D101" i="21"/>
  <c r="D103" i="21"/>
  <c r="F86" i="103"/>
  <c r="D101" i="13" l="1"/>
  <c r="F141" i="12" l="1"/>
  <c r="F142" i="12" s="1"/>
  <c r="F143" i="12" s="1"/>
  <c r="F144" i="12" s="1"/>
  <c r="F145" i="12" s="1"/>
  <c r="F146" i="12" s="1"/>
  <c r="F147" i="12" s="1"/>
  <c r="F148" i="12" s="1"/>
  <c r="F149" i="12" s="1"/>
  <c r="F150" i="12" s="1"/>
  <c r="F151" i="12" s="1"/>
  <c r="F152" i="12" s="1"/>
  <c r="F153" i="12" s="1"/>
  <c r="F154" i="12" s="1"/>
  <c r="F127" i="15" l="1"/>
  <c r="D140" i="12" l="1"/>
  <c r="F38" i="10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G60" i="102"/>
  <c r="G59" i="102"/>
  <c r="G58" i="102"/>
  <c r="G13" i="102"/>
  <c r="G14" i="102" s="1"/>
  <c r="G15" i="102" s="1"/>
  <c r="G16" i="102" s="1"/>
  <c r="G17" i="102" s="1"/>
  <c r="G18" i="102" s="1"/>
  <c r="G19" i="102" s="1"/>
  <c r="G20" i="102" s="1"/>
  <c r="G21" i="102" s="1"/>
  <c r="G22" i="102" s="1"/>
  <c r="G23" i="102" s="1"/>
  <c r="G24" i="102" s="1"/>
  <c r="G25" i="102" s="1"/>
  <c r="G26" i="102" s="1"/>
  <c r="G27" i="102" s="1"/>
  <c r="G28" i="102" s="1"/>
  <c r="G29" i="102" s="1"/>
  <c r="G30" i="102" s="1"/>
  <c r="G31" i="102" s="1"/>
  <c r="G32" i="102" s="1"/>
  <c r="G33" i="102" s="1"/>
  <c r="G34" i="102" s="1"/>
  <c r="G35" i="102" s="1"/>
  <c r="G36" i="102" s="1"/>
  <c r="G37" i="102" s="1"/>
  <c r="G38" i="102" s="1"/>
  <c r="G39" i="102" s="1"/>
  <c r="G40" i="102" s="1"/>
  <c r="G41" i="102" s="1"/>
  <c r="G42" i="102" s="1"/>
  <c r="G43" i="102" s="1"/>
  <c r="G44" i="102" s="1"/>
  <c r="G45" i="102" s="1"/>
  <c r="G46" i="102" s="1"/>
  <c r="G47" i="102" s="1"/>
  <c r="G48" i="102" s="1"/>
  <c r="G49" i="102" s="1"/>
  <c r="G50" i="102" s="1"/>
  <c r="G51" i="102" s="1"/>
  <c r="G52" i="102" s="1"/>
  <c r="G53" i="102" s="1"/>
  <c r="G54" i="102" s="1"/>
  <c r="G55" i="102" s="1"/>
  <c r="G56" i="102" s="1"/>
  <c r="G57" i="102" s="1"/>
  <c r="G61" i="102" s="1"/>
  <c r="G62" i="102" s="1"/>
  <c r="G63" i="102" s="1"/>
  <c r="G64" i="102" s="1"/>
  <c r="G65" i="102" s="1"/>
  <c r="G66" i="102" s="1"/>
  <c r="G67" i="102" s="1"/>
  <c r="G68" i="102" s="1"/>
  <c r="G69" i="102" s="1"/>
  <c r="G70" i="102" s="1"/>
  <c r="G71" i="102" s="1"/>
  <c r="G72" i="102" s="1"/>
  <c r="G73" i="102" s="1"/>
  <c r="G12" i="102"/>
  <c r="G11" i="102"/>
  <c r="H108" i="105" l="1"/>
  <c r="F133" i="5" l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92" i="22" l="1"/>
  <c r="F93" i="22" s="1"/>
  <c r="F94" i="22" s="1"/>
  <c r="F95" i="22" s="1"/>
  <c r="F96" i="22" s="1"/>
  <c r="F91" i="22"/>
  <c r="F90" i="23" l="1"/>
  <c r="F91" i="23"/>
  <c r="F92" i="23" s="1"/>
  <c r="F93" i="23" s="1"/>
  <c r="F94" i="23" s="1"/>
  <c r="F95" i="23" s="1"/>
  <c r="F96" i="23" s="1"/>
  <c r="F97" i="23" s="1"/>
  <c r="F98" i="23" s="1"/>
  <c r="F99" i="23" s="1"/>
  <c r="F100" i="23" s="1"/>
  <c r="F101" i="23" s="1"/>
  <c r="F102" i="23" s="1"/>
  <c r="F103" i="23" s="1"/>
  <c r="F104" i="23" s="1"/>
  <c r="F105" i="23" s="1"/>
  <c r="F106" i="23" s="1"/>
  <c r="F107" i="23" s="1"/>
  <c r="F108" i="23" s="1"/>
  <c r="F109" i="23" s="1"/>
  <c r="E60" i="102" l="1"/>
  <c r="F136" i="12" l="1"/>
  <c r="F137" i="12" s="1"/>
  <c r="F138" i="12" s="1"/>
  <c r="F139" i="12" s="1"/>
  <c r="F140" i="12" s="1"/>
  <c r="I70" i="103" l="1"/>
  <c r="F5" i="21"/>
  <c r="F5" i="103" l="1"/>
  <c r="F6" i="103"/>
  <c r="F7" i="103" l="1"/>
  <c r="C41" i="1" s="1"/>
  <c r="F130" i="12" l="1"/>
  <c r="F131" i="12" s="1"/>
  <c r="F132" i="12" s="1"/>
  <c r="F133" i="12" s="1"/>
  <c r="F134" i="12" s="1"/>
  <c r="F135" i="12" s="1"/>
  <c r="J95" i="16"/>
  <c r="J96" i="16" s="1"/>
  <c r="J97" i="16" s="1"/>
  <c r="J98" i="16" s="1"/>
  <c r="J99" i="16" s="1"/>
  <c r="J100" i="16" s="1"/>
  <c r="J101" i="16" s="1"/>
  <c r="J102" i="16" s="1"/>
  <c r="J103" i="16" s="1"/>
  <c r="J104" i="16" s="1"/>
  <c r="J105" i="16" s="1"/>
  <c r="J106" i="16" s="1"/>
  <c r="J107" i="16" s="1"/>
  <c r="J108" i="16" s="1"/>
  <c r="J109" i="16" s="1"/>
  <c r="J110" i="16" s="1"/>
  <c r="J111" i="16" s="1"/>
  <c r="J112" i="16" s="1"/>
  <c r="J113" i="16" s="1"/>
  <c r="J114" i="16" s="1"/>
  <c r="J115" i="16" s="1"/>
  <c r="J116" i="16" s="1"/>
  <c r="J117" i="16" s="1"/>
  <c r="J118" i="16" s="1"/>
  <c r="J119" i="16" s="1"/>
  <c r="J120" i="16" s="1"/>
  <c r="J121" i="16" s="1"/>
  <c r="J122" i="16" s="1"/>
  <c r="J123" i="16" s="1"/>
  <c r="J124" i="16" s="1"/>
  <c r="J125" i="16" s="1"/>
  <c r="J126" i="16" s="1"/>
  <c r="J127" i="16" s="1"/>
  <c r="J128" i="16" s="1"/>
  <c r="J129" i="16" s="1"/>
  <c r="J130" i="16" s="1"/>
  <c r="J131" i="16" s="1"/>
  <c r="J132" i="16" s="1"/>
  <c r="J133" i="16" s="1"/>
  <c r="J134" i="16" s="1"/>
  <c r="J135" i="16" s="1"/>
  <c r="J136" i="16" s="1"/>
  <c r="J137" i="16" s="1"/>
  <c r="J138" i="16" s="1"/>
  <c r="J139" i="16" s="1"/>
  <c r="J140" i="16" s="1"/>
  <c r="J141" i="16" s="1"/>
  <c r="J142" i="16" s="1"/>
  <c r="J143" i="16" s="1"/>
  <c r="J144" i="16" s="1"/>
  <c r="J145" i="16" s="1"/>
  <c r="F95" i="21"/>
  <c r="F96" i="21" s="1"/>
  <c r="F97" i="21" s="1"/>
  <c r="F98" i="21" s="1"/>
  <c r="F99" i="21" s="1"/>
  <c r="F100" i="21" s="1"/>
  <c r="F101" i="21" s="1"/>
  <c r="F102" i="21" s="1"/>
  <c r="F103" i="21" s="1"/>
  <c r="F104" i="21" s="1"/>
  <c r="F111" i="21" l="1"/>
  <c r="F112" i="21" s="1"/>
  <c r="F113" i="21" s="1"/>
  <c r="D23" i="42"/>
  <c r="F86" i="22" l="1"/>
  <c r="F87" i="22" s="1"/>
  <c r="F88" i="22" s="1"/>
  <c r="F89" i="22" s="1"/>
  <c r="F90" i="22" s="1"/>
  <c r="E113" i="15" l="1"/>
  <c r="H81" i="13"/>
  <c r="H82" i="13" s="1"/>
  <c r="H83" i="13" s="1"/>
  <c r="H84" i="13" s="1"/>
  <c r="H85" i="13" s="1"/>
  <c r="H86" i="13" s="1"/>
  <c r="H87" i="13" s="1"/>
  <c r="H88" i="13" s="1"/>
  <c r="H89" i="13" s="1"/>
  <c r="H90" i="13" s="1"/>
  <c r="H91" i="13" s="1"/>
  <c r="H92" i="13" s="1"/>
  <c r="H93" i="13" s="1"/>
  <c r="H94" i="13" s="1"/>
  <c r="H95" i="13" s="1"/>
  <c r="H96" i="13" s="1"/>
  <c r="H97" i="13" s="1"/>
  <c r="H98" i="13" s="1"/>
  <c r="H99" i="13" s="1"/>
  <c r="H100" i="13" s="1"/>
  <c r="H101" i="13" s="1"/>
  <c r="H102" i="13" s="1"/>
  <c r="H103" i="13" s="1"/>
  <c r="H104" i="13" s="1"/>
  <c r="E24" i="107"/>
  <c r="C47" i="1" l="1"/>
  <c r="G12" i="109"/>
  <c r="G13" i="109" s="1"/>
  <c r="G14" i="109" s="1"/>
  <c r="G15" i="109" s="1"/>
  <c r="G16" i="109" s="1"/>
  <c r="G17" i="109" s="1"/>
  <c r="G18" i="109" s="1"/>
  <c r="G19" i="109" s="1"/>
  <c r="G20" i="109" s="1"/>
  <c r="G21" i="109" s="1"/>
  <c r="G22" i="109" s="1"/>
  <c r="G11" i="109"/>
  <c r="F6" i="109"/>
  <c r="F5" i="109"/>
  <c r="F7" i="109" s="1"/>
  <c r="F125" i="5" l="1"/>
  <c r="F126" i="5"/>
  <c r="F127" i="5" s="1"/>
  <c r="F128" i="5" s="1"/>
  <c r="F129" i="5" s="1"/>
  <c r="F130" i="5" s="1"/>
  <c r="F131" i="5" s="1"/>
  <c r="F132" i="5" s="1"/>
  <c r="F91" i="21"/>
  <c r="F92" i="21"/>
  <c r="F93" i="21" s="1"/>
  <c r="F94" i="21" s="1"/>
  <c r="F16" i="26" l="1"/>
  <c r="G11" i="108" l="1"/>
  <c r="G12" i="108" s="1"/>
  <c r="G13" i="108" s="1"/>
  <c r="G14" i="108" s="1"/>
  <c r="G15" i="108" s="1"/>
  <c r="G16" i="108" s="1"/>
  <c r="G17" i="108" s="1"/>
  <c r="G18" i="108" s="1"/>
  <c r="G19" i="108" s="1"/>
  <c r="G20" i="108" s="1"/>
  <c r="G21" i="108" s="1"/>
  <c r="G22" i="108" s="1"/>
  <c r="G23" i="108" s="1"/>
  <c r="G24" i="108" s="1"/>
  <c r="G25" i="108" s="1"/>
  <c r="G26" i="108" s="1"/>
  <c r="G27" i="108" s="1"/>
  <c r="G28" i="108" s="1"/>
  <c r="G29" i="108" s="1"/>
  <c r="G30" i="108" s="1"/>
  <c r="G31" i="108" s="1"/>
  <c r="G32" i="108" s="1"/>
  <c r="G33" i="108" s="1"/>
  <c r="G34" i="108" s="1"/>
  <c r="G35" i="108" s="1"/>
  <c r="G36" i="108" s="1"/>
  <c r="G37" i="108" s="1"/>
  <c r="G38" i="108" s="1"/>
  <c r="G39" i="108" s="1"/>
  <c r="G40" i="108" s="1"/>
  <c r="E85" i="8" l="1"/>
  <c r="J85" i="8" s="1"/>
  <c r="F121" i="12"/>
  <c r="F122" i="12"/>
  <c r="F123" i="12" s="1"/>
  <c r="F124" i="12" s="1"/>
  <c r="F125" i="12" s="1"/>
  <c r="F126" i="12" s="1"/>
  <c r="F127" i="12" s="1"/>
  <c r="F128" i="12" s="1"/>
  <c r="F129" i="12" s="1"/>
  <c r="F82" i="22" l="1"/>
  <c r="F83" i="22" s="1"/>
  <c r="F84" i="22" s="1"/>
  <c r="F85" i="22" s="1"/>
  <c r="F6" i="6" l="1"/>
  <c r="F5" i="6"/>
  <c r="F7" i="6" l="1"/>
  <c r="D27" i="94"/>
  <c r="E26" i="94"/>
  <c r="F116" i="5" l="1"/>
  <c r="F117" i="5"/>
  <c r="F118" i="5" s="1"/>
  <c r="F119" i="5" s="1"/>
  <c r="F120" i="5" s="1"/>
  <c r="F121" i="5" s="1"/>
  <c r="F122" i="5" s="1"/>
  <c r="F123" i="5" s="1"/>
  <c r="F124" i="5" s="1"/>
  <c r="H72" i="13" l="1"/>
  <c r="H73" i="13" s="1"/>
  <c r="H74" i="13" s="1"/>
  <c r="H75" i="13" s="1"/>
  <c r="H76" i="13" s="1"/>
  <c r="H77" i="13" s="1"/>
  <c r="H78" i="13" s="1"/>
  <c r="H79" i="13" s="1"/>
  <c r="H80" i="13" s="1"/>
  <c r="E45" i="102" l="1"/>
  <c r="F6" i="13" l="1"/>
  <c r="F5" i="13"/>
  <c r="E17" i="11" l="1"/>
  <c r="F12" i="37" l="1"/>
  <c r="F11" i="37"/>
  <c r="F10" i="37"/>
  <c r="F6" i="104" l="1"/>
  <c r="F5" i="104"/>
  <c r="G10" i="11" l="1"/>
  <c r="G11" i="11" s="1"/>
  <c r="G12" i="11" s="1"/>
  <c r="G13" i="11" s="1"/>
  <c r="G14" i="11" s="1"/>
  <c r="G15" i="11" s="1"/>
  <c r="G16" i="11" s="1"/>
  <c r="F41" i="46"/>
  <c r="F42" i="46"/>
  <c r="F43" i="46" s="1"/>
  <c r="F44" i="46" s="1"/>
  <c r="F6" i="108" l="1"/>
  <c r="F5" i="108"/>
  <c r="F5" i="107"/>
  <c r="F7" i="108" l="1"/>
  <c r="C46" i="1" s="1"/>
  <c r="F6" i="107"/>
  <c r="F7" i="107" s="1"/>
  <c r="C45" i="1" s="1"/>
  <c r="F6" i="5" l="1"/>
  <c r="E64" i="105"/>
  <c r="F6" i="105" s="1"/>
  <c r="E105" i="27"/>
  <c r="D108" i="27"/>
  <c r="F6" i="21"/>
  <c r="P54" i="1" l="1"/>
  <c r="D25" i="106" l="1"/>
  <c r="F77" i="23" l="1"/>
  <c r="F78" i="23" s="1"/>
  <c r="F79" i="23" s="1"/>
  <c r="F80" i="23" l="1"/>
  <c r="F81" i="23" s="1"/>
  <c r="F82" i="23" s="1"/>
  <c r="F83" i="23" s="1"/>
  <c r="F84" i="23" s="1"/>
  <c r="F85" i="23" s="1"/>
  <c r="F86" i="23" s="1"/>
  <c r="F87" i="23" s="1"/>
  <c r="F88" i="23" s="1"/>
  <c r="F89" i="23" s="1"/>
  <c r="H64" i="13"/>
  <c r="H65" i="13" s="1"/>
  <c r="H66" i="13" s="1"/>
  <c r="H67" i="13" s="1"/>
  <c r="H68" i="13" s="1"/>
  <c r="H69" i="13" s="1"/>
  <c r="H70" i="13" s="1"/>
  <c r="H71" i="13" s="1"/>
  <c r="F10" i="26" l="1"/>
  <c r="F11" i="26" s="1"/>
  <c r="F12" i="26" s="1"/>
  <c r="F13" i="26" s="1"/>
  <c r="F14" i="26" s="1"/>
  <c r="F15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F37" i="26" s="1"/>
  <c r="F38" i="26" s="1"/>
  <c r="F39" i="26" s="1"/>
  <c r="F40" i="26" s="1"/>
  <c r="F41" i="26" s="1"/>
  <c r="F42" i="26" s="1"/>
  <c r="F43" i="26" s="1"/>
  <c r="F44" i="26" s="1"/>
  <c r="F45" i="26" s="1"/>
  <c r="F46" i="26" s="1"/>
  <c r="F47" i="26" s="1"/>
  <c r="F48" i="26" s="1"/>
  <c r="F49" i="26" s="1"/>
  <c r="F50" i="26" s="1"/>
  <c r="F51" i="26" s="1"/>
  <c r="F52" i="26" s="1"/>
  <c r="F53" i="26" s="1"/>
  <c r="F54" i="26" s="1"/>
  <c r="F55" i="26" s="1"/>
  <c r="F56" i="26" s="1"/>
  <c r="F57" i="26" s="1"/>
  <c r="F58" i="26" s="1"/>
  <c r="F59" i="26" s="1"/>
  <c r="F60" i="26" s="1"/>
  <c r="F61" i="26" s="1"/>
  <c r="F62" i="26" s="1"/>
  <c r="F63" i="26" s="1"/>
  <c r="F64" i="26" s="1"/>
  <c r="F65" i="26" s="1"/>
  <c r="F66" i="26" s="1"/>
  <c r="F67" i="26" s="1"/>
  <c r="F68" i="26" s="1"/>
  <c r="F69" i="26" s="1"/>
  <c r="F70" i="26" s="1"/>
  <c r="F71" i="26" s="1"/>
  <c r="F72" i="26" s="1"/>
  <c r="F73" i="26" s="1"/>
  <c r="F74" i="26" s="1"/>
  <c r="F75" i="26" s="1"/>
  <c r="F76" i="26" s="1"/>
  <c r="F77" i="26" s="1"/>
  <c r="F78" i="26" s="1"/>
  <c r="F79" i="26" s="1"/>
  <c r="F80" i="26" s="1"/>
  <c r="F81" i="26" s="1"/>
  <c r="F82" i="26" s="1"/>
  <c r="F83" i="26" s="1"/>
  <c r="F84" i="26" s="1"/>
  <c r="F85" i="26" s="1"/>
  <c r="F86" i="26" s="1"/>
  <c r="F87" i="26" s="1"/>
  <c r="F88" i="26" s="1"/>
  <c r="F89" i="26" s="1"/>
  <c r="F90" i="26" s="1"/>
  <c r="F91" i="26" s="1"/>
  <c r="F92" i="26" s="1"/>
  <c r="F93" i="26" s="1"/>
  <c r="F94" i="26" s="1"/>
  <c r="F95" i="26" s="1"/>
  <c r="F96" i="26" s="1"/>
  <c r="F97" i="26" s="1"/>
  <c r="F98" i="26" s="1"/>
  <c r="F99" i="26" s="1"/>
  <c r="F100" i="26" s="1"/>
  <c r="F101" i="26" s="1"/>
  <c r="F102" i="26" s="1"/>
  <c r="F103" i="26" s="1"/>
  <c r="F104" i="26" s="1"/>
  <c r="F105" i="26" s="1"/>
  <c r="F106" i="26" s="1"/>
  <c r="F107" i="26" s="1"/>
  <c r="F108" i="26" s="1"/>
  <c r="F109" i="26" s="1"/>
  <c r="F110" i="26" s="1"/>
  <c r="F111" i="26" s="1"/>
  <c r="F112" i="26" s="1"/>
  <c r="F113" i="26" s="1"/>
  <c r="F114" i="26" s="1"/>
  <c r="F115" i="26" s="1"/>
  <c r="F116" i="26" s="1"/>
  <c r="F117" i="26" s="1"/>
  <c r="F118" i="26" s="1"/>
  <c r="F119" i="26" s="1"/>
  <c r="F120" i="26" s="1"/>
  <c r="F121" i="26" s="1"/>
  <c r="F122" i="26" s="1"/>
  <c r="F123" i="26" s="1"/>
  <c r="F124" i="26" s="1"/>
  <c r="F125" i="26" s="1"/>
  <c r="F126" i="26" s="1"/>
  <c r="F127" i="26" s="1"/>
  <c r="F128" i="26" s="1"/>
  <c r="F129" i="26" s="1"/>
  <c r="F130" i="26" s="1"/>
  <c r="F131" i="26" s="1"/>
  <c r="F132" i="26" s="1"/>
  <c r="F133" i="26" s="1"/>
  <c r="F134" i="26" s="1"/>
  <c r="F135" i="26" s="1"/>
  <c r="F136" i="26" s="1"/>
  <c r="F137" i="26" s="1"/>
  <c r="F138" i="26" s="1"/>
  <c r="F139" i="26" s="1"/>
  <c r="F140" i="26" s="1"/>
  <c r="F141" i="26" s="1"/>
  <c r="F142" i="26" s="1"/>
  <c r="F143" i="26" s="1"/>
  <c r="F144" i="26" s="1"/>
  <c r="F145" i="26" s="1"/>
  <c r="F146" i="26" s="1"/>
  <c r="F147" i="26" s="1"/>
  <c r="F148" i="26" s="1"/>
  <c r="F149" i="26" s="1"/>
  <c r="F150" i="26" s="1"/>
  <c r="F151" i="26" s="1"/>
  <c r="F152" i="26" s="1"/>
  <c r="F153" i="26" s="1"/>
  <c r="F154" i="26" s="1"/>
  <c r="F155" i="26" s="1"/>
  <c r="F156" i="26" s="1"/>
  <c r="F157" i="26" s="1"/>
  <c r="F158" i="26" s="1"/>
  <c r="F159" i="26" s="1"/>
  <c r="F160" i="26" s="1"/>
  <c r="F161" i="26" s="1"/>
  <c r="F162" i="26" s="1"/>
  <c r="F163" i="26" s="1"/>
  <c r="F164" i="26" s="1"/>
  <c r="D54" i="104" l="1"/>
  <c r="F6" i="23" l="1"/>
  <c r="F5" i="23"/>
  <c r="F7" i="23" l="1"/>
  <c r="C19" i="1" s="1"/>
  <c r="F108" i="12"/>
  <c r="F109" i="12" s="1"/>
  <c r="F110" i="12" s="1"/>
  <c r="F111" i="12" s="1"/>
  <c r="F112" i="12" s="1"/>
  <c r="F113" i="12" s="1"/>
  <c r="F114" i="12" s="1"/>
  <c r="F115" i="12" s="1"/>
  <c r="F116" i="12" s="1"/>
  <c r="F117" i="12" s="1"/>
  <c r="F118" i="12" s="1"/>
  <c r="F119" i="12" s="1"/>
  <c r="F120" i="12" s="1"/>
  <c r="F70" i="21" l="1"/>
  <c r="F71" i="21"/>
  <c r="F72" i="21" s="1"/>
  <c r="F73" i="21" s="1"/>
  <c r="F74" i="21" s="1"/>
  <c r="F75" i="21" s="1"/>
  <c r="F76" i="21" s="1"/>
  <c r="F77" i="21" s="1"/>
  <c r="F78" i="21" s="1"/>
  <c r="F79" i="21" s="1"/>
  <c r="F80" i="21" s="1"/>
  <c r="F81" i="21" s="1"/>
  <c r="F82" i="21" s="1"/>
  <c r="F83" i="21" s="1"/>
  <c r="F84" i="21" s="1"/>
  <c r="F85" i="21" s="1"/>
  <c r="F86" i="21" s="1"/>
  <c r="F87" i="21" s="1"/>
  <c r="F88" i="21" s="1"/>
  <c r="F6" i="22" l="1"/>
  <c r="F5" i="22"/>
  <c r="F7" i="22" l="1"/>
  <c r="D102" i="27"/>
  <c r="D92" i="15" l="1"/>
  <c r="H11" i="7" l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112" i="7" s="1"/>
  <c r="H113" i="7" s="1"/>
  <c r="H114" i="7" s="1"/>
  <c r="H115" i="7" s="1"/>
  <c r="H116" i="7" s="1"/>
  <c r="H117" i="7" s="1"/>
  <c r="H118" i="7" s="1"/>
  <c r="H119" i="7" s="1"/>
  <c r="H120" i="7" s="1"/>
  <c r="H121" i="7" s="1"/>
  <c r="H122" i="7" s="1"/>
  <c r="H123" i="7" s="1"/>
  <c r="H124" i="7" s="1"/>
  <c r="H125" i="7" s="1"/>
  <c r="H126" i="7" s="1"/>
  <c r="H127" i="7" s="1"/>
  <c r="H128" i="7" s="1"/>
  <c r="H129" i="7" s="1"/>
  <c r="H130" i="7" s="1"/>
  <c r="H131" i="7" s="1"/>
  <c r="H132" i="7" s="1"/>
  <c r="H133" i="7" s="1"/>
  <c r="H134" i="7" s="1"/>
  <c r="H135" i="7" s="1"/>
  <c r="H136" i="7" s="1"/>
  <c r="H137" i="7" s="1"/>
  <c r="H138" i="7" s="1"/>
  <c r="H139" i="7" s="1"/>
  <c r="H140" i="7" s="1"/>
  <c r="H141" i="7" s="1"/>
  <c r="H142" i="7" s="1"/>
  <c r="H143" i="7" s="1"/>
  <c r="H144" i="7" s="1"/>
  <c r="H145" i="7" s="1"/>
  <c r="H146" i="7" s="1"/>
  <c r="H147" i="7" s="1"/>
  <c r="H148" i="7" s="1"/>
  <c r="H149" i="7" s="1"/>
  <c r="H150" i="7" s="1"/>
  <c r="H151" i="7" s="1"/>
  <c r="H152" i="7" s="1"/>
  <c r="H153" i="7" s="1"/>
  <c r="H154" i="7" s="1"/>
  <c r="H155" i="7" s="1"/>
  <c r="H156" i="7" s="1"/>
  <c r="H157" i="7" s="1"/>
  <c r="H158" i="7" s="1"/>
  <c r="H159" i="7" s="1"/>
  <c r="H160" i="7" s="1"/>
  <c r="H161" i="7" s="1"/>
  <c r="H162" i="7" s="1"/>
  <c r="H163" i="7" s="1"/>
  <c r="H164" i="7" s="1"/>
  <c r="H165" i="7" s="1"/>
  <c r="G11" i="103" l="1"/>
  <c r="G12" i="103" s="1"/>
  <c r="G13" i="103" s="1"/>
  <c r="G14" i="103" s="1"/>
  <c r="G15" i="103" s="1"/>
  <c r="G16" i="103" s="1"/>
  <c r="G17" i="103" s="1"/>
  <c r="G18" i="103" s="1"/>
  <c r="G19" i="103" s="1"/>
  <c r="G20" i="103" s="1"/>
  <c r="G21" i="103" s="1"/>
  <c r="G22" i="103" s="1"/>
  <c r="G23" i="103" s="1"/>
  <c r="G24" i="103" s="1"/>
  <c r="G25" i="103" s="1"/>
  <c r="G26" i="103" s="1"/>
  <c r="G27" i="103" s="1"/>
  <c r="G28" i="103" s="1"/>
  <c r="G29" i="103" s="1"/>
  <c r="G30" i="103" s="1"/>
  <c r="G31" i="103" s="1"/>
  <c r="G32" i="103" s="1"/>
  <c r="G33" i="103" s="1"/>
  <c r="G34" i="103" s="1"/>
  <c r="G35" i="103" s="1"/>
  <c r="G36" i="103" s="1"/>
  <c r="G37" i="103" s="1"/>
  <c r="G38" i="103" s="1"/>
  <c r="G39" i="103" s="1"/>
  <c r="G40" i="103" s="1"/>
  <c r="G41" i="103" s="1"/>
  <c r="G42" i="103" s="1"/>
  <c r="G43" i="103" s="1"/>
  <c r="G44" i="103" s="1"/>
  <c r="G45" i="103" s="1"/>
  <c r="G46" i="103" s="1"/>
  <c r="G47" i="103" s="1"/>
  <c r="G48" i="103" s="1"/>
  <c r="G49" i="103" s="1"/>
  <c r="G50" i="103" s="1"/>
  <c r="G51" i="103" s="1"/>
  <c r="G52" i="103" s="1"/>
  <c r="G53" i="103" s="1"/>
  <c r="G54" i="103" s="1"/>
  <c r="G55" i="103" s="1"/>
  <c r="G56" i="103" s="1"/>
  <c r="G57" i="103" s="1"/>
  <c r="G58" i="103" s="1"/>
  <c r="G59" i="103" s="1"/>
  <c r="G60" i="103" s="1"/>
  <c r="G61" i="103" s="1"/>
  <c r="G62" i="103" s="1"/>
  <c r="G63" i="103" s="1"/>
  <c r="G64" i="103" s="1"/>
  <c r="G65" i="103" s="1"/>
  <c r="G66" i="103" s="1"/>
  <c r="G67" i="103" s="1"/>
  <c r="G68" i="103" s="1"/>
  <c r="G69" i="103" s="1"/>
  <c r="G70" i="103" s="1"/>
  <c r="G71" i="103" s="1"/>
  <c r="G72" i="103" s="1"/>
  <c r="G73" i="103" s="1"/>
  <c r="G74" i="103" s="1"/>
  <c r="G75" i="103" s="1"/>
  <c r="G76" i="103" s="1"/>
  <c r="G77" i="103" s="1"/>
  <c r="G78" i="103" s="1"/>
  <c r="G79" i="103" s="1"/>
  <c r="G80" i="103" s="1"/>
  <c r="G81" i="103" s="1"/>
  <c r="G82" i="103" s="1"/>
  <c r="G83" i="103" s="1"/>
  <c r="G84" i="103" s="1"/>
  <c r="G85" i="103" s="1"/>
  <c r="G86" i="103" s="1"/>
  <c r="G87" i="103" s="1"/>
  <c r="G88" i="103" s="1"/>
  <c r="G89" i="103" s="1"/>
  <c r="G90" i="103" s="1"/>
  <c r="G91" i="103" s="1"/>
  <c r="G92" i="103" s="1"/>
  <c r="G93" i="103" s="1"/>
  <c r="F29" i="93" l="1"/>
  <c r="F30" i="93" s="1"/>
  <c r="F31" i="93" s="1"/>
  <c r="H59" i="13" l="1"/>
  <c r="H60" i="13"/>
  <c r="H61" i="13" s="1"/>
  <c r="H62" i="13" s="1"/>
  <c r="H63" i="13" s="1"/>
  <c r="F6" i="38" l="1"/>
  <c r="F5" i="38"/>
  <c r="F11" i="93" l="1"/>
  <c r="F12" i="93" s="1"/>
  <c r="F13" i="93" s="1"/>
  <c r="F14" i="93" s="1"/>
  <c r="F15" i="93" s="1"/>
  <c r="F16" i="93" s="1"/>
  <c r="F17" i="93" s="1"/>
  <c r="F18" i="93" s="1"/>
  <c r="F19" i="93" s="1"/>
  <c r="F20" i="93" s="1"/>
  <c r="F21" i="93" s="1"/>
  <c r="F22" i="93" s="1"/>
  <c r="F23" i="93" s="1"/>
  <c r="F24" i="93" s="1"/>
  <c r="F25" i="93" s="1"/>
  <c r="F26" i="93" s="1"/>
  <c r="F27" i="93" s="1"/>
  <c r="F28" i="93" s="1"/>
  <c r="D37" i="105" l="1"/>
  <c r="F5" i="105" s="1"/>
  <c r="F7" i="105" s="1"/>
  <c r="F102" i="12" l="1"/>
  <c r="F103" i="12" s="1"/>
  <c r="F104" i="12" s="1"/>
  <c r="F105" i="12" s="1"/>
  <c r="F106" i="12" s="1"/>
  <c r="F107" i="12" s="1"/>
  <c r="F6" i="102" l="1"/>
  <c r="F5" i="102"/>
  <c r="F6" i="15" l="1"/>
  <c r="F5" i="15"/>
  <c r="H12" i="13" l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H43" i="13" s="1"/>
  <c r="H44" i="13" s="1"/>
  <c r="H45" i="13" s="1"/>
  <c r="H46" i="13" s="1"/>
  <c r="H47" i="13" s="1"/>
  <c r="H48" i="13" s="1"/>
  <c r="H49" i="13" s="1"/>
  <c r="H50" i="13" s="1"/>
  <c r="H51" i="13" s="1"/>
  <c r="H52" i="13" s="1"/>
  <c r="H53" i="13" s="1"/>
  <c r="H54" i="13" s="1"/>
  <c r="H55" i="13" s="1"/>
  <c r="H56" i="13" s="1"/>
  <c r="H57" i="13" s="1"/>
  <c r="H58" i="13" s="1"/>
  <c r="H11" i="13"/>
  <c r="H10" i="13"/>
  <c r="F6" i="106" l="1"/>
  <c r="F5" i="106"/>
  <c r="F7" i="106" l="1"/>
  <c r="C44" i="1" s="1"/>
  <c r="D93" i="27" l="1"/>
  <c r="H88" i="38" l="1"/>
  <c r="H89" i="38" s="1"/>
  <c r="H90" i="38" s="1"/>
  <c r="H91" i="38" s="1"/>
  <c r="D21" i="104" l="1"/>
  <c r="D19" i="104" l="1"/>
  <c r="D88" i="27" l="1"/>
  <c r="D81" i="5" l="1"/>
  <c r="F5" i="5" s="1"/>
  <c r="E54" i="13"/>
  <c r="F6" i="8" l="1"/>
  <c r="F5" i="8"/>
  <c r="F6" i="16"/>
  <c r="F5" i="16"/>
  <c r="F6" i="4"/>
  <c r="F6" i="71"/>
  <c r="F5" i="71"/>
  <c r="C43" i="1" l="1"/>
  <c r="F7" i="16"/>
  <c r="F7" i="104"/>
  <c r="C42" i="1" s="1"/>
  <c r="F7" i="71"/>
  <c r="D82" i="27" l="1"/>
  <c r="J10" i="16" l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J63" i="16" s="1"/>
  <c r="J64" i="16" s="1"/>
  <c r="J65" i="16" s="1"/>
  <c r="J66" i="16" s="1"/>
  <c r="J67" i="16" s="1"/>
  <c r="J68" i="16" s="1"/>
  <c r="J69" i="16" s="1"/>
  <c r="J70" i="16" s="1"/>
  <c r="J71" i="16" s="1"/>
  <c r="J72" i="16" s="1"/>
  <c r="J73" i="16" s="1"/>
  <c r="J74" i="16" s="1"/>
  <c r="J75" i="16" s="1"/>
  <c r="J76" i="16" s="1"/>
  <c r="J77" i="16" s="1"/>
  <c r="J78" i="16" s="1"/>
  <c r="J79" i="16" s="1"/>
  <c r="J80" i="16" s="1"/>
  <c r="J81" i="16" s="1"/>
  <c r="J82" i="16" s="1"/>
  <c r="J83" i="16" s="1"/>
  <c r="J84" i="16" s="1"/>
  <c r="J85" i="16" s="1"/>
  <c r="J86" i="16" s="1"/>
  <c r="J87" i="16" s="1"/>
  <c r="J88" i="16" s="1"/>
  <c r="J89" i="16" s="1"/>
  <c r="J90" i="16" s="1"/>
  <c r="J91" i="16" s="1"/>
  <c r="J92" i="16" s="1"/>
  <c r="J93" i="16" s="1"/>
  <c r="J94" i="16" s="1"/>
  <c r="H10" i="15" l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H51" i="15" s="1"/>
  <c r="H52" i="15" s="1"/>
  <c r="H53" i="15" s="1"/>
  <c r="H54" i="15" s="1"/>
  <c r="H55" i="15" s="1"/>
  <c r="H56" i="15" s="1"/>
  <c r="H57" i="15" s="1"/>
  <c r="H58" i="15" s="1"/>
  <c r="H59" i="15" s="1"/>
  <c r="H60" i="15" s="1"/>
  <c r="H61" i="15" s="1"/>
  <c r="H62" i="15" s="1"/>
  <c r="H63" i="15" s="1"/>
  <c r="H64" i="15" s="1"/>
  <c r="H65" i="15" s="1"/>
  <c r="H66" i="15" s="1"/>
  <c r="H67" i="15" s="1"/>
  <c r="H68" i="15" s="1"/>
  <c r="H69" i="15" s="1"/>
  <c r="H70" i="15" s="1"/>
  <c r="H71" i="15" s="1"/>
  <c r="H72" i="15" s="1"/>
  <c r="H73" i="15" s="1"/>
  <c r="H74" i="15" s="1"/>
  <c r="H75" i="15" s="1"/>
  <c r="H76" i="15" s="1"/>
  <c r="H77" i="15" s="1"/>
  <c r="H78" i="15" s="1"/>
  <c r="H79" i="15" s="1"/>
  <c r="H10" i="4"/>
  <c r="H11" i="4" s="1"/>
  <c r="H12" i="4" s="1"/>
  <c r="H13" i="4" s="1"/>
  <c r="H14" i="4" s="1"/>
  <c r="H15" i="4" s="1"/>
  <c r="H16" i="4" s="1"/>
  <c r="H17" i="4" s="1"/>
  <c r="H80" i="15" l="1"/>
  <c r="H81" i="15" s="1"/>
  <c r="H82" i="15" s="1"/>
  <c r="H83" i="15" s="1"/>
  <c r="H84" i="15" s="1"/>
  <c r="H85" i="15" s="1"/>
  <c r="H86" i="15" s="1"/>
  <c r="H87" i="15" l="1"/>
  <c r="H88" i="15" s="1"/>
  <c r="H89" i="15" l="1"/>
  <c r="H90" i="15" s="1"/>
  <c r="H91" i="15" s="1"/>
  <c r="H92" i="15" s="1"/>
  <c r="H93" i="15" s="1"/>
  <c r="H94" i="15" s="1"/>
  <c r="H95" i="15" s="1"/>
  <c r="H96" i="15" s="1"/>
  <c r="H97" i="15" s="1"/>
  <c r="H98" i="15" s="1"/>
  <c r="H99" i="15" s="1"/>
  <c r="H100" i="15" s="1"/>
  <c r="H101" i="15" s="1"/>
  <c r="H102" i="15" s="1"/>
  <c r="H103" i="15" s="1"/>
  <c r="H104" i="15" s="1"/>
  <c r="H105" i="15" s="1"/>
  <c r="H106" i="15" s="1"/>
  <c r="H107" i="15" s="1"/>
  <c r="H108" i="15" s="1"/>
  <c r="H109" i="15" s="1"/>
  <c r="H110" i="15" s="1"/>
  <c r="H111" i="15" s="1"/>
  <c r="H112" i="15" s="1"/>
  <c r="H113" i="15" s="1"/>
  <c r="H114" i="15" s="1"/>
  <c r="H115" i="15" s="1"/>
  <c r="H116" i="15" s="1"/>
  <c r="H117" i="15" s="1"/>
  <c r="H118" i="15" s="1"/>
  <c r="H119" i="15" s="1"/>
  <c r="H120" i="15" s="1"/>
  <c r="H121" i="15" s="1"/>
  <c r="H122" i="15" s="1"/>
  <c r="H123" i="15" s="1"/>
  <c r="H124" i="15" s="1"/>
  <c r="H125" i="15" s="1"/>
  <c r="H126" i="15" s="1"/>
  <c r="H127" i="15" s="1"/>
  <c r="H128" i="15" s="1"/>
  <c r="H129" i="15" s="1"/>
  <c r="H130" i="15" s="1"/>
  <c r="H131" i="15" s="1"/>
  <c r="H132" i="15" s="1"/>
  <c r="H133" i="15" s="1"/>
  <c r="H134" i="15" s="1"/>
  <c r="H135" i="15" s="1"/>
  <c r="H136" i="15" s="1"/>
  <c r="H137" i="15" s="1"/>
  <c r="H138" i="15" s="1"/>
  <c r="H139" i="15" s="1"/>
  <c r="H140" i="15" s="1"/>
  <c r="H141" i="15" s="1"/>
  <c r="H142" i="15" s="1"/>
  <c r="H143" i="15" s="1"/>
  <c r="H144" i="15" s="1"/>
  <c r="H145" i="15" s="1"/>
  <c r="H146" i="15" s="1"/>
  <c r="H147" i="15" s="1"/>
  <c r="F7" i="102"/>
  <c r="D40" i="1" s="1"/>
  <c r="H148" i="15" l="1"/>
  <c r="H149" i="15" s="1"/>
  <c r="H150" i="15" s="1"/>
  <c r="H151" i="15" s="1"/>
  <c r="H152" i="15" s="1"/>
  <c r="H153" i="15" s="1"/>
  <c r="H154" i="15" s="1"/>
  <c r="H155" i="15" s="1"/>
  <c r="H156" i="15" s="1"/>
  <c r="H157" i="15" s="1"/>
  <c r="H158" i="15" s="1"/>
  <c r="H159" i="15" s="1"/>
  <c r="H160" i="15" s="1"/>
  <c r="H161" i="15" s="1"/>
  <c r="H162" i="15" s="1"/>
  <c r="H163" i="15" s="1"/>
  <c r="H164" i="15" s="1"/>
  <c r="H165" i="15" s="1"/>
  <c r="H166" i="15" s="1"/>
  <c r="H167" i="15" s="1"/>
  <c r="H168" i="15" s="1"/>
  <c r="J147" i="15"/>
  <c r="H20" i="99"/>
  <c r="E14" i="101" l="1"/>
  <c r="F6" i="99"/>
  <c r="F7" i="99"/>
  <c r="F6" i="12"/>
  <c r="E25" i="21" l="1"/>
  <c r="E24" i="21"/>
  <c r="F6" i="101" l="1"/>
  <c r="F5" i="101"/>
  <c r="F5" i="40"/>
  <c r="F6" i="40"/>
  <c r="F7" i="101" l="1"/>
  <c r="F7" i="40"/>
  <c r="D28" i="1" s="1"/>
  <c r="F6" i="27" l="1"/>
  <c r="E26" i="2" l="1"/>
  <c r="F10" i="21" l="1"/>
  <c r="F11" i="21" s="1"/>
  <c r="F12" i="21" s="1"/>
  <c r="F13" i="21" s="1"/>
  <c r="F14" i="21" s="1"/>
  <c r="F15" i="21" l="1"/>
  <c r="F16" i="21" s="1"/>
  <c r="F17" i="21" s="1"/>
  <c r="F18" i="21" s="1"/>
  <c r="F19" i="21" s="1"/>
  <c r="F20" i="21" s="1"/>
  <c r="F21" i="21" s="1"/>
  <c r="F22" i="21" s="1"/>
  <c r="F23" i="21" l="1"/>
  <c r="F24" i="21" s="1"/>
  <c r="F25" i="21" s="1"/>
  <c r="F26" i="21" s="1"/>
  <c r="F27" i="21" l="1"/>
  <c r="F28" i="21" s="1"/>
  <c r="F5" i="99"/>
  <c r="F29" i="21" l="1"/>
  <c r="F30" i="21" s="1"/>
  <c r="F6" i="98"/>
  <c r="F5" i="98"/>
  <c r="F31" i="21" l="1"/>
  <c r="F32" i="21" s="1"/>
  <c r="F33" i="21" s="1"/>
  <c r="F34" i="21" s="1"/>
  <c r="F35" i="21" s="1"/>
  <c r="F36" i="21" s="1"/>
  <c r="F37" i="21" s="1"/>
  <c r="F38" i="21" s="1"/>
  <c r="F39" i="21" s="1"/>
  <c r="F40" i="21" s="1"/>
  <c r="F41" i="21" s="1"/>
  <c r="F42" i="21" s="1"/>
  <c r="F43" i="21" s="1"/>
  <c r="F44" i="21" s="1"/>
  <c r="F45" i="21" s="1"/>
  <c r="F46" i="21" s="1"/>
  <c r="F47" i="21" s="1"/>
  <c r="F48" i="21" s="1"/>
  <c r="F49" i="21" s="1"/>
  <c r="F50" i="21" s="1"/>
  <c r="F51" i="21" s="1"/>
  <c r="F52" i="21" s="1"/>
  <c r="F53" i="21" s="1"/>
  <c r="F54" i="21" s="1"/>
  <c r="F55" i="21" s="1"/>
  <c r="F56" i="21" s="1"/>
  <c r="F57" i="21" s="1"/>
  <c r="F58" i="21" s="1"/>
  <c r="F59" i="21" s="1"/>
  <c r="F60" i="21" s="1"/>
  <c r="F61" i="21" s="1"/>
  <c r="F62" i="21" s="1"/>
  <c r="F63" i="21" s="1"/>
  <c r="F64" i="21" s="1"/>
  <c r="F65" i="21" s="1"/>
  <c r="F66" i="21" s="1"/>
  <c r="F67" i="21" s="1"/>
  <c r="F68" i="21" s="1"/>
  <c r="F69" i="21" s="1"/>
  <c r="F7" i="98"/>
  <c r="F6" i="97"/>
  <c r="F5" i="97"/>
  <c r="F89" i="21" l="1"/>
  <c r="F90" i="21" s="1"/>
  <c r="F7" i="97"/>
  <c r="C39" i="1" s="1"/>
  <c r="D64" i="27" l="1"/>
  <c r="J38" i="6" l="1"/>
  <c r="I10" i="6"/>
  <c r="I11" i="6" s="1"/>
  <c r="I12" i="6" s="1"/>
  <c r="I13" i="6" s="1"/>
  <c r="I14" i="6" s="1"/>
  <c r="I15" i="6" s="1"/>
  <c r="F6" i="96" l="1"/>
  <c r="F5" i="96"/>
  <c r="F7" i="96" l="1"/>
  <c r="C38" i="1" s="1"/>
  <c r="F7" i="21" l="1"/>
  <c r="C17" i="1" s="1"/>
  <c r="F6" i="95" l="1"/>
  <c r="F5" i="95"/>
  <c r="F7" i="95" l="1"/>
  <c r="C37" i="1" s="1"/>
  <c r="F6" i="94" l="1"/>
  <c r="F5" i="94"/>
  <c r="F6" i="7"/>
  <c r="F5" i="7"/>
  <c r="F7" i="94" l="1"/>
  <c r="C36" i="1" s="1"/>
  <c r="F6" i="93" l="1"/>
  <c r="F5" i="93"/>
  <c r="F7" i="93" l="1"/>
  <c r="C35" i="1" s="1"/>
  <c r="D30" i="34" l="1"/>
  <c r="F10" i="12" l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6" i="90" l="1"/>
  <c r="F5" i="90"/>
  <c r="F7" i="90" l="1"/>
  <c r="C34" i="1" s="1"/>
  <c r="G2" i="1"/>
  <c r="D5" i="109" s="1"/>
  <c r="F6" i="89"/>
  <c r="F5" i="89"/>
  <c r="D5" i="107" l="1"/>
  <c r="D5" i="108"/>
  <c r="D5" i="105"/>
  <c r="D5" i="106"/>
  <c r="D5" i="103"/>
  <c r="D5" i="104"/>
  <c r="D5" i="101"/>
  <c r="D5" i="102"/>
  <c r="D5" i="98"/>
  <c r="D5" i="99"/>
  <c r="D5" i="96"/>
  <c r="D5" i="97"/>
  <c r="D5" i="94"/>
  <c r="D5" i="95"/>
  <c r="D5" i="93"/>
  <c r="F7" i="89"/>
  <c r="C33" i="1" s="1"/>
  <c r="D5" i="89"/>
  <c r="D5" i="90"/>
  <c r="G10" i="40" l="1"/>
  <c r="G11" i="40" s="1"/>
  <c r="G12" i="40" s="1"/>
  <c r="G13" i="40" s="1"/>
  <c r="G14" i="40" s="1"/>
  <c r="G15" i="40" s="1"/>
  <c r="G16" i="40" s="1"/>
  <c r="G17" i="40" s="1"/>
  <c r="G18" i="40" s="1"/>
  <c r="G19" i="40" s="1"/>
  <c r="G20" i="40" s="1"/>
  <c r="G21" i="40" s="1"/>
  <c r="G22" i="40" s="1"/>
  <c r="G23" i="40" s="1"/>
  <c r="G24" i="40" s="1"/>
  <c r="G25" i="40" s="1"/>
  <c r="G26" i="40" s="1"/>
  <c r="G27" i="40" s="1"/>
  <c r="G28" i="40" s="1"/>
  <c r="G29" i="40" s="1"/>
  <c r="G30" i="40" s="1"/>
  <c r="G31" i="40" s="1"/>
  <c r="G32" i="40" s="1"/>
  <c r="G33" i="40" s="1"/>
  <c r="G34" i="40" s="1"/>
  <c r="G35" i="40" s="1"/>
  <c r="G36" i="40" s="1"/>
  <c r="G37" i="40" s="1"/>
  <c r="G38" i="40" s="1"/>
  <c r="G39" i="40" s="1"/>
  <c r="G40" i="40" s="1"/>
  <c r="G41" i="40" s="1"/>
  <c r="G42" i="40" s="1"/>
  <c r="G43" i="40" s="1"/>
  <c r="G44" i="40" s="1"/>
  <c r="G45" i="40" s="1"/>
  <c r="G46" i="40" s="1"/>
  <c r="G47" i="40" s="1"/>
  <c r="G48" i="40" s="1"/>
  <c r="D20" i="34" l="1"/>
  <c r="D47" i="27" l="1"/>
  <c r="C32" i="1" l="1"/>
  <c r="E35" i="23" l="1"/>
  <c r="F10" i="5" l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D37" i="12" l="1"/>
  <c r="D39" i="27" l="1"/>
  <c r="B31" i="1" l="1"/>
  <c r="F6" i="54" l="1"/>
  <c r="F5" i="54"/>
  <c r="F7" i="54" l="1"/>
  <c r="C31" i="1" s="1"/>
  <c r="F10" i="2" l="1"/>
  <c r="F10" i="8" l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10" i="10" l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11" i="2"/>
  <c r="F10" i="46"/>
  <c r="F11" i="46" s="1"/>
  <c r="F12" i="46" s="1"/>
  <c r="F13" i="46" s="1"/>
  <c r="F14" i="46" s="1"/>
  <c r="F10" i="22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F42" i="22" s="1"/>
  <c r="F43" i="22" s="1"/>
  <c r="F44" i="22" s="1"/>
  <c r="F45" i="22" s="1"/>
  <c r="F46" i="22" s="1"/>
  <c r="F47" i="22" s="1"/>
  <c r="F48" i="22" s="1"/>
  <c r="F49" i="22" s="1"/>
  <c r="F50" i="22" s="1"/>
  <c r="F51" i="22" s="1"/>
  <c r="F52" i="22" s="1"/>
  <c r="F53" i="22" s="1"/>
  <c r="F54" i="22" s="1"/>
  <c r="F55" i="22" s="1"/>
  <c r="F56" i="22" s="1"/>
  <c r="F57" i="22" s="1"/>
  <c r="F58" i="22" s="1"/>
  <c r="F59" i="22" s="1"/>
  <c r="F60" i="22" s="1"/>
  <c r="F61" i="22" s="1"/>
  <c r="F62" i="22" s="1"/>
  <c r="F63" i="22" s="1"/>
  <c r="F64" i="22" s="1"/>
  <c r="F65" i="22" s="1"/>
  <c r="F66" i="22" s="1"/>
  <c r="F67" i="22" s="1"/>
  <c r="F68" i="22" s="1"/>
  <c r="F69" i="22" s="1"/>
  <c r="F70" i="22" s="1"/>
  <c r="F71" i="22" s="1"/>
  <c r="F72" i="22" s="1"/>
  <c r="F73" i="22" s="1"/>
  <c r="F74" i="22" s="1"/>
  <c r="F75" i="22" s="1"/>
  <c r="F76" i="22" s="1"/>
  <c r="F77" i="22" s="1"/>
  <c r="F78" i="22" s="1"/>
  <c r="F79" i="22" s="1"/>
  <c r="F80" i="22" s="1"/>
  <c r="F81" i="22" s="1"/>
  <c r="F10" i="27"/>
  <c r="F11" i="27" s="1"/>
  <c r="F12" i="27" s="1"/>
  <c r="F13" i="27" s="1"/>
  <c r="F14" i="27" s="1"/>
  <c r="F15" i="27" s="1"/>
  <c r="F16" i="27" s="1"/>
  <c r="F17" i="27" s="1"/>
  <c r="F18" i="27" s="1"/>
  <c r="F19" i="27" s="1"/>
  <c r="F20" i="27" s="1"/>
  <c r="F21" i="27" s="1"/>
  <c r="F22" i="27" s="1"/>
  <c r="F23" i="27" s="1"/>
  <c r="F24" i="27" s="1"/>
  <c r="F10" i="23"/>
  <c r="F25" i="27" l="1"/>
  <c r="F26" i="27" s="1"/>
  <c r="F27" i="27" s="1"/>
  <c r="F28" i="27" s="1"/>
  <c r="F29" i="27" s="1"/>
  <c r="F15" i="46"/>
  <c r="F16" i="46" s="1"/>
  <c r="F17" i="46" s="1"/>
  <c r="F18" i="46" s="1"/>
  <c r="F19" i="46" s="1"/>
  <c r="F20" i="46" s="1"/>
  <c r="F11" i="23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12" i="2"/>
  <c r="F13" i="2" s="1"/>
  <c r="F14" i="2" s="1"/>
  <c r="F15" i="2" s="1"/>
  <c r="F21" i="46" l="1"/>
  <c r="F22" i="46" s="1"/>
  <c r="F23" i="46" s="1"/>
  <c r="F24" i="46" s="1"/>
  <c r="F25" i="46" s="1"/>
  <c r="F26" i="46" s="1"/>
  <c r="F27" i="46" s="1"/>
  <c r="F28" i="46" s="1"/>
  <c r="F29" i="46" s="1"/>
  <c r="F30" i="46" s="1"/>
  <c r="F31" i="46" s="1"/>
  <c r="F32" i="46" s="1"/>
  <c r="F33" i="46" s="1"/>
  <c r="F34" i="46" s="1"/>
  <c r="F35" i="46" s="1"/>
  <c r="F36" i="46" s="1"/>
  <c r="F37" i="46" s="1"/>
  <c r="F38" i="46" s="1"/>
  <c r="F39" i="46" s="1"/>
  <c r="F40" i="46" s="1"/>
  <c r="E29" i="23" l="1"/>
  <c r="F29" i="23" l="1"/>
  <c r="F30" i="23" s="1"/>
  <c r="F31" i="23" s="1"/>
  <c r="F32" i="23" l="1"/>
  <c r="F33" i="23" s="1"/>
  <c r="F34" i="23" s="1"/>
  <c r="F35" i="23" s="1"/>
  <c r="F36" i="23" s="1"/>
  <c r="F37" i="23" s="1"/>
  <c r="F38" i="23" s="1"/>
  <c r="F39" i="23" s="1"/>
  <c r="F40" i="23" s="1"/>
  <c r="F41" i="23" s="1"/>
  <c r="F42" i="23" s="1"/>
  <c r="F43" i="23" s="1"/>
  <c r="F44" i="23" s="1"/>
  <c r="F45" i="23" s="1"/>
  <c r="F46" i="23" s="1"/>
  <c r="F47" i="23" s="1"/>
  <c r="F48" i="23" s="1"/>
  <c r="F49" i="23" s="1"/>
  <c r="F50" i="23" s="1"/>
  <c r="F51" i="23" s="1"/>
  <c r="F52" i="23" s="1"/>
  <c r="F53" i="23" s="1"/>
  <c r="F54" i="23" s="1"/>
  <c r="F55" i="23" s="1"/>
  <c r="F56" i="23" s="1"/>
  <c r="F57" i="23" s="1"/>
  <c r="F58" i="23" s="1"/>
  <c r="F59" i="23" s="1"/>
  <c r="F60" i="23" s="1"/>
  <c r="F61" i="23" s="1"/>
  <c r="F62" i="23" s="1"/>
  <c r="F63" i="23" s="1"/>
  <c r="F64" i="23" s="1"/>
  <c r="F65" i="23" s="1"/>
  <c r="F66" i="23" s="1"/>
  <c r="F67" i="23" s="1"/>
  <c r="F68" i="23" s="1"/>
  <c r="F69" i="23" s="1"/>
  <c r="F70" i="23" s="1"/>
  <c r="F71" i="23" s="1"/>
  <c r="F72" i="23" s="1"/>
  <c r="F73" i="23" s="1"/>
  <c r="F74" i="23" s="1"/>
  <c r="F75" i="23" s="1"/>
  <c r="F76" i="23" s="1"/>
  <c r="D30" i="27"/>
  <c r="F30" i="27" l="1"/>
  <c r="F31" i="27" s="1"/>
  <c r="F32" i="27" s="1"/>
  <c r="F33" i="27" s="1"/>
  <c r="F34" i="27" s="1"/>
  <c r="F35" i="27" s="1"/>
  <c r="F36" i="27" s="1"/>
  <c r="F37" i="27" s="1"/>
  <c r="F38" i="27" s="1"/>
  <c r="F39" i="27" s="1"/>
  <c r="F40" i="27" s="1"/>
  <c r="F41" i="27" s="1"/>
  <c r="F42" i="27" s="1"/>
  <c r="F43" i="27" s="1"/>
  <c r="F44" i="27" s="1"/>
  <c r="F45" i="27" s="1"/>
  <c r="F46" i="27" s="1"/>
  <c r="F47" i="27" s="1"/>
  <c r="F48" i="27" s="1"/>
  <c r="F49" i="27" s="1"/>
  <c r="F50" i="27" s="1"/>
  <c r="F51" i="27" s="1"/>
  <c r="F52" i="27" s="1"/>
  <c r="F53" i="27" s="1"/>
  <c r="F54" i="27" s="1"/>
  <c r="F55" i="27" s="1"/>
  <c r="F56" i="27" s="1"/>
  <c r="F57" i="27" s="1"/>
  <c r="F58" i="27" s="1"/>
  <c r="F5" i="27"/>
  <c r="F7" i="27" s="1"/>
  <c r="F59" i="27" l="1"/>
  <c r="F60" i="27" s="1"/>
  <c r="F61" i="27" s="1"/>
  <c r="F62" i="27" s="1"/>
  <c r="F63" i="27" s="1"/>
  <c r="F64" i="27" s="1"/>
  <c r="F65" i="27" s="1"/>
  <c r="F66" i="27" s="1"/>
  <c r="F67" i="27" s="1"/>
  <c r="F68" i="27" s="1"/>
  <c r="F69" i="27" s="1"/>
  <c r="F70" i="27" s="1"/>
  <c r="F71" i="27" s="1"/>
  <c r="F72" i="27" s="1"/>
  <c r="F73" i="27" s="1"/>
  <c r="F74" i="27" s="1"/>
  <c r="F75" i="27" s="1"/>
  <c r="F76" i="27" s="1"/>
  <c r="F77" i="27" s="1"/>
  <c r="F78" i="27" s="1"/>
  <c r="F79" i="27" s="1"/>
  <c r="F80" i="27" s="1"/>
  <c r="F81" i="27" s="1"/>
  <c r="F82" i="27" s="1"/>
  <c r="F83" i="27" s="1"/>
  <c r="F84" i="27" s="1"/>
  <c r="F85" i="27" s="1"/>
  <c r="F86" i="27" s="1"/>
  <c r="F87" i="27" s="1"/>
  <c r="D5" i="71" l="1"/>
  <c r="D5" i="54"/>
  <c r="E16" i="6" l="1"/>
  <c r="I16" i="6" l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l="1"/>
  <c r="I40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J39" i="6"/>
  <c r="I104" i="6" l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I135" i="6" s="1"/>
  <c r="I136" i="6" s="1"/>
  <c r="I137" i="6" s="1"/>
  <c r="I138" i="6" s="1"/>
  <c r="I139" i="6" s="1"/>
  <c r="I140" i="6" s="1"/>
  <c r="I141" i="6" s="1"/>
  <c r="I142" i="6" s="1"/>
  <c r="I143" i="6" s="1"/>
  <c r="I144" i="6" s="1"/>
  <c r="I145" i="6" s="1"/>
  <c r="I146" i="6" s="1"/>
  <c r="I147" i="6" s="1"/>
  <c r="I148" i="6" s="1"/>
  <c r="I149" i="6" s="1"/>
  <c r="I150" i="6" s="1"/>
  <c r="I151" i="6" s="1"/>
  <c r="I152" i="6" s="1"/>
  <c r="I153" i="6" s="1"/>
  <c r="I154" i="6" s="1"/>
  <c r="I155" i="6" s="1"/>
  <c r="I156" i="6" s="1"/>
  <c r="I157" i="6" s="1"/>
  <c r="I158" i="6" s="1"/>
  <c r="I159" i="6" s="1"/>
  <c r="I160" i="6" s="1"/>
  <c r="I161" i="6" s="1"/>
  <c r="I162" i="6" s="1"/>
  <c r="I163" i="6" s="1"/>
  <c r="I164" i="6" s="1"/>
  <c r="I165" i="6" s="1"/>
  <c r="I166" i="6" s="1"/>
  <c r="I167" i="6" s="1"/>
  <c r="I168" i="6" s="1"/>
  <c r="I169" i="6" s="1"/>
  <c r="I170" i="6" s="1"/>
  <c r="I171" i="6" s="1"/>
  <c r="I172" i="6" s="1"/>
  <c r="I173" i="6" s="1"/>
  <c r="I174" i="6" s="1"/>
  <c r="I175" i="6" s="1"/>
  <c r="I176" i="6" s="1"/>
  <c r="I177" i="6" s="1"/>
  <c r="I178" i="6" s="1"/>
  <c r="I179" i="6" s="1"/>
  <c r="I180" i="6" s="1"/>
  <c r="I181" i="6" s="1"/>
  <c r="I182" i="6" s="1"/>
  <c r="I183" i="6" s="1"/>
  <c r="I184" i="6" s="1"/>
  <c r="I185" i="6" s="1"/>
  <c r="I186" i="6" s="1"/>
  <c r="I187" i="6" s="1"/>
  <c r="I188" i="6" s="1"/>
  <c r="I189" i="6" s="1"/>
  <c r="I190" i="6" s="1"/>
  <c r="I191" i="6" s="1"/>
  <c r="I192" i="6" s="1"/>
  <c r="I193" i="6" s="1"/>
  <c r="I194" i="6" s="1"/>
  <c r="I195" i="6" s="1"/>
  <c r="I196" i="6" s="1"/>
  <c r="I197" i="6" s="1"/>
  <c r="I198" i="6" s="1"/>
  <c r="I199" i="6" s="1"/>
  <c r="I200" i="6" s="1"/>
  <c r="I201" i="6" s="1"/>
  <c r="I202" i="6" s="1"/>
  <c r="D28" i="12"/>
  <c r="F28" i="12" l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F70" i="12" s="1"/>
  <c r="F71" i="12" s="1"/>
  <c r="F72" i="12" s="1"/>
  <c r="F73" i="12" s="1"/>
  <c r="F74" i="12" s="1"/>
  <c r="F75" i="12" s="1"/>
  <c r="F76" i="12" s="1"/>
  <c r="F77" i="12" s="1"/>
  <c r="F78" i="12" s="1"/>
  <c r="F79" i="12" s="1"/>
  <c r="F80" i="12" s="1"/>
  <c r="F81" i="12" s="1"/>
  <c r="F82" i="12" s="1"/>
  <c r="F83" i="12" s="1"/>
  <c r="F84" i="12" s="1"/>
  <c r="F85" i="12" s="1"/>
  <c r="F86" i="12" s="1"/>
  <c r="F87" i="12" s="1"/>
  <c r="F88" i="12" s="1"/>
  <c r="F5" i="12"/>
  <c r="F7" i="12" s="1"/>
  <c r="C13" i="1" s="1"/>
  <c r="F89" i="12" l="1"/>
  <c r="F90" i="12" s="1"/>
  <c r="F91" i="12" s="1"/>
  <c r="F92" i="12" s="1"/>
  <c r="F93" i="12" s="1"/>
  <c r="F94" i="12" s="1"/>
  <c r="F95" i="12" s="1"/>
  <c r="F96" i="12" s="1"/>
  <c r="F97" i="12" s="1"/>
  <c r="F98" i="12" s="1"/>
  <c r="F99" i="12" s="1"/>
  <c r="F100" i="12" s="1"/>
  <c r="F101" i="12" s="1"/>
  <c r="F6" i="46" l="1"/>
  <c r="F5" i="46"/>
  <c r="D34" i="16" l="1"/>
  <c r="F7" i="46" l="1"/>
  <c r="D30" i="1" s="1"/>
  <c r="D18" i="4"/>
  <c r="F5" i="4" l="1"/>
  <c r="H18" i="4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F5" i="42"/>
  <c r="F7" i="42" s="1"/>
  <c r="H117" i="4" l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D27" i="1"/>
  <c r="E16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5" i="2" l="1"/>
  <c r="F7" i="4" l="1"/>
  <c r="C7" i="1" s="1"/>
  <c r="F5" i="32"/>
  <c r="E24" i="13" l="1"/>
  <c r="F5" i="29" l="1"/>
  <c r="F7" i="38" l="1"/>
  <c r="D25" i="1" s="1"/>
  <c r="F7" i="7" l="1"/>
  <c r="F5" i="10" l="1"/>
  <c r="F5" i="26" l="1"/>
  <c r="F6" i="26"/>
  <c r="F7" i="26" l="1"/>
  <c r="C20" i="1" s="1"/>
  <c r="F7" i="15" l="1"/>
  <c r="F6" i="2" l="1"/>
  <c r="F7" i="2" s="1"/>
  <c r="C4" i="1" s="1"/>
  <c r="F6" i="41" l="1"/>
  <c r="F5" i="41"/>
  <c r="F7" i="41" l="1"/>
  <c r="C29" i="1" s="1"/>
  <c r="B25" i="1" l="1"/>
  <c r="C10" i="1" l="1"/>
  <c r="B10" i="1" l="1"/>
  <c r="B11" i="1" l="1"/>
  <c r="Q134" i="29" l="1"/>
  <c r="Q132" i="29"/>
  <c r="B26" i="1" l="1"/>
  <c r="F6" i="37"/>
  <c r="F5" i="37"/>
  <c r="F7" i="37" l="1"/>
  <c r="C26" i="1" s="1"/>
  <c r="L38" i="20"/>
  <c r="L50" i="20" l="1"/>
  <c r="L49" i="20"/>
  <c r="L51" i="20" l="1"/>
  <c r="L52" i="20" s="1"/>
  <c r="F6" i="32"/>
  <c r="F7" i="32" s="1"/>
  <c r="F6" i="29"/>
  <c r="F7" i="29" s="1"/>
  <c r="C22" i="1" s="1"/>
  <c r="F7" i="13"/>
  <c r="F6" i="11"/>
  <c r="F5" i="11"/>
  <c r="F6" i="10"/>
  <c r="F7" i="10" s="1"/>
  <c r="C11" i="1" s="1"/>
  <c r="F7" i="5"/>
  <c r="C8" i="1" s="1"/>
  <c r="F6" i="9"/>
  <c r="F5" i="9"/>
  <c r="B24" i="1"/>
  <c r="B23" i="1"/>
  <c r="B22" i="1"/>
  <c r="B21" i="1"/>
  <c r="B20" i="1"/>
  <c r="B19" i="1"/>
  <c r="B17" i="1"/>
  <c r="B16" i="1"/>
  <c r="B15" i="1"/>
  <c r="B14" i="1"/>
  <c r="B13" i="1"/>
  <c r="B12" i="1"/>
  <c r="B9" i="1"/>
  <c r="B8" i="1"/>
  <c r="B7" i="1"/>
  <c r="B6" i="1"/>
  <c r="B5" i="1"/>
  <c r="B4" i="1"/>
  <c r="F201" i="20"/>
  <c r="C201" i="20"/>
  <c r="H200" i="20"/>
  <c r="H199" i="20"/>
  <c r="H198" i="20"/>
  <c r="H197" i="20"/>
  <c r="H196" i="20"/>
  <c r="H195" i="20"/>
  <c r="H193" i="20"/>
  <c r="H192" i="20"/>
  <c r="H191" i="20"/>
  <c r="H189" i="20"/>
  <c r="H184" i="20"/>
  <c r="H183" i="20"/>
  <c r="H182" i="20"/>
  <c r="H180" i="20"/>
  <c r="H178" i="20"/>
  <c r="H176" i="20"/>
  <c r="H175" i="20"/>
  <c r="H174" i="20"/>
  <c r="H173" i="20"/>
  <c r="H171" i="20"/>
  <c r="H166" i="20"/>
  <c r="H164" i="20"/>
  <c r="H163" i="20"/>
  <c r="H161" i="20"/>
  <c r="H160" i="20"/>
  <c r="H158" i="20"/>
  <c r="H157" i="20"/>
  <c r="H156" i="20"/>
  <c r="H154" i="20"/>
  <c r="H153" i="20"/>
  <c r="H152" i="20"/>
  <c r="H151" i="20"/>
  <c r="H150" i="20"/>
  <c r="H149" i="20"/>
  <c r="H145" i="20"/>
  <c r="H142" i="20"/>
  <c r="H141" i="20"/>
  <c r="H139" i="20"/>
  <c r="H137" i="20"/>
  <c r="H135" i="20"/>
  <c r="H134" i="20"/>
  <c r="H129" i="20"/>
  <c r="H127" i="20"/>
  <c r="H125" i="20"/>
  <c r="H124" i="20"/>
  <c r="H123" i="20"/>
  <c r="H122" i="20"/>
  <c r="H121" i="20"/>
  <c r="H120" i="20"/>
  <c r="H119" i="20"/>
  <c r="H118" i="20"/>
  <c r="H117" i="20"/>
  <c r="H116" i="20"/>
  <c r="H115" i="20"/>
  <c r="H112" i="20"/>
  <c r="H110" i="20"/>
  <c r="H103" i="20"/>
  <c r="H102" i="20"/>
  <c r="H101" i="20"/>
  <c r="K100" i="20"/>
  <c r="H100" i="20"/>
  <c r="H98" i="20"/>
  <c r="H96" i="20"/>
  <c r="D91" i="20"/>
  <c r="D201" i="20" s="1"/>
  <c r="H90" i="20"/>
  <c r="H89" i="20"/>
  <c r="H88" i="20"/>
  <c r="H87" i="20"/>
  <c r="H85" i="20"/>
  <c r="H84" i="20"/>
  <c r="J81" i="20"/>
  <c r="H78" i="20"/>
  <c r="H75" i="20"/>
  <c r="H74" i="20"/>
  <c r="H69" i="20"/>
  <c r="H58" i="20"/>
  <c r="H51" i="20"/>
  <c r="H46" i="20"/>
  <c r="H44" i="20"/>
  <c r="H42" i="20"/>
  <c r="H40" i="20"/>
  <c r="H29" i="20"/>
  <c r="H23" i="20"/>
  <c r="H20" i="20"/>
  <c r="H17" i="20"/>
  <c r="H14" i="20"/>
  <c r="H11" i="20"/>
  <c r="D5" i="46" l="1"/>
  <c r="D5" i="42"/>
  <c r="D5" i="41"/>
  <c r="D5" i="40"/>
  <c r="D5" i="38"/>
  <c r="H91" i="20"/>
  <c r="H201" i="20" s="1"/>
  <c r="F7" i="9"/>
  <c r="C5" i="1" s="1"/>
  <c r="F7" i="8"/>
  <c r="C6" i="1" s="1"/>
  <c r="F7" i="11"/>
  <c r="C12" i="1" s="1"/>
  <c r="D5" i="32"/>
  <c r="D5" i="37"/>
  <c r="C23" i="1"/>
  <c r="C16" i="1"/>
  <c r="H202" i="20"/>
  <c r="D24" i="1"/>
  <c r="C14" i="1"/>
  <c r="C21" i="1"/>
  <c r="C15" i="1"/>
  <c r="C9" i="1"/>
  <c r="D5" i="2"/>
  <c r="D5" i="9"/>
  <c r="D5" i="8"/>
  <c r="D5" i="4"/>
  <c r="D5" i="5"/>
  <c r="D5" i="6"/>
  <c r="D5" i="7"/>
  <c r="D5" i="10"/>
  <c r="D5" i="11"/>
  <c r="D5" i="12"/>
  <c r="D5" i="13"/>
  <c r="D5" i="15"/>
  <c r="D5" i="16"/>
  <c r="D5" i="34"/>
  <c r="D5" i="21"/>
  <c r="D5" i="22"/>
  <c r="D5" i="23"/>
  <c r="D5" i="26"/>
  <c r="D5" i="27"/>
  <c r="D5" i="29"/>
  <c r="D49" i="1" l="1"/>
  <c r="C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19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cá nhân</t>
        </r>
      </text>
    </comment>
    <comment ref="C19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sếp chốt 24/5/2019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Nghia</author>
  </authors>
  <commentList>
    <comment ref="F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Nghia:</t>
        </r>
        <r>
          <rPr>
            <sz val="9"/>
            <color indexed="81"/>
            <rFont val="Tahoma"/>
            <family val="2"/>
          </rPr>
          <t xml:space="preserve">
đã xử lý 7/11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Nghia</author>
  </authors>
  <commentList>
    <comment ref="F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Nghia:</t>
        </r>
        <r>
          <rPr>
            <sz val="9"/>
            <color indexed="81"/>
            <rFont val="Tahoma"/>
            <family val="2"/>
          </rPr>
          <t xml:space="preserve">
ĐÃ XỬ LÝ NGÀY 3/12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Nghia</author>
  </authors>
  <commentList>
    <comment ref="C3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Nghia:</t>
        </r>
        <r>
          <rPr>
            <sz val="9"/>
            <color indexed="81"/>
            <rFont val="Tahoma"/>
            <family val="2"/>
          </rPr>
          <t xml:space="preserve">
DNTT theo hóa đơn xuất: 31.301.890đ</t>
        </r>
      </text>
    </comment>
    <comment ref="C32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Nghia:</t>
        </r>
        <r>
          <rPr>
            <sz val="9"/>
            <color indexed="81"/>
            <rFont val="Tahoma"/>
            <family val="2"/>
          </rPr>
          <t xml:space="preserve">
DNTT theo hóa đơn xuất là 97.200.000vnđ
</t>
        </r>
      </text>
    </comment>
  </commentList>
</comments>
</file>

<file path=xl/sharedStrings.xml><?xml version="1.0" encoding="utf-8"?>
<sst xmlns="http://schemas.openxmlformats.org/spreadsheetml/2006/main" count="3867" uniqueCount="2026">
  <si>
    <t>STT</t>
  </si>
  <si>
    <t>Tên đơn vị</t>
  </si>
  <si>
    <t>Ghi chú</t>
  </si>
  <si>
    <t>BẢNG KÊ CHI TIẾT CÔNG NỢ</t>
  </si>
  <si>
    <t>Khách hàng</t>
  </si>
  <si>
    <t>Diễn giải</t>
  </si>
  <si>
    <t xml:space="preserve">Nợ </t>
  </si>
  <si>
    <t>Có</t>
  </si>
  <si>
    <t>Phát sinh</t>
  </si>
  <si>
    <t>Số dư đầu kỳ</t>
  </si>
  <si>
    <t>Phát sinh Nợ</t>
  </si>
  <si>
    <t>Phát sinh Có</t>
  </si>
  <si>
    <t>Số dư cuối kỳ</t>
  </si>
  <si>
    <t>Ngày tháng</t>
  </si>
  <si>
    <t>Mộc Sương</t>
  </si>
  <si>
    <t>Vista</t>
  </si>
  <si>
    <t>TH</t>
  </si>
  <si>
    <t>Vinatea MC</t>
  </si>
  <si>
    <t>Trà Thu Đan</t>
  </si>
  <si>
    <t>Khí Vina</t>
  </si>
  <si>
    <t>Công ty Khí Vina thanh toán tiền</t>
  </si>
  <si>
    <t>Tân Lập MC</t>
  </si>
  <si>
    <t>Tân Lập MC thanh toán tiền</t>
  </si>
  <si>
    <t>Ligarden</t>
  </si>
  <si>
    <t>Cờ đỏ Mộc Châu</t>
  </si>
  <si>
    <t>Cờ Đỏ Mộc Châu thanh toán tiền</t>
  </si>
  <si>
    <t>EIDAI</t>
  </si>
  <si>
    <t>Vietsun</t>
  </si>
  <si>
    <t>Tân Việt Hưng</t>
  </si>
  <si>
    <t>Tân Việt Hưng thanh toán tiền</t>
  </si>
  <si>
    <t>Chè Mỹ Lâm</t>
  </si>
  <si>
    <t>Mỹ Lâm thanh toán công nợ T4</t>
  </si>
  <si>
    <t>Phú Tài</t>
  </si>
  <si>
    <t>Phú Tài thanh toán tiền tháng 5</t>
  </si>
  <si>
    <t>HHA</t>
  </si>
  <si>
    <t>CÔNG TY TNHH NEPO</t>
  </si>
  <si>
    <t>Số 26/63/36 đường Vạn Mỹ, Phường Vạn Mỹ, Quận Ngô Quyền, TP. Hải Phòng</t>
  </si>
  <si>
    <t>MST: 0201588208</t>
  </si>
  <si>
    <t>ĐT: 031.6.260956 / Fax: 0313753956</t>
  </si>
  <si>
    <t>KHÁCH HÀNG</t>
  </si>
  <si>
    <t>NỢ CŨ</t>
  </si>
  <si>
    <t>PHÁT SINH TRONG THÁNG</t>
  </si>
  <si>
    <t>THANH TOÁN</t>
  </si>
  <si>
    <t>SỐ TIỀN CÒN NỢ</t>
  </si>
  <si>
    <t>GHI CHÚ</t>
  </si>
  <si>
    <t>SỐ TIỀN</t>
  </si>
  <si>
    <t>GBN</t>
  </si>
  <si>
    <t>NGÀY THÁNG</t>
  </si>
  <si>
    <t>MỘC SƯƠNG</t>
  </si>
  <si>
    <t>LIGARDEN</t>
  </si>
  <si>
    <t>LG19003</t>
  </si>
  <si>
    <t>ĐẠI LỘC</t>
  </si>
  <si>
    <t>TÂN LẬP MC</t>
  </si>
  <si>
    <t>TLMC1905001</t>
  </si>
  <si>
    <t>VISTA</t>
  </si>
  <si>
    <t>BKT5</t>
  </si>
  <si>
    <t>VINATEA MỘC CHÂU</t>
  </si>
  <si>
    <t>nợ t4</t>
  </si>
  <si>
    <t>VIỆT PHÁT</t>
  </si>
  <si>
    <t>TRÀ THU ĐAN</t>
  </si>
  <si>
    <t>SATOEN</t>
  </si>
  <si>
    <t>KHÍ VINA</t>
  </si>
  <si>
    <t>VNG1905001</t>
  </si>
  <si>
    <t>CỜ ĐỎ MỘC CHÂU</t>
  </si>
  <si>
    <t>QUỐC CƯỜNG</t>
  </si>
  <si>
    <t>NGÔ PHÚ THỌ</t>
  </si>
  <si>
    <t>SAO VÀNG</t>
  </si>
  <si>
    <t>VIETSUN</t>
  </si>
  <si>
    <t>TÂN VIỆT HƯNG</t>
  </si>
  <si>
    <t>NỢ PHẦN T4</t>
  </si>
  <si>
    <t>TOÀN CẦU</t>
  </si>
  <si>
    <t>TRƯỜNG PHÁT</t>
  </si>
  <si>
    <t>LỢI SƠN ĐIỀN</t>
  </si>
  <si>
    <t>SAO Á</t>
  </si>
  <si>
    <t>DŨNG DMC</t>
  </si>
  <si>
    <t>MR THÀNH</t>
  </si>
  <si>
    <t>CHÈ MỸ LÂM</t>
  </si>
  <si>
    <t>nợ t4 32.058.000, nợ T5 54.096.000</t>
  </si>
  <si>
    <t>HOÀNG TRUNG DŨNG</t>
  </si>
  <si>
    <t>CHÈ VIỆT NAM</t>
  </si>
  <si>
    <t>KHẢI SKY</t>
  </si>
  <si>
    <t>CHỊ HUYỀN</t>
  </si>
  <si>
    <t>HAVICO</t>
  </si>
  <si>
    <t>PHÚ TÀI</t>
  </si>
  <si>
    <t>PTF19008</t>
  </si>
  <si>
    <t>AN THY</t>
  </si>
  <si>
    <t>AN HƯNG MỘC CHÂU</t>
  </si>
  <si>
    <t>công nợ treo trên sổ sách</t>
  </si>
  <si>
    <t>ĐỐI TRỪ CÔNG NỢ CHO NHAU</t>
  </si>
  <si>
    <t>CHÈ TÔ MÚA</t>
  </si>
  <si>
    <t>CTM19004</t>
  </si>
  <si>
    <t>CTM19004 đã tt vào TK cá nhân. Công nơ trên sổ sách còn ck thừa 7.600.078</t>
  </si>
  <si>
    <t>SAO THÁI DƯƠNG</t>
  </si>
  <si>
    <t>CHÈ THÀNH CÔNG</t>
  </si>
  <si>
    <t>LATCA JSC</t>
  </si>
  <si>
    <t>AN PHÁT</t>
  </si>
  <si>
    <t>QUÁN ANH</t>
  </si>
  <si>
    <t>QUẢNG BÌNH</t>
  </si>
  <si>
    <t>A KHÁNH APL</t>
  </si>
  <si>
    <t>NHẬT NAM</t>
  </si>
  <si>
    <t>BÁCH AN</t>
  </si>
  <si>
    <t>ANH TRÍ HQ</t>
  </si>
  <si>
    <t>MR. HÁU</t>
  </si>
  <si>
    <t>HORY - MINH PHƯƠNG</t>
  </si>
  <si>
    <t>VẬT TƯ NÔNG NGHIỆP</t>
  </si>
  <si>
    <t>HẢI NINH</t>
  </si>
  <si>
    <t>ĐẠI PHÚC LỘC</t>
  </si>
  <si>
    <t>KNL</t>
  </si>
  <si>
    <t>TRANSCON-
AEGLE SHIPPING</t>
  </si>
  <si>
    <t xml:space="preserve">NAM CHÂM </t>
  </si>
  <si>
    <t>SOTRANS HN</t>
  </si>
  <si>
    <t>GLS</t>
  </si>
  <si>
    <t>HẢI ĐĂNG</t>
  </si>
  <si>
    <t>BK T5/2019</t>
  </si>
  <si>
    <t>GNVT HONG HAI</t>
  </si>
  <si>
    <t>ACC10</t>
  </si>
  <si>
    <t>TECHCONVINA</t>
  </si>
  <si>
    <t>XÂY DỰNG 556</t>
  </si>
  <si>
    <t>LOGISTICS CHÂU Á</t>
  </si>
  <si>
    <t>SDCC</t>
  </si>
  <si>
    <t>AN KHÁNH</t>
  </si>
  <si>
    <t>ANH ĐOÀN</t>
  </si>
  <si>
    <t>DMC</t>
  </si>
  <si>
    <t>DMC9001</t>
  </si>
  <si>
    <t>GIZA</t>
  </si>
  <si>
    <t>NGUỒN SAO XANH</t>
  </si>
  <si>
    <t>CHỊ THOA</t>
  </si>
  <si>
    <t>PHÂN NINH BÌNH</t>
  </si>
  <si>
    <t>TRÀ LV</t>
  </si>
  <si>
    <t>VIETSKY</t>
  </si>
  <si>
    <t>BÁCH AN</t>
  </si>
  <si>
    <t>TRANG THÀNH</t>
  </si>
  <si>
    <t>LÊ MINH</t>
  </si>
  <si>
    <t>MINH BẮC GIANG</t>
  </si>
  <si>
    <t>YI JIIN</t>
  </si>
  <si>
    <t>LONG HOÀNG ANH</t>
  </si>
  <si>
    <t>TUÂN THÀNH PHÁT</t>
  </si>
  <si>
    <t>TRE CN MỘC CHÂU</t>
  </si>
  <si>
    <t>VIETIMEX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</si>
  <si>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</si>
  <si>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PANDA</t>
  </si>
  <si>
    <t>CHÈ CHIỀNG ĐI</t>
  </si>
  <si>
    <t>KIM HÒA</t>
  </si>
  <si>
    <t>Nợ T4+T5</t>
  </si>
  <si>
    <t>LÀNH</t>
  </si>
  <si>
    <t>HẢI NINH</t>
  </si>
  <si>
    <t>HÙNG THUẬN</t>
  </si>
  <si>
    <t>NỢ T4</t>
  </si>
  <si>
    <t>VINA KYOEI</t>
  </si>
  <si>
    <t>MR NGUYÊN</t>
  </si>
  <si>
    <t>ANH TÂM</t>
  </si>
  <si>
    <t>MR DŨNG</t>
  </si>
  <si>
    <t>BẢO HƯNG</t>
  </si>
  <si>
    <t>TỔNG CỘNG</t>
  </si>
  <si>
    <t>..</t>
  </si>
  <si>
    <t>Hải Đăng</t>
  </si>
  <si>
    <t>An Khánh</t>
  </si>
  <si>
    <t xml:space="preserve"> Anh Đoàn (Hồng Anh Phát)</t>
  </si>
  <si>
    <t>Vietimex thanh toán tiền</t>
  </si>
  <si>
    <t>Vietimex</t>
  </si>
  <si>
    <t>Giấy  báo nợ số MCT19005</t>
  </si>
  <si>
    <t>Giấy  báo nợ số MS19001</t>
  </si>
  <si>
    <t>Giấy  báo nợ số MCT19006</t>
  </si>
  <si>
    <t>Giay báo nợ số PTF19010</t>
  </si>
  <si>
    <t>Công nợ tháng 6 Mỹ Lâm</t>
  </si>
  <si>
    <t>Phải thu của Nguồn Sao Xanh</t>
  </si>
  <si>
    <t>Phải thu của PET Garden VN</t>
  </si>
  <si>
    <t>Khách anh Hưng</t>
  </si>
  <si>
    <t>Khách lẻ</t>
  </si>
  <si>
    <t>HĐ 0002777</t>
  </si>
  <si>
    <t>HĐ 0002778</t>
  </si>
  <si>
    <t>Giay báo nợ số PTF19009</t>
  </si>
  <si>
    <t>Giay báo nợ số TD19005</t>
  </si>
  <si>
    <t>Giay báo nợ số TD19004</t>
  </si>
  <si>
    <t>Thu Đan thanh toán tiền GBN TD19004</t>
  </si>
  <si>
    <t>Công nợ An Khánh T6/2019</t>
  </si>
  <si>
    <t>Công nợ Khí VINA T6/2019</t>
  </si>
  <si>
    <t>Phát sinh công nợ phải thu T6</t>
  </si>
  <si>
    <t>Công ty chè Mộc Sương thanh toán tiền MS19001</t>
  </si>
  <si>
    <t>Chè Mỹ Lâm thanh toán công nợ T5/2019</t>
  </si>
  <si>
    <t>Công nợ phát sinh trong T6/2019</t>
  </si>
  <si>
    <t>Công nợ T6/2019</t>
  </si>
  <si>
    <t xml:space="preserve">Công nợ T6/2019 </t>
  </si>
  <si>
    <t>Phú Tài thanh toán GBN PTF19009</t>
  </si>
  <si>
    <t>Phát sinh công nợ T6/2019</t>
  </si>
  <si>
    <t>Nguồn Sao Xanh thanh toán vào TKCN A Phụng</t>
  </si>
  <si>
    <t>08/07/209</t>
  </si>
  <si>
    <t>Phát sinh công nợ T6</t>
  </si>
  <si>
    <t>Giay báo nợ số PTF19011</t>
  </si>
  <si>
    <t>Vista thanh toán công nợ T6/2019</t>
  </si>
  <si>
    <t>Thu Đan thanh toán tiền GBN TD19005</t>
  </si>
  <si>
    <t>0983223404</t>
  </si>
  <si>
    <t>Chị Tươi</t>
  </si>
  <si>
    <t>Phú Tài thanh toán trước vào TKCN A Phụng</t>
  </si>
  <si>
    <t>Chè Mỹ Lâm thanh toán công nợ T6/2019</t>
  </si>
  <si>
    <t>Công nợ phát sinh T6/2019</t>
  </si>
  <si>
    <t>Bổ sung công nợ T5 tiền nâng pallet</t>
  </si>
  <si>
    <t>Đã gọi điện, check lại với kế toán</t>
  </si>
  <si>
    <t>Giấy  báo nợ số MS19002</t>
  </si>
  <si>
    <t>Đã gửi lại HĐ nguyên tắc, sau đó sẽ email đề nghị thanh toán nốt T5/2019</t>
  </si>
  <si>
    <t>Giấy  báo nợ số MCT19007</t>
  </si>
  <si>
    <t>Giấy  báo nợ số MCT19008</t>
  </si>
  <si>
    <t>Vinatea MC thanh toán</t>
  </si>
  <si>
    <t>Công nợ Khí VINA T7/2019</t>
  </si>
  <si>
    <t xml:space="preserve">Công nợ T7/2019 </t>
  </si>
  <si>
    <t>Công nợ Tân Việt Hưng T7/2019</t>
  </si>
  <si>
    <t>Công nợ tháng 7 Mỹ Lâm</t>
  </si>
  <si>
    <t>13/05/2019 Hải Đăng đã quyết toán và thanh toán hết công nợ T4/2019</t>
  </si>
  <si>
    <t>Phú Tài thanh toán  tiền GBN PTF19010</t>
  </si>
  <si>
    <t>Đã xử lý chuyển trả lại</t>
  </si>
  <si>
    <t>TT thiếu 12k do sử dụng GBN cũ</t>
  </si>
  <si>
    <t>Đối trừ công nợ T7/2019</t>
  </si>
  <si>
    <t>Công ty Hải Đăng thanh toán hết tiền cước sau khi tất toán công nợ đến hết 31/07/2019</t>
  </si>
  <si>
    <t>9/8/2019 Hải Đăng đã quyết toán và thanh toán hết công nợ T7/2019</t>
  </si>
  <si>
    <t>Công nợ An Khánh T7/2019</t>
  </si>
  <si>
    <t>Công nợ T6/2019 phát sinh</t>
  </si>
  <si>
    <t>HĐ 0002794</t>
  </si>
  <si>
    <t>Pet Garden thanh toán vào TKCN Anh Phụng</t>
  </si>
  <si>
    <t>Xuất thêm 400k bổ sung tiền cước</t>
  </si>
  <si>
    <t>1.273k tiền chi hộ</t>
  </si>
  <si>
    <t>Vietsun thanh toán tiền công nợ T6</t>
  </si>
  <si>
    <t>0982112120</t>
  </si>
  <si>
    <t>Đối trừ và thu tiền cước hết T7/2019</t>
  </si>
  <si>
    <t>Công nợ phát sinh trong T7/2019</t>
  </si>
  <si>
    <t>Điều chỉnh lại số dư đầu kỳ cho khớp với GBN gửi khách</t>
  </si>
  <si>
    <t>Vietsun thanh toán CN T4/2019</t>
  </si>
  <si>
    <t>Vietsun thanh toán CN T5/2019</t>
  </si>
  <si>
    <t>`</t>
  </si>
  <si>
    <t>Vista thanh toán công nợ T5/2019</t>
  </si>
  <si>
    <t>Công nợ Tân Việt Hưng T6/2019</t>
  </si>
  <si>
    <t>Phát sinh công nợ T7</t>
  </si>
  <si>
    <t>Vietsun chốt số T7 theo số Nepo, thừa thiếu sẽ chuyển sang T8</t>
  </si>
  <si>
    <t>Công nợ phát sinh T7/2019</t>
  </si>
  <si>
    <t>An Khánh thanh toán 1 phần công nợ T5/2019</t>
  </si>
  <si>
    <t>CK vào TKCN Anh Phụng, nộp vào TK ACB</t>
  </si>
  <si>
    <t xml:space="preserve">Công nợ T8/2019 </t>
  </si>
  <si>
    <t>GBN VNG1908001</t>
  </si>
  <si>
    <t>GBN VNG1908002</t>
  </si>
  <si>
    <t>31/8/2019</t>
  </si>
  <si>
    <t>Công nợ tháng 8 Mỹ Lâm</t>
  </si>
  <si>
    <t>30/8/2019</t>
  </si>
  <si>
    <t>16/8/2019</t>
  </si>
  <si>
    <t>GBN PTF19012</t>
  </si>
  <si>
    <t>27/8/2019</t>
  </si>
  <si>
    <t>GBN PTF19013</t>
  </si>
  <si>
    <t>Phú Tài thanh toán GBN PTF19012</t>
  </si>
  <si>
    <t>Chè Mỹ Lâm thanh toán công nợ T7/2019</t>
  </si>
  <si>
    <t>Vietsun thanh toán tiền công nợ T7</t>
  </si>
  <si>
    <t>Phát sinh công nợ T8</t>
  </si>
  <si>
    <t>30/08/2019</t>
  </si>
  <si>
    <t>An Khánh thanh toán nốt công nợ T5/2019</t>
  </si>
  <si>
    <t>Cờ Đỏ Mộc Châu thanh toán hết công nợ T7/2019</t>
  </si>
  <si>
    <t>Phát sinh công nợ T8/2019</t>
  </si>
  <si>
    <t>Công nợ Tân Việt Hưng T8/2019</t>
  </si>
  <si>
    <t>14/9/2019</t>
  </si>
  <si>
    <t>Tân Việt Hưng thanh toán cước T7/19</t>
  </si>
  <si>
    <t>GBN LG19004</t>
  </si>
  <si>
    <t>Công nợ T8/2019 phát sinh</t>
  </si>
  <si>
    <t>Công nợ An Khánh T8/19</t>
  </si>
  <si>
    <t>Phát sinh công nợ phải thu T8</t>
  </si>
  <si>
    <t>460k thiếu của T8 sẽ chuyển sang BK T9</t>
  </si>
  <si>
    <t>TM</t>
  </si>
  <si>
    <t>19/9/2019</t>
  </si>
  <si>
    <t>18/9/2019</t>
  </si>
  <si>
    <t>Giấy  báo nợ số MCT19009</t>
  </si>
  <si>
    <t>Giấy  báo nợ số MCT19010</t>
  </si>
  <si>
    <t>Chè Tô Múa</t>
  </si>
  <si>
    <t>GBN CTM19005</t>
  </si>
  <si>
    <t>GBN PTF19014</t>
  </si>
  <si>
    <t>GBN VNG1909001</t>
  </si>
  <si>
    <t>23/9/2019</t>
  </si>
  <si>
    <t>25/9/2019</t>
  </si>
  <si>
    <t>Công ty chè Mộc Sương thanh toán tiền MS19002</t>
  </si>
  <si>
    <t>26/9/2019</t>
  </si>
  <si>
    <t>GBN MS19003</t>
  </si>
  <si>
    <t>27/9/2019</t>
  </si>
  <si>
    <t>Chè Mỹ Lâm thanh toán công nợ T8/2019</t>
  </si>
  <si>
    <t>30/9/2019</t>
  </si>
  <si>
    <t xml:space="preserve">Công nợ T9/2019 </t>
  </si>
  <si>
    <t>GBN VNG1909002</t>
  </si>
  <si>
    <t>Công nợ tháng 9 Mỹ Lâm</t>
  </si>
  <si>
    <t>GBN VTA1909001</t>
  </si>
  <si>
    <t>Vietsun thanh toán cước T8</t>
  </si>
  <si>
    <t>PTF thanh toán</t>
  </si>
  <si>
    <t>PTF thanh toán quan TK Anh Phụng</t>
  </si>
  <si>
    <t>An Khánh thanh toán nốt công nợ T6/2019</t>
  </si>
  <si>
    <t xml:space="preserve">Ligarden thanh toán </t>
  </si>
  <si>
    <t>Vista thanh toán công nợ T9</t>
  </si>
  <si>
    <t>Công nợ Tân Việt Hưng T9/2019</t>
  </si>
  <si>
    <t>GBN CTM19006</t>
  </si>
  <si>
    <t xml:space="preserve">CTM thanh toán </t>
  </si>
  <si>
    <t>GBN PTF19015</t>
  </si>
  <si>
    <t>Giấy  báo nợ số MCT19011</t>
  </si>
  <si>
    <t>GBN TD19006</t>
  </si>
  <si>
    <t>15/10/2019</t>
  </si>
  <si>
    <t>Tân Việt Hưng thanh toán cước T8/19 lần 1</t>
  </si>
  <si>
    <t>14/10/2019</t>
  </si>
  <si>
    <t>16/10/2019</t>
  </si>
  <si>
    <t>18/10/2019</t>
  </si>
  <si>
    <t>Phát sinh công nợ phải thu T9</t>
  </si>
  <si>
    <t>21/10/2019</t>
  </si>
  <si>
    <t xml:space="preserve">Tân Việt Hưng thanh toán cước T8/19 lần </t>
  </si>
  <si>
    <t>Phát sinh công nợ T9</t>
  </si>
  <si>
    <t>GBN MS19004</t>
  </si>
  <si>
    <t>GBN TD19007</t>
  </si>
  <si>
    <t>GBN PTF19016</t>
  </si>
  <si>
    <t>29/10/2019</t>
  </si>
  <si>
    <t>VTA19002NK</t>
  </si>
  <si>
    <t>Chè Mỹ Lâm thanh toán công nợ T9</t>
  </si>
  <si>
    <t>31/10/2019</t>
  </si>
  <si>
    <t>GBN VNG1910001</t>
  </si>
  <si>
    <t>Công nợ T10</t>
  </si>
  <si>
    <t>Công nợ phát sinh T10</t>
  </si>
  <si>
    <t xml:space="preserve">Công nợ T10/2019 </t>
  </si>
  <si>
    <t xml:space="preserve">MS thanh toán </t>
  </si>
  <si>
    <t>7/11/209</t>
  </si>
  <si>
    <t xml:space="preserve">PTF thanh toán </t>
  </si>
  <si>
    <t>Vietsun thanh toán cước T9</t>
  </si>
  <si>
    <t>Phát sinh công nợ T10</t>
  </si>
  <si>
    <t>GBN MCT19012</t>
  </si>
  <si>
    <t>GBN MCT19013</t>
  </si>
  <si>
    <t>GBN PTF19017</t>
  </si>
  <si>
    <t>Công nợ Tân Việt Hưng T10/2019</t>
  </si>
  <si>
    <t>Phát sinh công nợ phải thu T10</t>
  </si>
  <si>
    <t>Công nợ T10/2019 phát sinh</t>
  </si>
  <si>
    <t>15/11/2019</t>
  </si>
  <si>
    <t>Đối trừ cước T8 phải thu với 1 phần công nợ phải trả T9</t>
  </si>
  <si>
    <t>Đối trừ công nợ phải trả T7/T9 với công nợ phải thu T5/T6</t>
  </si>
  <si>
    <t>16/11/2019</t>
  </si>
  <si>
    <t>GBN CTM19007</t>
  </si>
  <si>
    <t>Đối trừ công nợ phải thu với VAT T10</t>
  </si>
  <si>
    <t>18/11/2019</t>
  </si>
  <si>
    <t xml:space="preserve">Tân Việt Hưng thanh toán </t>
  </si>
  <si>
    <t>13/11/2019</t>
  </si>
  <si>
    <t>GBN VTM1911001</t>
  </si>
  <si>
    <t>Vietimex CK 22 trieu</t>
  </si>
  <si>
    <t>19/11/2019</t>
  </si>
  <si>
    <t>GBN PTF19018</t>
  </si>
  <si>
    <t>20/11/2019</t>
  </si>
  <si>
    <t>PTF thanh toán tiền chênh lệch lô PTF19016</t>
  </si>
  <si>
    <t>22/11/2019</t>
  </si>
  <si>
    <t>24/11/2019</t>
  </si>
  <si>
    <t>30/11/2019</t>
  </si>
  <si>
    <t>GBN VNG1911001</t>
  </si>
  <si>
    <t>GBN TLMC1911001</t>
  </si>
  <si>
    <t>Vista thanh toán công nợ T10</t>
  </si>
  <si>
    <t>Phát sinh công nợ T11</t>
  </si>
  <si>
    <t xml:space="preserve">Thu Đan thanh toán </t>
  </si>
  <si>
    <t>Công nợ Tân Việt Hưng T11/2019</t>
  </si>
  <si>
    <t>Công nợ An Khánh T11/19</t>
  </si>
  <si>
    <t>Phát sinh công nợ phải thu T11</t>
  </si>
  <si>
    <t>Công nợ T11</t>
  </si>
  <si>
    <t>PTF thanh toán GBN PTF19017</t>
  </si>
  <si>
    <t>Vietsun thanh toán cước T10</t>
  </si>
  <si>
    <t xml:space="preserve">Cờ đỏ mộc châu thanh toán </t>
  </si>
  <si>
    <t>Chè Mỹ Lâm thanh toán công nợ T10</t>
  </si>
  <si>
    <t>An khánh thanh toán cước T7+8/19</t>
  </si>
  <si>
    <t>GBN PTF19019</t>
  </si>
  <si>
    <t>Phát sinh công nợ T11 không lấy hóa đơn</t>
  </si>
  <si>
    <t>GBN CDMC1912001</t>
  </si>
  <si>
    <t>13/12/2019</t>
  </si>
  <si>
    <t xml:space="preserve">TLMC thanh toán </t>
  </si>
  <si>
    <t>16/12/2019</t>
  </si>
  <si>
    <t xml:space="preserve">Vista thanh toán </t>
  </si>
  <si>
    <t>19/12/2019</t>
  </si>
  <si>
    <t>Phát sinh công nợ phải thu T12</t>
  </si>
  <si>
    <t>23/12/2019</t>
  </si>
  <si>
    <t>PTF thanh toán PTF19018+PTF19019</t>
  </si>
  <si>
    <t>Đối trừ công nợ phải thu với VAT T11</t>
  </si>
  <si>
    <t>26/12/2019</t>
  </si>
  <si>
    <t xml:space="preserve">CĐMC thanh toán </t>
  </si>
  <si>
    <t>GBN PTF19020</t>
  </si>
  <si>
    <t>GBN LG19005</t>
  </si>
  <si>
    <t>Công nợ T11/2019 phát sinh</t>
  </si>
  <si>
    <t>30/12/2019</t>
  </si>
  <si>
    <t>MCT 19014</t>
  </si>
  <si>
    <t>31/12/2019</t>
  </si>
  <si>
    <t>Phú tài thanh toán GBN PTF19020</t>
  </si>
  <si>
    <t>Phát sinh công nợ T12</t>
  </si>
  <si>
    <t>GBN VNG1912001</t>
  </si>
  <si>
    <t>PTF thanh toán tiền chênh lệch lô PTF19018/020</t>
  </si>
  <si>
    <t>CTM19008</t>
  </si>
  <si>
    <t>GBN LG19006</t>
  </si>
  <si>
    <t>13/1/2020</t>
  </si>
  <si>
    <t>Công nợ T12</t>
  </si>
  <si>
    <t>Công nợ Tân Việt Hưng T12/2019</t>
  </si>
  <si>
    <t>14/1/2019</t>
  </si>
  <si>
    <t>VTM1912001</t>
  </si>
  <si>
    <t xml:space="preserve">Vietsun thanh toán </t>
  </si>
  <si>
    <t>15/1/2020</t>
  </si>
  <si>
    <t>Viet sun thanh toán công nợ T11 không lấy hóa đơn (cont DRYU9590030 ngày 28/10)</t>
  </si>
  <si>
    <t>Công nợ T12/2019 phát sinh</t>
  </si>
  <si>
    <t>30/6/2019</t>
  </si>
  <si>
    <t>Đối trừ công nợ phải trả hết năm 2019</t>
  </si>
  <si>
    <t>Đối trừ công nợ phải thu T6 với phải trả</t>
  </si>
  <si>
    <t>15/1/2019</t>
  </si>
  <si>
    <t>Tân Việt Hưng thanh toán cước vận chuyển T11/19</t>
  </si>
  <si>
    <t>16/1/2019</t>
  </si>
  <si>
    <t>22/1/2020</t>
  </si>
  <si>
    <t>Chè Mỹ Lâm thanh toán công nợ T11+12</t>
  </si>
  <si>
    <t>31/1/2020</t>
  </si>
  <si>
    <t>Công nợ T1/2020</t>
  </si>
  <si>
    <t>GBN VNG2001001</t>
  </si>
  <si>
    <t>VTA2001001</t>
  </si>
  <si>
    <t>Phát sinh công nợ T1/2020</t>
  </si>
  <si>
    <t>Công nợ Tân Việt Hưng T1/2020</t>
  </si>
  <si>
    <t>Công nợ An Khánh T1/20</t>
  </si>
  <si>
    <t>CĐMC2001001</t>
  </si>
  <si>
    <t>Vietsun thanh toán</t>
  </si>
  <si>
    <t>CTM20001</t>
  </si>
  <si>
    <t>17/2/2020</t>
  </si>
  <si>
    <t>Tân Việt Hưng thanh toán cước vận chuyển T12/19 lần 1</t>
  </si>
  <si>
    <t>Công nợ T1/2020 phát sinh</t>
  </si>
  <si>
    <t>Phát sinh công nợ phải thu T1.2020</t>
  </si>
  <si>
    <t>19/2/2020</t>
  </si>
  <si>
    <t>GBN TD20001</t>
  </si>
  <si>
    <t>Tân Việt Hưng thanh toán nốt cước vận chuyển T12/19</t>
  </si>
  <si>
    <t>20/2/2020</t>
  </si>
  <si>
    <t>27/2/2020</t>
  </si>
  <si>
    <t>Thu nốt cước vận chuyển 2019+cước T1/2020</t>
  </si>
  <si>
    <t>29/2/2020</t>
  </si>
  <si>
    <t>Công nợ T2/2020</t>
  </si>
  <si>
    <t>Phát sinh công nợ T2/2020</t>
  </si>
  <si>
    <t>VTA2002001</t>
  </si>
  <si>
    <t>Phòng KT</t>
  </si>
  <si>
    <t>GBN PTF20001NK</t>
  </si>
  <si>
    <t>Chênh lệch GBN PTF20001NK so với thực tế</t>
  </si>
  <si>
    <t>LG20001NK</t>
  </si>
  <si>
    <t>14/3/2020</t>
  </si>
  <si>
    <t>VNG2002001</t>
  </si>
  <si>
    <t>Công nợ T2/2020 phát sinh</t>
  </si>
  <si>
    <t>Phát sinh công nợ phải thu T2.2020</t>
  </si>
  <si>
    <t>chưa TT</t>
  </si>
  <si>
    <t>Phát sinh cước vận chuyển T2/20</t>
  </si>
  <si>
    <t>02073875110</t>
  </si>
  <si>
    <t>VAT hóa đơn T2</t>
  </si>
  <si>
    <t>Đối trừ cước bổ sung T9+cước T12/19 với công nợ phải thu</t>
  </si>
  <si>
    <t>Tân Việt Hưng thanh toán cước vận chuyển T1/2020</t>
  </si>
  <si>
    <t>18/3/20</t>
  </si>
  <si>
    <t>19/3/2020</t>
  </si>
  <si>
    <t>Hải Đăng quyết toán nốt cước đến thời điểm 29.2.20</t>
  </si>
  <si>
    <t>19/3/2020 Hải đăng đã quyết toán và thanh toán hết công nợ T2/2020</t>
  </si>
  <si>
    <t>24/3/2020</t>
  </si>
  <si>
    <t>GBN TD20002NK</t>
  </si>
  <si>
    <t>25/3/2020</t>
  </si>
  <si>
    <t>Mỹ Lâm thanh toán công nợ T1+2</t>
  </si>
  <si>
    <t>Đối trừ cước vận chuyển T12/2019 với cước vận chuyển T11/19 phải thu</t>
  </si>
  <si>
    <t>Anh Khánh thanh toán hết công nợ năm 2019</t>
  </si>
  <si>
    <t>30/3/2020</t>
  </si>
  <si>
    <t>31/3/2020</t>
  </si>
  <si>
    <t>Hồng Anh Phát thanh toán cước vận chuyển</t>
  </si>
  <si>
    <t>Vietsun thanh toán cước T2/2020</t>
  </si>
  <si>
    <t>GBN VNG2003001</t>
  </si>
  <si>
    <t>GBN VNG2003002</t>
  </si>
  <si>
    <t xml:space="preserve">VNG thanh toán </t>
  </si>
  <si>
    <t>0911275686</t>
  </si>
  <si>
    <t>Chị Tuyết</t>
  </si>
  <si>
    <t>KTT</t>
  </si>
  <si>
    <t>15/4/2020</t>
  </si>
  <si>
    <t>Thu Đan thanh toán tiền</t>
  </si>
  <si>
    <t>Phát sinh công nợ T3/2020</t>
  </si>
  <si>
    <t>Công nợ T3/2020 phát sinh</t>
  </si>
  <si>
    <t>GBN TLMC2003001</t>
  </si>
  <si>
    <t>Phát sinh công nợ phải thu T3.2020</t>
  </si>
  <si>
    <t>Phát sinh cước vận chuyển T3/20</t>
  </si>
  <si>
    <t>VAT hóa đơn T3</t>
  </si>
  <si>
    <t>14/4/2020</t>
  </si>
  <si>
    <t>26/3/2020</t>
  </si>
  <si>
    <t>TT cước vận chuyển T3</t>
  </si>
  <si>
    <t>Cước vận chuyển+phí dịch vụ cont MRKU6098599</t>
  </si>
  <si>
    <t>Mỹ Lâm thanh toán cước vận chuyển cont MRKU6098599</t>
  </si>
  <si>
    <t>21/4/2020</t>
  </si>
  <si>
    <t>GBN PTF20002</t>
  </si>
  <si>
    <t>GBN PTF20003</t>
  </si>
  <si>
    <t>GBN MCT20001</t>
  </si>
  <si>
    <t>GBN MCT20002</t>
  </si>
  <si>
    <t>GBN MCT20003</t>
  </si>
  <si>
    <t>GBN TD20003</t>
  </si>
  <si>
    <t>27/4/2020</t>
  </si>
  <si>
    <t>Mỹ lâm thanh toán phí cơ sở hạ tầng cont MRKU6098599</t>
  </si>
  <si>
    <t>28/4/2020</t>
  </si>
  <si>
    <t>chênh lệch 3.8tr</t>
  </si>
  <si>
    <t>PTF20004</t>
  </si>
  <si>
    <t>GBN MS20001</t>
  </si>
  <si>
    <t>GBN MCT20004</t>
  </si>
  <si>
    <t>29/4/2020</t>
  </si>
  <si>
    <t>PTF thanh toán tiền chênh lệch lô PTF20001NK+20003</t>
  </si>
  <si>
    <t>PTF20005</t>
  </si>
  <si>
    <t>GBN TD20004</t>
  </si>
  <si>
    <t>Công nợ An Khánh T3/20</t>
  </si>
  <si>
    <t>15/5/2020</t>
  </si>
  <si>
    <t>An Khánh thanh toán cước T1/20</t>
  </si>
  <si>
    <t>Công nợ T4/2020 phát sinh</t>
  </si>
  <si>
    <t>Phát sinh công nợ T4/2020</t>
  </si>
  <si>
    <t>GBN TLMC2004001</t>
  </si>
  <si>
    <t>VNG2004001</t>
  </si>
  <si>
    <t>VNG2004002</t>
  </si>
  <si>
    <t>Phát sinh cước vận chuyển T4/20</t>
  </si>
  <si>
    <t>VAT hóa đơn T4</t>
  </si>
  <si>
    <t>16/5/2020</t>
  </si>
  <si>
    <t>PTF20006</t>
  </si>
  <si>
    <t>PTF20007</t>
  </si>
  <si>
    <t>BS phí gia hạn freetime cho 2 lô MCT20002+003</t>
  </si>
  <si>
    <t>27/5/2020</t>
  </si>
  <si>
    <t>29/5/2020</t>
  </si>
  <si>
    <t>30/5/2020</t>
  </si>
  <si>
    <t>Công nợ T5/2020</t>
  </si>
  <si>
    <t>GBN TLC2005001</t>
  </si>
  <si>
    <t>VNG2005001</t>
  </si>
  <si>
    <t>CĐMC2005001</t>
  </si>
  <si>
    <t>Phát sinh công nợ T5/2020 xuất hóa đơn</t>
  </si>
  <si>
    <t>Phát sinh công nợ T5/2020 TT tiền mặt</t>
  </si>
  <si>
    <t>Phát sinh công nợ T5/2020 anh Huy TT ngoài cont TCNU4973297, TCNU4834861</t>
  </si>
  <si>
    <t>VTA20001NK</t>
  </si>
  <si>
    <t>PTF20008</t>
  </si>
  <si>
    <t>PTF20009</t>
  </si>
  <si>
    <t>GBN MS20002</t>
  </si>
  <si>
    <t>GBN TD20005</t>
  </si>
  <si>
    <t>Phát sinh cước vận chuyển T5/20</t>
  </si>
  <si>
    <t>VAT hóa đơn T5 (HĐ 0000162+163)</t>
  </si>
  <si>
    <t>Hồng Anh Phát thanh toán hết cước vận chuyển 2019</t>
  </si>
  <si>
    <t>15/6/2020</t>
  </si>
  <si>
    <t>GBN MCT20006</t>
  </si>
  <si>
    <t>16/6/2020</t>
  </si>
  <si>
    <t>TT 1 phần, chênh lệch thực tế so vơi hóa đơn 3.8 triệu TT TM</t>
  </si>
  <si>
    <t>Công nợ T5/2020 phát sinh</t>
  </si>
  <si>
    <t>31/5/2020</t>
  </si>
  <si>
    <t>17/6/2020</t>
  </si>
  <si>
    <t>Giảm 50% cước vận chuyển cont NYKU4394787 do lái xe kéo nhầm ngày 21/12/2019</t>
  </si>
  <si>
    <t>GBN MCT20005</t>
  </si>
  <si>
    <t>18/6/2020</t>
  </si>
  <si>
    <t>24/06/2020</t>
  </si>
  <si>
    <t>29/06/2020</t>
  </si>
  <si>
    <t>GBN TD20006TT</t>
  </si>
  <si>
    <t>Theo TD 20006:  29.463.950 đ</t>
  </si>
  <si>
    <t>GBN PTF20010TT</t>
  </si>
  <si>
    <t>Theo GBN PTF20010: 19.580.950đ</t>
  </si>
  <si>
    <t>29/6/2020</t>
  </si>
  <si>
    <t>30/6/2020</t>
  </si>
  <si>
    <t>Đối trừ công nợ cước vận chuyển T3 với T4/20</t>
  </si>
  <si>
    <t>Hải Đăng thanh toán cước vận chuyển T3/20</t>
  </si>
  <si>
    <t>19/6/2020</t>
  </si>
  <si>
    <t>30/06/2020</t>
  </si>
  <si>
    <t>VNG2006001</t>
  </si>
  <si>
    <t>GBN TLMC2006001</t>
  </si>
  <si>
    <t>Phát sinh công nợ T6/2020</t>
  </si>
  <si>
    <t>Công nợ An Khánh T6/2020</t>
  </si>
  <si>
    <t>Phát sinh công nợ phải thu T6.2020</t>
  </si>
  <si>
    <t>Công nợ T6/2020</t>
  </si>
  <si>
    <t>Phát sinh cước vận chuyển T6/2020</t>
  </si>
  <si>
    <t>GBN MCT20007</t>
  </si>
  <si>
    <t>Mỹ Lâm thanh toán công nợ T5,T6</t>
  </si>
  <si>
    <t>CÔNG NỢ PHẢI THU KHÁCH HÀNG T6.2019</t>
  </si>
  <si>
    <t xml:space="preserve">Lũy kế </t>
  </si>
  <si>
    <t xml:space="preserve">Ghi chú </t>
  </si>
  <si>
    <t>Lũy kế</t>
  </si>
  <si>
    <t>VAT hóa đơn T6 (HĐ0000203)</t>
  </si>
  <si>
    <t>PTF THANH TOÁN</t>
  </si>
  <si>
    <t>Chuyển Tk Anh Phụng</t>
  </si>
  <si>
    <t>Vietimex thanh toán tiền tháng 5/2020</t>
  </si>
  <si>
    <t>GBN MS20003</t>
  </si>
  <si>
    <t>Vietsun thanh toán tiền mặt</t>
  </si>
  <si>
    <t>GBN PTF20011TT</t>
  </si>
  <si>
    <t>Theo GBN PTF20011: 19.926.450đ</t>
  </si>
  <si>
    <t>GBN MCT20008</t>
  </si>
  <si>
    <t>VNG2007001</t>
  </si>
  <si>
    <t>Phát sinh công nợ phải thu T7/2020</t>
  </si>
  <si>
    <t>Công nợ T7/2020</t>
  </si>
  <si>
    <t>DNTT HD 140.043.000 đ</t>
  </si>
  <si>
    <t>Phát sinh công nợ T7/2020</t>
  </si>
  <si>
    <t>VIỆT VƯƠNG</t>
  </si>
  <si>
    <t>Vietimex thanh toán tiền tháng 6/2020</t>
  </si>
  <si>
    <t>Viet sun thanh toán</t>
  </si>
  <si>
    <t>Phát sinh cước vận chuyển T7/2020</t>
  </si>
  <si>
    <t>VAT HĐ T7 (HĐ231,232)</t>
  </si>
  <si>
    <t>CDMC2007001</t>
  </si>
  <si>
    <t>GBN TD20007NK</t>
  </si>
  <si>
    <t>Phát sinh công nợ phải thu T7.2020</t>
  </si>
  <si>
    <t>Ps công nợ T7.20</t>
  </si>
  <si>
    <t>Tiền VAT T5/20 (HĐ 0000425)</t>
  </si>
  <si>
    <t>Tiền VAT T6/2020(HĐ0000430)</t>
  </si>
  <si>
    <t>Tiền VAT T5/20 (HĐ 0000416)</t>
  </si>
  <si>
    <t>Tiền VAT T12/19 (HĐ 0000367)</t>
  </si>
  <si>
    <t>GBN TD20008</t>
  </si>
  <si>
    <t>GBN TD20009</t>
  </si>
  <si>
    <t>GBN PTF20012</t>
  </si>
  <si>
    <t>GBN PTF20013</t>
  </si>
  <si>
    <t>Theo GBN PTF20013: 19.556.450đ</t>
  </si>
  <si>
    <t>Anh Huy thanh toán công nợ T5/2020</t>
  </si>
  <si>
    <t>GBN MCT20009</t>
  </si>
  <si>
    <t>GBN MCT20010</t>
  </si>
  <si>
    <t>GBN MCT20011</t>
  </si>
  <si>
    <t>GBN MCT20005-2</t>
  </si>
  <si>
    <t>GBN MCT20005-1</t>
  </si>
  <si>
    <t>Mỹ Lâm thanh toán công nợ T7 -HĐ</t>
  </si>
  <si>
    <t>Vietimex thanh toán tiền tháng 7/2020</t>
  </si>
  <si>
    <t>Chuyển TK anh Phụng  + 300k tiền hun trùng còn thừa t4</t>
  </si>
  <si>
    <t>Công nợ T8/2020</t>
  </si>
  <si>
    <t>VAT HĐ T8 (267)</t>
  </si>
  <si>
    <t>GBN TLMC2008001</t>
  </si>
  <si>
    <t>GBN TLMC2007001</t>
  </si>
  <si>
    <t>CDMC2008001</t>
  </si>
  <si>
    <t>Công nợ An Khánh T8/2020</t>
  </si>
  <si>
    <t>Thu Đan thanh toán tiền NK</t>
  </si>
  <si>
    <t>Ps công nợ T8.20</t>
  </si>
  <si>
    <t>Tiền VAT hóa đơn 446 tháng 7/2020</t>
  </si>
  <si>
    <t>Phát sinh công nợ T8/2020</t>
  </si>
  <si>
    <t>Phát sinh cước vận chuyển T8</t>
  </si>
  <si>
    <t>GBN PTF200014</t>
  </si>
  <si>
    <t>GBN TD20010</t>
  </si>
  <si>
    <t>Tiền VAT T8/2020 (HD 0000456)</t>
  </si>
  <si>
    <t>GBN TD20011</t>
  </si>
  <si>
    <t>GBN TD20012</t>
  </si>
  <si>
    <t>GBN CTM20002</t>
  </si>
  <si>
    <t>VNG2009001</t>
  </si>
  <si>
    <t>Công ty AT-AT</t>
  </si>
  <si>
    <t xml:space="preserve">Thu Đan thanh toán tiền </t>
  </si>
  <si>
    <t>Chưa TT</t>
  </si>
  <si>
    <t>CTY AT-AT</t>
  </si>
  <si>
    <t>Phát sinh công nợ phải thu</t>
  </si>
  <si>
    <t>Viet sun thanh toán T7/2020</t>
  </si>
  <si>
    <t>Mỹ Lâm thanh toán công nợ T8-HĐ</t>
  </si>
  <si>
    <t>Phát sinh cước vận chuyển T9/20</t>
  </si>
  <si>
    <t>Phát sinh cước vận chuyển T8/20</t>
  </si>
  <si>
    <t>Vietimex thanh toán tiền T8,9, nâng hạ</t>
  </si>
  <si>
    <t>Chuyển Tk anh Phụng</t>
  </si>
  <si>
    <t>Công nợ T9/2020</t>
  </si>
  <si>
    <t>CDMC2009001</t>
  </si>
  <si>
    <t>GBN TLMC 2009001</t>
  </si>
  <si>
    <t>Phát sinh công nợ phải thu T9.2020</t>
  </si>
  <si>
    <t>VNG2009002</t>
  </si>
  <si>
    <t>PS công nợ T9.20</t>
  </si>
  <si>
    <t xml:space="preserve"> Đối trừ công nợ T6 với tháng 5</t>
  </si>
  <si>
    <t>Phát sinh công nợ T9/2020</t>
  </si>
  <si>
    <t>Vista thanh toán</t>
  </si>
  <si>
    <t>GBN PTF20015TT</t>
  </si>
  <si>
    <t>Theo GBN PTF20015: 19.607.950đ</t>
  </si>
  <si>
    <t>CK TK anh Phụng</t>
  </si>
  <si>
    <t>PTF thanh toán tiền chênh lệch PTF20006,20011,20012,20013</t>
  </si>
  <si>
    <t>GBN MCT20013</t>
  </si>
  <si>
    <t>Tiền VAT T9/2020 ( HĐ 0000467)</t>
  </si>
  <si>
    <t>Vietsun thanh toán T8/2020</t>
  </si>
  <si>
    <t>VNG2010001</t>
  </si>
  <si>
    <t>GBN TD20013</t>
  </si>
  <si>
    <t>Tân Việt hưng tháng toán tiền cước vận chuyển T8/2020</t>
  </si>
  <si>
    <t>Mỹ Lâm thanh toán công nợ T9-HĐ</t>
  </si>
  <si>
    <t>LG20002</t>
  </si>
  <si>
    <t>GBN MCT20012</t>
  </si>
  <si>
    <t>GBN TD20015</t>
  </si>
  <si>
    <t>Phải thu của Mỏ Sơn La</t>
  </si>
  <si>
    <t>HĐ 000342</t>
  </si>
  <si>
    <t>Phải thu Chiềng Đi tiền dán nhãn cont</t>
  </si>
  <si>
    <t>Kết hợp với ligarden cont WHSU2596301</t>
  </si>
  <si>
    <t xml:space="preserve">Ligarden </t>
  </si>
  <si>
    <t>Chiềng Đi thanh toán TKCN Anh Phụng</t>
  </si>
  <si>
    <t>VNG2010002</t>
  </si>
  <si>
    <t>Công nợ An Khánh T9/20</t>
  </si>
  <si>
    <t>Chuyển TK anh Phụng</t>
  </si>
  <si>
    <t xml:space="preserve">Mỏ Sơn La thanh toán tiền </t>
  </si>
  <si>
    <t>Phát sinh cước vận chuyển T10/20</t>
  </si>
  <si>
    <t>VNG2010003</t>
  </si>
  <si>
    <t>GBN TLMC 2010001</t>
  </si>
  <si>
    <t>CDMC2010001</t>
  </si>
  <si>
    <t>Phát sinh công nợ T10/2020</t>
  </si>
  <si>
    <t>Công nợ T10/2020</t>
  </si>
  <si>
    <t>Phải thu công ty Myzavee</t>
  </si>
  <si>
    <t>Công ty Myzavee thanh toán</t>
  </si>
  <si>
    <t>HĐ 348,349</t>
  </si>
  <si>
    <t>Ps công nợ T10.20</t>
  </si>
  <si>
    <t>GBN TD20014TNK</t>
  </si>
  <si>
    <t>Phát sinh công nợ phải thu T10.2020</t>
  </si>
  <si>
    <t xml:space="preserve">Cty AT- AT thanh toán </t>
  </si>
  <si>
    <t>Vietsun thanh toán T9/2020</t>
  </si>
  <si>
    <t>GBN PTF20016</t>
  </si>
  <si>
    <t>GBN TD20016</t>
  </si>
  <si>
    <t>VNG2011001</t>
  </si>
  <si>
    <t>Mỹ Lâm thanh toán công nợ T10</t>
  </si>
  <si>
    <t>Công nợ T11/2020</t>
  </si>
  <si>
    <t>GBN TLMC 20110001</t>
  </si>
  <si>
    <t>CDMC2011001</t>
  </si>
  <si>
    <t>Phát sinh công nợ T11/2020</t>
  </si>
  <si>
    <t>Phát sinh cước vận chuyển T11</t>
  </si>
  <si>
    <t>Phát sinh công nợ T11.20</t>
  </si>
  <si>
    <t>VNG2011002</t>
  </si>
  <si>
    <t>Phát sinh công nợ phải thu T11.2020</t>
  </si>
  <si>
    <t>Vietimex thanh toán tiền T10</t>
  </si>
  <si>
    <t>Vietsun thanh toán T10/2020</t>
  </si>
  <si>
    <t>GBN PTF20017</t>
  </si>
  <si>
    <t>GBN TD20017</t>
  </si>
  <si>
    <t xml:space="preserve">Công ty HHD Mộc Châu </t>
  </si>
  <si>
    <t>HHD MC</t>
  </si>
  <si>
    <t>GBN HHD20001</t>
  </si>
  <si>
    <t>GBN HHD20002</t>
  </si>
  <si>
    <t>Phát sinh cước vận chuyển T12/20</t>
  </si>
  <si>
    <t>Tổng công ty chè Vinatea</t>
  </si>
  <si>
    <t>GBN VNT2012001</t>
  </si>
  <si>
    <t>Phát sinh công nợ T12/2020</t>
  </si>
  <si>
    <t>công nợ T12/2020</t>
  </si>
  <si>
    <t>CDMC2012001</t>
  </si>
  <si>
    <t>Phát sinh công nợ T12.20</t>
  </si>
  <si>
    <t xml:space="preserve">Tiền thuế theo HĐ </t>
  </si>
  <si>
    <t>HHD thanh toán tiền GBN HHD20001</t>
  </si>
  <si>
    <t>Tổng công ty chè Vinatea thanh toán</t>
  </si>
  <si>
    <t>Mỹ Lâm thanh toán công nợ T11</t>
  </si>
  <si>
    <t>Vietsun thanh toán T11/2020</t>
  </si>
  <si>
    <t>Phải thu công ty Sunmax</t>
  </si>
  <si>
    <t>Công ty sunmax thanh toán</t>
  </si>
  <si>
    <t>HĐ 415.416</t>
  </si>
  <si>
    <t xml:space="preserve"> Đối trừ công nợ T8/20</t>
  </si>
  <si>
    <t>Công nợ An Khánh T11/20</t>
  </si>
  <si>
    <t>VNG2012001</t>
  </si>
  <si>
    <t>GBN MCT20014</t>
  </si>
  <si>
    <t>Tiền VAT T11/20 ( HĐ 477)</t>
  </si>
  <si>
    <t>Tiền VAT T10/20  ( HĐ 474)</t>
  </si>
  <si>
    <t>Tiền VAT T12/20 ( HĐ 9)</t>
  </si>
  <si>
    <t>Ps công nợ T12.20</t>
  </si>
  <si>
    <t>Phát sinh công nợ phải thu T12.2020</t>
  </si>
  <si>
    <t>Tiền thuế HĐ 477</t>
  </si>
  <si>
    <t>Thu tiền cước VC 2 cont CCLU6471735, MSDU7376535</t>
  </si>
  <si>
    <t>TỔNG CTY CHÈ'</t>
  </si>
  <si>
    <t xml:space="preserve">An Khánh thanh toán tiền cước </t>
  </si>
  <si>
    <t xml:space="preserve"> Đối trừ tiền tháng 10,12</t>
  </si>
  <si>
    <t>HHD thanh toán tiền GBN HHD20002</t>
  </si>
  <si>
    <t>GBN VNT2101001</t>
  </si>
  <si>
    <t>Phát sinh công nợ T1.21</t>
  </si>
  <si>
    <t>Phát sinh công nợ T01/2021</t>
  </si>
  <si>
    <t>Phát sinh cước vận chuyển T01/21</t>
  </si>
  <si>
    <t xml:space="preserve">HHD thanh toán tiền </t>
  </si>
  <si>
    <t>GBN HHD20003</t>
  </si>
  <si>
    <t>VNG2101001</t>
  </si>
  <si>
    <t>GBN MCT21001</t>
  </si>
  <si>
    <t>Mỹ Lâm thanh toán công nợ T12</t>
  </si>
  <si>
    <t>GBN TD21001</t>
  </si>
  <si>
    <t>Vietimex thanh toán tiền T12, tiền HĐ</t>
  </si>
  <si>
    <t>Tiền VAT T01/21 (HĐ 21)</t>
  </si>
  <si>
    <t>Phát sinh công nợ phải thu T01.21</t>
  </si>
  <si>
    <t>Hải Đăng thanh toán tiền cước T9,10,11 bù trừ tháng 8</t>
  </si>
  <si>
    <t>Vietsun thanh toán 1 phần công nợ T12</t>
  </si>
  <si>
    <t>Vietsun thanh toán nốt công nợ T12</t>
  </si>
  <si>
    <t>Tân Việt Hưng thanh toán</t>
  </si>
  <si>
    <t>Chênh lệch 14 triệu chuyển tk anh Doanh</t>
  </si>
  <si>
    <t>GBN VNT2102001</t>
  </si>
  <si>
    <t>Mỹ Lâm thanh toán công nợ T01</t>
  </si>
  <si>
    <t>Công nợ T02/2021</t>
  </si>
  <si>
    <t>Công nợ T01/2021</t>
  </si>
  <si>
    <t>VNG2102001</t>
  </si>
  <si>
    <t>Phát sinh công nợ T2.21</t>
  </si>
  <si>
    <t>Phát sinh tiền cước T02/21</t>
  </si>
  <si>
    <t>CDMC2102001</t>
  </si>
  <si>
    <t>Công nợ phải thu công ty Myzavee</t>
  </si>
  <si>
    <t>HĐ 457</t>
  </si>
  <si>
    <t>Phát sinh công nợ T02/2021</t>
  </si>
  <si>
    <t>Vietsun thanh toán công nợ T01</t>
  </si>
  <si>
    <t>Công nợ phải thu công ty Chính Phương</t>
  </si>
  <si>
    <t>HĐ 458</t>
  </si>
  <si>
    <t>Công ty chính phương thanh toán</t>
  </si>
  <si>
    <t>Vietimex thanh toán tiền tháng 1, HĐ</t>
  </si>
  <si>
    <t>VNG2103001</t>
  </si>
  <si>
    <t>Phát sinh công nợ T3.21</t>
  </si>
  <si>
    <t>Mỹ Lâm thanh toán công nợ T02</t>
  </si>
  <si>
    <t>Công nợ T03/2021</t>
  </si>
  <si>
    <t>GBN VNT2103001</t>
  </si>
  <si>
    <t>Phát sinh tiền cước T03/21</t>
  </si>
  <si>
    <t>GBN CTL21001</t>
  </si>
  <si>
    <t>GBN TLMC2103001</t>
  </si>
  <si>
    <t>Phát sinh cước vận chuyển T3</t>
  </si>
  <si>
    <t>Công nợ phải thu cty Hồng Hải</t>
  </si>
  <si>
    <t>Công ty Hồng Hải thanh toán</t>
  </si>
  <si>
    <t>Vietimex thanh toán tiền tháng 2, HĐ</t>
  </si>
  <si>
    <t>Vietsun thanh toán công nợ T02</t>
  </si>
  <si>
    <t>Công nợ phải thu cty VGS</t>
  </si>
  <si>
    <t>VGS thanh toán</t>
  </si>
  <si>
    <t>HĐ 473,474,475</t>
  </si>
  <si>
    <t>GBN PTF21002</t>
  </si>
  <si>
    <t>GBN PTF21001 NK TT</t>
  </si>
  <si>
    <t>Theo GBN PTF21001NKHD : 52.140.150đ</t>
  </si>
  <si>
    <t>GBN TD21003</t>
  </si>
  <si>
    <t>GBN TD21002</t>
  </si>
  <si>
    <t>Phát sinh công nợ T3/2021</t>
  </si>
  <si>
    <t>GBN MCT21002</t>
  </si>
  <si>
    <t>GBN MCT21003</t>
  </si>
  <si>
    <t>GBN TD21004-1</t>
  </si>
  <si>
    <t>GBN TD21004-2</t>
  </si>
  <si>
    <t>GBN PTF21003</t>
  </si>
  <si>
    <t>GBN PTF21004</t>
  </si>
  <si>
    <t>GBN PTF21005</t>
  </si>
  <si>
    <t>CDMC thanh toán</t>
  </si>
  <si>
    <t>Thu Đan thanh toán tiền GBN TD21002, TD21003</t>
  </si>
  <si>
    <t>Công nợ T04/2021</t>
  </si>
  <si>
    <t>C.TY TNHH ĐT &amp; XNK LÊ MINH</t>
  </si>
  <si>
    <t>Phát sinh công nợ T04.21</t>
  </si>
  <si>
    <t>GBN TLMC2104001</t>
  </si>
  <si>
    <t>CDMC2104001</t>
  </si>
  <si>
    <t>VNG2104001</t>
  </si>
  <si>
    <t>Phát sinh tiền cước T04/21</t>
  </si>
  <si>
    <t>Vietimex thanh toán tiền cước T3/21</t>
  </si>
  <si>
    <t>Mỹ Lâm thanh toán công nợ T03</t>
  </si>
  <si>
    <t>Phát sinh công nợ T4/2021</t>
  </si>
  <si>
    <t>Viet sun thanh toán công nợ T3/21</t>
  </si>
  <si>
    <t>Mr Huy Vietsun</t>
  </si>
  <si>
    <t>Mr Huấn Vietsun</t>
  </si>
  <si>
    <t>Đóng hàng KH chiều 07/12</t>
  </si>
  <si>
    <t>Đóng hàng KH Vietsun chiều 23/02</t>
  </si>
  <si>
    <t>Anh Huấn thanh toán</t>
  </si>
  <si>
    <t>Trả hàng Vietsun sáng 31/12</t>
  </si>
  <si>
    <t>Đóng hàng Vietsun sáng 02/02</t>
  </si>
  <si>
    <t>Trả hàng Vietsun sáng 27/02</t>
  </si>
  <si>
    <t>Trả hàng Vietsun sáng 1/4</t>
  </si>
  <si>
    <t>Mr Huy VS</t>
  </si>
  <si>
    <t>Mr Huấn VS</t>
  </si>
  <si>
    <t>Phát sinh cước vận chuyển T4</t>
  </si>
  <si>
    <t>Phát sinh công nợ T01/21</t>
  </si>
  <si>
    <t>Phát sinh công nợ T02/21</t>
  </si>
  <si>
    <t>Thu tiền cước cont FSCU5107074 tháng 12</t>
  </si>
  <si>
    <t>Ps công nợ T01.21</t>
  </si>
  <si>
    <t>Ps công nợ T02.21</t>
  </si>
  <si>
    <t>Ps công nợ T03.21</t>
  </si>
  <si>
    <t>Phát sinh thêm lưu ca xe</t>
  </si>
  <si>
    <t>Phát sinh tiền vé cao tốc</t>
  </si>
  <si>
    <t>HĐ : 29.172.000</t>
  </si>
  <si>
    <t>GBN MS21001</t>
  </si>
  <si>
    <t>VAT HĐ T9 ( HĐ 305+306)</t>
  </si>
  <si>
    <t>VAT HĐ T10 (352 +353)</t>
  </si>
  <si>
    <t>VAT HĐ T12 (HĐ 407)</t>
  </si>
  <si>
    <t>VAT HĐ T01/21 (HĐ 436,437)</t>
  </si>
  <si>
    <t>VNG2105001</t>
  </si>
  <si>
    <t>Phát sinh công nợ T5.21</t>
  </si>
  <si>
    <t>GBN VNT2105001</t>
  </si>
  <si>
    <t>GBN PTF21006</t>
  </si>
  <si>
    <t>Mỹ Lâm thanh toán công nợ T04</t>
  </si>
  <si>
    <t>GBN MCT21004</t>
  </si>
  <si>
    <t>GBN TD21005</t>
  </si>
  <si>
    <t xml:space="preserve">Anh Huy thanh toán tiền </t>
  </si>
  <si>
    <t>VNG2105002</t>
  </si>
  <si>
    <t>VNG2105003</t>
  </si>
  <si>
    <t>Phát sinh tiền cước T05/21</t>
  </si>
  <si>
    <t>VAT HĐ T04/21 (HĐ 516)</t>
  </si>
  <si>
    <t>VAT HĐ T03/21 (HĐ 467)</t>
  </si>
  <si>
    <t>VAT HĐ T02/21 (HĐ 451)</t>
  </si>
  <si>
    <t>GBN TLMC2105001</t>
  </si>
  <si>
    <t>Vietimexthanh toán tiền cước T4/21</t>
  </si>
  <si>
    <t>Vietsun thanh toán công nợ T04/21</t>
  </si>
  <si>
    <t>LG21001NK</t>
  </si>
  <si>
    <t xml:space="preserve">Tiền thuế HĐ </t>
  </si>
  <si>
    <t>GBN TLMC2106001</t>
  </si>
  <si>
    <t>Công nợ T05/2021</t>
  </si>
  <si>
    <t>GBN PTF21007 TT</t>
  </si>
  <si>
    <t>Nợ T7.20</t>
  </si>
  <si>
    <t>Phát sinh công nợ T5/21</t>
  </si>
  <si>
    <t>GBN MCT21005</t>
  </si>
  <si>
    <t>GBN TD21006</t>
  </si>
  <si>
    <t>Vietimex thanh toán nốt tiền cước T4/21</t>
  </si>
  <si>
    <t>VAT HĐ T05/21 ( HĐ 553, 554)</t>
  </si>
  <si>
    <t>Mỹ lâm thanh toán công nợ T05</t>
  </si>
  <si>
    <t>Phát sinh công nợ T06.21</t>
  </si>
  <si>
    <t>Cty Thuận Vũ</t>
  </si>
  <si>
    <t>Cước vận chuyển tháng 06/21</t>
  </si>
  <si>
    <t>Phát sinh công nợ T6.21</t>
  </si>
  <si>
    <t>GBN TLMC2106002</t>
  </si>
  <si>
    <t>Công nợ T06/2021</t>
  </si>
  <si>
    <t>CDMC2106001</t>
  </si>
  <si>
    <t>GBN VNT2106001</t>
  </si>
  <si>
    <t>VNG2106001</t>
  </si>
  <si>
    <t>Phát sinh công nợ T6/21</t>
  </si>
  <si>
    <t>Vietsun thanh toan cong nơ T05/21</t>
  </si>
  <si>
    <t>Vietimex thanh toán tiền cước T5/21</t>
  </si>
  <si>
    <t>GBN HHD21001</t>
  </si>
  <si>
    <t>GBN CTM21001</t>
  </si>
  <si>
    <t>GBN PTF21008+9</t>
  </si>
  <si>
    <t>GBN PTF21010</t>
  </si>
  <si>
    <t>Lê Minh thanh toán công nợ T04.21</t>
  </si>
  <si>
    <t>GBN MS21002</t>
  </si>
  <si>
    <t>Phát sinh công nợ T04/21</t>
  </si>
  <si>
    <t>Phát sinh công nợ T05/21</t>
  </si>
  <si>
    <t>Phát sinh công nợ T06/21</t>
  </si>
  <si>
    <t>Hải Đăng thanh toán tiền cước T1</t>
  </si>
  <si>
    <t>Hải Đăng thanh toán tiền cước T12</t>
  </si>
  <si>
    <t xml:space="preserve">Hải Đăng thanh toán tiền cước </t>
  </si>
  <si>
    <t>PTF thanh toán PTF21008+9</t>
  </si>
  <si>
    <t>Công nợ T07/2021</t>
  </si>
  <si>
    <t>GBN TLMC2107001</t>
  </si>
  <si>
    <t>Cty Minh An</t>
  </si>
  <si>
    <t>Cước vận chuyển tháng 07/21</t>
  </si>
  <si>
    <t>phát sinh công nợ T7.21</t>
  </si>
  <si>
    <t>Phát sinh công nợ T7.21</t>
  </si>
  <si>
    <t>Phát sinh công nợ T07.21</t>
  </si>
  <si>
    <t>Phát sinh tiền cước T07/21</t>
  </si>
  <si>
    <t>Cty Dahua</t>
  </si>
  <si>
    <t>Mỹ Lâm thanh toán công nợ T06</t>
  </si>
  <si>
    <t>HHD thanh toán tiền</t>
  </si>
  <si>
    <t>GBN TD21007</t>
  </si>
  <si>
    <t>VNG2107001</t>
  </si>
  <si>
    <t>Theo GBN PTF21007: 27.309.950đ</t>
  </si>
  <si>
    <t>Theo GBN PTF21011HD: 28.002.950</t>
  </si>
  <si>
    <t>PTF thanh toán PTF21010</t>
  </si>
  <si>
    <t>Vietsun thanh toan cong nơ T06/21</t>
  </si>
  <si>
    <t>Phát sinh công nợ T07/21</t>
  </si>
  <si>
    <t>GBN MS21003</t>
  </si>
  <si>
    <t>GBN TD21008+9</t>
  </si>
  <si>
    <t>GBN PTF21012</t>
  </si>
  <si>
    <t xml:space="preserve">GBN PTF21011 </t>
  </si>
  <si>
    <t>GBN PTF21013</t>
  </si>
  <si>
    <t>Theo GBN PTF21013HD : 38.424.200</t>
  </si>
  <si>
    <t xml:space="preserve">VAT HĐ 625 </t>
  </si>
  <si>
    <t>VAT HĐ T07/21 ( HĐ 606)</t>
  </si>
  <si>
    <t>Ps công nợ T04.21</t>
  </si>
  <si>
    <t>Ps công nợ T05.21</t>
  </si>
  <si>
    <t>Ps công nợ T06.21</t>
  </si>
  <si>
    <t>Ps công nợ T07.21</t>
  </si>
  <si>
    <t>Tiền VAT T02/21 ( HĐ 31)</t>
  </si>
  <si>
    <t>Tiền VAT T03/21 ( HĐ 37)</t>
  </si>
  <si>
    <t xml:space="preserve">Tiền VAT T04/21 ( HĐ 51) </t>
  </si>
  <si>
    <t>Công nợ phải trả tháng 6.20</t>
  </si>
  <si>
    <t>Công nợ phải trả tháng 11.20</t>
  </si>
  <si>
    <t>Phát sinh công nợ phải trả T8.2020</t>
  </si>
  <si>
    <t>Phát sinh công nợ phải trả T5.2020</t>
  </si>
  <si>
    <t>Phát sinh công nợ phải trả T03.21</t>
  </si>
  <si>
    <t>Phát sinh công nợ phải thu T04.21</t>
  </si>
  <si>
    <t>Phát sinh công nợ phải thu T06.21</t>
  </si>
  <si>
    <t>Phát sinh công nợ phải trả T07.21</t>
  </si>
  <si>
    <t>Mỹ Lâm thanh toán công nợ T07</t>
  </si>
  <si>
    <t>CDMC2108001</t>
  </si>
  <si>
    <t>GBN TLMC2108001</t>
  </si>
  <si>
    <t>Phát sinh công nợ T08.21</t>
  </si>
  <si>
    <t>Cước vận chuyển tháng 08/21</t>
  </si>
  <si>
    <t>Mỗi cont 200k cho Linh</t>
  </si>
  <si>
    <t>Công nợ T08/2021</t>
  </si>
  <si>
    <t>Phát sinh tiền cước T08/21</t>
  </si>
  <si>
    <t>30/8/2021</t>
  </si>
  <si>
    <t>Phát sinh công nợ T08/21</t>
  </si>
  <si>
    <t>Vietsun thanh toan cong nơ T07/21</t>
  </si>
  <si>
    <t>GBN TD21010</t>
  </si>
  <si>
    <t>Vietimex thanh toán tiền cước T07</t>
  </si>
  <si>
    <t>GBN PTF21014HD</t>
  </si>
  <si>
    <t>GBN MCT21006</t>
  </si>
  <si>
    <t>Dahua thanh toán tiền cước</t>
  </si>
  <si>
    <t>Lê Minh thanh toán công nợ T06.21</t>
  </si>
  <si>
    <t>GBN MCT21007</t>
  </si>
  <si>
    <t>GBN TD21011</t>
  </si>
  <si>
    <t>VNG2108001</t>
  </si>
  <si>
    <t>VNG2109001</t>
  </si>
  <si>
    <t>Phát sinh công nợ t09.21</t>
  </si>
  <si>
    <t>Tiền VAT HĐ 644 ngày 30/8</t>
  </si>
  <si>
    <t xml:space="preserve">Tiền VAT HĐ 667 </t>
  </si>
  <si>
    <t>Cước vận chuyển T09/21</t>
  </si>
  <si>
    <t>PAM CARGO</t>
  </si>
  <si>
    <t>GBN PAM2109001</t>
  </si>
  <si>
    <t>Phát sinh tiền cước T09/21</t>
  </si>
  <si>
    <t xml:space="preserve">VAT HĐ </t>
  </si>
  <si>
    <t>PTF thanh toán phần chênh lêch</t>
  </si>
  <si>
    <t>GBN CTL21002</t>
  </si>
  <si>
    <t>GBN TLMC 2109001</t>
  </si>
  <si>
    <t>Phát sinh công nợ T09/21</t>
  </si>
  <si>
    <t>Mỹ Lâm thanh toán công nợ T08</t>
  </si>
  <si>
    <t>Công nợ T09/2021</t>
  </si>
  <si>
    <t>GBN VTA21001NK</t>
  </si>
  <si>
    <t>Phát sinh công nợ T8/2021</t>
  </si>
  <si>
    <t>Phát sinh công nợ T9/2021</t>
  </si>
  <si>
    <t>Ps công nợ T08.21</t>
  </si>
  <si>
    <t>CDMC2109001</t>
  </si>
  <si>
    <t>Cty Minh An thanh toán</t>
  </si>
  <si>
    <t>Phát sinh công nợ phải trả tháng 5/20</t>
  </si>
  <si>
    <t>Phát sinh công nợ phải trả tháng 6/20</t>
  </si>
  <si>
    <t>Phát sinh công nợ phải trả tháng 8/20</t>
  </si>
  <si>
    <t>Phát sinh công nợ phải trả tháng 7/20</t>
  </si>
  <si>
    <t>NePo thanh toán cước tháng 5/20</t>
  </si>
  <si>
    <t>NEPO thanh toán tiền phí hải quan tháng 8/20</t>
  </si>
  <si>
    <t>Phát sinh công nợ tháng 9/20</t>
  </si>
  <si>
    <t>NePo thanh toán tiền cước tháng 6/20</t>
  </si>
  <si>
    <t>NEPO thanh toán tiền cước T7.20</t>
  </si>
  <si>
    <t>NEPO thanh toán tiền dịch vụ hải quan T7</t>
  </si>
  <si>
    <t>Phát sinh công nợ phải trả tháng 3/21</t>
  </si>
  <si>
    <t>NEPO thanh toán tiền cước T3.21</t>
  </si>
  <si>
    <t>Phát sinh công nợ phải trả T8.21</t>
  </si>
  <si>
    <t>Phát sinh công nợ phải trả T9.21</t>
  </si>
  <si>
    <t>Vietsun thanh toán công nợ T8/21</t>
  </si>
  <si>
    <t>Vietimex thanh toán tiền cước T08</t>
  </si>
  <si>
    <t>Lê Minh thanh toán công nợ T07.21</t>
  </si>
  <si>
    <t>Tiền VAT HĐ 690</t>
  </si>
  <si>
    <t>Phát sinh công nợ T9.21</t>
  </si>
  <si>
    <t>Phát sinh công nợ T10/2021</t>
  </si>
  <si>
    <t>CDMC2110001</t>
  </si>
  <si>
    <t>GBN PAM2110001</t>
  </si>
  <si>
    <t>Phát sinh công nợ T10/21</t>
  </si>
  <si>
    <t>Phát sinh công nợ T10.21</t>
  </si>
  <si>
    <t>GBN TD21012</t>
  </si>
  <si>
    <t>GBN PTF21015</t>
  </si>
  <si>
    <t>GBN MCT21008</t>
  </si>
  <si>
    <t>Vietsun thanh toán công nợ T9/21</t>
  </si>
  <si>
    <t>Tuân thành phát thanh toán</t>
  </si>
  <si>
    <t>PAM cargo thanh toán tiền</t>
  </si>
  <si>
    <t>GBN TD21013</t>
  </si>
  <si>
    <t>Vietimex thanh toán tiền cước T09</t>
  </si>
  <si>
    <t>GBN CTL21003</t>
  </si>
  <si>
    <t>GBN TLMC 2111001</t>
  </si>
  <si>
    <t>Thuận Vũ thanh toán tiền tháng 6</t>
  </si>
  <si>
    <t>Cước vận chuyển tháng 10/21</t>
  </si>
  <si>
    <t>Cước vận chuyển tháng 9/21</t>
  </si>
  <si>
    <t>GBN TD21014</t>
  </si>
  <si>
    <t>GBN PTF21016</t>
  </si>
  <si>
    <t>Công nợ T10/2021</t>
  </si>
  <si>
    <t>Mỹ Lâm thanh toán công nợ T09</t>
  </si>
  <si>
    <t>Phát sinh công nợ cosco</t>
  </si>
  <si>
    <t>GBN TD21015</t>
  </si>
  <si>
    <t>Công nợ T11/2021</t>
  </si>
  <si>
    <t>Công nợ phải thu cty F.D.I</t>
  </si>
  <si>
    <t>GBN VTA211101</t>
  </si>
  <si>
    <t>GBN VTA2110001</t>
  </si>
  <si>
    <t>VNG 2110001</t>
  </si>
  <si>
    <t>VNG2111001</t>
  </si>
  <si>
    <t>Phát sinh công nợ T11/21</t>
  </si>
  <si>
    <t xml:space="preserve">F.D I thanh toán tiền </t>
  </si>
  <si>
    <t>Vietsun thanh toán công nợ T10/21</t>
  </si>
  <si>
    <t>31/11/2021</t>
  </si>
  <si>
    <t>GBN PTF21017-1</t>
  </si>
  <si>
    <t>GBN PTF21007-2</t>
  </si>
  <si>
    <t>Lê Minh thanh toán công nợ T10.21</t>
  </si>
  <si>
    <t>GBN MCT21009</t>
  </si>
  <si>
    <t>Cước vận chuyển tháng 11/21</t>
  </si>
  <si>
    <t>Thuận Vũ thanh toán tiền cước T7,8</t>
  </si>
  <si>
    <t>Phát sinh công nợ T12/21</t>
  </si>
  <si>
    <t>VNG2112001</t>
  </si>
  <si>
    <t>Công nợ T12/2021</t>
  </si>
  <si>
    <t>Phát sinh công nợ T12.21</t>
  </si>
  <si>
    <t>Phát sinh công nợ T11.21</t>
  </si>
  <si>
    <t>GBN VTA211201</t>
  </si>
  <si>
    <t>Phát sinh tiền cước T12/21</t>
  </si>
  <si>
    <t>Vietimex thanh toán tiền cước T12</t>
  </si>
  <si>
    <t>CDMC2112001</t>
  </si>
  <si>
    <t xml:space="preserve">Phú tài thanh toán </t>
  </si>
  <si>
    <t>GBN PTF21008</t>
  </si>
  <si>
    <t>Hải Đăng thanh toán tiền cước</t>
  </si>
  <si>
    <t>Ps công nợ phải trả T9.21</t>
  </si>
  <si>
    <t>Ps công nợ phải trả T10.21</t>
  </si>
  <si>
    <t>Tiền VAT hóa đơn 486</t>
  </si>
  <si>
    <t>Tiền VAT hóa đơn 138</t>
  </si>
  <si>
    <t>Vietsun thah toán công nợ T11/21</t>
  </si>
  <si>
    <t>Đóng hàng kết hợp chiều 29/09</t>
  </si>
  <si>
    <t>Hải Đăng thanh toán tiền cước T10</t>
  </si>
  <si>
    <t>Mỹ Lâm thanh toán công nợ T11,T12</t>
  </si>
  <si>
    <t xml:space="preserve">Phú Tài thanh toán </t>
  </si>
  <si>
    <t>Nam Tùng</t>
  </si>
  <si>
    <t>Phát sinh công nợ phải trả T6</t>
  </si>
  <si>
    <t>Phát sinh công nợ phải thu T7</t>
  </si>
  <si>
    <t>Phát sinh công nợ phải trả T8</t>
  </si>
  <si>
    <t>Phát sinh công nợ  phải thu T12</t>
  </si>
  <si>
    <t>Nam Tùng'</t>
  </si>
  <si>
    <t>Phát sinh công nợ phải trả</t>
  </si>
  <si>
    <t xml:space="preserve">NePO thanh toán tiền công nợ T8 </t>
  </si>
  <si>
    <t xml:space="preserve">Phát sinh  công nợ phải trả </t>
  </si>
  <si>
    <t>TVH thanh toán tiền cước T10 đối trừ tháng 9</t>
  </si>
  <si>
    <t>Công nợ phải trả</t>
  </si>
  <si>
    <t>NePo thanh toán tiền</t>
  </si>
  <si>
    <t xml:space="preserve">Công nợ phải thu </t>
  </si>
  <si>
    <t>Công nợ T01/22</t>
  </si>
  <si>
    <t>VNG2201001</t>
  </si>
  <si>
    <t>Lê Minh thanh toán công nợ T11.12</t>
  </si>
  <si>
    <t>Phát sinh công nợ T01/22</t>
  </si>
  <si>
    <t>Vietsun thanh toán công nợ T12/21</t>
  </si>
  <si>
    <t>Phát sinh công nợ T01/2022</t>
  </si>
  <si>
    <t>Hải Đăng thanh toán tiền cước T11</t>
  </si>
  <si>
    <t>Nam Tùng thanh toán tiền hết tháng 11</t>
  </si>
  <si>
    <t>Cước vận chuyển Tháng 02/22</t>
  </si>
  <si>
    <t>Phát sinh công nợ T02.22</t>
  </si>
  <si>
    <t>GBN VTA2201001</t>
  </si>
  <si>
    <t>GBN VTA2202001</t>
  </si>
  <si>
    <t>Công nợ T02/22</t>
  </si>
  <si>
    <t>LG22001</t>
  </si>
  <si>
    <t>GBN TD22002</t>
  </si>
  <si>
    <t>VNG2202001</t>
  </si>
  <si>
    <t>Công nợ phải thu tháng 1</t>
  </si>
  <si>
    <t>Công nợ phải thu tháng 2</t>
  </si>
  <si>
    <t>Phát sinh công nợ T02/2022</t>
  </si>
  <si>
    <t>Phát sinh công nợ T02/22</t>
  </si>
  <si>
    <t xml:space="preserve">Mỹ Lâm thanh toán công nợ </t>
  </si>
  <si>
    <t>MLT21002</t>
  </si>
  <si>
    <t>Vietsun thanh toán công nợ T01/22</t>
  </si>
  <si>
    <t>TVH thanh toán tiền cước tháng 11</t>
  </si>
  <si>
    <t>Mỹ Lâm thanh toán công nợ T1</t>
  </si>
  <si>
    <t>Phát sinh công nợ phải thu T1</t>
  </si>
  <si>
    <t>GBN TLMC2203001</t>
  </si>
  <si>
    <t>Phát sinh công nợ T03.22</t>
  </si>
  <si>
    <t>Indigo</t>
  </si>
  <si>
    <t>GBN VAT2203001</t>
  </si>
  <si>
    <t>Công nợ T03/22</t>
  </si>
  <si>
    <t>Phát sinh công nợ T03/22</t>
  </si>
  <si>
    <t>Công nợ phải thu tháng 3</t>
  </si>
  <si>
    <t>Giảm thuế</t>
  </si>
  <si>
    <t>VNG2203001</t>
  </si>
  <si>
    <t>GBN PTF22001</t>
  </si>
  <si>
    <t>GBN TD22003</t>
  </si>
  <si>
    <t>Phát sinh tiền cước T3/22</t>
  </si>
  <si>
    <t>GBN MCT22001NK</t>
  </si>
  <si>
    <t>Lê Minh thanh toán công nợ T01/22</t>
  </si>
  <si>
    <t>GBN TD22004</t>
  </si>
  <si>
    <t>Phát sinh công nợ phải trả T3/22</t>
  </si>
  <si>
    <t>Ps công nợ phải thu T11.21</t>
  </si>
  <si>
    <t>Ps công nợ phải thu T12.21</t>
  </si>
  <si>
    <t>PS công nợ phải trả T01.22</t>
  </si>
  <si>
    <t>Ps công nợ phải trả T03.22</t>
  </si>
  <si>
    <t>Vietsun thanh toán công nợ T02/22</t>
  </si>
  <si>
    <t>GBN TLMC22001NK</t>
  </si>
  <si>
    <t>Vietimex thanh toán tiền cước 3</t>
  </si>
  <si>
    <t>Đóng hàng Vietsun sáng HP- Vạn Phúc, Thanh Trì, Hà Nội</t>
  </si>
  <si>
    <t>Nam Tùng thanh toán tiền hết tháng 12</t>
  </si>
  <si>
    <t>CDMC2204001</t>
  </si>
  <si>
    <t>Phát sinh tiền thuế Hđ 68, 69</t>
  </si>
  <si>
    <t>Phát sinh tiền cước T4/22</t>
  </si>
  <si>
    <t>Phát sinh công nợ T04.22</t>
  </si>
  <si>
    <t>GBN TD22005</t>
  </si>
  <si>
    <t>VNG2204001</t>
  </si>
  <si>
    <t>GBN TLMC2204001</t>
  </si>
  <si>
    <t>Phú Tài thanh toán</t>
  </si>
  <si>
    <t>An Khánh trả tiền cước T1, 2</t>
  </si>
  <si>
    <t xml:space="preserve">Indigo thanh toán tiền </t>
  </si>
  <si>
    <t>Phát sinh công nợ phải thu T3</t>
  </si>
  <si>
    <t>Phát sinh công nợ phải thu T4</t>
  </si>
  <si>
    <t xml:space="preserve">Vietimex thanh toán tiền </t>
  </si>
  <si>
    <t>Ck tk cty</t>
  </si>
  <si>
    <t>Phát sinh công nợ T04/22</t>
  </si>
  <si>
    <t>Ps công nợ phải trả T04.22</t>
  </si>
  <si>
    <t>GBN VNT2204001</t>
  </si>
  <si>
    <t>GBN VAT2204001</t>
  </si>
  <si>
    <t>GBN TD22006</t>
  </si>
  <si>
    <t>GBN MCT22002</t>
  </si>
  <si>
    <t>Vietsun thanh toán công nợ T03/22</t>
  </si>
  <si>
    <t>GBN VNT2205001</t>
  </si>
  <si>
    <t>LG22003</t>
  </si>
  <si>
    <t>GBN TD22009</t>
  </si>
  <si>
    <t>GBN TD22007</t>
  </si>
  <si>
    <t>Công nợ phải thu tháng 4</t>
  </si>
  <si>
    <t>Phát sinh công nợ phải thu T5</t>
  </si>
  <si>
    <t>Công nợ T05/22</t>
  </si>
  <si>
    <t>GBN TLMC2205001</t>
  </si>
  <si>
    <t>GBN CTL22002</t>
  </si>
  <si>
    <t>Phát sinh công nợ T05.22</t>
  </si>
  <si>
    <t>Phát sinh tiền thuế HĐ 105</t>
  </si>
  <si>
    <t>GBN VNT2205002</t>
  </si>
  <si>
    <t>GBN TD22008</t>
  </si>
  <si>
    <t>GBN LG22001NK</t>
  </si>
  <si>
    <t>VNG2205001</t>
  </si>
  <si>
    <t>GBN TD22010</t>
  </si>
  <si>
    <t>GBN TD22011</t>
  </si>
  <si>
    <t>GBN VTA2205001</t>
  </si>
  <si>
    <t>GBN MCT22003</t>
  </si>
  <si>
    <t>GBN PTF22002</t>
  </si>
  <si>
    <t>An Khánh trả tiền cước T3</t>
  </si>
  <si>
    <t>Công nợ phải thu tháng 5</t>
  </si>
  <si>
    <t>Nam Tùng thanh toán tiền T1</t>
  </si>
  <si>
    <t>CDMC2206001</t>
  </si>
  <si>
    <t>Hải Đăng thanh toán tiền cước T1-2</t>
  </si>
  <si>
    <t>GBN TLMC2206001</t>
  </si>
  <si>
    <t>CK anh Phụng</t>
  </si>
  <si>
    <t>Phát sinh công nợ T6/22</t>
  </si>
  <si>
    <t>Phát sinh công nợ T06.22</t>
  </si>
  <si>
    <t>Công nợ T06/22</t>
  </si>
  <si>
    <t>GBN VTA2206001</t>
  </si>
  <si>
    <t>GBN VNT2206001</t>
  </si>
  <si>
    <t>ARI Việt Nam</t>
  </si>
  <si>
    <t>Phát sinh công nợ phải thu T6 - sonata</t>
  </si>
  <si>
    <t>Phát sinh công nợ T05/22</t>
  </si>
  <si>
    <t>Vietsun thanh toán công nợ T04/22</t>
  </si>
  <si>
    <t>GBN PTF22003</t>
  </si>
  <si>
    <t>GBN PTF22004</t>
  </si>
  <si>
    <t>VNG2206001</t>
  </si>
  <si>
    <t>ARI</t>
  </si>
  <si>
    <t>Tiền hạ vỏ cont DRYU9060723</t>
  </si>
  <si>
    <t>Tiền đi cao tốc cont GAOU2111508</t>
  </si>
  <si>
    <t>Vietsun thanh toán công nợ T05/22</t>
  </si>
  <si>
    <t>Phát sinh công nợ phải thu T4/22</t>
  </si>
  <si>
    <t>PS công nợ phải trả T05.22</t>
  </si>
  <si>
    <t>Thuận Vũ thanh toán tiền cước T9,10,11</t>
  </si>
  <si>
    <t>Thuận Vũ thanh toán tiền cước T2</t>
  </si>
  <si>
    <t>LG22004</t>
  </si>
  <si>
    <t>GBN CTL22004</t>
  </si>
  <si>
    <t>GBN TLMC2207001</t>
  </si>
  <si>
    <t>Công nợ phải thu tháng 6</t>
  </si>
  <si>
    <t>An khánh trả cước tháng 4</t>
  </si>
  <si>
    <t>Cước vận chuyển tháng 07/22</t>
  </si>
  <si>
    <t>Phát sinh công nợ T07.22</t>
  </si>
  <si>
    <t>GBN VTA2207001</t>
  </si>
  <si>
    <t>GBN VNT2207001</t>
  </si>
  <si>
    <t>Nitoda</t>
  </si>
  <si>
    <t>Tiền nộp hộ</t>
  </si>
  <si>
    <t>Tiền VAT chênh lệch hđ</t>
  </si>
  <si>
    <t>Phát sinh công nợ T7/22</t>
  </si>
  <si>
    <t>VNG2207001</t>
  </si>
  <si>
    <t>Nitoda thanh toán tiền chi hộ</t>
  </si>
  <si>
    <t>Công nợ T07/22</t>
  </si>
  <si>
    <t>Phát sinh công nợ hàng nhập T07/22</t>
  </si>
  <si>
    <t>TVH thanh toán tiền cước T4.5</t>
  </si>
  <si>
    <t>GBN MCT22004</t>
  </si>
  <si>
    <t>GBN TD22012NK</t>
  </si>
  <si>
    <t>Phát sinh công nợ T07/22</t>
  </si>
  <si>
    <t>Phát sinh công nợ T06/22</t>
  </si>
  <si>
    <t>Ari thanh toán</t>
  </si>
  <si>
    <t>Vietsun thanh toán công nợ T06/22</t>
  </si>
  <si>
    <t>Phát sinh công nợ phải thu T5/22</t>
  </si>
  <si>
    <t>Phát sinh công nợ phải thu T6/22</t>
  </si>
  <si>
    <t>Phát sinh công nợ phải thu T7/22</t>
  </si>
  <si>
    <t>Phát sinh tiền cước xỉ bọt</t>
  </si>
  <si>
    <t>Tiền nâng hạ + dây tăng</t>
  </si>
  <si>
    <t>Phát sinh tiền thuế hđ 183</t>
  </si>
  <si>
    <t>Anh Phụng chuyển lại</t>
  </si>
  <si>
    <t>Nitoda thanh toán tiền tháng 7</t>
  </si>
  <si>
    <t xml:space="preserve">Sonata thanh toán </t>
  </si>
  <si>
    <t>GBN MCT22005</t>
  </si>
  <si>
    <t>VNG22008001</t>
  </si>
  <si>
    <t>GBN PTF22006</t>
  </si>
  <si>
    <t>GBN PTF22005</t>
  </si>
  <si>
    <t>GBN TD22013</t>
  </si>
  <si>
    <t>Lê Minh thanh toán công nợ T6/22</t>
  </si>
  <si>
    <t xml:space="preserve">Công ty than uyên thanh toán </t>
  </si>
  <si>
    <t>Thu đan thanh toán tiền</t>
  </si>
  <si>
    <t>Hạ vỏ cont CCLU7391383</t>
  </si>
  <si>
    <t>Nam Tùng thanh toán công nợ T4</t>
  </si>
  <si>
    <t>Hải Đăng thanh toán tiền công nợ T4, đối trừ tháng3</t>
  </si>
  <si>
    <t>Ps công nợ phải thu T06.22</t>
  </si>
  <si>
    <t>Ps công nợ phải thu T07.22</t>
  </si>
  <si>
    <t>Công nợ T08/22</t>
  </si>
  <si>
    <t>GBN TLMC2208001</t>
  </si>
  <si>
    <t>Ari thanh toán tiền nâng hạ</t>
  </si>
  <si>
    <t>Ps công nợ T8- sonata</t>
  </si>
  <si>
    <t>Ps công nợ T8-Ari</t>
  </si>
  <si>
    <t>Tiền nâng hạ</t>
  </si>
  <si>
    <t>Phát sinh công nợ T08.22</t>
  </si>
  <si>
    <t>GBN MS22001</t>
  </si>
  <si>
    <t>GBN VNT2208001</t>
  </si>
  <si>
    <t>Phát sinh công nợ T08/22</t>
  </si>
  <si>
    <t>Mỹ Lâm thanh toán công nợ tháng 7</t>
  </si>
  <si>
    <t>GBN PTF22007</t>
  </si>
  <si>
    <t>Vietsun thanh toán công nợ tháng 7/22</t>
  </si>
  <si>
    <t>Công nợ phải trả tháng 7</t>
  </si>
  <si>
    <t>Công nợ phải trả tháng 8</t>
  </si>
  <si>
    <t>An Khánh trả cước tháng 5</t>
  </si>
  <si>
    <t>An Khánh trả cước tháng 6</t>
  </si>
  <si>
    <t xml:space="preserve">Nitoda thanh toán tiền </t>
  </si>
  <si>
    <t>Anh phụng chuyển lại tiền chênh lệch</t>
  </si>
  <si>
    <t>Tên người hưởng : Nguyễn Thị Phương Số tài khoản : 6800138788888 Ngân hàng : MB Bank Chi nhánh Hai Bà Trưng</t>
  </si>
  <si>
    <t>Công nợ T09/22</t>
  </si>
  <si>
    <t>GBN VNT2209001</t>
  </si>
  <si>
    <t xml:space="preserve">Tiền nộp hộ </t>
  </si>
  <si>
    <t>GBN VTA2209001</t>
  </si>
  <si>
    <t>Phát sinh công nợ T09.22</t>
  </si>
  <si>
    <t>GBN TLMC2209001</t>
  </si>
  <si>
    <t>Phát sinh công nợ T09/22</t>
  </si>
  <si>
    <t>Thanh toán tiền nâng hạ</t>
  </si>
  <si>
    <t>VNG2208002</t>
  </si>
  <si>
    <t>VNG2209001</t>
  </si>
  <si>
    <t>Vietsun thanh toán công nợ tháng 8/22</t>
  </si>
  <si>
    <t>Mỹ Lâm thanh toán công nợ</t>
  </si>
  <si>
    <t>LG22005</t>
  </si>
  <si>
    <t>GBN TD22014</t>
  </si>
  <si>
    <t>GBN MCT22006</t>
  </si>
  <si>
    <t>GBN MCT22007</t>
  </si>
  <si>
    <t>Ps công nợ T9-Ari</t>
  </si>
  <si>
    <t xml:space="preserve">Ps công nợ T9 Sonata + nâng hạ </t>
  </si>
  <si>
    <t xml:space="preserve">Nitoda thanh toán </t>
  </si>
  <si>
    <t>Phát sinh tiền thuế hđ 246</t>
  </si>
  <si>
    <t>Phát sinh công nợ phải thu tháng 10</t>
  </si>
  <si>
    <t>Phát sinh công nợ T10.22</t>
  </si>
  <si>
    <t>GBN VNT2210001</t>
  </si>
  <si>
    <t>Ps công nợ T10 Ari</t>
  </si>
  <si>
    <t>GBn TLMC2210001</t>
  </si>
  <si>
    <t>01/0/2022</t>
  </si>
  <si>
    <t>Công nợ T10/22</t>
  </si>
  <si>
    <t>Công nợ phải trả tháng 9</t>
  </si>
  <si>
    <t>Công nợ phải thu tháng 10</t>
  </si>
  <si>
    <t>Nam Tùng thanh toán công nợ T5</t>
  </si>
  <si>
    <t>Phát sinh công nợ phải trả T9</t>
  </si>
  <si>
    <t>Phát sinh công nợ phải trả T3</t>
  </si>
  <si>
    <t>VNG2210001</t>
  </si>
  <si>
    <t>GBN VTA2210001</t>
  </si>
  <si>
    <t>Phát sinh công nợ T10/22</t>
  </si>
  <si>
    <t>GBN MCT22008</t>
  </si>
  <si>
    <t>Công nợ 3 tháng tới tháng 12 thanh toán</t>
  </si>
  <si>
    <t>Nam Tùng thanh toán công nợ T7, đối trừ tháng 8</t>
  </si>
  <si>
    <t>Vietsun thanh toán công nợ tháng 9/22</t>
  </si>
  <si>
    <t>GBN TD22015</t>
  </si>
  <si>
    <t>GBN TD22016</t>
  </si>
  <si>
    <t>GBN TD22001</t>
  </si>
  <si>
    <t>Công nghệ cao HB</t>
  </si>
  <si>
    <t>Phát sinh tiền cước vc theo HĐ 262</t>
  </si>
  <si>
    <t>Phát sinh tiền cước vc theo HĐ 263</t>
  </si>
  <si>
    <t>CN cao Hòa Bình thanh toán</t>
  </si>
  <si>
    <t xml:space="preserve">Phát sinh tiền cước vc theo HĐ </t>
  </si>
  <si>
    <t>Công nghệ cao Hòa Bình</t>
  </si>
  <si>
    <t>IND22001</t>
  </si>
  <si>
    <t>IND22003+4</t>
  </si>
  <si>
    <t>GBN MCT22009</t>
  </si>
  <si>
    <t>Phát sinh công nợ T11.22</t>
  </si>
  <si>
    <t>Công nợ T11/2022</t>
  </si>
  <si>
    <t>Ps công nợ T11 Ari</t>
  </si>
  <si>
    <t>Chuyển lại tiền chênh lệch</t>
  </si>
  <si>
    <t>Phát sinh công nợ T11/22</t>
  </si>
  <si>
    <t>GBN VNT2211001</t>
  </si>
  <si>
    <t>Indigo thanh toán tiền IND22002</t>
  </si>
  <si>
    <t>IND thanh toán tiền IND22003</t>
  </si>
  <si>
    <t>Phát sinh công nợ phải thu tháng 11</t>
  </si>
  <si>
    <t>VNG2211001</t>
  </si>
  <si>
    <t>IND22005</t>
  </si>
  <si>
    <t>Nitoda chuyển thanh toán ngoài</t>
  </si>
  <si>
    <t>Phát sin công nợ phải thu T10</t>
  </si>
  <si>
    <t>TVH thanh toán tiền cước T6.7</t>
  </si>
  <si>
    <t>Phát sinh công nợ phải thu T8/22</t>
  </si>
  <si>
    <t>Phát sinh công nợ phải trả T9/22</t>
  </si>
  <si>
    <t>Hải Đăng thanh toán</t>
  </si>
  <si>
    <t>Phát sinh công nợ phải trả T10/22</t>
  </si>
  <si>
    <t>Hải Đăng thanh toán tiền công nợ 6.7</t>
  </si>
  <si>
    <t>Phát sinh công nợ phải trả tháng 11</t>
  </si>
  <si>
    <t>Phát sinh công nợ phải trả T8.22</t>
  </si>
  <si>
    <t>Phát sinh công nợ phải trả T9.22</t>
  </si>
  <si>
    <t>Phát sinh công nợ phải trả T10.22</t>
  </si>
  <si>
    <t>Phát sinh công nợ phải trả T11.22</t>
  </si>
  <si>
    <t>phát sinh tiền VAT 199</t>
  </si>
  <si>
    <t>Phát sinh công nợ phải thu T7.22</t>
  </si>
  <si>
    <t>Phát sinh công nợ trả T10.22</t>
  </si>
  <si>
    <t>NePo thanh toán tiền tháng 8</t>
  </si>
  <si>
    <t>Cước vận chuyển tháng 11/22</t>
  </si>
  <si>
    <t>Phát sinh công nợ phải trả T11/22</t>
  </si>
  <si>
    <t>Công nợ phải thu HDK tháng 10</t>
  </si>
  <si>
    <t>Công nợ phải thu HDK tháng 11</t>
  </si>
  <si>
    <t>Công nợ phải thu Tâm Thành tháng 11</t>
  </si>
  <si>
    <t>Phát sinh công nợ phải thu T11.22</t>
  </si>
  <si>
    <t>Công nợ phải thu ULQ tháng 11</t>
  </si>
  <si>
    <t>Công nợ phải thu Hải Nam tháng 11</t>
  </si>
  <si>
    <t>IND thanh toán tiền IND22003+4</t>
  </si>
  <si>
    <t>IND22002 - YMLUS492307136</t>
  </si>
  <si>
    <t>GBN MCT22010</t>
  </si>
  <si>
    <t>IND thanh toán tiền tháng 9</t>
  </si>
  <si>
    <t>GBN TD22017</t>
  </si>
  <si>
    <t>Vietsun thanh toán công nợ tháng 10/22</t>
  </si>
  <si>
    <t>IND thanh toán tiền IND22005</t>
  </si>
  <si>
    <t>Công nợ phải thu Hải Nam tháng 8</t>
  </si>
  <si>
    <t>Công nợ phải thu VIKO tháng 10</t>
  </si>
  <si>
    <t>Công nợ phải thu Quý Cương tháng 11</t>
  </si>
  <si>
    <t>GBN VTA2212001</t>
  </si>
  <si>
    <t>GBN VAT2211001</t>
  </si>
  <si>
    <t>Ari thanh toán tiền tháng 11</t>
  </si>
  <si>
    <t>Phát sinh công nợ T12.22</t>
  </si>
  <si>
    <t>GBN VNT2212001</t>
  </si>
  <si>
    <t>GBN MCT22011</t>
  </si>
  <si>
    <t>IND thanh toán tiền tiền tháng 10</t>
  </si>
  <si>
    <t>Công nợ T12/2022</t>
  </si>
  <si>
    <t xml:space="preserve">Ps công nợ T12 </t>
  </si>
  <si>
    <t>Phát sinh công nợ phải thu T12/22</t>
  </si>
  <si>
    <t>VNG2212001</t>
  </si>
  <si>
    <t>Phát sinh công nợ T12/22</t>
  </si>
  <si>
    <t>Công nợ phải thu Quý Cương tháng 12</t>
  </si>
  <si>
    <t>Phát sinh công nợ phải trả tháng 12</t>
  </si>
  <si>
    <t>IND22006</t>
  </si>
  <si>
    <t>IND22007</t>
  </si>
  <si>
    <t>Vietsun thanh toán công nợ tháng 11/22</t>
  </si>
  <si>
    <t>Phát sinh công nợ phải thu tháng 12</t>
  </si>
  <si>
    <t>IND23001</t>
  </si>
  <si>
    <t>IND thanh toán tiền tháng 11</t>
  </si>
  <si>
    <t>IND thanhtoán tiền lô IND23001</t>
  </si>
  <si>
    <t>Lê Minh thanh toán tiền chi hộ</t>
  </si>
  <si>
    <t>IND thanh toán tiền IND22006; IND22007</t>
  </si>
  <si>
    <t>NePo thanh toán tiền tháng 11</t>
  </si>
  <si>
    <t>NePO thanh toán tiền</t>
  </si>
  <si>
    <t>Phát sinh công nợ phải trả T12.22</t>
  </si>
  <si>
    <t>GBN VNT2301001</t>
  </si>
  <si>
    <t>Ps công nợ T1</t>
  </si>
  <si>
    <t>Phát sinh công nợ T1.23</t>
  </si>
  <si>
    <t>NePO thanh toán tiền tháng 11</t>
  </si>
  <si>
    <t>VNG2301001</t>
  </si>
  <si>
    <t>GBN MCT23001</t>
  </si>
  <si>
    <t>Phát sinh công nợ T01/23</t>
  </si>
  <si>
    <t>Mùng 10 thanh toán</t>
  </si>
  <si>
    <t>Công nợ T1/2023</t>
  </si>
  <si>
    <t>Phát sinh công nợ phải trả T1</t>
  </si>
  <si>
    <t>Nam Tùng thanh toán công nợ T10 đối trừ T9</t>
  </si>
  <si>
    <t>Hải Nam thanh toán tiền tháng 8</t>
  </si>
  <si>
    <t>Ari thanh toán tiền tháng 12</t>
  </si>
  <si>
    <t>Vietsun thanh toán công nợ tháng 12/22</t>
  </si>
  <si>
    <t>GBN TD23001</t>
  </si>
  <si>
    <t>HDK thanh toán tiền cước tháng 10</t>
  </si>
  <si>
    <t>Phát sinh công nợ phải thu tháng 1</t>
  </si>
  <si>
    <t>Phát sinh tiền cước vc theo HĐ</t>
  </si>
  <si>
    <t>IND thanh toán tiền tháng 12</t>
  </si>
  <si>
    <t>Phát sinh công nợ phải thu T1/23</t>
  </si>
  <si>
    <t>GBN VTA2301001</t>
  </si>
  <si>
    <t>Công nợ phải thu ViKo tháng 1.23</t>
  </si>
  <si>
    <t>Phát sinh công nợ phải trả T01.23</t>
  </si>
  <si>
    <t>Phát sinh công nợ phải trả tháng 2</t>
  </si>
  <si>
    <t>Phát sinh công nợ T2.23</t>
  </si>
  <si>
    <t>Công nợ T2/2023</t>
  </si>
  <si>
    <t>GBN VNT232001</t>
  </si>
  <si>
    <t>VNG2302001</t>
  </si>
  <si>
    <t>Phát sinh công nợ phải thu T2</t>
  </si>
  <si>
    <t>Phát sinh công nợ phải thu tháng 2</t>
  </si>
  <si>
    <t>Ps công nợ T2</t>
  </si>
  <si>
    <t>Phát sinh tiền thuế hđ 33</t>
  </si>
  <si>
    <t>Viko thanh toán tiền cước tháng 10</t>
  </si>
  <si>
    <t>Chuyển lại cho Vietimex</t>
  </si>
  <si>
    <t>Phát sinh công nợ T02/23</t>
  </si>
  <si>
    <t>Vietsun thanh toán công nợ tháng 1/23</t>
  </si>
  <si>
    <t>Quý cương thanh toán tiền cước tháng 11</t>
  </si>
  <si>
    <t>Nam Tùng thanh toán tháng 11</t>
  </si>
  <si>
    <t>Ari thanh toán tiền tháng 1</t>
  </si>
  <si>
    <t>Ari thanh toán tiền nâng hạ tháng 1</t>
  </si>
  <si>
    <t>Phát sinh công nợ phải thu T02.23</t>
  </si>
  <si>
    <t>NePO thanh toán 1/2 tiền tháng 11</t>
  </si>
  <si>
    <t>Phát sinh công nợ phải thu T2/23</t>
  </si>
  <si>
    <t>NePO thanh toán nốt tiền tháng 11.23</t>
  </si>
  <si>
    <t>Phát sinh tiền cước Vc theo HĐ</t>
  </si>
  <si>
    <t>Không lấy hđ</t>
  </si>
  <si>
    <t>21 cont</t>
  </si>
  <si>
    <t>Nitoda thanh toán</t>
  </si>
  <si>
    <t>HDK thanh toán tiền cước tháng 11</t>
  </si>
  <si>
    <t>Thuận Vũ thanh toán tiền cước T11</t>
  </si>
  <si>
    <t>IND thanh toán tiền tháng 12,1</t>
  </si>
  <si>
    <t>Công nợ T3/2023</t>
  </si>
  <si>
    <t>Ps công nợ T3</t>
  </si>
  <si>
    <t>Phát sinh công nợ phải thu tháng 3</t>
  </si>
  <si>
    <t>GBN VTA2303001</t>
  </si>
  <si>
    <t>Phát sinh công nợ T03/23</t>
  </si>
  <si>
    <t>VNG2303001</t>
  </si>
  <si>
    <t>VNG2303002</t>
  </si>
  <si>
    <t>GBN PTF23001</t>
  </si>
  <si>
    <t>ULQ thanh toán tiền cước tháng 11</t>
  </si>
  <si>
    <t>Phát sinh công nợ phải trả tháng 3</t>
  </si>
  <si>
    <t>Vietsun thanh toán công nợ tháng 2/23</t>
  </si>
  <si>
    <t>Quý cương thanh toán tiền cước tháng 12</t>
  </si>
  <si>
    <t xml:space="preserve">NePO thanh toán </t>
  </si>
  <si>
    <t>Ari thanh toán tiền tháng 2</t>
  </si>
  <si>
    <t>GBN PTF23002</t>
  </si>
  <si>
    <t>Phát sinh tiền cước VC theo HĐ</t>
  </si>
  <si>
    <t>GBN TD23002</t>
  </si>
  <si>
    <t>GBN TD23003</t>
  </si>
  <si>
    <t>Hải Nam thanh toán tiền tháng 11</t>
  </si>
  <si>
    <t>GBN MCT23002</t>
  </si>
  <si>
    <t>GBN TD23004</t>
  </si>
  <si>
    <t>Công nợ T4/2023</t>
  </si>
  <si>
    <t>Ps công nợ T4</t>
  </si>
  <si>
    <t>LG23001NK</t>
  </si>
  <si>
    <t>Phát sinh công nợ phải thu tháng 4</t>
  </si>
  <si>
    <t>Phát sinh công nợ T04/23</t>
  </si>
  <si>
    <t>TLMC2304001</t>
  </si>
  <si>
    <t>GBN VTA2304001</t>
  </si>
  <si>
    <t>Cước vận chuyển tháng 04/23</t>
  </si>
  <si>
    <t>VNG2304001</t>
  </si>
  <si>
    <t>GBN TD23005</t>
  </si>
  <si>
    <t>Phát sinh công nợ phải trả T4.23</t>
  </si>
  <si>
    <t xml:space="preserve">Tâm thành thanh toán tiền </t>
  </si>
  <si>
    <t xml:space="preserve">Chè Nà Tân </t>
  </si>
  <si>
    <t>GBN CNT23001</t>
  </si>
  <si>
    <t>Chè Nà Tân</t>
  </si>
  <si>
    <t>Anh Phương Vietsun</t>
  </si>
  <si>
    <t>Phát sinh công nợ tháng 3</t>
  </si>
  <si>
    <t>Phát sinh công nợ tháng 4</t>
  </si>
  <si>
    <t>Hùng Thuận</t>
  </si>
  <si>
    <t xml:space="preserve">Hải Nam </t>
  </si>
  <si>
    <t xml:space="preserve">Phát sinh công nợ phải thu </t>
  </si>
  <si>
    <t>Hải Nam thanh toán tiền cước tháng 8</t>
  </si>
  <si>
    <t xml:space="preserve">Phát sinh công nợ phải trả </t>
  </si>
  <si>
    <t>Hải Nam thanh toán tiền cước tháng 11</t>
  </si>
  <si>
    <t>TVH thanh toán tiền cước T10+11</t>
  </si>
  <si>
    <t>Phát sinh công nợ phải trả T3.23</t>
  </si>
  <si>
    <t>Hải Đăng thanh toán công nợ T12.22</t>
  </si>
  <si>
    <t>Phát sinh công nợ phải trả T03.23</t>
  </si>
  <si>
    <t>Phát sinh công nợ phải trả T04.23</t>
  </si>
  <si>
    <t xml:space="preserve">Anh Hiệp </t>
  </si>
  <si>
    <t>Cty Hân Trang</t>
  </si>
  <si>
    <t xml:space="preserve">NePO thanh toán tiền </t>
  </si>
  <si>
    <t>CTY Hân Trang</t>
  </si>
  <si>
    <t>GBN TD23006</t>
  </si>
  <si>
    <t>Nà Tân thanh toán</t>
  </si>
  <si>
    <t>Vietsun thanh toán công nợ tháng 3/23</t>
  </si>
  <si>
    <t>9 tờ khai</t>
  </si>
  <si>
    <t>2 tờ khai</t>
  </si>
  <si>
    <t>Phát sinh công  nợ phải trả</t>
  </si>
  <si>
    <t xml:space="preserve">Anh Tuấn ck tiền mặt </t>
  </si>
  <si>
    <t>TVH thanh toán tiền tháng 12</t>
  </si>
  <si>
    <t>Phải trả</t>
  </si>
  <si>
    <t>Phải thu</t>
  </si>
  <si>
    <t>IND thanh toán tiền tháng 1.2</t>
  </si>
  <si>
    <t>LG23002</t>
  </si>
  <si>
    <t>Ari thanh tiền tháng 3</t>
  </si>
  <si>
    <t>Cước vận chuyển tháng 5/23</t>
  </si>
  <si>
    <t>Ps công nợ T5</t>
  </si>
  <si>
    <t>GBN VTA2305001</t>
  </si>
  <si>
    <t>VNG2305001</t>
  </si>
  <si>
    <t>Phát sinh công nợ T05/23</t>
  </si>
  <si>
    <t>GBN VNT2305001</t>
  </si>
  <si>
    <t>Phát sinh công nợ phải thu tháng 5</t>
  </si>
  <si>
    <t>Ck Anh Phụng</t>
  </si>
  <si>
    <t>Viko thanh toán tiền cước tháng 1.23</t>
  </si>
  <si>
    <t>Phát sinh công nợ tháng 5</t>
  </si>
  <si>
    <t>Vietsun thanh toán công nợ tháng 4/23</t>
  </si>
  <si>
    <t>Nam Tùng thanh toán công nợ T12,2 đối trừ T1</t>
  </si>
  <si>
    <t xml:space="preserve">Phát sinh tiền cước </t>
  </si>
  <si>
    <t>Phát sinh tiền thuế hđ 126</t>
  </si>
  <si>
    <t xml:space="preserve">Phát sinh tiền thuế </t>
  </si>
  <si>
    <t>NePO thanh toán tiền tháng 2</t>
  </si>
  <si>
    <t>Vietimex thanh toán</t>
  </si>
  <si>
    <t>14 tờ khai</t>
  </si>
  <si>
    <t>TVH thanh toán tiền tháng 2,3</t>
  </si>
  <si>
    <t>GBN MCT23003</t>
  </si>
  <si>
    <t>GBN MCT23005</t>
  </si>
  <si>
    <t>GBN MCT23006</t>
  </si>
  <si>
    <t>GBN MCT23007</t>
  </si>
  <si>
    <t>TLMC2306001</t>
  </si>
  <si>
    <t>Cước vận chuyển tháng 6/23</t>
  </si>
  <si>
    <t>PS công nợ T6</t>
  </si>
  <si>
    <t xml:space="preserve">Phí nâng hạ </t>
  </si>
  <si>
    <t>Phát sinh công nợ phải thu tháng 6</t>
  </si>
  <si>
    <t>Phát sinh công nợ T06/23</t>
  </si>
  <si>
    <t xml:space="preserve">Anh Hiệp thanh toán </t>
  </si>
  <si>
    <t>GBN TD23007</t>
  </si>
  <si>
    <t>GBN TD23008</t>
  </si>
  <si>
    <t>GBN MCT23004</t>
  </si>
  <si>
    <t>VNG2306001</t>
  </si>
  <si>
    <t>Công nợ T6/2023</t>
  </si>
  <si>
    <t>GBN VTA2306001</t>
  </si>
  <si>
    <t>Phúc An</t>
  </si>
  <si>
    <t>Cty Phúc An</t>
  </si>
  <si>
    <t>Phát sinh công nợ phải thu T05.23</t>
  </si>
  <si>
    <t>Phát sinh công nợ phải thu T06.23</t>
  </si>
  <si>
    <t>Phát sinh công nợ phải thu T5.23</t>
  </si>
  <si>
    <t>Bông sen vàng</t>
  </si>
  <si>
    <t>Phát sinh công nợ phải trả T11</t>
  </si>
  <si>
    <t xml:space="preserve">NEPO thanh toán tiền </t>
  </si>
  <si>
    <t>Phát sinh công nợ phải trả T6.23</t>
  </si>
  <si>
    <t>GBN MCT23008</t>
  </si>
  <si>
    <t>IND thanh toán tiền tháng 5</t>
  </si>
  <si>
    <t>IND thanh toán tiền tháng 4</t>
  </si>
  <si>
    <t>Vietsun thanh toán công nợ tháng 5/23</t>
  </si>
  <si>
    <t xml:space="preserve">Anh Phương thanh toán tiền </t>
  </si>
  <si>
    <t>GBN PTF23003</t>
  </si>
  <si>
    <t>GBN MCT23009</t>
  </si>
  <si>
    <t>GBN MCT23010</t>
  </si>
  <si>
    <t>Phát sinh công nợ phải trả tháng 4</t>
  </si>
  <si>
    <t>Phát sinh công nợ phải trả tháng 5</t>
  </si>
  <si>
    <t>Phát sinh công nợ phải thu T6.23</t>
  </si>
  <si>
    <t>Tiền VAT hóa đơn ngày 31/3</t>
  </si>
  <si>
    <t>NePO thanh toán tiền tháng 3</t>
  </si>
  <si>
    <t xml:space="preserve">Hải Đăng thanh toán tiền </t>
  </si>
  <si>
    <t>Ari thanh toán tiền tháng 5</t>
  </si>
  <si>
    <t>phát sinh công nợ phải thu T7</t>
  </si>
  <si>
    <t>Phát sinh công nợ phải thu T7.23</t>
  </si>
  <si>
    <t>TLMC2307001</t>
  </si>
  <si>
    <t>Cước vận chuyển tháng 7/23</t>
  </si>
  <si>
    <t>Phát sinh công nợ phải thu tháng 7</t>
  </si>
  <si>
    <t>Phát sinh công nợ T07/23</t>
  </si>
  <si>
    <t>TVH thanh toán tiền T4</t>
  </si>
  <si>
    <t>VNG2307001</t>
  </si>
  <si>
    <t>Thuận Vũ thanh toán tiền cước T4</t>
  </si>
  <si>
    <t>GBN VTA2307001</t>
  </si>
  <si>
    <t>Công nợ T7/23</t>
  </si>
  <si>
    <t>Nam Tùng thanh toán công nợ T3,4</t>
  </si>
  <si>
    <t>Vietsun thanh toán công nợ T6/23</t>
  </si>
  <si>
    <t>IND thanh toán tièn tháng 6</t>
  </si>
  <si>
    <t>GBN CNT23002</t>
  </si>
  <si>
    <t>GBN CNT23003</t>
  </si>
  <si>
    <t>GBN MCT23011</t>
  </si>
  <si>
    <t>GBN MCT23012</t>
  </si>
  <si>
    <t>GBN TD23009</t>
  </si>
  <si>
    <t>Hải Nam thanh toán tiền cước tháng 3 đói trừ tháng 2</t>
  </si>
  <si>
    <t>CK tk anh Phụng</t>
  </si>
  <si>
    <t>Phát sinh công nợ phải thu T07.23</t>
  </si>
  <si>
    <t>GBN TD23010</t>
  </si>
  <si>
    <t>Phát sinh công nợ phải trả tháng 7</t>
  </si>
  <si>
    <t xml:space="preserve">12 tờ khai </t>
  </si>
  <si>
    <t>Cước vận chuyển tháng 8/23</t>
  </si>
  <si>
    <t>IND thanh toán tiền tháng 7</t>
  </si>
  <si>
    <t>Ari thanh toán tiền tháng 6</t>
  </si>
  <si>
    <t>GBN VNT23001</t>
  </si>
  <si>
    <t>Công nợ T8/23</t>
  </si>
  <si>
    <t>Tiền chi hộ</t>
  </si>
  <si>
    <t>Phát sinh công nợ T08/23</t>
  </si>
  <si>
    <t>Phát sinh công nợ phải thu tháng 8</t>
  </si>
  <si>
    <t>GBN VTA2308001</t>
  </si>
  <si>
    <t>GBN MCT23013</t>
  </si>
  <si>
    <t>NePO thanh toán tiền tháng 4</t>
  </si>
  <si>
    <t>GBN MCT23014</t>
  </si>
  <si>
    <t>GBN MCT23015</t>
  </si>
  <si>
    <t>GBN TD23011</t>
  </si>
  <si>
    <t>VNG2308001</t>
  </si>
  <si>
    <t>Vietsun thanh toán công nợ T7/23</t>
  </si>
  <si>
    <t>GBN PTF23004</t>
  </si>
  <si>
    <t>GBN TD23012</t>
  </si>
  <si>
    <t>Phát sinh công nợ phải trả T8.23</t>
  </si>
  <si>
    <t>Phát sinh công nợ phải trả tháng 8</t>
  </si>
  <si>
    <t>Phát sinh công nợ phải trả T08.23</t>
  </si>
  <si>
    <t>TT 83.250.000</t>
  </si>
  <si>
    <t>Phúc An thanh toán T5</t>
  </si>
  <si>
    <t>Phát sinh công nợ phải thu T8.23</t>
  </si>
  <si>
    <t>GBN MS23001</t>
  </si>
  <si>
    <t>xử lý 450 chênh lệch</t>
  </si>
  <si>
    <t>GBN TD23013</t>
  </si>
  <si>
    <t>NePO thanh toán tiền tháng 5 đối trừ tháng 6</t>
  </si>
  <si>
    <t>Thuận vũ thanh toán tiền cước T4</t>
  </si>
  <si>
    <t>Thuận vũ thanh toán tiền cước T5</t>
  </si>
  <si>
    <t>TVH thanh toán tiền tháng 5</t>
  </si>
  <si>
    <t>GBN MCT23016</t>
  </si>
  <si>
    <t>GBN MCT23017</t>
  </si>
  <si>
    <t>GBN TD23014</t>
  </si>
  <si>
    <t>Nitoda thanh toán tiền</t>
  </si>
  <si>
    <t>Công nợ T9/23</t>
  </si>
  <si>
    <t>VNG2309001</t>
  </si>
  <si>
    <t>Phát sinh công nợ T09/23</t>
  </si>
  <si>
    <t>Phát sinh công nợ phải thu tháng 9</t>
  </si>
  <si>
    <t>Phát sinh công nợ phải trả T9.23</t>
  </si>
  <si>
    <t>Phát sinh tiền cước vc tháng 8</t>
  </si>
  <si>
    <t>Phát sinh tiền cước vc tháng 9</t>
  </si>
  <si>
    <t>GBN VTA2309001</t>
  </si>
  <si>
    <t>IND thanh toán tiền tháng 8</t>
  </si>
  <si>
    <t xml:space="preserve">Hải Nam thanh toán tiền </t>
  </si>
  <si>
    <t>Phúc An thanh toán T6</t>
  </si>
  <si>
    <t>Vietsun thanh toán công nợ T8/23</t>
  </si>
  <si>
    <t xml:space="preserve">Theo hđ </t>
  </si>
  <si>
    <t>23.668.691</t>
  </si>
  <si>
    <t xml:space="preserve">Của anh Huy gửi giá </t>
  </si>
  <si>
    <t>TVH thanh toán tiền tháng 6</t>
  </si>
  <si>
    <t>Phát sinh công nợ phải thu T9.23</t>
  </si>
  <si>
    <t>GBN CNT23005</t>
  </si>
  <si>
    <t>GBN NTT23001NK</t>
  </si>
  <si>
    <t>NePO thanh toán tiền tháng 8</t>
  </si>
  <si>
    <t>Phát sinh công  nợ phải trả T8</t>
  </si>
  <si>
    <t>Nam Tùng thanh toán công nợ T6 đối trừ T8</t>
  </si>
  <si>
    <t>Phát sinh công nợ phải trả cho anh Lành</t>
  </si>
  <si>
    <t>TLMC2310001</t>
  </si>
  <si>
    <t>Trả hàng Vietsun sáng 18/12 - 19/12 cont GAOU6145527</t>
  </si>
  <si>
    <t>Trả hàng Vietsun chiều 08/02 cont GAOU2108490</t>
  </si>
  <si>
    <t>Trả hàng Vietsun sáng 17/02 cont GAOU2209942</t>
  </si>
  <si>
    <t xml:space="preserve">Phát sinh tiền hóa đơn tháng 8 </t>
  </si>
  <si>
    <t xml:space="preserve">Đối trừ chuyển lại cho anh Huy </t>
  </si>
  <si>
    <t>GBN NTT23006</t>
  </si>
  <si>
    <t>Phát sinh tiền cước Vc tháng 10</t>
  </si>
  <si>
    <t>Phúc An thanh toán T7</t>
  </si>
  <si>
    <t>Thuận vũ thanh toán tiền cước T6</t>
  </si>
  <si>
    <t>GBN MCT23018</t>
  </si>
  <si>
    <t>GBN MCT23019</t>
  </si>
  <si>
    <t>GBN MCT23020</t>
  </si>
  <si>
    <t>TLMC2310002</t>
  </si>
  <si>
    <t>GBN TD23015</t>
  </si>
  <si>
    <t>Công nợ T10/23</t>
  </si>
  <si>
    <t>GBN MS23002</t>
  </si>
  <si>
    <t>GBN MCT23021</t>
  </si>
  <si>
    <t>GBN MCT23022</t>
  </si>
  <si>
    <t>GBN MCT23023</t>
  </si>
  <si>
    <t>GBN TD23016</t>
  </si>
  <si>
    <t>VNG2310001</t>
  </si>
  <si>
    <t>Phát sinh công nợ T10/23</t>
  </si>
  <si>
    <t>Phát sinh công nợ phải trả T10.23</t>
  </si>
  <si>
    <t>Phát sinh công nợ phải trả tháng 10</t>
  </si>
  <si>
    <t>Phát sinh công nợ phải thu T09.23</t>
  </si>
  <si>
    <t>Phát sinh công nợ phải trả T10</t>
  </si>
  <si>
    <t>Phát sinh công nợ phải thu T10.23</t>
  </si>
  <si>
    <t>NePO thanh toán tiền tháng 9</t>
  </si>
  <si>
    <t>Phát sinh công  nợ phải trả T9</t>
  </si>
  <si>
    <t>GBN MCT23024</t>
  </si>
  <si>
    <t>Vietsun thanh toán công nợ T9/23</t>
  </si>
  <si>
    <t>GBN MS23003</t>
  </si>
  <si>
    <t>Phát sinh công nợ phải thu Viko</t>
  </si>
  <si>
    <t xml:space="preserve">Nam Tùng thanh toán </t>
  </si>
  <si>
    <t>TVH thanh toán tiền tháng 7</t>
  </si>
  <si>
    <t>IND thanh toán tiền tháng 10</t>
  </si>
  <si>
    <t>Công nợ T11/23</t>
  </si>
  <si>
    <t>Phát sinh công nợ phải thu T11.23</t>
  </si>
  <si>
    <t>Cước vận chuyển tháng 11/23</t>
  </si>
  <si>
    <t>Thuận vũ thanh toán tiền cước tháng 7</t>
  </si>
  <si>
    <t>VNG2311001</t>
  </si>
  <si>
    <t>GBN PTF23005</t>
  </si>
  <si>
    <t>GBN VTA2311001</t>
  </si>
  <si>
    <t>GBN VTA2310001</t>
  </si>
  <si>
    <t>Phát sinh công nợ T11/23</t>
  </si>
  <si>
    <t>Phúc An thanh toán T8</t>
  </si>
  <si>
    <t>Vietsun thanh toán công nợ T10/23</t>
  </si>
  <si>
    <t>TVH thanh toán tiền tháng 8</t>
  </si>
  <si>
    <t>31/11/2023</t>
  </si>
  <si>
    <t>NePo thanh toán tiền cho anh Lành</t>
  </si>
  <si>
    <t>Thuận vũ thanh toán tiền T8</t>
  </si>
  <si>
    <t>TLMC2312001</t>
  </si>
  <si>
    <t>Công nợ T12/23</t>
  </si>
  <si>
    <t>GBN MCT23025</t>
  </si>
  <si>
    <t>Cước vận chuyển tháng 12/23</t>
  </si>
  <si>
    <t>TVH thanh toán tiền tháng 9</t>
  </si>
  <si>
    <t>Phúc An thanh toán T9</t>
  </si>
  <si>
    <t>Bông sen vàng thanh toán đối trừ hết tháng 9</t>
  </si>
  <si>
    <t>VNG2312001</t>
  </si>
  <si>
    <t>GBN VTA2312001</t>
  </si>
  <si>
    <t>Indigo thanh toán tiền tháng 11</t>
  </si>
  <si>
    <t>GBN MCT23026</t>
  </si>
  <si>
    <t>GBN MCT23027</t>
  </si>
  <si>
    <t>GBN TD23019</t>
  </si>
  <si>
    <t>GBN TD23018</t>
  </si>
  <si>
    <t>Phát sinh công nợ T12/23</t>
  </si>
  <si>
    <t>Vietsun thanh toán công nợ T11/23</t>
  </si>
  <si>
    <t>Phát sinh công nợ phải thu T12.23</t>
  </si>
  <si>
    <t>Phát sinh công nợ phải thu T11.23.</t>
  </si>
  <si>
    <t>Phát sinh công nợ phải trả T12.23</t>
  </si>
  <si>
    <t>Viko thanh toán tiền cước tháng 7</t>
  </si>
  <si>
    <t xml:space="preserve">Phát sinh công nợ phải trả Thái Dũng </t>
  </si>
  <si>
    <t>Ck anh Phụng</t>
  </si>
  <si>
    <t>GBN MCT24001</t>
  </si>
  <si>
    <t>CDMC24001</t>
  </si>
  <si>
    <t>Phát sinh tiền lô hàng nhập</t>
  </si>
  <si>
    <t xml:space="preserve">FNB thanh toán tiền </t>
  </si>
  <si>
    <t>Vinatea F&amp;B</t>
  </si>
  <si>
    <t>GBN TD23017NK</t>
  </si>
  <si>
    <t>Phát sinh tiền cước Vc tháng 01</t>
  </si>
  <si>
    <t>GBN NTT24001</t>
  </si>
  <si>
    <t>Phúc An thanh toán T10</t>
  </si>
  <si>
    <t>TVH thanh toán tiền tháng 10</t>
  </si>
  <si>
    <t>Công nợ T1/24</t>
  </si>
  <si>
    <t>Phát sinh công nợ phải thu T1.24</t>
  </si>
  <si>
    <t>Phát sinh công nợ phải thu T1/24</t>
  </si>
  <si>
    <t>GBN VTA2401001</t>
  </si>
  <si>
    <t>Phát sinh công nợ T01/24</t>
  </si>
  <si>
    <t xml:space="preserve">NEPo thanh toán tiền cho Thái Dũng </t>
  </si>
  <si>
    <t>VNG2401001</t>
  </si>
  <si>
    <t>Vietsun thanh toán tháng T12/23</t>
  </si>
  <si>
    <t>Indigo thanh toán tiền tháng 12</t>
  </si>
  <si>
    <t>Bông sen vàng thanh toán tháng 10</t>
  </si>
  <si>
    <t>Nitoda thanh toán tiền tháng 12</t>
  </si>
  <si>
    <t>Công nợ T2/24</t>
  </si>
  <si>
    <t>GBN MCT24002</t>
  </si>
  <si>
    <t>Phát sinh công nợ phải thu T2.24</t>
  </si>
  <si>
    <t>Phát sinh công nợ T02/24</t>
  </si>
  <si>
    <t>Fire Phoenix</t>
  </si>
  <si>
    <t>Phát sinh công nợ T2/24</t>
  </si>
  <si>
    <t>VNG2402001</t>
  </si>
  <si>
    <t>Phúc An thanh toán T11</t>
  </si>
  <si>
    <t>TVH thanh toán tiền tháng 11</t>
  </si>
  <si>
    <t>Indigo thanh toán tiền tháng 1</t>
  </si>
  <si>
    <t>Vietsun thanh toán tiền tháng 1/24</t>
  </si>
  <si>
    <t>NePO thanh toán tiền tiền tháng 11</t>
  </si>
  <si>
    <t>NePO thanh toán tiền  tiền T10</t>
  </si>
  <si>
    <t>Phát sinh công nợ phải trả T1.24</t>
  </si>
  <si>
    <t>Thanh toán từ TK cty</t>
  </si>
  <si>
    <t>Xử lý</t>
  </si>
  <si>
    <t>GBN PTF24001</t>
  </si>
  <si>
    <t>Công nợ phải trả tháng 2</t>
  </si>
  <si>
    <t>Bông sen vàng thanh toán tiền tháng 11</t>
  </si>
  <si>
    <t>GBN VTA2403001</t>
  </si>
  <si>
    <t>LG24001</t>
  </si>
  <si>
    <t>SAN24001 NK- Trà Sinh An Nam</t>
  </si>
  <si>
    <t>Công nợ T3/24</t>
  </si>
  <si>
    <t>phát sinh công nợ phải thu T3</t>
  </si>
  <si>
    <t>Cty Mường Hoa</t>
  </si>
  <si>
    <t>GBN MHC2403001</t>
  </si>
  <si>
    <t xml:space="preserve">Cty chè Mường Hoa tt tiền chi hộ </t>
  </si>
  <si>
    <t>Cty chè Mường Hoa tt tiền</t>
  </si>
  <si>
    <t>Chè Mường Hoa'</t>
  </si>
  <si>
    <t>VNG2403001</t>
  </si>
  <si>
    <t>Phát sinh công nợ T3/24</t>
  </si>
  <si>
    <t>Phát sinh công nợ phải thu T3.24</t>
  </si>
  <si>
    <t>Thuận vũ thanh toán tiền tháng 11</t>
  </si>
  <si>
    <t>TLMC2404001</t>
  </si>
  <si>
    <t>Vietsun thanh toán tiền tháng 2/24</t>
  </si>
  <si>
    <t>TLMC2404002</t>
  </si>
  <si>
    <t>Indigo thanh toán tiền tháng 2</t>
  </si>
  <si>
    <t>Phát sinh công nợ phải thu T4.24</t>
  </si>
  <si>
    <t>VNG2404001</t>
  </si>
  <si>
    <t>GBN VTA2404001</t>
  </si>
  <si>
    <t>Thuận vũ thanh toán tiền tháng 12</t>
  </si>
  <si>
    <t>Phát sinh công nợ phải thu T4/24</t>
  </si>
  <si>
    <t>TVH thanh toán tiền tháng 1</t>
  </si>
  <si>
    <t>TVH thanh toán tiền tháng 01</t>
  </si>
  <si>
    <t>Phát sinh công nợ T4/24</t>
  </si>
  <si>
    <t xml:space="preserve">Phúc An Thanh toán tiền </t>
  </si>
  <si>
    <t>GBN MCT24003</t>
  </si>
  <si>
    <t>GBN MCT24004</t>
  </si>
  <si>
    <t>GBN MCT24005</t>
  </si>
  <si>
    <t>GBN MCT24006</t>
  </si>
  <si>
    <t>GBN PTF24002</t>
  </si>
  <si>
    <t>Indigo thanh toán tiền tháng 3</t>
  </si>
  <si>
    <t>TLMC2405001</t>
  </si>
  <si>
    <t>Công nợ T04/24</t>
  </si>
  <si>
    <t xml:space="preserve">Trà sinh An Nam tt </t>
  </si>
  <si>
    <t xml:space="preserve">Vietsun thanh toán tiền </t>
  </si>
  <si>
    <t>Thuận Vũ thanh toán tiền tháng 1</t>
  </si>
  <si>
    <t>ML2405001NK</t>
  </si>
  <si>
    <t>Phát sinh công nợ phải trả T4.24</t>
  </si>
  <si>
    <t>TVH thanh toán tiền tháng 2</t>
  </si>
  <si>
    <t>GBN MCT24007</t>
  </si>
  <si>
    <t>LG24002</t>
  </si>
  <si>
    <t>Phát sinh công nợ T4.24</t>
  </si>
  <si>
    <t>Bông sen vàng thanh toán tiền tháng 1.24</t>
  </si>
  <si>
    <t>GBN MCT24008</t>
  </si>
  <si>
    <t>GBN TD24001</t>
  </si>
  <si>
    <t xml:space="preserve">Phát sinh tiền cước vận chuyển </t>
  </si>
  <si>
    <t>Đóng hàng kết hợp chiều ngày 6/3</t>
  </si>
  <si>
    <t>TLMC 2405002</t>
  </si>
  <si>
    <t>Indigo thanh toán tiền</t>
  </si>
  <si>
    <t>NePO vận chuyển cho anh Trí HQ</t>
  </si>
  <si>
    <t>Phát sinh công nợ phải trả T5</t>
  </si>
  <si>
    <t>Công nợ T05/24</t>
  </si>
  <si>
    <t>Phát sinh công nợ phải thu T5.24</t>
  </si>
  <si>
    <t>Phát sinh công nợ phải thu T5/24</t>
  </si>
  <si>
    <t>Phát sinh công nợ T5/24</t>
  </si>
  <si>
    <t>Phát sinh công nợ phải thu T04</t>
  </si>
  <si>
    <t>VNG2405001</t>
  </si>
  <si>
    <t>Phát sinh công nợ phải trả T5.24</t>
  </si>
  <si>
    <t>GBN VTA2405001</t>
  </si>
  <si>
    <t>Nam tùng thanh toán bù trừ hết t2</t>
  </si>
  <si>
    <t xml:space="preserve">Nepo thanh toán tiền </t>
  </si>
  <si>
    <t>MCT24009</t>
  </si>
  <si>
    <t>MCT24010</t>
  </si>
  <si>
    <t>GBN PTF24003</t>
  </si>
  <si>
    <t xml:space="preserve">Fire phoenix thanh toán </t>
  </si>
  <si>
    <t>Anh Trí tt</t>
  </si>
  <si>
    <t>TVH thanh toán tiền tháng 3</t>
  </si>
  <si>
    <t>Bông sen vàng thanh toán tiền tháng 2</t>
  </si>
  <si>
    <t>GBN TD24002</t>
  </si>
  <si>
    <t>Phát sinh công nợ phải thu T6.24</t>
  </si>
  <si>
    <t>Phát sinh công nợ phải thu T6/24</t>
  </si>
  <si>
    <t>Công nợ T06/24</t>
  </si>
  <si>
    <t xml:space="preserve">NEPO vận chuyển cho cty DLH </t>
  </si>
  <si>
    <t>Phát sinh công nợ T6/24</t>
  </si>
  <si>
    <t>VNG2406001</t>
  </si>
  <si>
    <t>Phát sinh công nợ phải trả T6.24</t>
  </si>
  <si>
    <t>Cty Vượng Phát vận chuyển cho NEPO</t>
  </si>
  <si>
    <t>GBN TD24003</t>
  </si>
  <si>
    <t>TLMC240701</t>
  </si>
  <si>
    <t>GBN NTT24002</t>
  </si>
  <si>
    <t>CDMC24002</t>
  </si>
  <si>
    <t>MCT24011</t>
  </si>
  <si>
    <t>NEPO thanh toán tiền</t>
  </si>
  <si>
    <t xml:space="preserve">NePo thanh toán tiền </t>
  </si>
  <si>
    <t>TVH thanh toán tiền tháng 4</t>
  </si>
  <si>
    <t>CDMC24003</t>
  </si>
  <si>
    <t>Bông sen vàng thanh toán tiền tháng 3.24</t>
  </si>
  <si>
    <t>TLMC240702</t>
  </si>
  <si>
    <t>MCT24012</t>
  </si>
  <si>
    <t>Công nợ T07/24</t>
  </si>
  <si>
    <t>GBN TD24004</t>
  </si>
  <si>
    <t>Phát sinh công nợ phải thu T7.24</t>
  </si>
  <si>
    <t>Phát sinh công nợ phải thu T7/24</t>
  </si>
  <si>
    <t>TK cty</t>
  </si>
  <si>
    <t>Tk cá nhân</t>
  </si>
  <si>
    <t>Phát sinh công nợ phải trả T7</t>
  </si>
  <si>
    <t>Phát sinh công nợ T7/24</t>
  </si>
  <si>
    <t>VNG2407001</t>
  </si>
  <si>
    <t>Thanh toán tiền cho anh Lành</t>
  </si>
  <si>
    <t>MCT24013</t>
  </si>
  <si>
    <t>GBN VTA2407001</t>
  </si>
  <si>
    <t>GBN MHC24002</t>
  </si>
  <si>
    <t xml:space="preserve">Cty Mường Hoa tt tiền </t>
  </si>
  <si>
    <t>GBN NTT24003</t>
  </si>
  <si>
    <t>GBN VNT24001</t>
  </si>
  <si>
    <t>GBN 24001</t>
  </si>
  <si>
    <t xml:space="preserve">Indigo thanh toán </t>
  </si>
  <si>
    <t xml:space="preserve">Thanh toán tiền cho Vượng Phát </t>
  </si>
  <si>
    <t>Indigo thanh toán</t>
  </si>
  <si>
    <t>Nitoda thanh toán tiền tháng 6</t>
  </si>
  <si>
    <t>Ck tm</t>
  </si>
  <si>
    <t>TVH thanh toán tiền T6</t>
  </si>
  <si>
    <t>Thuận Vũ tt tiền tháng 4/24</t>
  </si>
  <si>
    <t>Bông sen vàng thanh toán tiền tháng 4.24</t>
  </si>
  <si>
    <t>TLMC2408001</t>
  </si>
  <si>
    <t>GBN VTA2408001</t>
  </si>
  <si>
    <t>MCT24014</t>
  </si>
  <si>
    <t>Phát sinh công nợ T8/24</t>
  </si>
  <si>
    <t>GBN PTF24004</t>
  </si>
  <si>
    <t>Phát sinh công nợ phải thu T8.24</t>
  </si>
  <si>
    <t>Phát sinh công nợ phải thu T8/24</t>
  </si>
  <si>
    <t>GBN MS24001</t>
  </si>
  <si>
    <t>GBN TD24006</t>
  </si>
  <si>
    <t>Công nợ T08/24</t>
  </si>
  <si>
    <t>MCT24015</t>
  </si>
  <si>
    <t>MCT24016</t>
  </si>
  <si>
    <t>Indigo thanh toán tháng 7</t>
  </si>
  <si>
    <t>DLH thanh toán</t>
  </si>
  <si>
    <t>Nam Tùng thanh toán tháng 3,4 bù trừ tháng 5</t>
  </si>
  <si>
    <t>LG24003</t>
  </si>
  <si>
    <t>TLMC2409001</t>
  </si>
  <si>
    <t>GBn NTT24004</t>
  </si>
  <si>
    <t>GBN PTF24005</t>
  </si>
  <si>
    <t>CDMC24004</t>
  </si>
  <si>
    <t>CK tk cá nhân</t>
  </si>
  <si>
    <t>NePO tt tiền tháng 5</t>
  </si>
  <si>
    <t>Công nợ T09/24</t>
  </si>
  <si>
    <t>Nitoda thanh toán tiền tháng 8</t>
  </si>
  <si>
    <t>VNG2409001</t>
  </si>
  <si>
    <t>VNG2408001</t>
  </si>
  <si>
    <t>GBN VTA2409001</t>
  </si>
  <si>
    <t>Indigo thanh toán tiền tháng 7</t>
  </si>
  <si>
    <t>Bông sen vàng thanh toán tiền tháng 5.24</t>
  </si>
  <si>
    <t>Phát sinh công nợ T9/24</t>
  </si>
  <si>
    <t>Hải Đăng thanh toán tiền T5</t>
  </si>
  <si>
    <t>Phát sinh công nợ phải thu T9.24</t>
  </si>
  <si>
    <t>Phát sinh công nợ phải trả tháng 9</t>
  </si>
  <si>
    <t>Thuận vũ thanh toán tiền tháng 5</t>
  </si>
  <si>
    <t>Phát sinh công nợ phải trả T9.24</t>
  </si>
  <si>
    <t xml:space="preserve">Phát sinh công nợ phải trả cho Vượng Phát </t>
  </si>
  <si>
    <t>NePO thanh toán tiền tháng 6</t>
  </si>
  <si>
    <t>Indigo thanh toán tháng 8</t>
  </si>
  <si>
    <t>NEPO tt tiền tháng 8</t>
  </si>
  <si>
    <t>NEPO tt tiền tháng 7</t>
  </si>
  <si>
    <t>CK cá nhân</t>
  </si>
  <si>
    <t>Công nợ T10/24</t>
  </si>
  <si>
    <t>GBN VTA2410001</t>
  </si>
  <si>
    <t>MCT24017</t>
  </si>
  <si>
    <t>MCT24018</t>
  </si>
  <si>
    <t>GBN TD24007</t>
  </si>
  <si>
    <t>GBN TD24008</t>
  </si>
  <si>
    <t>GBN TD24009</t>
  </si>
  <si>
    <t>VNG 2410001</t>
  </si>
  <si>
    <t>Phát sinh công nợ T10/24</t>
  </si>
  <si>
    <t>GBN ML24001NK</t>
  </si>
  <si>
    <t>GBN PTF24006</t>
  </si>
  <si>
    <t xml:space="preserve">An Khánh thanh toán tiền </t>
  </si>
  <si>
    <t>Bông sen vàng thanh toán tiền tháng 6.24</t>
  </si>
  <si>
    <t xml:space="preserve">Mỹ Lâm thanh toán </t>
  </si>
  <si>
    <t>NePO thanh toán tiền tháng 7</t>
  </si>
  <si>
    <t>Hải Đăng thanh toán tiền T7</t>
  </si>
  <si>
    <t>CTL24011</t>
  </si>
  <si>
    <t xml:space="preserve">Phúc An thanh toán tiền </t>
  </si>
  <si>
    <t>Indigo thanh toán tháng 9</t>
  </si>
  <si>
    <t>Thuận Vũ thanh toán tiền tháng 7</t>
  </si>
  <si>
    <t>Phát sinh công nợ phải thu T11/2024</t>
  </si>
  <si>
    <t>Công nợ phải thu tháng 11</t>
  </si>
  <si>
    <t>GBN TD24010</t>
  </si>
  <si>
    <t>GBN TD24011</t>
  </si>
  <si>
    <t>GBN PTF24007</t>
  </si>
  <si>
    <t>CTL24012</t>
  </si>
  <si>
    <t>GBN NTT24005</t>
  </si>
  <si>
    <t>NEPO thanh toán tiền T8</t>
  </si>
  <si>
    <t>phát sinh công nợ phải trả T 11</t>
  </si>
  <si>
    <t>Phát sinh công nợ phải thu T11.24</t>
  </si>
  <si>
    <t>Bông sen vàng thanh toán tiền tháng 7</t>
  </si>
  <si>
    <t>Công nợ T11/24</t>
  </si>
  <si>
    <t>GBN VTA2411001</t>
  </si>
  <si>
    <t>VNG 2411001</t>
  </si>
  <si>
    <t>Phát sinh công nợ T11/24</t>
  </si>
  <si>
    <t>MCT24019</t>
  </si>
  <si>
    <t>NEPO tt tiền tháng 9</t>
  </si>
  <si>
    <t>Phát sinh công nợ phải trả T10.24</t>
  </si>
  <si>
    <t>MCT24020</t>
  </si>
  <si>
    <t>MCT24021</t>
  </si>
  <si>
    <t>NEPO thanh toán tiền T9</t>
  </si>
  <si>
    <t>Ck cá nhân</t>
  </si>
  <si>
    <t>Hải Đăng thanh toán tiền T8</t>
  </si>
  <si>
    <t>CDMC24005</t>
  </si>
  <si>
    <t>GBN NTT24006</t>
  </si>
  <si>
    <t>Công nợ phải thu tháng 12</t>
  </si>
  <si>
    <t>Công nợ T12/24</t>
  </si>
  <si>
    <t>Phát sinh công nợ phải trả T12.24</t>
  </si>
  <si>
    <t>GBN TD24012</t>
  </si>
  <si>
    <t>CÔNG NỢ PHẢI THU, PHẢI TRẢ 2024-2025</t>
  </si>
  <si>
    <t>MCT24022</t>
  </si>
  <si>
    <t>Phát sinh công nợ T12/24</t>
  </si>
  <si>
    <t>Phát sinh công nợ phải thu T12/2024</t>
  </si>
  <si>
    <t>VNG2412001</t>
  </si>
  <si>
    <t>Indigo thanh toán tháng 10</t>
  </si>
  <si>
    <t>GBN VTA2412001</t>
  </si>
  <si>
    <t>Phát sinh công nợ phải trả Vượng Phát T11</t>
  </si>
  <si>
    <t>Phát sinh công nợ phải trả Vượng Phát T12</t>
  </si>
  <si>
    <t>HĐ 204.984.000</t>
  </si>
  <si>
    <t>Chuyển lại 2.273.200</t>
  </si>
  <si>
    <t>phát sinh công nợ phải trả T 12</t>
  </si>
  <si>
    <t>Phát sinh công nợ phải thu T12.24</t>
  </si>
  <si>
    <t>Bông sen vàng thanh toán tiền tháng 8</t>
  </si>
  <si>
    <t>Thuận Vũ thanh toán tiền tháng 8</t>
  </si>
  <si>
    <t>NEPO thanh toán tiền tháng 10</t>
  </si>
  <si>
    <t>GBN TD25001</t>
  </si>
  <si>
    <t>Cty</t>
  </si>
  <si>
    <t>Phát sinh công nợ phải thu tháng 1.25</t>
  </si>
  <si>
    <t>Công nợ T01/25</t>
  </si>
  <si>
    <t>Phát sinh công nợ phải thu T01.25</t>
  </si>
  <si>
    <t>VNG2501001</t>
  </si>
  <si>
    <t>GBN VTA250101</t>
  </si>
  <si>
    <t>Phát sinh công nợ phải trả Vượng Phát T1</t>
  </si>
  <si>
    <t>NEPO thanh toán tiền tháng 11</t>
  </si>
  <si>
    <t>NEPO thanh toán tiền T10</t>
  </si>
  <si>
    <t>Chuyển lại cho Nitoda</t>
  </si>
  <si>
    <t>Phát sinh công nợ T01/25</t>
  </si>
  <si>
    <t xml:space="preserve">TM </t>
  </si>
  <si>
    <t>GBN TD25002</t>
  </si>
  <si>
    <t>GBN PTF25001</t>
  </si>
  <si>
    <t>GBN PTF25002</t>
  </si>
  <si>
    <t>GBN PTF25003</t>
  </si>
  <si>
    <t>Nợ T2</t>
  </si>
  <si>
    <t>Công nợ T02/25</t>
  </si>
  <si>
    <t>Phát sinh công nợ phải thu T02.25</t>
  </si>
  <si>
    <t>VNG2502001</t>
  </si>
  <si>
    <t>Phát sinh công nợ T02/25</t>
  </si>
  <si>
    <t>Phát sinh công nợ phải thu T02/2025</t>
  </si>
  <si>
    <t>Công nợ phải thu tháng 02</t>
  </si>
  <si>
    <t>GBN PTF25001NK</t>
  </si>
  <si>
    <t>NEPO thanh toán tiền tháng 12</t>
  </si>
  <si>
    <t>GBN TD25003</t>
  </si>
  <si>
    <t>GBN TD25004</t>
  </si>
  <si>
    <t>MCT25001</t>
  </si>
  <si>
    <t>Thuận Vũ thanh toán tiến tháng 11</t>
  </si>
  <si>
    <t>Công nợ T03/25</t>
  </si>
  <si>
    <t>Phát sinh công nợ phải thu T03.25</t>
  </si>
  <si>
    <t>GBN TD25005</t>
  </si>
  <si>
    <t>GBN VTA2503001</t>
  </si>
  <si>
    <t>Phát sinh công nợ T03/25</t>
  </si>
  <si>
    <t>GBN NTT25001</t>
  </si>
  <si>
    <t>VNG2503001</t>
  </si>
  <si>
    <t xml:space="preserve">Hùng Thuận thanh toán </t>
  </si>
  <si>
    <t>GBN TD25006</t>
  </si>
  <si>
    <t>GBN TD25007</t>
  </si>
  <si>
    <t>Nợ T1,2,3,4</t>
  </si>
  <si>
    <t xml:space="preserve"> thiếu 400đ</t>
  </si>
  <si>
    <t>Thuận Vũ thanh toán tiền tháng 12</t>
  </si>
  <si>
    <t>An Khánh thanh toán tiền tháng 1</t>
  </si>
  <si>
    <t>MCT25002</t>
  </si>
  <si>
    <t>MCT25003</t>
  </si>
  <si>
    <t>GBN PTF25005</t>
  </si>
  <si>
    <t>Nợ T3,4</t>
  </si>
  <si>
    <t xml:space="preserve">Bông sen vàng thanh toán tiền </t>
  </si>
  <si>
    <t>Nợ 2</t>
  </si>
  <si>
    <t>Nợ T3, T4</t>
  </si>
  <si>
    <t>Công nợ T04/25</t>
  </si>
  <si>
    <t>Nợ T2, T3,4</t>
  </si>
  <si>
    <t>Nợ T2,T3 Trả T4</t>
  </si>
  <si>
    <t>CTL25001</t>
  </si>
  <si>
    <t>Nợ T4</t>
  </si>
  <si>
    <t>Công nợ phải thu tháng 04</t>
  </si>
  <si>
    <t>Nợ T12,2,4</t>
  </si>
  <si>
    <t>Phát sinh công nợ phải thu T04.25</t>
  </si>
  <si>
    <t>VNG2504001</t>
  </si>
  <si>
    <t>GBN VTA2504001</t>
  </si>
  <si>
    <t>Phát sinh công nợ T04/25</t>
  </si>
  <si>
    <t>Phát sinh công nợ phải trả T04</t>
  </si>
  <si>
    <t>Trả T4</t>
  </si>
  <si>
    <t>Phát sinh công nợ phải trả T4</t>
  </si>
  <si>
    <t>Vượng Phát</t>
  </si>
  <si>
    <t>Phát sinh công nợ phải trả Vượng Phát 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</si>
</sst>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_(* #,##0.0_);_(* \(#,##0.0\);_(* &quot;-&quot;?_);_(@_)"/>
    <numFmt numFmtId="167" formatCode="d/m/yy;@"/>
  </numFmts>
  <fonts count="3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i/>
      <sz val="12"/>
      <color rgb="FFFF0000"/>
      <name val="Times New Roman"/>
      <family val="1"/>
    </font>
    <font>
      <i/>
      <sz val="11"/>
      <color rgb="FFFF0000"/>
      <name val="Calibri"/>
      <family val="2"/>
      <scheme val="minor"/>
    </font>
    <font>
      <i/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u/>
      <sz val="11"/>
      <color theme="10"/>
      <name val="Times New Roman"/>
      <family val="1"/>
    </font>
    <font>
      <sz val="11"/>
      <color theme="10"/>
      <name val="Calibri"/>
      <family val="2"/>
      <scheme val="minor"/>
    </font>
    <font>
      <sz val="11"/>
      <color rgb="FF001A33"/>
      <name val="Segoe UI"/>
      <family val="2"/>
    </font>
    <font>
      <i/>
      <sz val="11"/>
      <color rgb="FFFF0000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7" fillId="0" borderId="0"/>
  </cellStyleXfs>
  <cellXfs count="429">
    <xf numFmtId="0" fontId="0" fillId="0" borderId="0" xfId="0"/>
    <xf numFmtId="0" fontId="1" fillId="0" borderId="0" xfId="1"/>
    <xf numFmtId="164" fontId="0" fillId="0" borderId="0" xfId="2" applyNumberFormat="1" applyFont="1"/>
    <xf numFmtId="14" fontId="0" fillId="0" borderId="0" xfId="2" applyNumberFormat="1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6" xfId="2" applyNumberFormat="1" applyFont="1" applyFill="1" applyBorder="1" applyAlignment="1">
      <alignment horizontal="center" vertical="center"/>
    </xf>
    <xf numFmtId="164" fontId="4" fillId="0" borderId="6" xfId="2" applyNumberFormat="1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4" fontId="0" fillId="3" borderId="2" xfId="2" applyNumberFormat="1" applyFont="1" applyFill="1" applyBorder="1" applyAlignment="1">
      <alignment horizontal="center" vertical="center"/>
    </xf>
    <xf numFmtId="164" fontId="4" fillId="3" borderId="2" xfId="2" applyNumberFormat="1" applyFont="1" applyFill="1" applyBorder="1" applyAlignment="1">
      <alignment horizontal="center" vertical="center"/>
    </xf>
    <xf numFmtId="14" fontId="4" fillId="3" borderId="8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0" fillId="3" borderId="10" xfId="2" applyNumberFormat="1" applyFont="1" applyFill="1" applyBorder="1" applyAlignment="1">
      <alignment horizontal="center" vertical="center"/>
    </xf>
    <xf numFmtId="164" fontId="4" fillId="3" borderId="10" xfId="2" applyNumberFormat="1" applyFont="1" applyFill="1" applyBorder="1" applyAlignment="1">
      <alignment horizontal="center" vertical="center"/>
    </xf>
    <xf numFmtId="14" fontId="4" fillId="3" borderId="11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4" fillId="3" borderId="5" xfId="2" applyNumberFormat="1" applyFont="1" applyFill="1" applyBorder="1" applyAlignment="1">
      <alignment horizontal="center" vertical="center"/>
    </xf>
    <xf numFmtId="164" fontId="0" fillId="3" borderId="5" xfId="2" applyNumberFormat="1" applyFont="1" applyFill="1" applyBorder="1" applyAlignment="1">
      <alignment horizontal="center" vertical="center"/>
    </xf>
    <xf numFmtId="14" fontId="4" fillId="3" borderId="13" xfId="0" applyNumberFormat="1" applyFont="1" applyFill="1" applyBorder="1" applyAlignment="1">
      <alignment horizontal="center" vertical="center"/>
    </xf>
    <xf numFmtId="164" fontId="10" fillId="3" borderId="2" xfId="2" applyNumberFormat="1" applyFont="1" applyFill="1" applyBorder="1" applyAlignment="1">
      <alignment horizontal="center" vertical="center"/>
    </xf>
    <xf numFmtId="164" fontId="0" fillId="0" borderId="2" xfId="2" applyNumberFormat="1" applyFont="1" applyFill="1" applyBorder="1" applyAlignment="1">
      <alignment horizontal="center" vertical="center"/>
    </xf>
    <xf numFmtId="14" fontId="4" fillId="0" borderId="8" xfId="2" applyNumberFormat="1" applyFont="1" applyFill="1" applyBorder="1" applyAlignment="1">
      <alignment horizontal="left" vertical="center"/>
    </xf>
    <xf numFmtId="164" fontId="4" fillId="0" borderId="9" xfId="0" applyNumberFormat="1" applyFont="1" applyBorder="1" applyAlignment="1">
      <alignment horizontal="center" vertical="center"/>
    </xf>
    <xf numFmtId="164" fontId="5" fillId="0" borderId="10" xfId="2" applyNumberFormat="1" applyFont="1" applyFill="1" applyBorder="1" applyAlignment="1">
      <alignment horizontal="center" vertical="center"/>
    </xf>
    <xf numFmtId="164" fontId="5" fillId="0" borderId="2" xfId="2" applyNumberFormat="1" applyFont="1" applyFill="1" applyBorder="1" applyAlignment="1">
      <alignment horizontal="center" vertical="center"/>
    </xf>
    <xf numFmtId="164" fontId="0" fillId="0" borderId="10" xfId="2" applyNumberFormat="1" applyFont="1" applyFill="1" applyBorder="1" applyAlignment="1">
      <alignment horizontal="center" vertical="center"/>
    </xf>
    <xf numFmtId="14" fontId="4" fillId="0" borderId="11" xfId="2" applyNumberFormat="1" applyFont="1" applyFill="1" applyBorder="1" applyAlignment="1">
      <alignment horizontal="left" vertical="center"/>
    </xf>
    <xf numFmtId="164" fontId="4" fillId="0" borderId="12" xfId="0" applyNumberFormat="1" applyFont="1" applyBorder="1" applyAlignment="1">
      <alignment horizontal="center" vertical="center"/>
    </xf>
    <xf numFmtId="164" fontId="0" fillId="0" borderId="5" xfId="2" applyNumberFormat="1" applyFont="1" applyFill="1" applyBorder="1" applyAlignment="1">
      <alignment horizontal="center" vertical="center"/>
    </xf>
    <xf numFmtId="164" fontId="4" fillId="0" borderId="5" xfId="2" applyNumberFormat="1" applyFont="1" applyFill="1" applyBorder="1" applyAlignment="1">
      <alignment horizontal="center" vertical="center"/>
    </xf>
    <xf numFmtId="14" fontId="4" fillId="0" borderId="13" xfId="2" applyNumberFormat="1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left" vertical="center"/>
    </xf>
    <xf numFmtId="14" fontId="4" fillId="3" borderId="10" xfId="0" applyNumberFormat="1" applyFont="1" applyFill="1" applyBorder="1" applyAlignment="1">
      <alignment horizontal="left" vertical="center"/>
    </xf>
    <xf numFmtId="164" fontId="0" fillId="4" borderId="2" xfId="2" applyNumberFormat="1" applyFont="1" applyFill="1" applyBorder="1" applyAlignment="1">
      <alignment vertical="center"/>
    </xf>
    <xf numFmtId="14" fontId="4" fillId="4" borderId="10" xfId="0" applyNumberFormat="1" applyFont="1" applyFill="1" applyBorder="1" applyAlignment="1">
      <alignment vertical="center"/>
    </xf>
    <xf numFmtId="164" fontId="0" fillId="4" borderId="10" xfId="2" applyNumberFormat="1" applyFont="1" applyFill="1" applyBorder="1" applyAlignment="1">
      <alignment vertical="center"/>
    </xf>
    <xf numFmtId="164" fontId="0" fillId="4" borderId="5" xfId="2" applyNumberFormat="1" applyFont="1" applyFill="1" applyBorder="1" applyAlignment="1">
      <alignment vertical="center"/>
    </xf>
    <xf numFmtId="164" fontId="2" fillId="3" borderId="2" xfId="2" applyNumberFormat="1" applyFont="1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164" fontId="2" fillId="3" borderId="10" xfId="2" applyNumberFormat="1" applyFont="1" applyFill="1" applyBorder="1" applyAlignment="1">
      <alignment horizontal="center" vertical="center"/>
    </xf>
    <xf numFmtId="164" fontId="2" fillId="3" borderId="5" xfId="2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164" fontId="0" fillId="3" borderId="2" xfId="2" applyNumberFormat="1" applyFont="1" applyFill="1" applyBorder="1" applyAlignment="1">
      <alignment vertical="center"/>
    </xf>
    <xf numFmtId="164" fontId="0" fillId="3" borderId="2" xfId="0" applyNumberFormat="1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164" fontId="0" fillId="3" borderId="10" xfId="2" applyNumberFormat="1" applyFont="1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164" fontId="0" fillId="3" borderId="5" xfId="2" applyNumberFormat="1" applyFon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164" fontId="2" fillId="0" borderId="10" xfId="2" applyNumberFormat="1" applyFont="1" applyFill="1" applyBorder="1" applyAlignment="1">
      <alignment horizontal="center" vertical="center"/>
    </xf>
    <xf numFmtId="164" fontId="4" fillId="0" borderId="10" xfId="2" applyNumberFormat="1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left" vertical="center"/>
    </xf>
    <xf numFmtId="164" fontId="0" fillId="3" borderId="2" xfId="0" applyNumberForma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left" vertical="center"/>
    </xf>
    <xf numFmtId="164" fontId="0" fillId="3" borderId="10" xfId="0" applyNumberForma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2" fillId="0" borderId="5" xfId="2" applyNumberFormat="1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left" vertical="center"/>
    </xf>
    <xf numFmtId="164" fontId="0" fillId="3" borderId="5" xfId="0" applyNumberForma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2" fillId="0" borderId="2" xfId="2" applyNumberFormat="1" applyFont="1" applyFill="1" applyBorder="1" applyAlignment="1">
      <alignment horizontal="center" vertical="center"/>
    </xf>
    <xf numFmtId="164" fontId="4" fillId="0" borderId="2" xfId="2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4" borderId="2" xfId="2" applyNumberFormat="1" applyFont="1" applyFill="1" applyBorder="1" applyAlignment="1">
      <alignment horizontal="center" vertical="center"/>
    </xf>
    <xf numFmtId="164" fontId="4" fillId="4" borderId="2" xfId="2" applyNumberFormat="1" applyFont="1" applyFill="1" applyBorder="1" applyAlignment="1">
      <alignment horizontal="center" vertical="center"/>
    </xf>
    <xf numFmtId="164" fontId="0" fillId="4" borderId="2" xfId="2" applyNumberFormat="1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left" vertical="center"/>
    </xf>
    <xf numFmtId="164" fontId="2" fillId="4" borderId="10" xfId="2" applyNumberFormat="1" applyFont="1" applyFill="1" applyBorder="1" applyAlignment="1">
      <alignment horizontal="center" vertical="center"/>
    </xf>
    <xf numFmtId="164" fontId="4" fillId="4" borderId="10" xfId="2" applyNumberFormat="1" applyFont="1" applyFill="1" applyBorder="1" applyAlignment="1">
      <alignment horizontal="center" vertical="center"/>
    </xf>
    <xf numFmtId="164" fontId="0" fillId="4" borderId="10" xfId="2" applyNumberFormat="1" applyFont="1" applyFill="1" applyBorder="1" applyAlignment="1">
      <alignment horizontal="center" vertical="center"/>
    </xf>
    <xf numFmtId="14" fontId="4" fillId="4" borderId="10" xfId="0" applyNumberFormat="1" applyFont="1" applyFill="1" applyBorder="1" applyAlignment="1">
      <alignment horizontal="left" vertical="center"/>
    </xf>
    <xf numFmtId="14" fontId="4" fillId="0" borderId="8" xfId="0" applyNumberFormat="1" applyFont="1" applyBorder="1" applyAlignment="1">
      <alignment horizontal="left" vertical="center"/>
    </xf>
    <xf numFmtId="14" fontId="4" fillId="0" borderId="11" xfId="0" quotePrefix="1" applyNumberFormat="1" applyFont="1" applyBorder="1" applyAlignment="1">
      <alignment horizontal="left" vertical="center"/>
    </xf>
    <xf numFmtId="14" fontId="4" fillId="0" borderId="11" xfId="0" applyNumberFormat="1" applyFont="1" applyBorder="1" applyAlignment="1">
      <alignment horizontal="left" vertical="center"/>
    </xf>
    <xf numFmtId="164" fontId="2" fillId="0" borderId="6" xfId="2" applyNumberFormat="1" applyFont="1" applyFill="1" applyBorder="1" applyAlignment="1">
      <alignment horizontal="center" vertical="center"/>
    </xf>
    <xf numFmtId="14" fontId="4" fillId="0" borderId="6" xfId="2" applyNumberFormat="1" applyFont="1" applyFill="1" applyBorder="1" applyAlignment="1">
      <alignment horizontal="left" vertical="center"/>
    </xf>
    <xf numFmtId="164" fontId="0" fillId="3" borderId="6" xfId="0" applyNumberFormat="1" applyFill="1" applyBorder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right" vertical="center"/>
    </xf>
    <xf numFmtId="14" fontId="4" fillId="0" borderId="0" xfId="0" applyNumberFormat="1" applyFont="1" applyAlignment="1">
      <alignment horizontal="center" vertical="center"/>
    </xf>
    <xf numFmtId="165" fontId="4" fillId="0" borderId="10" xfId="2" applyNumberFormat="1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164" fontId="0" fillId="3" borderId="11" xfId="2" applyNumberFormat="1" applyFont="1" applyFill="1" applyBorder="1" applyAlignment="1">
      <alignment horizontal="center" vertical="center"/>
    </xf>
    <xf numFmtId="14" fontId="4" fillId="3" borderId="8" xfId="0" applyNumberFormat="1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164" fontId="0" fillId="0" borderId="10" xfId="2" applyNumberFormat="1" applyFont="1" applyFill="1" applyBorder="1" applyAlignment="1">
      <alignment vertical="center"/>
    </xf>
    <xf numFmtId="164" fontId="0" fillId="0" borderId="11" xfId="2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4" fontId="4" fillId="0" borderId="0" xfId="2" applyNumberFormat="1" applyFont="1" applyFill="1" applyBorder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0" fontId="0" fillId="0" borderId="5" xfId="0" applyBorder="1" applyAlignment="1">
      <alignment vertical="center"/>
    </xf>
    <xf numFmtId="164" fontId="0" fillId="0" borderId="5" xfId="2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14" fontId="4" fillId="0" borderId="2" xfId="2" applyNumberFormat="1" applyFont="1" applyFill="1" applyBorder="1" applyAlignment="1">
      <alignment horizontal="left" vertical="center"/>
    </xf>
    <xf numFmtId="14" fontId="4" fillId="0" borderId="5" xfId="2" applyNumberFormat="1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14" fontId="4" fillId="0" borderId="10" xfId="2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64" fontId="2" fillId="3" borderId="2" xfId="2" applyNumberFormat="1" applyFont="1" applyFill="1" applyBorder="1" applyAlignment="1">
      <alignment horizontal="right"/>
    </xf>
    <xf numFmtId="14" fontId="4" fillId="3" borderId="2" xfId="2" applyNumberFormat="1" applyFont="1" applyFill="1" applyBorder="1" applyAlignment="1">
      <alignment horizontal="left" vertical="center"/>
    </xf>
    <xf numFmtId="14" fontId="4" fillId="3" borderId="10" xfId="2" applyNumberFormat="1" applyFont="1" applyFill="1" applyBorder="1" applyAlignment="1">
      <alignment horizontal="left" vertical="center"/>
    </xf>
    <xf numFmtId="3" fontId="0" fillId="3" borderId="5" xfId="0" applyNumberFormat="1" applyFill="1" applyBorder="1" applyAlignment="1">
      <alignment horizontal="right"/>
    </xf>
    <xf numFmtId="3" fontId="0" fillId="3" borderId="0" xfId="0" applyNumberFormat="1" applyFill="1" applyAlignment="1">
      <alignment horizontal="right" vertical="center"/>
    </xf>
    <xf numFmtId="3" fontId="0" fillId="3" borderId="5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14" fontId="4" fillId="3" borderId="5" xfId="2" applyNumberFormat="1" applyFont="1" applyFill="1" applyBorder="1" applyAlignment="1">
      <alignment horizontal="left" vertical="center"/>
    </xf>
    <xf numFmtId="164" fontId="4" fillId="0" borderId="5" xfId="2" applyNumberFormat="1" applyFont="1" applyFill="1" applyBorder="1" applyAlignment="1">
      <alignment horizontal="left" vertical="center"/>
    </xf>
    <xf numFmtId="164" fontId="0" fillId="0" borderId="8" xfId="2" applyNumberFormat="1" applyFont="1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3" xfId="2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3" fontId="4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14" fontId="4" fillId="3" borderId="11" xfId="0" applyNumberFormat="1" applyFont="1" applyFill="1" applyBorder="1" applyAlignment="1">
      <alignment horizontal="left" vertical="center"/>
    </xf>
    <xf numFmtId="164" fontId="0" fillId="3" borderId="13" xfId="2" applyNumberFormat="1" applyFont="1" applyFill="1" applyBorder="1" applyAlignment="1">
      <alignment horizontal="center" vertical="center"/>
    </xf>
    <xf numFmtId="14" fontId="4" fillId="3" borderId="13" xfId="0" applyNumberFormat="1" applyFont="1" applyFill="1" applyBorder="1" applyAlignment="1">
      <alignment horizontal="left" vertical="center"/>
    </xf>
    <xf numFmtId="0" fontId="4" fillId="3" borderId="5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vertical="center"/>
    </xf>
    <xf numFmtId="164" fontId="0" fillId="4" borderId="5" xfId="2" applyNumberFormat="1" applyFont="1" applyFill="1" applyBorder="1" applyAlignment="1">
      <alignment horizontal="center" vertical="center"/>
    </xf>
    <xf numFmtId="164" fontId="2" fillId="4" borderId="5" xfId="2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164" fontId="4" fillId="4" borderId="10" xfId="0" applyNumberFormat="1" applyFont="1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164" fontId="0" fillId="4" borderId="10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4" fontId="0" fillId="3" borderId="6" xfId="0" applyNumberFormat="1" applyFill="1" applyBorder="1"/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164" fontId="0" fillId="0" borderId="14" xfId="2" applyNumberFormat="1" applyFont="1" applyFill="1" applyBorder="1" applyAlignment="1">
      <alignment horizontal="center" vertical="center"/>
    </xf>
    <xf numFmtId="164" fontId="2" fillId="0" borderId="14" xfId="2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left" vertical="center"/>
    </xf>
    <xf numFmtId="164" fontId="0" fillId="3" borderId="14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5" xfId="2" applyNumberFormat="1" applyFont="1" applyFill="1" applyBorder="1" applyAlignment="1">
      <alignment horizontal="center" vertical="center"/>
    </xf>
    <xf numFmtId="164" fontId="2" fillId="0" borderId="15" xfId="2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0" fillId="3" borderId="15" xfId="0" applyFill="1" applyBorder="1" applyAlignment="1">
      <alignment horizontal="center" vertical="center"/>
    </xf>
    <xf numFmtId="164" fontId="2" fillId="3" borderId="14" xfId="2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64" fontId="0" fillId="3" borderId="14" xfId="2" applyNumberFormat="1" applyFont="1" applyFill="1" applyBorder="1" applyAlignment="1">
      <alignment horizontal="center" vertical="center"/>
    </xf>
    <xf numFmtId="14" fontId="4" fillId="3" borderId="14" xfId="0" applyNumberFormat="1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164" fontId="2" fillId="3" borderId="15" xfId="2" applyNumberFormat="1" applyFont="1" applyFill="1" applyBorder="1" applyAlignment="1">
      <alignment horizontal="center" vertical="center"/>
    </xf>
    <xf numFmtId="164" fontId="2" fillId="3" borderId="16" xfId="2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64" fontId="2" fillId="3" borderId="17" xfId="2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164" fontId="0" fillId="3" borderId="17" xfId="2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164" fontId="0" fillId="3" borderId="6" xfId="2" applyNumberFormat="1" applyFont="1" applyFill="1" applyBorder="1"/>
    <xf numFmtId="164" fontId="2" fillId="3" borderId="6" xfId="2" applyNumberFormat="1" applyFont="1" applyFill="1" applyBorder="1"/>
    <xf numFmtId="164" fontId="4" fillId="3" borderId="6" xfId="2" applyNumberFormat="1" applyFont="1" applyFill="1" applyBorder="1"/>
    <xf numFmtId="14" fontId="4" fillId="3" borderId="6" xfId="0" applyNumberFormat="1" applyFont="1" applyFill="1" applyBorder="1" applyAlignment="1">
      <alignment horizontal="left"/>
    </xf>
    <xf numFmtId="164" fontId="4" fillId="3" borderId="6" xfId="0" applyNumberFormat="1" applyFont="1" applyFill="1" applyBorder="1"/>
    <xf numFmtId="3" fontId="4" fillId="3" borderId="4" xfId="0" applyNumberFormat="1" applyFont="1" applyFill="1" applyBorder="1" applyAlignment="1">
      <alignment horizontal="center"/>
    </xf>
    <xf numFmtId="3" fontId="0" fillId="3" borderId="0" xfId="0" applyNumberFormat="1" applyFill="1"/>
    <xf numFmtId="3" fontId="0" fillId="0" borderId="0" xfId="0" applyNumberFormat="1"/>
    <xf numFmtId="0" fontId="0" fillId="3" borderId="6" xfId="0" applyFill="1" applyBorder="1" applyAlignment="1">
      <alignment horizontal="center" vertical="center"/>
    </xf>
    <xf numFmtId="164" fontId="0" fillId="3" borderId="6" xfId="2" applyNumberFormat="1" applyFont="1" applyFill="1" applyBorder="1" applyAlignment="1">
      <alignment horizontal="center" vertical="center"/>
    </xf>
    <xf numFmtId="164" fontId="2" fillId="3" borderId="6" xfId="2" applyNumberFormat="1" applyFont="1" applyFill="1" applyBorder="1" applyAlignment="1">
      <alignment horizontal="center" vertical="center"/>
    </xf>
    <xf numFmtId="164" fontId="4" fillId="3" borderId="6" xfId="2" applyNumberFormat="1" applyFont="1" applyFill="1" applyBorder="1" applyAlignment="1">
      <alignment horizontal="center" vertical="center"/>
    </xf>
    <xf numFmtId="14" fontId="4" fillId="3" borderId="6" xfId="0" applyNumberFormat="1" applyFont="1" applyFill="1" applyBorder="1" applyAlignment="1">
      <alignment horizontal="left" vertical="center"/>
    </xf>
    <xf numFmtId="3" fontId="0" fillId="3" borderId="6" xfId="0" applyNumberFormat="1" applyFill="1" applyBorder="1" applyAlignment="1">
      <alignment horizontal="right" vertical="center"/>
    </xf>
    <xf numFmtId="164" fontId="2" fillId="3" borderId="18" xfId="2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4" fontId="4" fillId="3" borderId="5" xfId="0" applyNumberFormat="1" applyFont="1" applyFill="1" applyBorder="1" applyAlignment="1">
      <alignment horizontal="left" vertical="center"/>
    </xf>
    <xf numFmtId="164" fontId="10" fillId="3" borderId="5" xfId="2" applyNumberFormat="1" applyFont="1" applyFill="1" applyBorder="1" applyAlignment="1">
      <alignment horizontal="center" vertical="center"/>
    </xf>
    <xf numFmtId="14" fontId="10" fillId="3" borderId="5" xfId="0" applyNumberFormat="1" applyFont="1" applyFill="1" applyBorder="1" applyAlignment="1">
      <alignment horizontal="left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4" borderId="5" xfId="2" applyNumberFormat="1" applyFont="1" applyFill="1" applyBorder="1" applyAlignment="1">
      <alignment horizontal="center" vertical="center"/>
    </xf>
    <xf numFmtId="164" fontId="4" fillId="4" borderId="5" xfId="2" applyNumberFormat="1" applyFont="1" applyFill="1" applyBorder="1" applyAlignment="1">
      <alignment horizontal="center" vertical="center"/>
    </xf>
    <xf numFmtId="14" fontId="10" fillId="4" borderId="5" xfId="0" applyNumberFormat="1" applyFont="1" applyFill="1" applyBorder="1" applyAlignment="1">
      <alignment horizontal="left" vertical="center"/>
    </xf>
    <xf numFmtId="3" fontId="4" fillId="4" borderId="0" xfId="0" applyNumberFormat="1" applyFont="1" applyFill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12" fillId="0" borderId="0" xfId="0" applyNumberFormat="1" applyFont="1"/>
    <xf numFmtId="0" fontId="4" fillId="3" borderId="5" xfId="0" applyFont="1" applyFill="1" applyBorder="1" applyAlignment="1">
      <alignment horizontal="center" vertical="center"/>
    </xf>
    <xf numFmtId="164" fontId="0" fillId="3" borderId="6" xfId="0" applyNumberForma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3" fontId="14" fillId="3" borderId="0" xfId="0" applyNumberFormat="1" applyFont="1" applyFill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164" fontId="0" fillId="3" borderId="0" xfId="2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left" vertical="center"/>
    </xf>
    <xf numFmtId="164" fontId="0" fillId="3" borderId="0" xfId="0" applyNumberForma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7" fillId="0" borderId="0" xfId="0" applyFont="1"/>
    <xf numFmtId="164" fontId="17" fillId="0" borderId="0" xfId="2" applyNumberFormat="1" applyFont="1"/>
    <xf numFmtId="14" fontId="17" fillId="0" borderId="0" xfId="0" applyNumberFormat="1" applyFont="1"/>
    <xf numFmtId="0" fontId="18" fillId="0" borderId="0" xfId="1" applyFont="1"/>
    <xf numFmtId="0" fontId="19" fillId="0" borderId="0" xfId="0" applyFont="1" applyAlignment="1">
      <alignment horizontal="center" vertical="center"/>
    </xf>
    <xf numFmtId="164" fontId="19" fillId="0" borderId="0" xfId="2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/>
    <xf numFmtId="43" fontId="0" fillId="0" borderId="0" xfId="2" applyFont="1"/>
    <xf numFmtId="43" fontId="0" fillId="0" borderId="0" xfId="0" applyNumberFormat="1"/>
    <xf numFmtId="164" fontId="0" fillId="0" borderId="0" xfId="0" applyNumberFormat="1"/>
    <xf numFmtId="0" fontId="4" fillId="0" borderId="0" xfId="0" applyFont="1"/>
    <xf numFmtId="164" fontId="0" fillId="0" borderId="0" xfId="2" applyNumberFormat="1" applyFont="1" applyFill="1" applyAlignment="1">
      <alignment horizontal="center" vertical="center"/>
    </xf>
    <xf numFmtId="0" fontId="0" fillId="0" borderId="0" xfId="0" quotePrefix="1"/>
    <xf numFmtId="0" fontId="12" fillId="0" borderId="0" xfId="0" applyFont="1"/>
    <xf numFmtId="0" fontId="21" fillId="0" borderId="0" xfId="0" applyFont="1"/>
    <xf numFmtId="164" fontId="19" fillId="0" borderId="0" xfId="2" applyNumberFormat="1" applyFont="1"/>
    <xf numFmtId="0" fontId="19" fillId="0" borderId="0" xfId="0" applyFont="1"/>
    <xf numFmtId="0" fontId="23" fillId="0" borderId="0" xfId="0" applyFont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14" fontId="0" fillId="0" borderId="0" xfId="0" applyNumberFormat="1" applyAlignment="1">
      <alignment horizontal="center"/>
    </xf>
    <xf numFmtId="164" fontId="17" fillId="3" borderId="0" xfId="2" applyNumberFormat="1" applyFont="1" applyFill="1"/>
    <xf numFmtId="164" fontId="3" fillId="0" borderId="0" xfId="2" applyNumberFormat="1" applyFont="1"/>
    <xf numFmtId="164" fontId="24" fillId="3" borderId="0" xfId="2" applyNumberFormat="1" applyFont="1" applyFill="1"/>
    <xf numFmtId="0" fontId="21" fillId="3" borderId="0" xfId="0" applyFont="1" applyFill="1"/>
    <xf numFmtId="0" fontId="1" fillId="3" borderId="0" xfId="1" applyFill="1"/>
    <xf numFmtId="164" fontId="0" fillId="0" borderId="6" xfId="2" applyNumberFormat="1" applyFont="1" applyBorder="1"/>
    <xf numFmtId="0" fontId="0" fillId="0" borderId="6" xfId="0" applyBorder="1"/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3" fillId="0" borderId="6" xfId="2" applyNumberFormat="1" applyFont="1" applyBorder="1" applyAlignment="1">
      <alignment vertical="center"/>
    </xf>
    <xf numFmtId="14" fontId="0" fillId="0" borderId="6" xfId="0" applyNumberFormat="1" applyBorder="1"/>
    <xf numFmtId="164" fontId="3" fillId="0" borderId="6" xfId="2" applyNumberFormat="1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/>
    </xf>
    <xf numFmtId="0" fontId="10" fillId="0" borderId="6" xfId="0" applyFont="1" applyBorder="1"/>
    <xf numFmtId="164" fontId="10" fillId="0" borderId="6" xfId="2" applyNumberFormat="1" applyFont="1" applyBorder="1"/>
    <xf numFmtId="0" fontId="4" fillId="0" borderId="6" xfId="0" applyFont="1" applyBorder="1"/>
    <xf numFmtId="164" fontId="4" fillId="0" borderId="6" xfId="2" applyNumberFormat="1" applyFont="1" applyBorder="1"/>
    <xf numFmtId="0" fontId="0" fillId="0" borderId="6" xfId="0" applyBorder="1" applyAlignment="1">
      <alignment wrapText="1"/>
    </xf>
    <xf numFmtId="164" fontId="2" fillId="0" borderId="6" xfId="2" applyNumberFormat="1" applyFont="1" applyBorder="1"/>
    <xf numFmtId="164" fontId="2" fillId="0" borderId="6" xfId="2" applyNumberFormat="1" applyFont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0" fillId="3" borderId="6" xfId="0" applyFill="1" applyBorder="1"/>
    <xf numFmtId="164" fontId="22" fillId="0" borderId="6" xfId="2" applyNumberFormat="1" applyFont="1" applyBorder="1"/>
    <xf numFmtId="14" fontId="0" fillId="3" borderId="6" xfId="0" applyNumberFormat="1" applyFill="1" applyBorder="1" applyAlignment="1">
      <alignment horizontal="center"/>
    </xf>
    <xf numFmtId="0" fontId="0" fillId="3" borderId="6" xfId="0" applyFill="1" applyBorder="1" applyAlignment="1">
      <alignment wrapText="1"/>
    </xf>
    <xf numFmtId="164" fontId="0" fillId="0" borderId="6" xfId="2" applyNumberFormat="1" applyFont="1" applyFill="1" applyBorder="1"/>
    <xf numFmtId="14" fontId="0" fillId="0" borderId="6" xfId="0" applyNumberFormat="1" applyBorder="1" applyAlignment="1">
      <alignment horizontal="center" vertical="center"/>
    </xf>
    <xf numFmtId="0" fontId="0" fillId="4" borderId="6" xfId="0" applyFill="1" applyBorder="1"/>
    <xf numFmtId="0" fontId="3" fillId="0" borderId="6" xfId="0" applyFont="1" applyBorder="1" applyAlignment="1">
      <alignment horizontal="center" vertical="center"/>
    </xf>
    <xf numFmtId="164" fontId="0" fillId="0" borderId="6" xfId="0" applyNumberFormat="1" applyBorder="1"/>
    <xf numFmtId="164" fontId="3" fillId="0" borderId="6" xfId="0" applyNumberFormat="1" applyFont="1" applyBorder="1"/>
    <xf numFmtId="164" fontId="3" fillId="0" borderId="6" xfId="2" applyNumberFormat="1" applyFont="1" applyBorder="1"/>
    <xf numFmtId="164" fontId="25" fillId="0" borderId="0" xfId="2" applyNumberFormat="1" applyFont="1"/>
    <xf numFmtId="164" fontId="0" fillId="4" borderId="6" xfId="2" applyNumberFormat="1" applyFont="1" applyFill="1" applyBorder="1"/>
    <xf numFmtId="0" fontId="1" fillId="0" borderId="0" xfId="1" quotePrefix="1" applyFill="1"/>
    <xf numFmtId="164" fontId="17" fillId="0" borderId="0" xfId="2" applyNumberFormat="1" applyFont="1" applyFill="1"/>
    <xf numFmtId="0" fontId="1" fillId="0" borderId="0" xfId="1" applyFill="1"/>
    <xf numFmtId="0" fontId="18" fillId="0" borderId="0" xfId="1" applyFont="1" applyFill="1"/>
    <xf numFmtId="164" fontId="26" fillId="0" borderId="0" xfId="2" applyNumberFormat="1" applyFont="1"/>
    <xf numFmtId="164" fontId="17" fillId="0" borderId="0" xfId="2" applyNumberFormat="1" applyFont="1" applyBorder="1"/>
    <xf numFmtId="164" fontId="17" fillId="0" borderId="0" xfId="2" applyNumberFormat="1" applyFont="1" applyFill="1" applyBorder="1"/>
    <xf numFmtId="164" fontId="17" fillId="0" borderId="19" xfId="2" applyNumberFormat="1" applyFont="1" applyBorder="1"/>
    <xf numFmtId="14" fontId="0" fillId="4" borderId="6" xfId="0" applyNumberFormat="1" applyFill="1" applyBorder="1" applyAlignment="1">
      <alignment horizontal="center"/>
    </xf>
    <xf numFmtId="166" fontId="0" fillId="0" borderId="0" xfId="0" applyNumberFormat="1"/>
    <xf numFmtId="0" fontId="28" fillId="0" borderId="6" xfId="3" applyFont="1" applyBorder="1" applyAlignment="1">
      <alignment horizontal="left" vertical="center" wrapText="1"/>
    </xf>
    <xf numFmtId="0" fontId="28" fillId="0" borderId="2" xfId="3" applyFont="1" applyBorder="1" applyAlignment="1">
      <alignment horizontal="left" vertical="center" wrapText="1"/>
    </xf>
    <xf numFmtId="0" fontId="29" fillId="0" borderId="0" xfId="1" applyFont="1"/>
    <xf numFmtId="0" fontId="25" fillId="0" borderId="0" xfId="0" applyFont="1"/>
    <xf numFmtId="14" fontId="25" fillId="0" borderId="0" xfId="2" applyNumberFormat="1" applyFont="1"/>
    <xf numFmtId="164" fontId="26" fillId="0" borderId="6" xfId="2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14" fontId="25" fillId="0" borderId="6" xfId="0" applyNumberFormat="1" applyFont="1" applyBorder="1" applyAlignment="1">
      <alignment horizontal="center"/>
    </xf>
    <xf numFmtId="0" fontId="25" fillId="0" borderId="6" xfId="0" applyFont="1" applyBorder="1"/>
    <xf numFmtId="164" fontId="25" fillId="0" borderId="6" xfId="2" applyNumberFormat="1" applyFont="1" applyBorder="1"/>
    <xf numFmtId="0" fontId="25" fillId="0" borderId="6" xfId="0" applyFont="1" applyBorder="1" applyAlignment="1">
      <alignment wrapText="1"/>
    </xf>
    <xf numFmtId="14" fontId="25" fillId="0" borderId="6" xfId="0" applyNumberFormat="1" applyFont="1" applyBorder="1"/>
    <xf numFmtId="164" fontId="25" fillId="0" borderId="0" xfId="0" applyNumberFormat="1" applyFont="1"/>
    <xf numFmtId="164" fontId="25" fillId="0" borderId="6" xfId="2" applyNumberFormat="1" applyFont="1" applyFill="1" applyBorder="1"/>
    <xf numFmtId="0" fontId="18" fillId="3" borderId="0" xfId="1" applyFont="1" applyFill="1"/>
    <xf numFmtId="167" fontId="25" fillId="0" borderId="6" xfId="0" applyNumberFormat="1" applyFont="1" applyBorder="1" applyAlignment="1">
      <alignment horizontal="center"/>
    </xf>
    <xf numFmtId="0" fontId="30" fillId="0" borderId="20" xfId="1" quotePrefix="1" applyFont="1" applyFill="1" applyBorder="1"/>
    <xf numFmtId="0" fontId="0" fillId="0" borderId="3" xfId="0" applyBorder="1" applyAlignment="1">
      <alignment horizontal="center"/>
    </xf>
    <xf numFmtId="164" fontId="3" fillId="0" borderId="6" xfId="2" applyNumberFormat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31" fillId="0" borderId="0" xfId="0" applyFont="1"/>
    <xf numFmtId="164" fontId="2" fillId="4" borderId="6" xfId="2" applyNumberFormat="1" applyFont="1" applyFill="1" applyBorder="1" applyAlignment="1">
      <alignment horizontal="center"/>
    </xf>
    <xf numFmtId="164" fontId="23" fillId="0" borderId="0" xfId="2" applyNumberFormat="1" applyFont="1"/>
    <xf numFmtId="0" fontId="6" fillId="0" borderId="0" xfId="0" applyFont="1"/>
    <xf numFmtId="164" fontId="23" fillId="0" borderId="0" xfId="2" applyNumberFormat="1" applyFont="1" applyFill="1"/>
    <xf numFmtId="164" fontId="25" fillId="4" borderId="6" xfId="2" applyNumberFormat="1" applyFont="1" applyFill="1" applyBorder="1"/>
    <xf numFmtId="164" fontId="22" fillId="0" borderId="6" xfId="2" applyNumberFormat="1" applyFont="1" applyFill="1" applyBorder="1"/>
    <xf numFmtId="16" fontId="0" fillId="0" borderId="6" xfId="0" applyNumberFormat="1" applyBorder="1"/>
    <xf numFmtId="0" fontId="1" fillId="5" borderId="0" xfId="1" applyFill="1"/>
    <xf numFmtId="164" fontId="17" fillId="5" borderId="0" xfId="2" applyNumberFormat="1" applyFont="1" applyFill="1"/>
    <xf numFmtId="0" fontId="21" fillId="5" borderId="0" xfId="0" applyFont="1" applyFill="1"/>
    <xf numFmtId="164" fontId="24" fillId="0" borderId="6" xfId="2" applyNumberFormat="1" applyFont="1" applyBorder="1"/>
    <xf numFmtId="0" fontId="0" fillId="0" borderId="10" xfId="0" applyBorder="1"/>
    <xf numFmtId="0" fontId="32" fillId="0" borderId="0" xfId="0" applyFont="1"/>
    <xf numFmtId="0" fontId="1" fillId="0" borderId="0" xfId="1" quotePrefix="1"/>
    <xf numFmtId="164" fontId="0" fillId="4" borderId="0" xfId="0" applyNumberFormat="1" applyFill="1"/>
    <xf numFmtId="0" fontId="0" fillId="0" borderId="6" xfId="0" applyBorder="1" applyAlignment="1">
      <alignment horizontal="left" vertical="center"/>
    </xf>
    <xf numFmtId="0" fontId="0" fillId="0" borderId="4" xfId="0" applyBorder="1"/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64" fontId="0" fillId="3" borderId="2" xfId="2" applyNumberFormat="1" applyFont="1" applyFill="1" applyBorder="1" applyAlignment="1">
      <alignment horizontal="center" vertical="center"/>
    </xf>
    <xf numFmtId="164" fontId="0" fillId="3" borderId="10" xfId="2" applyNumberFormat="1" applyFont="1" applyFill="1" applyBorder="1" applyAlignment="1">
      <alignment horizontal="center" vertical="center"/>
    </xf>
    <xf numFmtId="164" fontId="0" fillId="3" borderId="5" xfId="2" applyNumberFormat="1" applyFon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3" fontId="4" fillId="3" borderId="11" xfId="0" applyNumberFormat="1" applyFont="1" applyFill="1" applyBorder="1" applyAlignment="1">
      <alignment horizontal="center" vertical="center" wrapText="1"/>
    </xf>
    <xf numFmtId="164" fontId="10" fillId="3" borderId="2" xfId="2" applyNumberFormat="1" applyFont="1" applyFill="1" applyBorder="1" applyAlignment="1">
      <alignment horizontal="center" vertical="center"/>
    </xf>
    <xf numFmtId="164" fontId="10" fillId="3" borderId="5" xfId="2" applyNumberFormat="1" applyFont="1" applyFill="1" applyBorder="1" applyAlignment="1">
      <alignment horizontal="center" vertical="center"/>
    </xf>
    <xf numFmtId="164" fontId="10" fillId="3" borderId="2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3" borderId="2" xfId="2" applyNumberFormat="1" applyFont="1" applyFill="1" applyBorder="1" applyAlignment="1">
      <alignment horizontal="center" vertical="center" wrapText="1"/>
    </xf>
    <xf numFmtId="3" fontId="4" fillId="3" borderId="11" xfId="0" applyNumberFormat="1" applyFont="1" applyFill="1" applyBorder="1" applyAlignment="1">
      <alignment horizontal="center" vertical="center"/>
    </xf>
    <xf numFmtId="164" fontId="4" fillId="4" borderId="10" xfId="0" applyNumberFormat="1" applyFont="1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164" fontId="0" fillId="0" borderId="2" xfId="2" applyNumberFormat="1" applyFont="1" applyFill="1" applyBorder="1" applyAlignment="1">
      <alignment horizontal="center" vertical="center"/>
    </xf>
    <xf numFmtId="164" fontId="0" fillId="0" borderId="5" xfId="2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10" xfId="2" applyNumberFormat="1" applyFont="1" applyFill="1" applyBorder="1" applyAlignment="1">
      <alignment horizontal="center" vertical="center"/>
    </xf>
    <xf numFmtId="164" fontId="4" fillId="0" borderId="2" xfId="2" applyNumberFormat="1" applyFont="1" applyFill="1" applyBorder="1" applyAlignment="1">
      <alignment horizontal="center" vertical="center"/>
    </xf>
    <xf numFmtId="164" fontId="4" fillId="0" borderId="10" xfId="2" applyNumberFormat="1" applyFont="1" applyFill="1" applyBorder="1" applyAlignment="1">
      <alignment horizontal="center" vertical="center"/>
    </xf>
    <xf numFmtId="164" fontId="4" fillId="0" borderId="5" xfId="2" applyNumberFormat="1" applyFont="1" applyFill="1" applyBorder="1" applyAlignment="1">
      <alignment horizontal="center" vertical="center"/>
    </xf>
    <xf numFmtId="164" fontId="2" fillId="0" borderId="2" xfId="2" applyNumberFormat="1" applyFont="1" applyFill="1" applyBorder="1" applyAlignment="1">
      <alignment horizontal="center" vertical="center"/>
    </xf>
    <xf numFmtId="164" fontId="2" fillId="0" borderId="10" xfId="2" applyNumberFormat="1" applyFont="1" applyFill="1" applyBorder="1" applyAlignment="1">
      <alignment horizontal="center" vertical="center"/>
    </xf>
    <xf numFmtId="164" fontId="2" fillId="0" borderId="5" xfId="2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4" fontId="0" fillId="4" borderId="2" xfId="2" applyNumberFormat="1" applyFont="1" applyFill="1" applyBorder="1" applyAlignment="1">
      <alignment horizontal="center" vertical="center"/>
    </xf>
    <xf numFmtId="164" fontId="0" fillId="4" borderId="10" xfId="2" applyNumberFormat="1" applyFont="1" applyFill="1" applyBorder="1" applyAlignment="1">
      <alignment horizontal="center" vertical="center"/>
    </xf>
    <xf numFmtId="164" fontId="0" fillId="4" borderId="5" xfId="2" applyNumberFormat="1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4" borderId="10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4" fillId="3" borderId="10" xfId="0" applyNumberFormat="1" applyFont="1" applyFill="1" applyBorder="1" applyAlignment="1">
      <alignment horizontal="center" vertical="center"/>
    </xf>
    <xf numFmtId="14" fontId="4" fillId="3" borderId="5" xfId="0" applyNumberFormat="1" applyFont="1" applyFill="1" applyBorder="1" applyAlignment="1">
      <alignment horizontal="center" vertical="center"/>
    </xf>
    <xf numFmtId="164" fontId="4" fillId="4" borderId="2" xfId="2" applyNumberFormat="1" applyFont="1" applyFill="1" applyBorder="1" applyAlignment="1">
      <alignment horizontal="center" vertical="center"/>
    </xf>
    <xf numFmtId="164" fontId="4" fillId="4" borderId="10" xfId="2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6" xfId="2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164" fontId="0" fillId="0" borderId="6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2" applyNumberFormat="1" applyFont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6" xfId="2" applyNumberFormat="1" applyFont="1" applyBorder="1" applyAlignment="1">
      <alignment horizontal="center"/>
    </xf>
    <xf numFmtId="0" fontId="26" fillId="0" borderId="2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6" xfId="0" applyFont="1" applyBorder="1" applyAlignment="1">
      <alignment horizontal="center" vertical="center"/>
    </xf>
    <xf numFmtId="164" fontId="26" fillId="0" borderId="6" xfId="2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164" fontId="25" fillId="0" borderId="6" xfId="2" applyNumberFormat="1" applyFont="1" applyBorder="1" applyAlignment="1">
      <alignment horizontal="center"/>
    </xf>
  </cellXfs>
  <cellStyles count="4">
    <cellStyle name="Bình thường" xfId="0" builtinId="0"/>
    <cellStyle name="Dấu phẩy" xfId="2" builtinId="3"/>
    <cellStyle name="Normal 2" xfId="3" xr:uid="{00000000-0005-0000-0000-000003000000}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57151</xdr:rowOff>
    </xdr:from>
    <xdr:ext cx="1628776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7151"/>
          <a:ext cx="1628776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8"/>
  <sheetViews>
    <sheetView zoomScaleNormal="100" workbookViewId="0">
      <selection activeCell="F23" sqref="F23:F28"/>
    </sheetView>
  </sheetViews>
  <sheetFormatPr defaultRowHeight="15" x14ac:dyDescent="0.25"/>
  <cols>
    <col min="1" max="1" width="5.5703125" style="4" customWidth="1"/>
    <col min="2" max="2" width="21.140625" style="4" customWidth="1"/>
    <col min="3" max="3" width="17.7109375" style="4" customWidth="1"/>
    <col min="4" max="4" width="15.5703125" style="4" customWidth="1"/>
    <col min="5" max="5" width="31.140625" style="4" customWidth="1"/>
    <col min="6" max="6" width="16.7109375" style="4" customWidth="1"/>
    <col min="7" max="7" width="15.28515625" style="4" customWidth="1"/>
    <col min="8" max="8" width="17.85546875" style="136" customWidth="1"/>
    <col min="9" max="9" width="26.28515625" style="5" customWidth="1"/>
    <col min="10" max="10" width="30" style="5" customWidth="1"/>
    <col min="11" max="11" width="20.28515625" style="4" customWidth="1"/>
    <col min="12" max="12" width="17.28515625" style="4" customWidth="1"/>
    <col min="13" max="13" width="15.85546875" style="6" customWidth="1"/>
    <col min="14" max="16384" width="9.140625" style="4"/>
  </cols>
  <sheetData>
    <row r="1" spans="1:13" x14ac:dyDescent="0.25">
      <c r="H1" s="4"/>
    </row>
    <row r="2" spans="1:13" x14ac:dyDescent="0.25">
      <c r="H2" s="4"/>
    </row>
    <row r="3" spans="1:13" x14ac:dyDescent="0.25">
      <c r="H3" s="4"/>
    </row>
    <row r="4" spans="1:13" x14ac:dyDescent="0.25">
      <c r="C4" s="7" t="s">
        <v>35</v>
      </c>
      <c r="H4" s="4"/>
    </row>
    <row r="5" spans="1:13" x14ac:dyDescent="0.25">
      <c r="A5" s="402" t="s">
        <v>36</v>
      </c>
      <c r="B5" s="402"/>
      <c r="C5" s="402"/>
      <c r="D5" s="402"/>
      <c r="E5" s="402"/>
      <c r="F5" s="402"/>
      <c r="G5" s="402"/>
      <c r="H5" s="402"/>
    </row>
    <row r="6" spans="1:13" x14ac:dyDescent="0.25">
      <c r="A6" s="403" t="s">
        <v>37</v>
      </c>
      <c r="B6" s="403"/>
      <c r="C6" s="403" t="s">
        <v>38</v>
      </c>
      <c r="D6" s="403"/>
      <c r="E6" s="403"/>
      <c r="F6" s="403"/>
      <c r="G6" s="403"/>
      <c r="H6" s="403"/>
    </row>
    <row r="7" spans="1:13" ht="23.25" x14ac:dyDescent="0.25">
      <c r="A7" s="404" t="s">
        <v>552</v>
      </c>
      <c r="B7" s="404"/>
      <c r="C7" s="404"/>
      <c r="D7" s="404"/>
      <c r="E7" s="404"/>
      <c r="F7" s="404"/>
      <c r="G7" s="404"/>
      <c r="H7" s="404"/>
      <c r="I7" s="404"/>
    </row>
    <row r="8" spans="1:13" s="9" customFormat="1" ht="15.75" x14ac:dyDescent="0.25">
      <c r="A8" s="405" t="s">
        <v>0</v>
      </c>
      <c r="B8" s="405" t="s">
        <v>39</v>
      </c>
      <c r="C8" s="405" t="s">
        <v>40</v>
      </c>
      <c r="D8" s="407" t="s">
        <v>41</v>
      </c>
      <c r="E8" s="408"/>
      <c r="F8" s="407" t="s">
        <v>42</v>
      </c>
      <c r="G8" s="408"/>
      <c r="H8" s="405" t="s">
        <v>43</v>
      </c>
      <c r="I8" s="400" t="s">
        <v>44</v>
      </c>
      <c r="J8" s="8"/>
      <c r="M8" s="10"/>
    </row>
    <row r="9" spans="1:13" x14ac:dyDescent="0.25">
      <c r="A9" s="406"/>
      <c r="B9" s="406"/>
      <c r="C9" s="406"/>
      <c r="D9" s="11" t="s">
        <v>45</v>
      </c>
      <c r="E9" s="12" t="s">
        <v>46</v>
      </c>
      <c r="F9" s="13" t="s">
        <v>45</v>
      </c>
      <c r="G9" s="14" t="s">
        <v>47</v>
      </c>
      <c r="H9" s="406"/>
      <c r="I9" s="401"/>
    </row>
    <row r="10" spans="1:13" x14ac:dyDescent="0.25">
      <c r="A10" s="15"/>
      <c r="B10" s="15"/>
      <c r="C10" s="16"/>
      <c r="D10" s="17"/>
      <c r="E10" s="18"/>
      <c r="F10" s="16"/>
      <c r="G10" s="19"/>
      <c r="H10" s="20"/>
      <c r="I10" s="21"/>
      <c r="J10" s="22"/>
    </row>
    <row r="11" spans="1:13" x14ac:dyDescent="0.25">
      <c r="A11" s="362">
        <v>1</v>
      </c>
      <c r="B11" s="362" t="s">
        <v>48</v>
      </c>
      <c r="C11" s="339">
        <v>950</v>
      </c>
      <c r="D11" s="23"/>
      <c r="E11" s="24"/>
      <c r="F11" s="23"/>
      <c r="G11" s="25"/>
      <c r="H11" s="344">
        <f>C11+SUM(D11:D13)-SUM(F11:F13)</f>
        <v>950</v>
      </c>
      <c r="I11" s="26"/>
      <c r="J11" s="22"/>
      <c r="K11" s="368"/>
    </row>
    <row r="12" spans="1:13" x14ac:dyDescent="0.25">
      <c r="A12" s="367"/>
      <c r="B12" s="367"/>
      <c r="C12" s="340"/>
      <c r="D12" s="27"/>
      <c r="E12" s="28"/>
      <c r="F12" s="27"/>
      <c r="G12" s="29"/>
      <c r="H12" s="342"/>
      <c r="I12" s="30"/>
      <c r="J12" s="22"/>
      <c r="K12" s="368"/>
    </row>
    <row r="13" spans="1:13" x14ac:dyDescent="0.25">
      <c r="A13" s="363"/>
      <c r="B13" s="363"/>
      <c r="C13" s="341"/>
      <c r="D13" s="27"/>
      <c r="E13" s="31"/>
      <c r="F13" s="32"/>
      <c r="G13" s="33"/>
      <c r="H13" s="343"/>
      <c r="I13" s="30"/>
      <c r="J13" s="22"/>
      <c r="K13" s="368"/>
    </row>
    <row r="14" spans="1:13" x14ac:dyDescent="0.25">
      <c r="A14" s="362">
        <v>2</v>
      </c>
      <c r="B14" s="362" t="s">
        <v>49</v>
      </c>
      <c r="C14" s="365">
        <v>0</v>
      </c>
      <c r="D14" s="34">
        <v>30308850</v>
      </c>
      <c r="E14" s="24" t="s">
        <v>50</v>
      </c>
      <c r="F14" s="35">
        <v>30308850</v>
      </c>
      <c r="G14" s="36">
        <v>43612</v>
      </c>
      <c r="H14" s="344">
        <f>C14+SUM(D14:D16)-SUM(F14:F16)</f>
        <v>0</v>
      </c>
      <c r="I14" s="37"/>
      <c r="J14" s="22"/>
      <c r="K14" s="368"/>
    </row>
    <row r="15" spans="1:13" x14ac:dyDescent="0.25">
      <c r="A15" s="367"/>
      <c r="B15" s="367"/>
      <c r="C15" s="369"/>
      <c r="D15" s="38"/>
      <c r="E15" s="39"/>
      <c r="F15" s="40"/>
      <c r="G15" s="41"/>
      <c r="H15" s="342"/>
      <c r="I15" s="42"/>
      <c r="J15" s="22"/>
      <c r="K15" s="368"/>
    </row>
    <row r="16" spans="1:13" x14ac:dyDescent="0.25">
      <c r="A16" s="363"/>
      <c r="B16" s="363"/>
      <c r="C16" s="366"/>
      <c r="D16" s="43"/>
      <c r="E16" s="44"/>
      <c r="F16" s="43"/>
      <c r="G16" s="45"/>
      <c r="H16" s="343"/>
      <c r="I16" s="46"/>
      <c r="J16" s="22"/>
      <c r="K16" s="368"/>
    </row>
    <row r="17" spans="1:11" x14ac:dyDescent="0.25">
      <c r="A17" s="362">
        <v>3</v>
      </c>
      <c r="B17" s="336" t="s">
        <v>51</v>
      </c>
      <c r="C17" s="339">
        <v>0</v>
      </c>
      <c r="D17" s="23"/>
      <c r="E17" s="24"/>
      <c r="F17" s="23"/>
      <c r="G17" s="47"/>
      <c r="H17" s="344">
        <f>C17+SUM(D17:D19)-SUM(F17:F19)</f>
        <v>0</v>
      </c>
      <c r="I17" s="26"/>
      <c r="J17" s="22"/>
      <c r="K17" s="368"/>
    </row>
    <row r="18" spans="1:11" x14ac:dyDescent="0.25">
      <c r="A18" s="367"/>
      <c r="B18" s="338"/>
      <c r="C18" s="340"/>
      <c r="D18" s="27"/>
      <c r="E18" s="28"/>
      <c r="F18" s="27"/>
      <c r="G18" s="48"/>
      <c r="H18" s="342"/>
      <c r="I18" s="30"/>
      <c r="J18" s="22"/>
      <c r="K18" s="368"/>
    </row>
    <row r="19" spans="1:11" x14ac:dyDescent="0.25">
      <c r="A19" s="363"/>
      <c r="B19" s="337"/>
      <c r="C19" s="341"/>
      <c r="D19" s="32"/>
      <c r="E19" s="31"/>
      <c r="F19" s="32"/>
      <c r="G19" s="48"/>
      <c r="H19" s="343"/>
      <c r="I19" s="46"/>
      <c r="J19" s="22"/>
      <c r="K19" s="368"/>
    </row>
    <row r="20" spans="1:11" x14ac:dyDescent="0.25">
      <c r="A20" s="362">
        <v>4</v>
      </c>
      <c r="B20" s="380" t="s">
        <v>52</v>
      </c>
      <c r="C20" s="383">
        <v>15446000</v>
      </c>
      <c r="D20" s="383">
        <v>46338000</v>
      </c>
      <c r="E20" s="398" t="s">
        <v>53</v>
      </c>
      <c r="F20" s="49">
        <v>15446000</v>
      </c>
      <c r="G20" s="50">
        <v>43605</v>
      </c>
      <c r="H20" s="386">
        <f>C20+D20-F20-F21-F22</f>
        <v>0</v>
      </c>
      <c r="I20" s="30"/>
      <c r="J20" s="22"/>
      <c r="K20" s="6"/>
    </row>
    <row r="21" spans="1:11" x14ac:dyDescent="0.25">
      <c r="A21" s="367"/>
      <c r="B21" s="381"/>
      <c r="C21" s="384"/>
      <c r="D21" s="384"/>
      <c r="E21" s="399"/>
      <c r="F21" s="51">
        <v>36338000</v>
      </c>
      <c r="G21" s="50">
        <v>43629</v>
      </c>
      <c r="H21" s="387"/>
      <c r="I21" s="30"/>
      <c r="J21" s="22"/>
      <c r="K21" s="6"/>
    </row>
    <row r="22" spans="1:11" x14ac:dyDescent="0.25">
      <c r="A22" s="363"/>
      <c r="B22" s="382"/>
      <c r="C22" s="385"/>
      <c r="D22" s="384"/>
      <c r="E22" s="399"/>
      <c r="F22" s="52">
        <v>10000000</v>
      </c>
      <c r="G22" s="50">
        <v>43629</v>
      </c>
      <c r="H22" s="388"/>
      <c r="I22" s="30"/>
      <c r="J22" s="22"/>
      <c r="K22" s="6"/>
    </row>
    <row r="23" spans="1:11" x14ac:dyDescent="0.25">
      <c r="A23" s="362">
        <v>5</v>
      </c>
      <c r="B23" s="336" t="s">
        <v>54</v>
      </c>
      <c r="C23" s="339">
        <v>45867037</v>
      </c>
      <c r="D23" s="53">
        <v>7903000</v>
      </c>
      <c r="E23" s="24" t="s">
        <v>55</v>
      </c>
      <c r="F23" s="339">
        <v>45867037</v>
      </c>
      <c r="G23" s="395">
        <v>43605</v>
      </c>
      <c r="H23" s="344">
        <f>C23+SUM(D23:D28)-SUM(F23:F28)</f>
        <v>7903000</v>
      </c>
      <c r="I23" s="391"/>
      <c r="J23" s="22"/>
      <c r="K23" s="54"/>
    </row>
    <row r="24" spans="1:11" x14ac:dyDescent="0.25">
      <c r="A24" s="367"/>
      <c r="B24" s="338"/>
      <c r="C24" s="340"/>
      <c r="D24" s="55"/>
      <c r="E24" s="28"/>
      <c r="F24" s="340"/>
      <c r="G24" s="396"/>
      <c r="H24" s="342"/>
      <c r="I24" s="392"/>
      <c r="J24" s="22"/>
      <c r="K24" s="54"/>
    </row>
    <row r="25" spans="1:11" x14ac:dyDescent="0.25">
      <c r="A25" s="367"/>
      <c r="B25" s="338"/>
      <c r="C25" s="340"/>
      <c r="D25" s="55"/>
      <c r="E25" s="28"/>
      <c r="F25" s="340"/>
      <c r="G25" s="396"/>
      <c r="H25" s="342"/>
      <c r="I25" s="392"/>
      <c r="J25" s="22"/>
      <c r="K25" s="54"/>
    </row>
    <row r="26" spans="1:11" x14ac:dyDescent="0.25">
      <c r="A26" s="367"/>
      <c r="B26" s="338"/>
      <c r="C26" s="340"/>
      <c r="D26" s="55"/>
      <c r="E26" s="28"/>
      <c r="F26" s="340"/>
      <c r="G26" s="396"/>
      <c r="H26" s="342"/>
      <c r="I26" s="392"/>
      <c r="J26" s="22"/>
      <c r="K26" s="54"/>
    </row>
    <row r="27" spans="1:11" x14ac:dyDescent="0.25">
      <c r="A27" s="367"/>
      <c r="B27" s="338"/>
      <c r="C27" s="340"/>
      <c r="D27" s="55"/>
      <c r="E27" s="28"/>
      <c r="F27" s="340"/>
      <c r="G27" s="396"/>
      <c r="H27" s="342"/>
      <c r="I27" s="392"/>
      <c r="J27" s="22"/>
      <c r="K27" s="54"/>
    </row>
    <row r="28" spans="1:11" x14ac:dyDescent="0.25">
      <c r="A28" s="363"/>
      <c r="B28" s="337"/>
      <c r="C28" s="341"/>
      <c r="D28" s="56"/>
      <c r="E28" s="31"/>
      <c r="F28" s="341"/>
      <c r="G28" s="397"/>
      <c r="H28" s="343"/>
      <c r="I28" s="393"/>
      <c r="J28" s="22"/>
      <c r="K28" s="54"/>
    </row>
    <row r="29" spans="1:11" x14ac:dyDescent="0.25">
      <c r="A29" s="362">
        <v>6</v>
      </c>
      <c r="B29" s="57" t="s">
        <v>56</v>
      </c>
      <c r="C29" s="58">
        <v>104524650</v>
      </c>
      <c r="D29" s="55"/>
      <c r="E29" s="28"/>
      <c r="F29" s="23">
        <v>100000000</v>
      </c>
      <c r="G29" s="47">
        <v>43601</v>
      </c>
      <c r="H29" s="59">
        <f>C29+SUM(D29:D36)-SUM(F29:F36)</f>
        <v>4524650</v>
      </c>
      <c r="I29" s="394" t="s">
        <v>57</v>
      </c>
      <c r="J29" s="22"/>
      <c r="K29" s="368"/>
    </row>
    <row r="30" spans="1:11" x14ac:dyDescent="0.25">
      <c r="A30" s="367"/>
      <c r="B30" s="60"/>
      <c r="C30" s="61"/>
      <c r="D30" s="55"/>
      <c r="E30" s="28"/>
      <c r="F30" s="27"/>
      <c r="G30" s="48"/>
      <c r="H30" s="62"/>
      <c r="I30" s="377"/>
      <c r="J30" s="22"/>
      <c r="K30" s="368"/>
    </row>
    <row r="31" spans="1:11" x14ac:dyDescent="0.25">
      <c r="A31" s="367"/>
      <c r="B31" s="60"/>
      <c r="C31" s="61"/>
      <c r="D31" s="55"/>
      <c r="E31" s="28"/>
      <c r="F31" s="27"/>
      <c r="G31" s="48"/>
      <c r="H31" s="62"/>
      <c r="I31" s="377"/>
      <c r="J31" s="22"/>
      <c r="K31" s="368"/>
    </row>
    <row r="32" spans="1:11" x14ac:dyDescent="0.25">
      <c r="A32" s="367"/>
      <c r="B32" s="60"/>
      <c r="C32" s="61"/>
      <c r="D32" s="55"/>
      <c r="E32" s="28"/>
      <c r="F32" s="27"/>
      <c r="G32" s="48"/>
      <c r="H32" s="62"/>
      <c r="I32" s="377"/>
      <c r="J32" s="22"/>
      <c r="K32" s="368"/>
    </row>
    <row r="33" spans="1:28" x14ac:dyDescent="0.25">
      <c r="A33" s="367"/>
      <c r="B33" s="60"/>
      <c r="C33" s="61"/>
      <c r="D33" s="55"/>
      <c r="E33" s="28"/>
      <c r="F33" s="27"/>
      <c r="G33" s="48"/>
      <c r="H33" s="62"/>
      <c r="I33" s="377"/>
      <c r="J33" s="22"/>
      <c r="K33" s="368"/>
    </row>
    <row r="34" spans="1:28" x14ac:dyDescent="0.25">
      <c r="A34" s="367"/>
      <c r="B34" s="60"/>
      <c r="C34" s="61"/>
      <c r="D34" s="55"/>
      <c r="E34" s="28"/>
      <c r="F34" s="27"/>
      <c r="G34" s="48"/>
      <c r="H34" s="62"/>
      <c r="I34" s="377"/>
      <c r="J34" s="22"/>
      <c r="K34" s="368"/>
    </row>
    <row r="35" spans="1:28" x14ac:dyDescent="0.25">
      <c r="A35" s="367"/>
      <c r="B35" s="60"/>
      <c r="C35" s="61"/>
      <c r="D35" s="55"/>
      <c r="E35" s="28"/>
      <c r="F35" s="27"/>
      <c r="G35" s="48"/>
      <c r="H35" s="62"/>
      <c r="I35" s="377"/>
      <c r="J35" s="22"/>
      <c r="K35" s="368"/>
      <c r="L35" s="4">
        <v>1375000</v>
      </c>
    </row>
    <row r="36" spans="1:28" x14ac:dyDescent="0.25">
      <c r="A36" s="363"/>
      <c r="B36" s="63"/>
      <c r="C36" s="64"/>
      <c r="D36" s="56"/>
      <c r="E36" s="31"/>
      <c r="F36" s="27"/>
      <c r="G36" s="48"/>
      <c r="H36" s="65"/>
      <c r="I36" s="378"/>
      <c r="J36" s="22"/>
      <c r="K36" s="368"/>
      <c r="L36" s="4">
        <v>783000</v>
      </c>
    </row>
    <row r="37" spans="1:28" x14ac:dyDescent="0.25">
      <c r="A37" s="362">
        <v>7</v>
      </c>
      <c r="B37" s="362" t="s">
        <v>58</v>
      </c>
      <c r="C37" s="365"/>
      <c r="D37" s="66"/>
      <c r="E37" s="67"/>
      <c r="F37" s="35"/>
      <c r="G37" s="68"/>
      <c r="H37" s="69"/>
      <c r="I37" s="70"/>
      <c r="J37" s="22"/>
      <c r="K37" s="368"/>
      <c r="L37" s="6">
        <v>1100000</v>
      </c>
    </row>
    <row r="38" spans="1:28" x14ac:dyDescent="0.25">
      <c r="A38" s="367"/>
      <c r="B38" s="367"/>
      <c r="C38" s="369"/>
      <c r="D38" s="66"/>
      <c r="E38" s="67"/>
      <c r="F38" s="40"/>
      <c r="G38" s="71"/>
      <c r="H38" s="72"/>
      <c r="I38" s="73"/>
      <c r="J38" s="22"/>
      <c r="K38" s="368"/>
      <c r="L38" s="6">
        <f>SUM(L35:L37)</f>
        <v>3258000</v>
      </c>
    </row>
    <row r="39" spans="1:28" x14ac:dyDescent="0.25">
      <c r="A39" s="363"/>
      <c r="B39" s="363"/>
      <c r="C39" s="366"/>
      <c r="D39" s="74"/>
      <c r="E39" s="44"/>
      <c r="F39" s="43"/>
      <c r="G39" s="75"/>
      <c r="H39" s="76"/>
      <c r="I39" s="77"/>
      <c r="J39" s="22"/>
      <c r="K39" s="368"/>
      <c r="L39" s="6"/>
    </row>
    <row r="40" spans="1:28" x14ac:dyDescent="0.25">
      <c r="A40" s="362">
        <v>8</v>
      </c>
      <c r="B40" s="362" t="s">
        <v>59</v>
      </c>
      <c r="C40" s="365">
        <v>35553</v>
      </c>
      <c r="D40" s="66"/>
      <c r="E40" s="67"/>
      <c r="F40" s="35"/>
      <c r="G40" s="68"/>
      <c r="H40" s="344">
        <f>C40+SUM(D40:D41)-SUM(F40:F41)</f>
        <v>35553</v>
      </c>
      <c r="I40" s="345"/>
      <c r="J40" s="22"/>
      <c r="K40" s="368"/>
      <c r="L40" s="6"/>
    </row>
    <row r="41" spans="1:28" x14ac:dyDescent="0.25">
      <c r="A41" s="363"/>
      <c r="B41" s="363"/>
      <c r="C41" s="366"/>
      <c r="D41" s="66"/>
      <c r="E41" s="67"/>
      <c r="F41" s="40"/>
      <c r="G41" s="71"/>
      <c r="H41" s="343"/>
      <c r="I41" s="346"/>
      <c r="J41" s="22"/>
      <c r="K41" s="368"/>
      <c r="L41" s="6"/>
    </row>
    <row r="42" spans="1:28" x14ac:dyDescent="0.25">
      <c r="A42" s="362">
        <v>9</v>
      </c>
      <c r="B42" s="362" t="s">
        <v>60</v>
      </c>
      <c r="C42" s="365">
        <v>0</v>
      </c>
      <c r="D42" s="78"/>
      <c r="E42" s="79"/>
      <c r="F42" s="35"/>
      <c r="G42" s="68"/>
      <c r="H42" s="344">
        <f>C42+SUM(D42:D43)-SUM(F42:F43)</f>
        <v>0</v>
      </c>
      <c r="I42" s="376"/>
      <c r="J42" s="22"/>
      <c r="K42" s="368"/>
    </row>
    <row r="43" spans="1:28" x14ac:dyDescent="0.25">
      <c r="A43" s="363"/>
      <c r="B43" s="363"/>
      <c r="C43" s="366"/>
      <c r="D43" s="78"/>
      <c r="E43" s="79"/>
      <c r="F43" s="40"/>
      <c r="G43" s="71"/>
      <c r="H43" s="343"/>
      <c r="I43" s="378"/>
      <c r="J43" s="80"/>
      <c r="K43" s="368"/>
      <c r="L43" s="81"/>
    </row>
    <row r="44" spans="1:28" x14ac:dyDescent="0.25">
      <c r="A44" s="362">
        <v>10</v>
      </c>
      <c r="B44" s="362" t="s">
        <v>61</v>
      </c>
      <c r="C44" s="365">
        <v>2888300</v>
      </c>
      <c r="D44" s="78">
        <v>2958200</v>
      </c>
      <c r="E44" s="79" t="s">
        <v>62</v>
      </c>
      <c r="F44" s="35">
        <v>2888900</v>
      </c>
      <c r="G44" s="68">
        <v>43602</v>
      </c>
      <c r="H44" s="344">
        <f>C44+SUM(D44:D45)-SUM(F44:F45)</f>
        <v>-600</v>
      </c>
      <c r="I44" s="376"/>
      <c r="J44" s="22"/>
      <c r="K44" s="390"/>
      <c r="L44" s="22"/>
    </row>
    <row r="45" spans="1:28" x14ac:dyDescent="0.25">
      <c r="A45" s="363"/>
      <c r="B45" s="363"/>
      <c r="C45" s="366"/>
      <c r="D45" s="66"/>
      <c r="E45" s="79"/>
      <c r="F45" s="55">
        <v>2958200</v>
      </c>
      <c r="G45" s="48">
        <v>43634</v>
      </c>
      <c r="H45" s="343"/>
      <c r="I45" s="378"/>
      <c r="J45" s="22"/>
      <c r="K45" s="390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Y45" s="379"/>
      <c r="Z45" s="379"/>
      <c r="AA45" s="379"/>
      <c r="AB45" s="379"/>
    </row>
    <row r="46" spans="1:28" x14ac:dyDescent="0.25">
      <c r="A46" s="362">
        <v>11</v>
      </c>
      <c r="B46" s="380" t="s">
        <v>63</v>
      </c>
      <c r="C46" s="383">
        <v>26586000</v>
      </c>
      <c r="D46" s="82"/>
      <c r="E46" s="83"/>
      <c r="F46" s="84">
        <v>26586000</v>
      </c>
      <c r="G46" s="85">
        <v>43626</v>
      </c>
      <c r="H46" s="386">
        <f>C46+SUM(D46:D50)-SUM(F46:F50)</f>
        <v>0</v>
      </c>
      <c r="I46" s="345"/>
      <c r="J46" s="22"/>
      <c r="K46" s="368"/>
    </row>
    <row r="47" spans="1:28" x14ac:dyDescent="0.25">
      <c r="A47" s="367"/>
      <c r="B47" s="381"/>
      <c r="C47" s="384"/>
      <c r="D47" s="86"/>
      <c r="E47" s="87"/>
      <c r="F47" s="88"/>
      <c r="G47" s="89"/>
      <c r="H47" s="387"/>
      <c r="I47" s="389"/>
      <c r="J47" s="22"/>
      <c r="K47" s="368"/>
    </row>
    <row r="48" spans="1:28" x14ac:dyDescent="0.25">
      <c r="A48" s="367"/>
      <c r="B48" s="381"/>
      <c r="C48" s="384"/>
      <c r="D48" s="86"/>
      <c r="E48" s="87"/>
      <c r="F48" s="88"/>
      <c r="G48" s="89"/>
      <c r="H48" s="387"/>
      <c r="I48" s="389"/>
      <c r="J48" s="22"/>
      <c r="K48" s="368"/>
    </row>
    <row r="49" spans="1:12" x14ac:dyDescent="0.25">
      <c r="A49" s="367"/>
      <c r="B49" s="381"/>
      <c r="C49" s="384"/>
      <c r="D49" s="86"/>
      <c r="E49" s="87"/>
      <c r="F49" s="88"/>
      <c r="G49" s="89"/>
      <c r="H49" s="387"/>
      <c r="I49" s="389"/>
      <c r="J49" s="22"/>
      <c r="K49" s="368"/>
      <c r="L49" s="6">
        <f>250000+31461+176300</f>
        <v>457761</v>
      </c>
    </row>
    <row r="50" spans="1:12" x14ac:dyDescent="0.25">
      <c r="A50" s="363"/>
      <c r="B50" s="382"/>
      <c r="C50" s="385"/>
      <c r="D50" s="86"/>
      <c r="E50" s="87"/>
      <c r="F50" s="88"/>
      <c r="G50" s="89"/>
      <c r="H50" s="388"/>
      <c r="I50" s="346"/>
      <c r="J50" s="22"/>
      <c r="K50" s="368"/>
      <c r="L50" s="244">
        <f>25*250000</f>
        <v>6250000</v>
      </c>
    </row>
    <row r="51" spans="1:12" x14ac:dyDescent="0.25">
      <c r="A51" s="362">
        <v>12</v>
      </c>
      <c r="B51" s="362" t="s">
        <v>64</v>
      </c>
      <c r="C51" s="365">
        <v>0</v>
      </c>
      <c r="D51" s="78"/>
      <c r="E51" s="79"/>
      <c r="F51" s="35"/>
      <c r="G51" s="90"/>
      <c r="H51" s="344">
        <f>C51+SUM(D51:D57)-SUM(F51:F57)</f>
        <v>0</v>
      </c>
      <c r="I51" s="376"/>
      <c r="J51" s="22"/>
      <c r="K51" s="368"/>
      <c r="L51" s="244">
        <f>+L50*0.1</f>
        <v>625000</v>
      </c>
    </row>
    <row r="52" spans="1:12" x14ac:dyDescent="0.25">
      <c r="A52" s="367"/>
      <c r="B52" s="367"/>
      <c r="C52" s="369"/>
      <c r="D52" s="66"/>
      <c r="E52" s="67"/>
      <c r="F52" s="40"/>
      <c r="G52" s="90"/>
      <c r="H52" s="342"/>
      <c r="I52" s="377"/>
      <c r="J52" s="22"/>
      <c r="K52" s="368"/>
      <c r="L52" s="244">
        <f>+L50+L51</f>
        <v>6875000</v>
      </c>
    </row>
    <row r="53" spans="1:12" x14ac:dyDescent="0.25">
      <c r="A53" s="367"/>
      <c r="B53" s="367"/>
      <c r="C53" s="369"/>
      <c r="D53" s="66"/>
      <c r="E53" s="67"/>
      <c r="F53" s="40"/>
      <c r="G53" s="91"/>
      <c r="H53" s="342"/>
      <c r="I53" s="377"/>
      <c r="J53" s="22"/>
      <c r="K53" s="368"/>
    </row>
    <row r="54" spans="1:12" x14ac:dyDescent="0.25">
      <c r="A54" s="367"/>
      <c r="B54" s="367"/>
      <c r="C54" s="369"/>
      <c r="D54" s="66"/>
      <c r="E54" s="67"/>
      <c r="F54" s="40"/>
      <c r="G54" s="91"/>
      <c r="H54" s="342"/>
      <c r="I54" s="377"/>
      <c r="J54" s="22"/>
      <c r="K54" s="368"/>
    </row>
    <row r="55" spans="1:12" x14ac:dyDescent="0.25">
      <c r="A55" s="367"/>
      <c r="B55" s="367"/>
      <c r="C55" s="369"/>
      <c r="D55" s="66"/>
      <c r="E55" s="67"/>
      <c r="F55" s="40"/>
      <c r="G55" s="92"/>
      <c r="H55" s="342"/>
      <c r="I55" s="377"/>
      <c r="J55" s="22"/>
      <c r="K55" s="368"/>
    </row>
    <row r="56" spans="1:12" x14ac:dyDescent="0.25">
      <c r="A56" s="367"/>
      <c r="B56" s="367"/>
      <c r="C56" s="369"/>
      <c r="D56" s="66"/>
      <c r="E56" s="67"/>
      <c r="F56" s="40"/>
      <c r="G56" s="92"/>
      <c r="H56" s="342"/>
      <c r="I56" s="377"/>
      <c r="J56" s="22"/>
      <c r="K56" s="368"/>
    </row>
    <row r="57" spans="1:12" x14ac:dyDescent="0.25">
      <c r="A57" s="363"/>
      <c r="B57" s="363"/>
      <c r="C57" s="366"/>
      <c r="D57" s="66"/>
      <c r="E57" s="67"/>
      <c r="F57" s="40"/>
      <c r="G57" s="92"/>
      <c r="H57" s="343"/>
      <c r="I57" s="378"/>
      <c r="J57" s="22"/>
      <c r="K57" s="368"/>
    </row>
    <row r="58" spans="1:12" x14ac:dyDescent="0.25">
      <c r="A58" s="362">
        <v>13</v>
      </c>
      <c r="B58" s="362" t="s">
        <v>26</v>
      </c>
      <c r="C58" s="365">
        <v>-20000</v>
      </c>
      <c r="D58" s="78"/>
      <c r="E58" s="79"/>
      <c r="F58" s="35"/>
      <c r="G58" s="90"/>
      <c r="H58" s="344">
        <f>C58+SUM(D58:D68)-SUM(F58:F68)</f>
        <v>-20000</v>
      </c>
      <c r="I58" s="376"/>
      <c r="J58" s="22"/>
      <c r="K58" s="368"/>
    </row>
    <row r="59" spans="1:12" x14ac:dyDescent="0.25">
      <c r="A59" s="367"/>
      <c r="B59" s="367"/>
      <c r="C59" s="369"/>
      <c r="D59" s="66"/>
      <c r="E59" s="79"/>
      <c r="G59" s="92"/>
      <c r="H59" s="342"/>
      <c r="I59" s="377"/>
      <c r="J59" s="22"/>
      <c r="K59" s="368"/>
    </row>
    <row r="60" spans="1:12" x14ac:dyDescent="0.25">
      <c r="A60" s="367"/>
      <c r="B60" s="367"/>
      <c r="C60" s="369"/>
      <c r="D60" s="66"/>
      <c r="E60" s="79"/>
      <c r="F60" s="40"/>
      <c r="G60" s="92"/>
      <c r="H60" s="342"/>
      <c r="I60" s="377"/>
      <c r="J60" s="22"/>
      <c r="K60" s="368"/>
    </row>
    <row r="61" spans="1:12" x14ac:dyDescent="0.25">
      <c r="A61" s="367"/>
      <c r="B61" s="367"/>
      <c r="C61" s="369"/>
      <c r="D61" s="66"/>
      <c r="E61" s="79"/>
      <c r="F61" s="40"/>
      <c r="G61" s="92"/>
      <c r="H61" s="342"/>
      <c r="I61" s="377"/>
      <c r="J61" s="22"/>
      <c r="K61" s="368"/>
    </row>
    <row r="62" spans="1:12" x14ac:dyDescent="0.25">
      <c r="A62" s="367"/>
      <c r="B62" s="367"/>
      <c r="C62" s="369"/>
      <c r="D62" s="66"/>
      <c r="E62" s="79"/>
      <c r="F62" s="40"/>
      <c r="G62" s="92"/>
      <c r="H62" s="342"/>
      <c r="I62" s="377"/>
      <c r="J62" s="22"/>
      <c r="K62" s="368"/>
    </row>
    <row r="63" spans="1:12" x14ac:dyDescent="0.25">
      <c r="A63" s="367"/>
      <c r="B63" s="367"/>
      <c r="C63" s="369"/>
      <c r="D63" s="66"/>
      <c r="E63" s="79"/>
      <c r="F63" s="40"/>
      <c r="G63" s="92"/>
      <c r="H63" s="342"/>
      <c r="I63" s="377"/>
      <c r="J63" s="22"/>
      <c r="K63" s="368"/>
    </row>
    <row r="64" spans="1:12" x14ac:dyDescent="0.25">
      <c r="A64" s="367"/>
      <c r="B64" s="367"/>
      <c r="C64" s="369"/>
      <c r="D64" s="66"/>
      <c r="E64" s="79"/>
      <c r="F64" s="40"/>
      <c r="G64" s="92"/>
      <c r="H64" s="342"/>
      <c r="I64" s="377"/>
      <c r="J64" s="22"/>
      <c r="K64" s="368"/>
    </row>
    <row r="65" spans="1:12" x14ac:dyDescent="0.25">
      <c r="A65" s="367"/>
      <c r="B65" s="367"/>
      <c r="C65" s="369"/>
      <c r="D65" s="66"/>
      <c r="E65" s="79"/>
      <c r="F65" s="40"/>
      <c r="G65" s="92"/>
      <c r="H65" s="342"/>
      <c r="I65" s="377"/>
      <c r="J65" s="22"/>
      <c r="K65" s="368"/>
    </row>
    <row r="66" spans="1:12" x14ac:dyDescent="0.25">
      <c r="A66" s="367"/>
      <c r="B66" s="367"/>
      <c r="C66" s="369"/>
      <c r="D66" s="66"/>
      <c r="E66" s="79"/>
      <c r="F66" s="40"/>
      <c r="G66" s="92"/>
      <c r="H66" s="342"/>
      <c r="I66" s="377"/>
      <c r="J66" s="22"/>
      <c r="K66" s="368"/>
    </row>
    <row r="67" spans="1:12" x14ac:dyDescent="0.25">
      <c r="A67" s="367"/>
      <c r="B67" s="367"/>
      <c r="C67" s="369"/>
      <c r="D67" s="66"/>
      <c r="E67" s="67"/>
      <c r="F67" s="40"/>
      <c r="G67" s="92"/>
      <c r="H67" s="342"/>
      <c r="I67" s="377"/>
      <c r="J67" s="22"/>
      <c r="K67" s="368"/>
    </row>
    <row r="68" spans="1:12" x14ac:dyDescent="0.25">
      <c r="A68" s="363"/>
      <c r="B68" s="363"/>
      <c r="C68" s="366"/>
      <c r="D68" s="66"/>
      <c r="E68" s="67"/>
      <c r="F68" s="40"/>
      <c r="G68" s="92"/>
      <c r="H68" s="343"/>
      <c r="I68" s="378"/>
      <c r="J68" s="22"/>
      <c r="K68" s="368"/>
    </row>
    <row r="69" spans="1:12" x14ac:dyDescent="0.25">
      <c r="A69" s="362">
        <v>14</v>
      </c>
      <c r="B69" s="362" t="s">
        <v>65</v>
      </c>
      <c r="C69" s="373">
        <v>0</v>
      </c>
      <c r="D69" s="78"/>
      <c r="E69" s="79"/>
      <c r="F69" s="35"/>
      <c r="G69" s="68"/>
      <c r="H69" s="344">
        <f>C69+SUM(D69:D73)-SUM(F69:F73)</f>
        <v>0</v>
      </c>
      <c r="I69" s="376"/>
      <c r="J69" s="22"/>
      <c r="K69" s="368"/>
    </row>
    <row r="70" spans="1:12" x14ac:dyDescent="0.25">
      <c r="A70" s="367"/>
      <c r="B70" s="367"/>
      <c r="C70" s="374"/>
      <c r="D70" s="66"/>
      <c r="E70" s="67"/>
      <c r="F70" s="40"/>
      <c r="G70" s="92"/>
      <c r="H70" s="342"/>
      <c r="I70" s="377"/>
      <c r="J70" s="22"/>
      <c r="K70" s="368"/>
    </row>
    <row r="71" spans="1:12" x14ac:dyDescent="0.25">
      <c r="A71" s="367"/>
      <c r="B71" s="367"/>
      <c r="C71" s="374"/>
      <c r="D71" s="66"/>
      <c r="E71" s="67"/>
      <c r="F71" s="40"/>
      <c r="G71" s="92"/>
      <c r="H71" s="342"/>
      <c r="I71" s="377"/>
      <c r="J71" s="22"/>
      <c r="K71" s="368"/>
    </row>
    <row r="72" spans="1:12" x14ac:dyDescent="0.25">
      <c r="A72" s="367"/>
      <c r="B72" s="367"/>
      <c r="C72" s="374"/>
      <c r="D72" s="66"/>
      <c r="E72" s="67"/>
      <c r="F72" s="40"/>
      <c r="G72" s="92"/>
      <c r="H72" s="342"/>
      <c r="I72" s="377"/>
      <c r="J72" s="22"/>
      <c r="K72" s="368"/>
    </row>
    <row r="73" spans="1:12" x14ac:dyDescent="0.25">
      <c r="A73" s="363"/>
      <c r="B73" s="363"/>
      <c r="C73" s="375"/>
      <c r="D73" s="66"/>
      <c r="E73" s="67"/>
      <c r="F73" s="40"/>
      <c r="G73" s="92"/>
      <c r="H73" s="342"/>
      <c r="I73" s="378"/>
      <c r="J73" s="22"/>
      <c r="K73" s="368"/>
    </row>
    <row r="74" spans="1:12" x14ac:dyDescent="0.25">
      <c r="A74" s="15">
        <v>15</v>
      </c>
      <c r="B74" s="15" t="s">
        <v>66</v>
      </c>
      <c r="C74" s="17">
        <v>0</v>
      </c>
      <c r="D74" s="93"/>
      <c r="E74" s="21"/>
      <c r="F74" s="17"/>
      <c r="G74" s="94"/>
      <c r="H74" s="95">
        <f>C74+D74-F74</f>
        <v>0</v>
      </c>
      <c r="I74" s="21"/>
      <c r="J74" s="22"/>
      <c r="K74" s="6"/>
    </row>
    <row r="75" spans="1:12" x14ac:dyDescent="0.25">
      <c r="A75" s="362">
        <v>16</v>
      </c>
      <c r="B75" s="362" t="s">
        <v>67</v>
      </c>
      <c r="C75" s="365">
        <v>71330000</v>
      </c>
      <c r="D75" s="96">
        <v>21970000</v>
      </c>
      <c r="E75" s="97" t="s">
        <v>55</v>
      </c>
      <c r="F75" s="98">
        <v>25380000</v>
      </c>
      <c r="G75" s="99">
        <v>43595</v>
      </c>
      <c r="H75" s="339">
        <f>C75+SUM(D75:D77)-SUM(F75:F77)</f>
        <v>21970000</v>
      </c>
      <c r="I75" s="370"/>
      <c r="J75" s="22"/>
      <c r="K75" s="368"/>
    </row>
    <row r="76" spans="1:12" x14ac:dyDescent="0.25">
      <c r="A76" s="367"/>
      <c r="B76" s="367"/>
      <c r="C76" s="369"/>
      <c r="D76" s="55"/>
      <c r="E76" s="100"/>
      <c r="F76" s="40">
        <v>45950000</v>
      </c>
      <c r="G76" s="92">
        <v>43630</v>
      </c>
      <c r="H76" s="340"/>
      <c r="I76" s="371"/>
      <c r="J76" s="22"/>
      <c r="K76" s="368"/>
    </row>
    <row r="77" spans="1:12" x14ac:dyDescent="0.25">
      <c r="A77" s="363"/>
      <c r="B77" s="363"/>
      <c r="C77" s="366"/>
      <c r="D77" s="56"/>
      <c r="E77" s="43"/>
      <c r="F77" s="101"/>
      <c r="G77" s="102"/>
      <c r="H77" s="341"/>
      <c r="I77" s="372"/>
      <c r="J77" s="22"/>
      <c r="K77" s="368"/>
    </row>
    <row r="78" spans="1:12" x14ac:dyDescent="0.25">
      <c r="A78" s="362">
        <v>17</v>
      </c>
      <c r="B78" s="97" t="s">
        <v>68</v>
      </c>
      <c r="C78" s="58">
        <v>256280000</v>
      </c>
      <c r="D78" s="53">
        <v>197600000</v>
      </c>
      <c r="E78" s="103" t="s">
        <v>55</v>
      </c>
      <c r="F78" s="104">
        <v>70040000</v>
      </c>
      <c r="G78" s="105">
        <v>43595</v>
      </c>
      <c r="H78" s="59">
        <f>C78+SUM(D78:D83)-SUM(F78:F83)</f>
        <v>233840000</v>
      </c>
      <c r="I78" s="103" t="s">
        <v>69</v>
      </c>
      <c r="J78" s="22"/>
      <c r="K78" s="368"/>
    </row>
    <row r="79" spans="1:12" x14ac:dyDescent="0.25">
      <c r="A79" s="367"/>
      <c r="B79" s="106"/>
      <c r="C79" s="107"/>
      <c r="D79" s="66"/>
      <c r="E79" s="73"/>
      <c r="F79" s="108"/>
      <c r="G79" s="71"/>
      <c r="H79" s="62"/>
      <c r="I79" s="109"/>
      <c r="J79" s="22"/>
      <c r="K79" s="368"/>
    </row>
    <row r="80" spans="1:12" x14ac:dyDescent="0.25">
      <c r="A80" s="367"/>
      <c r="B80" s="106"/>
      <c r="C80" s="107"/>
      <c r="D80" s="66"/>
      <c r="E80" s="73"/>
      <c r="F80" s="108">
        <v>50000000</v>
      </c>
      <c r="G80" s="71">
        <v>43621</v>
      </c>
      <c r="H80" s="62"/>
      <c r="I80" s="109"/>
      <c r="J80" s="22"/>
      <c r="K80" s="368"/>
      <c r="L80" s="110"/>
    </row>
    <row r="81" spans="1:12" x14ac:dyDescent="0.25">
      <c r="A81" s="367"/>
      <c r="B81" s="106"/>
      <c r="C81" s="107"/>
      <c r="D81" s="66"/>
      <c r="E81" s="73"/>
      <c r="F81" s="111">
        <v>100000000</v>
      </c>
      <c r="G81" s="71">
        <v>43631</v>
      </c>
      <c r="H81" s="62"/>
      <c r="I81" s="109"/>
      <c r="J81" s="22">
        <f>+C78+D78-F78</f>
        <v>383840000</v>
      </c>
      <c r="K81" s="368"/>
      <c r="L81" s="110"/>
    </row>
    <row r="82" spans="1:12" x14ac:dyDescent="0.25">
      <c r="A82" s="367"/>
      <c r="B82" s="106"/>
      <c r="C82" s="107"/>
      <c r="D82" s="66"/>
      <c r="E82" s="73"/>
      <c r="F82" s="108"/>
      <c r="G82" s="71"/>
      <c r="H82" s="62"/>
      <c r="I82" s="109"/>
      <c r="J82" s="22"/>
      <c r="K82" s="368"/>
    </row>
    <row r="83" spans="1:12" x14ac:dyDescent="0.25">
      <c r="A83" s="363"/>
      <c r="B83" s="112"/>
      <c r="C83" s="113"/>
      <c r="D83" s="66"/>
      <c r="E83" s="67"/>
      <c r="F83" s="40"/>
      <c r="G83" s="92"/>
      <c r="H83" s="65"/>
      <c r="I83" s="114"/>
      <c r="J83" s="22"/>
      <c r="K83" s="368"/>
    </row>
    <row r="84" spans="1:12" x14ac:dyDescent="0.25">
      <c r="A84" s="15">
        <v>18</v>
      </c>
      <c r="B84" s="15" t="s">
        <v>70</v>
      </c>
      <c r="C84" s="35">
        <v>0</v>
      </c>
      <c r="D84" s="78"/>
      <c r="E84" s="70"/>
      <c r="F84" s="35"/>
      <c r="G84" s="94"/>
      <c r="H84" s="95">
        <f>C84+D84-F84</f>
        <v>0</v>
      </c>
      <c r="I84" s="70"/>
      <c r="J84" s="22"/>
      <c r="K84" s="6"/>
    </row>
    <row r="85" spans="1:12" x14ac:dyDescent="0.25">
      <c r="A85" s="362">
        <v>19</v>
      </c>
      <c r="B85" s="362" t="s">
        <v>71</v>
      </c>
      <c r="C85" s="365">
        <v>0</v>
      </c>
      <c r="D85" s="78"/>
      <c r="E85" s="70"/>
      <c r="F85" s="35"/>
      <c r="G85" s="115"/>
      <c r="H85" s="344">
        <f>C85+D85+D86-F85-F86</f>
        <v>0</v>
      </c>
      <c r="I85" s="70"/>
      <c r="J85" s="22"/>
      <c r="K85" s="368"/>
    </row>
    <row r="86" spans="1:12" x14ac:dyDescent="0.25">
      <c r="A86" s="363"/>
      <c r="B86" s="363"/>
      <c r="C86" s="366"/>
      <c r="D86" s="74"/>
      <c r="E86" s="77"/>
      <c r="F86" s="43"/>
      <c r="G86" s="116"/>
      <c r="H86" s="343"/>
      <c r="I86" s="77"/>
      <c r="J86" s="22"/>
      <c r="K86" s="368"/>
    </row>
    <row r="87" spans="1:12" x14ac:dyDescent="0.25">
      <c r="A87" s="16">
        <v>20</v>
      </c>
      <c r="B87" s="117" t="s">
        <v>72</v>
      </c>
      <c r="C87" s="40">
        <v>0</v>
      </c>
      <c r="D87" s="66"/>
      <c r="E87" s="73"/>
      <c r="F87" s="40"/>
      <c r="G87" s="118"/>
      <c r="H87" s="72">
        <f>C87+D87-F87</f>
        <v>0</v>
      </c>
      <c r="I87" s="73"/>
      <c r="J87" s="22"/>
      <c r="K87" s="6"/>
    </row>
    <row r="88" spans="1:12" x14ac:dyDescent="0.25">
      <c r="A88" s="15">
        <v>21</v>
      </c>
      <c r="B88" s="119" t="s">
        <v>73</v>
      </c>
      <c r="C88" s="35">
        <v>0</v>
      </c>
      <c r="D88" s="78"/>
      <c r="E88" s="70"/>
      <c r="F88" s="35"/>
      <c r="G88" s="115"/>
      <c r="H88" s="69">
        <f>C88+D88-F88</f>
        <v>0</v>
      </c>
      <c r="I88" s="70"/>
      <c r="J88" s="22"/>
      <c r="K88" s="6"/>
    </row>
    <row r="89" spans="1:12" x14ac:dyDescent="0.25">
      <c r="A89" s="15">
        <v>22</v>
      </c>
      <c r="B89" s="119" t="s">
        <v>74</v>
      </c>
      <c r="C89" s="35">
        <v>0</v>
      </c>
      <c r="D89" s="78"/>
      <c r="E89" s="70"/>
      <c r="F89" s="35"/>
      <c r="G89" s="115"/>
      <c r="H89" s="69">
        <f>C89+D89-F89</f>
        <v>0</v>
      </c>
      <c r="I89" s="70"/>
      <c r="J89" s="22"/>
      <c r="K89" s="6"/>
    </row>
    <row r="90" spans="1:12" x14ac:dyDescent="0.25">
      <c r="A90" s="15">
        <v>23</v>
      </c>
      <c r="B90" s="15" t="s">
        <v>75</v>
      </c>
      <c r="C90" s="17">
        <v>0</v>
      </c>
      <c r="D90" s="93"/>
      <c r="E90" s="21"/>
      <c r="F90" s="17"/>
      <c r="G90" s="94"/>
      <c r="H90" s="95">
        <f>C90+D90-F90</f>
        <v>0</v>
      </c>
      <c r="I90" s="21"/>
      <c r="J90" s="22"/>
      <c r="K90" s="6"/>
    </row>
    <row r="91" spans="1:12" x14ac:dyDescent="0.25">
      <c r="A91" s="362">
        <v>24</v>
      </c>
      <c r="B91" s="362" t="s">
        <v>76</v>
      </c>
      <c r="C91" s="339">
        <v>32058000</v>
      </c>
      <c r="D91" s="120">
        <f>54096000+2500000</f>
        <v>56596000</v>
      </c>
      <c r="E91" s="103" t="s">
        <v>55</v>
      </c>
      <c r="F91" s="23">
        <v>32058000</v>
      </c>
      <c r="G91" s="121">
        <v>43630</v>
      </c>
      <c r="H91" s="344">
        <f>C91+SUM(D91:D95)-SUM(F91:F95)</f>
        <v>56596000</v>
      </c>
      <c r="I91" s="352" t="s">
        <v>77</v>
      </c>
      <c r="J91" s="22"/>
      <c r="K91" s="6"/>
    </row>
    <row r="92" spans="1:12" x14ac:dyDescent="0.25">
      <c r="A92" s="367"/>
      <c r="B92" s="367"/>
      <c r="C92" s="340"/>
      <c r="D92" s="120"/>
      <c r="E92" s="103"/>
      <c r="F92" s="27"/>
      <c r="G92" s="122"/>
      <c r="H92" s="342"/>
      <c r="I92" s="353"/>
      <c r="J92" s="22"/>
      <c r="K92" s="6"/>
    </row>
    <row r="93" spans="1:12" x14ac:dyDescent="0.25">
      <c r="A93" s="367"/>
      <c r="B93" s="367"/>
      <c r="C93" s="340"/>
      <c r="D93" s="123"/>
      <c r="E93" s="103"/>
      <c r="F93" s="27"/>
      <c r="G93" s="122"/>
      <c r="H93" s="342"/>
      <c r="I93" s="353"/>
      <c r="J93" s="22"/>
      <c r="K93" s="6"/>
    </row>
    <row r="94" spans="1:12" x14ac:dyDescent="0.25">
      <c r="A94" s="367"/>
      <c r="B94" s="367"/>
      <c r="C94" s="340"/>
      <c r="D94" s="124"/>
      <c r="E94" s="103"/>
      <c r="F94" s="27"/>
      <c r="G94" s="122"/>
      <c r="H94" s="342"/>
      <c r="I94" s="353"/>
      <c r="J94" s="22"/>
      <c r="K94" s="6"/>
    </row>
    <row r="95" spans="1:12" x14ac:dyDescent="0.25">
      <c r="A95" s="363"/>
      <c r="B95" s="363"/>
      <c r="C95" s="341"/>
      <c r="D95" s="125"/>
      <c r="E95" s="126"/>
      <c r="F95" s="32"/>
      <c r="G95" s="127"/>
      <c r="H95" s="343"/>
      <c r="I95" s="354"/>
      <c r="J95" s="22"/>
      <c r="K95" s="6"/>
    </row>
    <row r="96" spans="1:12" x14ac:dyDescent="0.25">
      <c r="A96" s="362">
        <v>25</v>
      </c>
      <c r="B96" s="362" t="s">
        <v>78</v>
      </c>
      <c r="C96" s="365">
        <v>0</v>
      </c>
      <c r="D96" s="78"/>
      <c r="E96" s="79"/>
      <c r="F96" s="35"/>
      <c r="G96" s="92"/>
      <c r="H96" s="339">
        <f>C96+C97+D96+D97-F96-F97</f>
        <v>0</v>
      </c>
      <c r="I96" s="79"/>
      <c r="J96" s="22"/>
      <c r="K96" s="6"/>
    </row>
    <row r="97" spans="1:13" x14ac:dyDescent="0.25">
      <c r="A97" s="363"/>
      <c r="B97" s="363"/>
      <c r="C97" s="366"/>
      <c r="D97" s="74"/>
      <c r="E97" s="44"/>
      <c r="F97" s="43"/>
      <c r="G97" s="128"/>
      <c r="H97" s="341"/>
      <c r="I97" s="44"/>
      <c r="J97" s="22"/>
      <c r="K97" s="6"/>
    </row>
    <row r="98" spans="1:13" x14ac:dyDescent="0.25">
      <c r="A98" s="362">
        <v>26</v>
      </c>
      <c r="B98" s="119" t="s">
        <v>79</v>
      </c>
      <c r="C98" s="35">
        <v>0</v>
      </c>
      <c r="D98" s="78"/>
      <c r="E98" s="70"/>
      <c r="F98" s="129"/>
      <c r="G98" s="115"/>
      <c r="H98" s="130">
        <f>C98+C99+D98+D99-F98-F99</f>
        <v>0</v>
      </c>
      <c r="I98" s="37"/>
      <c r="J98" s="22"/>
      <c r="K98" s="6"/>
    </row>
    <row r="99" spans="1:13" x14ac:dyDescent="0.25">
      <c r="A99" s="363"/>
      <c r="B99" s="16"/>
      <c r="C99" s="131"/>
      <c r="D99" s="74"/>
      <c r="E99" s="46"/>
      <c r="F99" s="132"/>
      <c r="G99" s="116"/>
      <c r="H99" s="133"/>
      <c r="I99" s="46"/>
      <c r="J99" s="22"/>
      <c r="K99" s="6"/>
    </row>
    <row r="100" spans="1:13" x14ac:dyDescent="0.25">
      <c r="A100" s="15">
        <v>27</v>
      </c>
      <c r="B100" s="119" t="s">
        <v>80</v>
      </c>
      <c r="C100" s="35">
        <v>0</v>
      </c>
      <c r="D100" s="66"/>
      <c r="E100" s="70"/>
      <c r="F100" s="35"/>
      <c r="G100" s="118"/>
      <c r="H100" s="69">
        <f>C100+D100-F100</f>
        <v>0</v>
      </c>
      <c r="I100" s="70"/>
      <c r="J100" s="22"/>
      <c r="K100" s="6">
        <f>6807368-7113700</f>
        <v>-306332</v>
      </c>
    </row>
    <row r="101" spans="1:13" x14ac:dyDescent="0.25">
      <c r="A101" s="15">
        <v>28</v>
      </c>
      <c r="B101" s="119" t="s">
        <v>81</v>
      </c>
      <c r="C101" s="35">
        <v>0</v>
      </c>
      <c r="D101" s="78"/>
      <c r="E101" s="70"/>
      <c r="F101" s="35"/>
      <c r="G101" s="115"/>
      <c r="H101" s="69">
        <f>C101+D101-F101</f>
        <v>0</v>
      </c>
      <c r="I101" s="70"/>
      <c r="J101" s="22"/>
      <c r="K101" s="6"/>
    </row>
    <row r="102" spans="1:13" x14ac:dyDescent="0.25">
      <c r="A102" s="119">
        <v>29</v>
      </c>
      <c r="B102" s="119" t="s">
        <v>82</v>
      </c>
      <c r="C102" s="35">
        <v>0</v>
      </c>
      <c r="D102" s="93"/>
      <c r="E102" s="70"/>
      <c r="F102" s="35"/>
      <c r="G102" s="115"/>
      <c r="H102" s="69">
        <f>C102+D102-F102</f>
        <v>0</v>
      </c>
      <c r="I102" s="70"/>
      <c r="J102" s="22"/>
      <c r="K102" s="6"/>
    </row>
    <row r="103" spans="1:13" s="136" customFormat="1" x14ac:dyDescent="0.25">
      <c r="A103" s="336">
        <v>30</v>
      </c>
      <c r="B103" s="57" t="s">
        <v>83</v>
      </c>
      <c r="C103" s="58">
        <v>0</v>
      </c>
      <c r="D103" s="27">
        <v>23056450</v>
      </c>
      <c r="E103" s="103" t="s">
        <v>84</v>
      </c>
      <c r="F103" s="23">
        <v>25956400</v>
      </c>
      <c r="G103" s="47">
        <v>43593</v>
      </c>
      <c r="H103" s="59">
        <f>C104+SUM(D103:D107)-SUM(F103:F107)</f>
        <v>0</v>
      </c>
      <c r="I103" s="134"/>
      <c r="J103" s="135"/>
      <c r="K103" s="96"/>
      <c r="M103" s="96"/>
    </row>
    <row r="104" spans="1:13" s="136" customFormat="1" x14ac:dyDescent="0.25">
      <c r="A104" s="338"/>
      <c r="B104" s="60"/>
      <c r="C104" s="61">
        <v>25956400</v>
      </c>
      <c r="D104" s="55"/>
      <c r="E104" s="103"/>
      <c r="F104" s="104">
        <v>23056450</v>
      </c>
      <c r="G104" s="48">
        <v>43619</v>
      </c>
      <c r="H104" s="62"/>
      <c r="I104" s="137"/>
      <c r="J104" s="135"/>
      <c r="K104" s="96"/>
      <c r="M104" s="96"/>
    </row>
    <row r="105" spans="1:13" s="136" customFormat="1" x14ac:dyDescent="0.25">
      <c r="A105" s="338"/>
      <c r="B105" s="60"/>
      <c r="C105" s="61"/>
      <c r="D105" s="55"/>
      <c r="E105" s="103"/>
      <c r="F105" s="104"/>
      <c r="G105" s="138"/>
      <c r="H105" s="62"/>
      <c r="I105" s="137"/>
      <c r="J105" s="135"/>
      <c r="K105" s="96"/>
      <c r="M105" s="96"/>
    </row>
    <row r="106" spans="1:13" s="136" customFormat="1" x14ac:dyDescent="0.25">
      <c r="A106" s="338"/>
      <c r="B106" s="60"/>
      <c r="C106" s="61"/>
      <c r="D106" s="55"/>
      <c r="E106" s="103"/>
      <c r="F106" s="104"/>
      <c r="G106" s="138"/>
      <c r="H106" s="62"/>
      <c r="I106" s="137"/>
      <c r="J106" s="135"/>
      <c r="K106" s="96"/>
      <c r="M106" s="96"/>
    </row>
    <row r="107" spans="1:13" s="136" customFormat="1" x14ac:dyDescent="0.25">
      <c r="A107" s="337"/>
      <c r="B107" s="63"/>
      <c r="C107" s="64"/>
      <c r="D107" s="56"/>
      <c r="E107" s="103"/>
      <c r="F107" s="139"/>
      <c r="G107" s="140"/>
      <c r="H107" s="65"/>
      <c r="I107" s="141"/>
      <c r="J107" s="135"/>
      <c r="K107" s="96"/>
      <c r="M107" s="96"/>
    </row>
    <row r="108" spans="1:13" x14ac:dyDescent="0.25">
      <c r="A108" s="362">
        <v>30</v>
      </c>
      <c r="B108" s="365" t="s">
        <v>85</v>
      </c>
      <c r="C108" s="40"/>
      <c r="D108" s="66"/>
      <c r="E108" s="73"/>
      <c r="F108" s="40"/>
      <c r="G108" s="71"/>
      <c r="H108" s="336"/>
      <c r="I108" s="73"/>
      <c r="J108" s="22"/>
      <c r="K108" s="6"/>
    </row>
    <row r="109" spans="1:13" x14ac:dyDescent="0.25">
      <c r="A109" s="363"/>
      <c r="B109" s="366"/>
      <c r="C109" s="40"/>
      <c r="D109" s="66"/>
      <c r="E109" s="73"/>
      <c r="F109" s="40"/>
      <c r="G109" s="71"/>
      <c r="H109" s="337"/>
      <c r="I109" s="77"/>
      <c r="J109" s="22"/>
      <c r="K109" s="6"/>
    </row>
    <row r="110" spans="1:13" s="136" customFormat="1" x14ac:dyDescent="0.25">
      <c r="A110" s="336">
        <v>32</v>
      </c>
      <c r="B110" s="84" t="s">
        <v>86</v>
      </c>
      <c r="C110" s="84">
        <v>51923500</v>
      </c>
      <c r="D110" s="82"/>
      <c r="E110" s="142"/>
      <c r="F110" s="84"/>
      <c r="G110" s="85"/>
      <c r="H110" s="143">
        <f>C110+C111+D110+D111-F110-F111</f>
        <v>51923500</v>
      </c>
      <c r="I110" s="144" t="s">
        <v>87</v>
      </c>
      <c r="J110" s="358" t="s">
        <v>88</v>
      </c>
      <c r="K110" s="96"/>
      <c r="M110" s="96"/>
    </row>
    <row r="111" spans="1:13" s="136" customFormat="1" x14ac:dyDescent="0.25">
      <c r="A111" s="337"/>
      <c r="B111" s="145"/>
      <c r="C111" s="145"/>
      <c r="D111" s="146"/>
      <c r="E111" s="147"/>
      <c r="F111" s="145"/>
      <c r="G111" s="148"/>
      <c r="H111" s="149"/>
      <c r="I111" s="150"/>
      <c r="J111" s="358"/>
      <c r="K111" s="96"/>
      <c r="M111" s="96"/>
    </row>
    <row r="112" spans="1:13" s="136" customFormat="1" x14ac:dyDescent="0.25">
      <c r="A112" s="151">
        <v>33</v>
      </c>
      <c r="B112" s="88" t="s">
        <v>89</v>
      </c>
      <c r="C112" s="88">
        <v>-51923350</v>
      </c>
      <c r="D112" s="86">
        <v>44323272</v>
      </c>
      <c r="E112" s="152" t="s">
        <v>90</v>
      </c>
      <c r="F112" s="88"/>
      <c r="G112" s="89"/>
      <c r="H112" s="153">
        <f>C112+SUM(D112:D113)-SUM(F112:F113)</f>
        <v>-7600078</v>
      </c>
      <c r="I112" s="359" t="s">
        <v>91</v>
      </c>
      <c r="J112" s="358"/>
      <c r="K112" s="96"/>
      <c r="M112" s="96"/>
    </row>
    <row r="113" spans="1:13" s="136" customFormat="1" x14ac:dyDescent="0.25">
      <c r="A113" s="151"/>
      <c r="B113" s="88"/>
      <c r="C113" s="88"/>
      <c r="D113" s="86"/>
      <c r="E113" s="152"/>
      <c r="F113" s="88"/>
      <c r="G113" s="89"/>
      <c r="H113" s="153"/>
      <c r="I113" s="360"/>
      <c r="J113" s="358"/>
      <c r="K113" s="96"/>
      <c r="M113" s="96"/>
    </row>
    <row r="114" spans="1:13" s="136" customFormat="1" x14ac:dyDescent="0.25">
      <c r="A114" s="151"/>
      <c r="B114" s="88"/>
      <c r="C114" s="88"/>
      <c r="D114" s="86"/>
      <c r="E114" s="154"/>
      <c r="F114" s="88"/>
      <c r="G114" s="89"/>
      <c r="H114" s="153"/>
      <c r="I114" s="361"/>
      <c r="J114" s="358"/>
      <c r="K114" s="96"/>
      <c r="M114" s="96"/>
    </row>
    <row r="115" spans="1:13" x14ac:dyDescent="0.25">
      <c r="A115" s="15">
        <v>34</v>
      </c>
      <c r="B115" s="119" t="s">
        <v>92</v>
      </c>
      <c r="C115" s="35">
        <v>350</v>
      </c>
      <c r="D115" s="78"/>
      <c r="E115" s="70"/>
      <c r="F115" s="35"/>
      <c r="G115" s="115"/>
      <c r="H115" s="69">
        <f>C115+D115-F115</f>
        <v>350</v>
      </c>
      <c r="I115" s="70"/>
      <c r="J115" s="22"/>
      <c r="K115" s="6"/>
    </row>
    <row r="116" spans="1:13" x14ac:dyDescent="0.25">
      <c r="A116" s="151">
        <v>35</v>
      </c>
      <c r="B116" s="119" t="s">
        <v>93</v>
      </c>
      <c r="C116" s="35">
        <v>0</v>
      </c>
      <c r="D116" s="78"/>
      <c r="E116" s="70"/>
      <c r="F116" s="35"/>
      <c r="G116" s="115"/>
      <c r="H116" s="69">
        <f t="shared" ref="H116:H124" si="0">C116+D116-F116</f>
        <v>0</v>
      </c>
      <c r="I116" s="70"/>
      <c r="J116" s="22"/>
      <c r="K116" s="6"/>
    </row>
    <row r="117" spans="1:13" x14ac:dyDescent="0.25">
      <c r="A117" s="15">
        <v>36</v>
      </c>
      <c r="B117" s="119" t="s">
        <v>94</v>
      </c>
      <c r="C117" s="35">
        <v>0</v>
      </c>
      <c r="D117" s="78"/>
      <c r="E117" s="70"/>
      <c r="F117" s="35"/>
      <c r="G117" s="115"/>
      <c r="H117" s="69">
        <f t="shared" si="0"/>
        <v>0</v>
      </c>
      <c r="I117" s="70"/>
      <c r="J117" s="22"/>
      <c r="K117" s="6"/>
    </row>
    <row r="118" spans="1:13" x14ac:dyDescent="0.25">
      <c r="A118" s="151">
        <v>37</v>
      </c>
      <c r="B118" s="119" t="s">
        <v>95</v>
      </c>
      <c r="C118" s="35">
        <v>0</v>
      </c>
      <c r="D118" s="78"/>
      <c r="E118" s="70"/>
      <c r="F118" s="35"/>
      <c r="G118" s="115"/>
      <c r="H118" s="69">
        <f t="shared" si="0"/>
        <v>0</v>
      </c>
      <c r="I118" s="70"/>
      <c r="J118" s="22"/>
      <c r="K118" s="6"/>
    </row>
    <row r="119" spans="1:13" x14ac:dyDescent="0.25">
      <c r="A119" s="15">
        <v>38</v>
      </c>
      <c r="B119" s="119" t="s">
        <v>96</v>
      </c>
      <c r="C119" s="35">
        <v>0</v>
      </c>
      <c r="D119" s="78"/>
      <c r="E119" s="70"/>
      <c r="F119" s="35"/>
      <c r="G119" s="115"/>
      <c r="H119" s="69">
        <f t="shared" si="0"/>
        <v>0</v>
      </c>
      <c r="I119" s="70"/>
      <c r="J119" s="22"/>
      <c r="K119" s="6"/>
    </row>
    <row r="120" spans="1:13" x14ac:dyDescent="0.25">
      <c r="A120" s="151">
        <v>39</v>
      </c>
      <c r="B120" s="119" t="s">
        <v>97</v>
      </c>
      <c r="C120" s="35">
        <v>0</v>
      </c>
      <c r="D120" s="78"/>
      <c r="E120" s="70"/>
      <c r="F120" s="35"/>
      <c r="G120" s="115"/>
      <c r="H120" s="69">
        <f t="shared" si="0"/>
        <v>0</v>
      </c>
      <c r="I120" s="70"/>
      <c r="J120" s="22"/>
      <c r="K120" s="6"/>
    </row>
    <row r="121" spans="1:13" x14ac:dyDescent="0.25">
      <c r="A121" s="15">
        <v>40</v>
      </c>
      <c r="B121" s="119" t="s">
        <v>98</v>
      </c>
      <c r="C121" s="35">
        <v>0</v>
      </c>
      <c r="D121" s="78"/>
      <c r="E121" s="70"/>
      <c r="F121" s="35"/>
      <c r="G121" s="115"/>
      <c r="H121" s="69">
        <f t="shared" si="0"/>
        <v>0</v>
      </c>
      <c r="I121" s="70"/>
      <c r="J121" s="22"/>
      <c r="K121" s="6"/>
    </row>
    <row r="122" spans="1:13" x14ac:dyDescent="0.25">
      <c r="A122" s="151">
        <v>41</v>
      </c>
      <c r="B122" s="119" t="s">
        <v>99</v>
      </c>
      <c r="C122" s="155">
        <v>0</v>
      </c>
      <c r="D122" s="78"/>
      <c r="E122" s="70"/>
      <c r="F122" s="35"/>
      <c r="G122" s="115"/>
      <c r="H122" s="69">
        <f t="shared" si="0"/>
        <v>0</v>
      </c>
      <c r="I122" s="70"/>
      <c r="J122" s="22"/>
      <c r="K122" s="6"/>
    </row>
    <row r="123" spans="1:13" x14ac:dyDescent="0.25">
      <c r="A123" s="15">
        <v>42</v>
      </c>
      <c r="B123" s="119" t="s">
        <v>100</v>
      </c>
      <c r="C123" s="35">
        <v>0</v>
      </c>
      <c r="D123" s="78"/>
      <c r="E123" s="70"/>
      <c r="F123" s="35"/>
      <c r="G123" s="115"/>
      <c r="H123" s="69">
        <f t="shared" si="0"/>
        <v>0</v>
      </c>
      <c r="I123" s="70"/>
      <c r="J123" s="22"/>
      <c r="K123" s="6"/>
    </row>
    <row r="124" spans="1:13" x14ac:dyDescent="0.25">
      <c r="A124" s="151">
        <v>43</v>
      </c>
      <c r="B124" s="119" t="s">
        <v>101</v>
      </c>
      <c r="C124" s="35">
        <v>0</v>
      </c>
      <c r="D124" s="78"/>
      <c r="E124" s="70"/>
      <c r="F124" s="35"/>
      <c r="G124" s="115"/>
      <c r="H124" s="69">
        <f t="shared" si="0"/>
        <v>0</v>
      </c>
      <c r="I124" s="70"/>
      <c r="J124" s="22"/>
      <c r="K124" s="6"/>
    </row>
    <row r="125" spans="1:13" x14ac:dyDescent="0.25">
      <c r="A125" s="362">
        <v>44</v>
      </c>
      <c r="B125" s="35" t="s">
        <v>102</v>
      </c>
      <c r="C125" s="35">
        <v>0</v>
      </c>
      <c r="D125" s="78"/>
      <c r="E125" s="70"/>
      <c r="F125" s="35"/>
      <c r="G125" s="156"/>
      <c r="H125" s="69">
        <f>C125+D125-F125-F126</f>
        <v>0</v>
      </c>
      <c r="I125" s="70"/>
      <c r="J125" s="22"/>
      <c r="K125" s="6"/>
    </row>
    <row r="126" spans="1:13" x14ac:dyDescent="0.25">
      <c r="A126" s="363"/>
      <c r="B126" s="43"/>
      <c r="C126" s="43"/>
      <c r="D126" s="74"/>
      <c r="E126" s="77"/>
      <c r="F126" s="43"/>
      <c r="G126" s="157"/>
      <c r="H126" s="151"/>
      <c r="I126" s="77"/>
      <c r="J126" s="22"/>
      <c r="K126" s="6"/>
    </row>
    <row r="127" spans="1:13" x14ac:dyDescent="0.25">
      <c r="A127" s="158">
        <v>45</v>
      </c>
      <c r="B127" s="159" t="s">
        <v>103</v>
      </c>
      <c r="C127" s="159">
        <v>500</v>
      </c>
      <c r="D127" s="160"/>
      <c r="E127" s="161"/>
      <c r="F127" s="159"/>
      <c r="G127" s="162"/>
      <c r="H127" s="163">
        <f>C127+D127+D128-F127-F128</f>
        <v>500</v>
      </c>
      <c r="I127" s="161"/>
      <c r="J127" s="22"/>
      <c r="K127" s="6"/>
    </row>
    <row r="128" spans="1:13" x14ac:dyDescent="0.25">
      <c r="A128" s="164"/>
      <c r="B128" s="165"/>
      <c r="C128" s="165"/>
      <c r="D128" s="166"/>
      <c r="E128" s="167"/>
      <c r="F128" s="165"/>
      <c r="G128" s="168"/>
      <c r="H128" s="169"/>
      <c r="I128" s="167"/>
      <c r="J128" s="22"/>
      <c r="K128" s="6"/>
    </row>
    <row r="129" spans="1:13" x14ac:dyDescent="0.25">
      <c r="A129" s="336">
        <v>46</v>
      </c>
      <c r="B129" s="339" t="s">
        <v>104</v>
      </c>
      <c r="C129" s="339">
        <v>0</v>
      </c>
      <c r="D129" s="170"/>
      <c r="E129" s="171"/>
      <c r="F129" s="172"/>
      <c r="G129" s="173"/>
      <c r="H129" s="344">
        <f>C129+SUM(D129:D132)-SUM(F129:F132)</f>
        <v>0</v>
      </c>
      <c r="I129" s="174"/>
      <c r="J129" s="135"/>
      <c r="K129" s="96"/>
    </row>
    <row r="130" spans="1:13" x14ac:dyDescent="0.25">
      <c r="A130" s="338"/>
      <c r="B130" s="340"/>
      <c r="C130" s="340"/>
      <c r="D130" s="175"/>
      <c r="E130" s="171"/>
      <c r="F130" s="104"/>
      <c r="G130" s="138"/>
      <c r="H130" s="342"/>
      <c r="I130" s="174"/>
      <c r="J130" s="358"/>
      <c r="K130" s="364"/>
    </row>
    <row r="131" spans="1:13" x14ac:dyDescent="0.25">
      <c r="A131" s="338"/>
      <c r="B131" s="340"/>
      <c r="C131" s="340"/>
      <c r="D131" s="176"/>
      <c r="E131" s="177"/>
      <c r="F131" s="104"/>
      <c r="G131" s="138"/>
      <c r="H131" s="342"/>
      <c r="I131" s="174"/>
      <c r="J131" s="135"/>
      <c r="K131" s="96"/>
    </row>
    <row r="132" spans="1:13" x14ac:dyDescent="0.25">
      <c r="A132" s="337"/>
      <c r="B132" s="341"/>
      <c r="C132" s="341"/>
      <c r="D132" s="178"/>
      <c r="E132" s="179"/>
      <c r="F132" s="180"/>
      <c r="G132" s="138"/>
      <c r="H132" s="343"/>
      <c r="I132" s="174"/>
      <c r="J132" s="135"/>
      <c r="K132" s="96"/>
    </row>
    <row r="133" spans="1:13" customFormat="1" x14ac:dyDescent="0.25">
      <c r="A133" s="181">
        <v>47</v>
      </c>
      <c r="B133" s="181" t="s">
        <v>105</v>
      </c>
      <c r="C133" s="182">
        <v>0</v>
      </c>
      <c r="D133" s="183"/>
      <c r="E133" s="184"/>
      <c r="F133" s="182"/>
      <c r="G133" s="185"/>
      <c r="H133" s="95"/>
      <c r="I133" s="186"/>
      <c r="J133" s="187"/>
      <c r="K133" s="188"/>
      <c r="M133" s="189"/>
    </row>
    <row r="134" spans="1:13" x14ac:dyDescent="0.25">
      <c r="A134" s="190">
        <v>48</v>
      </c>
      <c r="B134" s="191" t="s">
        <v>106</v>
      </c>
      <c r="C134" s="191">
        <v>0</v>
      </c>
      <c r="D134" s="192"/>
      <c r="E134" s="193"/>
      <c r="F134" s="191"/>
      <c r="G134" s="194"/>
      <c r="H134" s="95">
        <f>C134+D134-F134</f>
        <v>0</v>
      </c>
      <c r="I134" s="174"/>
      <c r="J134" s="135"/>
      <c r="K134" s="96"/>
    </row>
    <row r="135" spans="1:13" x14ac:dyDescent="0.25">
      <c r="A135" s="355">
        <v>49</v>
      </c>
      <c r="B135" s="339" t="s">
        <v>107</v>
      </c>
      <c r="C135" s="339">
        <v>0</v>
      </c>
      <c r="D135" s="192"/>
      <c r="E135" s="193"/>
      <c r="F135" s="191"/>
      <c r="G135" s="194"/>
      <c r="H135" s="344">
        <f>C135+SUM(D135:D136)-SUM(F135:F136)</f>
        <v>0</v>
      </c>
      <c r="I135" s="174"/>
      <c r="J135" s="135"/>
      <c r="K135" s="96"/>
    </row>
    <row r="136" spans="1:13" x14ac:dyDescent="0.25">
      <c r="A136" s="356"/>
      <c r="B136" s="341"/>
      <c r="C136" s="341"/>
      <c r="D136" s="192"/>
      <c r="E136" s="193"/>
      <c r="F136" s="191"/>
      <c r="G136" s="194"/>
      <c r="H136" s="343"/>
      <c r="I136" s="174"/>
      <c r="J136" s="135"/>
      <c r="K136" s="96"/>
    </row>
    <row r="137" spans="1:13" x14ac:dyDescent="0.25">
      <c r="A137" s="355">
        <v>50</v>
      </c>
      <c r="B137" s="357" t="s">
        <v>108</v>
      </c>
      <c r="C137" s="339">
        <v>0</v>
      </c>
      <c r="D137" s="192"/>
      <c r="E137" s="193"/>
      <c r="F137" s="191"/>
      <c r="G137" s="194"/>
      <c r="H137" s="344">
        <f>C137+SUM(D137:D138)-SUM(F137:F138)</f>
        <v>0</v>
      </c>
      <c r="I137" s="345"/>
      <c r="J137" s="135"/>
      <c r="K137" s="96"/>
    </row>
    <row r="138" spans="1:13" x14ac:dyDescent="0.25">
      <c r="A138" s="356"/>
      <c r="B138" s="341"/>
      <c r="C138" s="341"/>
      <c r="D138" s="195"/>
      <c r="E138" s="126"/>
      <c r="F138" s="191"/>
      <c r="G138" s="194"/>
      <c r="H138" s="343"/>
      <c r="I138" s="346"/>
      <c r="J138" s="135"/>
      <c r="K138" s="96"/>
    </row>
    <row r="139" spans="1:13" x14ac:dyDescent="0.25">
      <c r="A139" s="336">
        <v>51</v>
      </c>
      <c r="B139" s="339" t="s">
        <v>109</v>
      </c>
      <c r="C139" s="339">
        <v>0</v>
      </c>
      <c r="D139" s="196"/>
      <c r="E139" s="197"/>
      <c r="F139" s="104"/>
      <c r="G139" s="138"/>
      <c r="H139" s="344">
        <f>C139+SUM(D139:D140)-SUM(F139:F140)</f>
        <v>0</v>
      </c>
      <c r="I139" s="174"/>
      <c r="J139" s="135"/>
      <c r="K139" s="96"/>
    </row>
    <row r="140" spans="1:13" x14ac:dyDescent="0.25">
      <c r="A140" s="337"/>
      <c r="B140" s="341"/>
      <c r="C140" s="341"/>
      <c r="D140" s="176"/>
      <c r="E140" s="198"/>
      <c r="F140" s="104"/>
      <c r="G140" s="138"/>
      <c r="H140" s="343"/>
      <c r="I140" s="174"/>
      <c r="J140" s="135"/>
      <c r="K140" s="96"/>
    </row>
    <row r="141" spans="1:13" x14ac:dyDescent="0.25">
      <c r="A141" s="181">
        <v>52</v>
      </c>
      <c r="B141" s="191" t="s">
        <v>34</v>
      </c>
      <c r="C141" s="191">
        <v>1572925</v>
      </c>
      <c r="D141" s="192"/>
      <c r="E141" s="193"/>
      <c r="F141" s="191"/>
      <c r="G141" s="194"/>
      <c r="H141" s="95">
        <f>C141+D141-F141</f>
        <v>1572925</v>
      </c>
      <c r="I141" s="174"/>
      <c r="J141" s="135"/>
      <c r="K141" s="96"/>
    </row>
    <row r="142" spans="1:13" x14ac:dyDescent="0.25">
      <c r="A142" s="199">
        <v>53</v>
      </c>
      <c r="B142" s="104" t="s">
        <v>110</v>
      </c>
      <c r="C142" s="339">
        <v>0</v>
      </c>
      <c r="D142" s="55"/>
      <c r="E142" s="28"/>
      <c r="F142" s="27"/>
      <c r="G142" s="48"/>
      <c r="H142" s="344">
        <f>C142+SUM(D142:D144)-SUM(F142:F144)</f>
        <v>0</v>
      </c>
      <c r="I142" s="352"/>
      <c r="J142" s="135"/>
      <c r="K142" s="96"/>
    </row>
    <row r="143" spans="1:13" x14ac:dyDescent="0.25">
      <c r="A143" s="200"/>
      <c r="B143" s="104"/>
      <c r="C143" s="340"/>
      <c r="D143" s="55"/>
      <c r="E143" s="28"/>
      <c r="F143" s="27"/>
      <c r="G143" s="48"/>
      <c r="H143" s="342"/>
      <c r="I143" s="353"/>
      <c r="J143" s="135"/>
      <c r="K143" s="96"/>
    </row>
    <row r="144" spans="1:13" x14ac:dyDescent="0.25">
      <c r="A144" s="200"/>
      <c r="B144" s="104"/>
      <c r="C144" s="340"/>
      <c r="D144" s="55"/>
      <c r="E144" s="28"/>
      <c r="F144" s="27"/>
      <c r="G144" s="48"/>
      <c r="H144" s="342"/>
      <c r="I144" s="346"/>
      <c r="J144" s="135"/>
      <c r="K144" s="96"/>
    </row>
    <row r="145" spans="1:13" x14ac:dyDescent="0.25">
      <c r="A145" s="336">
        <v>54</v>
      </c>
      <c r="B145" s="339" t="s">
        <v>111</v>
      </c>
      <c r="C145" s="339">
        <v>0</v>
      </c>
      <c r="D145" s="192"/>
      <c r="E145" s="193"/>
      <c r="F145" s="191"/>
      <c r="G145" s="194"/>
      <c r="H145" s="344">
        <f>C145+SUM(D145:D147)-SUM(F145:F147)</f>
        <v>0</v>
      </c>
      <c r="I145" s="352"/>
      <c r="J145" s="135"/>
      <c r="K145" s="96"/>
    </row>
    <row r="146" spans="1:13" x14ac:dyDescent="0.25">
      <c r="A146" s="338"/>
      <c r="B146" s="340"/>
      <c r="C146" s="340"/>
      <c r="D146" s="56"/>
      <c r="E146" s="31"/>
      <c r="F146" s="32"/>
      <c r="G146" s="201"/>
      <c r="H146" s="342"/>
      <c r="I146" s="353"/>
      <c r="J146" s="135"/>
      <c r="K146" s="96"/>
    </row>
    <row r="147" spans="1:13" x14ac:dyDescent="0.25">
      <c r="A147" s="338"/>
      <c r="B147" s="340"/>
      <c r="C147" s="340"/>
      <c r="D147" s="56"/>
      <c r="E147" s="31"/>
      <c r="F147" s="32"/>
      <c r="G147" s="201"/>
      <c r="H147" s="342"/>
      <c r="I147" s="353"/>
      <c r="J147" s="135"/>
      <c r="K147" s="96"/>
    </row>
    <row r="148" spans="1:13" x14ac:dyDescent="0.25">
      <c r="A148" s="337"/>
      <c r="B148" s="341"/>
      <c r="C148" s="341"/>
      <c r="D148" s="56"/>
      <c r="E148" s="31"/>
      <c r="F148" s="32"/>
      <c r="G148" s="201"/>
      <c r="H148" s="343"/>
      <c r="I148" s="354"/>
      <c r="J148" s="135"/>
      <c r="K148" s="96"/>
    </row>
    <row r="149" spans="1:13" x14ac:dyDescent="0.25">
      <c r="A149" s="190">
        <v>55</v>
      </c>
      <c r="B149" s="32" t="s">
        <v>112</v>
      </c>
      <c r="C149" s="32">
        <v>21859090</v>
      </c>
      <c r="D149" s="56">
        <v>46800000</v>
      </c>
      <c r="E149" s="31" t="s">
        <v>113</v>
      </c>
      <c r="F149" s="32">
        <v>21859090</v>
      </c>
      <c r="G149" s="201">
        <v>43598</v>
      </c>
      <c r="H149" s="76">
        <f>C149+D149-F149</f>
        <v>46800000</v>
      </c>
      <c r="I149" s="174"/>
      <c r="J149" s="135"/>
      <c r="K149" s="96"/>
    </row>
    <row r="150" spans="1:13" x14ac:dyDescent="0.25">
      <c r="A150" s="190">
        <v>56</v>
      </c>
      <c r="B150" s="32" t="s">
        <v>114</v>
      </c>
      <c r="C150" s="32">
        <v>0</v>
      </c>
      <c r="D150" s="56"/>
      <c r="E150" s="31"/>
      <c r="F150" s="32"/>
      <c r="G150" s="201"/>
      <c r="H150" s="76">
        <f>C150+D150-F150</f>
        <v>0</v>
      </c>
      <c r="I150" s="174"/>
      <c r="J150" s="135"/>
      <c r="K150" s="96"/>
    </row>
    <row r="151" spans="1:13" x14ac:dyDescent="0.25">
      <c r="A151" s="190">
        <v>57</v>
      </c>
      <c r="B151" s="32" t="s">
        <v>115</v>
      </c>
      <c r="C151" s="32">
        <v>0</v>
      </c>
      <c r="D151" s="56"/>
      <c r="E151" s="31"/>
      <c r="F151" s="32"/>
      <c r="G151" s="201"/>
      <c r="H151" s="76">
        <f>C151+D151-F151</f>
        <v>0</v>
      </c>
      <c r="I151" s="174"/>
      <c r="J151" s="135"/>
      <c r="K151" s="96"/>
    </row>
    <row r="152" spans="1:13" x14ac:dyDescent="0.25">
      <c r="A152" s="190">
        <v>58</v>
      </c>
      <c r="B152" s="32" t="s">
        <v>116</v>
      </c>
      <c r="C152" s="32">
        <v>0</v>
      </c>
      <c r="D152" s="56"/>
      <c r="E152" s="31"/>
      <c r="F152" s="32"/>
      <c r="G152" s="201"/>
      <c r="H152" s="76">
        <f>C152+D152-F152</f>
        <v>0</v>
      </c>
      <c r="I152" s="174"/>
      <c r="J152" s="135"/>
      <c r="K152" s="96"/>
    </row>
    <row r="153" spans="1:13" x14ac:dyDescent="0.25">
      <c r="A153" s="190">
        <v>59</v>
      </c>
      <c r="B153" s="32" t="s">
        <v>117</v>
      </c>
      <c r="C153" s="32">
        <v>0</v>
      </c>
      <c r="D153" s="56"/>
      <c r="E153" s="31"/>
      <c r="F153" s="32"/>
      <c r="G153" s="135"/>
      <c r="H153" s="76">
        <f>C153+SUM(D153)-SUM(F153)</f>
        <v>0</v>
      </c>
      <c r="I153" s="174"/>
      <c r="J153" s="136"/>
      <c r="K153" s="96"/>
    </row>
    <row r="154" spans="1:13" x14ac:dyDescent="0.25">
      <c r="A154" s="336">
        <v>60</v>
      </c>
      <c r="B154" s="202" t="s">
        <v>118</v>
      </c>
      <c r="C154" s="202">
        <v>0</v>
      </c>
      <c r="D154" s="202"/>
      <c r="E154" s="31"/>
      <c r="F154" s="202"/>
      <c r="G154" s="203"/>
      <c r="H154" s="204">
        <f>C154+SUM(D154:D155)-SUM(F154:F155)</f>
        <v>0</v>
      </c>
      <c r="I154" s="174"/>
      <c r="J154" s="135"/>
      <c r="K154" s="96"/>
    </row>
    <row r="155" spans="1:13" x14ac:dyDescent="0.25">
      <c r="A155" s="337"/>
      <c r="B155" s="202"/>
      <c r="C155" s="202"/>
      <c r="D155" s="202"/>
      <c r="E155" s="31"/>
      <c r="F155" s="202"/>
      <c r="G155" s="203"/>
      <c r="H155" s="204"/>
      <c r="I155" s="174"/>
      <c r="J155" s="135"/>
      <c r="K155" s="96"/>
    </row>
    <row r="156" spans="1:13" x14ac:dyDescent="0.25">
      <c r="A156" s="190">
        <v>61</v>
      </c>
      <c r="B156" s="202" t="s">
        <v>119</v>
      </c>
      <c r="C156" s="202">
        <v>0</v>
      </c>
      <c r="D156" s="202"/>
      <c r="E156" s="31"/>
      <c r="F156" s="202"/>
      <c r="G156" s="203"/>
      <c r="H156" s="204">
        <f t="shared" ref="H156:H163" si="1">C156+D156-F156</f>
        <v>0</v>
      </c>
      <c r="I156" s="174"/>
      <c r="J156" s="135"/>
      <c r="K156" s="96"/>
    </row>
    <row r="157" spans="1:13" x14ac:dyDescent="0.25">
      <c r="A157" s="190">
        <v>62</v>
      </c>
      <c r="B157" s="202" t="s">
        <v>120</v>
      </c>
      <c r="C157" s="202">
        <v>0</v>
      </c>
      <c r="D157" s="202">
        <v>60600000</v>
      </c>
      <c r="E157" s="31" t="s">
        <v>113</v>
      </c>
      <c r="F157" s="202"/>
      <c r="G157" s="203"/>
      <c r="H157" s="204">
        <f t="shared" si="1"/>
        <v>60600000</v>
      </c>
      <c r="I157" s="174"/>
      <c r="J157" s="135"/>
      <c r="K157" s="96"/>
    </row>
    <row r="158" spans="1:13" s="210" customFormat="1" x14ac:dyDescent="0.25">
      <c r="A158" s="336">
        <v>63</v>
      </c>
      <c r="B158" s="348" t="s">
        <v>121</v>
      </c>
      <c r="C158" s="205"/>
      <c r="D158" s="205">
        <v>6540000</v>
      </c>
      <c r="E158" s="206" t="s">
        <v>113</v>
      </c>
      <c r="F158" s="205"/>
      <c r="G158" s="207"/>
      <c r="H158" s="350">
        <f>C158+SUM(D158:D159)-SUM(F158:F159)</f>
        <v>6540000</v>
      </c>
      <c r="I158" s="345"/>
      <c r="J158" s="208"/>
      <c r="K158" s="209"/>
      <c r="M158" s="209"/>
    </row>
    <row r="159" spans="1:13" x14ac:dyDescent="0.25">
      <c r="A159" s="337"/>
      <c r="B159" s="349"/>
      <c r="C159" s="202"/>
      <c r="D159" s="202"/>
      <c r="E159" s="202"/>
      <c r="F159" s="202"/>
      <c r="G159" s="203"/>
      <c r="H159" s="351"/>
      <c r="I159" s="346"/>
      <c r="J159" s="135"/>
      <c r="K159" s="96"/>
    </row>
    <row r="160" spans="1:13" x14ac:dyDescent="0.25">
      <c r="A160" s="190">
        <v>64</v>
      </c>
      <c r="B160" s="32" t="s">
        <v>122</v>
      </c>
      <c r="C160" s="32">
        <v>0</v>
      </c>
      <c r="D160" s="56">
        <v>3400000</v>
      </c>
      <c r="E160" s="31" t="s">
        <v>123</v>
      </c>
      <c r="F160" s="32"/>
      <c r="G160" s="201"/>
      <c r="H160" s="76">
        <f t="shared" si="1"/>
        <v>3400000</v>
      </c>
      <c r="I160" s="174"/>
      <c r="J160" s="135"/>
      <c r="K160" s="96"/>
    </row>
    <row r="161" spans="1:11" x14ac:dyDescent="0.25">
      <c r="A161" s="4">
        <v>65</v>
      </c>
      <c r="B161" s="32" t="s">
        <v>124</v>
      </c>
      <c r="C161" s="32">
        <v>-20000</v>
      </c>
      <c r="D161" s="56"/>
      <c r="E161" s="31"/>
      <c r="F161" s="32"/>
      <c r="G161" s="201"/>
      <c r="H161" s="76">
        <f>C161+SUM(D161:D162)-SUM(F161:F162)</f>
        <v>-20000</v>
      </c>
      <c r="I161" s="174"/>
      <c r="J161" s="135"/>
      <c r="K161" s="96"/>
    </row>
    <row r="162" spans="1:11" x14ac:dyDescent="0.25">
      <c r="A162" s="190"/>
      <c r="B162" s="32"/>
      <c r="C162" s="32"/>
      <c r="D162" s="56"/>
      <c r="E162" s="31"/>
      <c r="F162" s="32"/>
      <c r="G162" s="201"/>
      <c r="H162" s="76"/>
      <c r="I162" s="174"/>
      <c r="J162" s="135"/>
      <c r="K162" s="96"/>
    </row>
    <row r="163" spans="1:11" x14ac:dyDescent="0.25">
      <c r="A163" s="190">
        <v>66</v>
      </c>
      <c r="B163" s="32" t="s">
        <v>125</v>
      </c>
      <c r="C163" s="32">
        <v>0</v>
      </c>
      <c r="D163" s="56"/>
      <c r="E163" s="31"/>
      <c r="F163" s="32"/>
      <c r="G163" s="201"/>
      <c r="H163" s="76">
        <f t="shared" si="1"/>
        <v>0</v>
      </c>
      <c r="I163" s="174"/>
      <c r="J163" s="135"/>
      <c r="K163" s="96"/>
    </row>
    <row r="164" spans="1:11" ht="20.25" customHeight="1" x14ac:dyDescent="0.2">
      <c r="A164" s="336">
        <v>67</v>
      </c>
      <c r="B164" s="339" t="s">
        <v>126</v>
      </c>
      <c r="C164" s="339">
        <v>142880000</v>
      </c>
      <c r="D164" s="56">
        <v>11580000</v>
      </c>
      <c r="E164" s="31" t="s">
        <v>113</v>
      </c>
      <c r="F164" s="211">
        <v>67760000</v>
      </c>
      <c r="G164" s="201">
        <v>43613</v>
      </c>
      <c r="H164" s="344">
        <f>C164+SUM(D164:D165)-SUM(F164:F165)</f>
        <v>86700000</v>
      </c>
      <c r="I164" s="345" t="s">
        <v>57</v>
      </c>
      <c r="J164" s="347"/>
      <c r="K164" s="96"/>
    </row>
    <row r="165" spans="1:11" x14ac:dyDescent="0.25">
      <c r="A165" s="337"/>
      <c r="B165" s="341"/>
      <c r="C165" s="341"/>
      <c r="D165" s="56"/>
      <c r="E165" s="31"/>
      <c r="F165" s="195"/>
      <c r="G165" s="201"/>
      <c r="H165" s="343"/>
      <c r="I165" s="346"/>
      <c r="J165" s="347"/>
      <c r="K165" s="96"/>
    </row>
    <row r="166" spans="1:11" x14ac:dyDescent="0.25">
      <c r="A166" s="336">
        <v>68</v>
      </c>
      <c r="B166" s="339" t="s">
        <v>127</v>
      </c>
      <c r="C166" s="339">
        <v>0</v>
      </c>
      <c r="D166" s="56"/>
      <c r="E166" s="31"/>
      <c r="F166" s="32"/>
      <c r="G166" s="201"/>
      <c r="H166" s="344">
        <f>C166+SUM(D166:D170)-SUM(F166:F170)</f>
        <v>0</v>
      </c>
      <c r="I166" s="174"/>
      <c r="J166" s="135"/>
      <c r="K166" s="96"/>
    </row>
    <row r="167" spans="1:11" x14ac:dyDescent="0.25">
      <c r="A167" s="338"/>
      <c r="B167" s="340"/>
      <c r="C167" s="340"/>
      <c r="D167" s="56"/>
      <c r="E167" s="31"/>
      <c r="F167" s="32"/>
      <c r="G167" s="201"/>
      <c r="H167" s="342"/>
      <c r="I167" s="174"/>
      <c r="J167" s="135"/>
      <c r="K167" s="96"/>
    </row>
    <row r="168" spans="1:11" x14ac:dyDescent="0.25">
      <c r="A168" s="338"/>
      <c r="B168" s="340"/>
      <c r="C168" s="340"/>
      <c r="D168" s="56"/>
      <c r="E168" s="31"/>
      <c r="F168" s="32"/>
      <c r="G168" s="201"/>
      <c r="H168" s="342"/>
      <c r="I168" s="174"/>
      <c r="J168" s="135"/>
      <c r="K168" s="96"/>
    </row>
    <row r="169" spans="1:11" x14ac:dyDescent="0.25">
      <c r="A169" s="338"/>
      <c r="B169" s="340"/>
      <c r="C169" s="340"/>
      <c r="D169" s="56"/>
      <c r="E169" s="31"/>
      <c r="F169" s="32"/>
      <c r="G169" s="201"/>
      <c r="H169" s="342"/>
      <c r="I169" s="174"/>
      <c r="J169" s="135"/>
      <c r="K169" s="96"/>
    </row>
    <row r="170" spans="1:11" x14ac:dyDescent="0.25">
      <c r="A170" s="337"/>
      <c r="B170" s="341"/>
      <c r="C170" s="341"/>
      <c r="D170" s="56"/>
      <c r="E170" s="31"/>
      <c r="F170" s="32"/>
      <c r="G170" s="201"/>
      <c r="H170" s="343"/>
      <c r="I170" s="174"/>
      <c r="J170" s="135"/>
      <c r="K170" s="96"/>
    </row>
    <row r="171" spans="1:11" x14ac:dyDescent="0.25">
      <c r="A171" s="336">
        <v>69</v>
      </c>
      <c r="B171" s="339" t="s">
        <v>128</v>
      </c>
      <c r="C171" s="339">
        <v>0</v>
      </c>
      <c r="D171" s="56"/>
      <c r="E171" s="31"/>
      <c r="F171" s="32"/>
      <c r="G171" s="201"/>
      <c r="H171" s="344">
        <f>C171+SUM(D171:D172)-SUM(F171:F172)</f>
        <v>0</v>
      </c>
      <c r="I171" s="345"/>
      <c r="J171" s="135"/>
      <c r="K171" s="96"/>
    </row>
    <row r="172" spans="1:11" x14ac:dyDescent="0.25">
      <c r="A172" s="337"/>
      <c r="B172" s="341"/>
      <c r="C172" s="341"/>
      <c r="D172" s="56"/>
      <c r="E172" s="31"/>
      <c r="F172" s="32"/>
      <c r="G172" s="201"/>
      <c r="H172" s="343"/>
      <c r="I172" s="346"/>
      <c r="J172" s="135"/>
      <c r="K172" s="96"/>
    </row>
    <row r="173" spans="1:11" x14ac:dyDescent="0.25">
      <c r="A173" s="151">
        <v>70</v>
      </c>
      <c r="B173" s="32" t="s">
        <v>129</v>
      </c>
      <c r="C173" s="32">
        <v>0</v>
      </c>
      <c r="D173" s="56"/>
      <c r="E173" s="31"/>
      <c r="F173" s="32"/>
      <c r="G173" s="201"/>
      <c r="H173" s="76">
        <f>C173+D173-F173</f>
        <v>0</v>
      </c>
      <c r="I173" s="212"/>
      <c r="J173" s="135"/>
      <c r="K173" s="96"/>
    </row>
    <row r="174" spans="1:11" x14ac:dyDescent="0.25">
      <c r="A174" s="151">
        <v>71</v>
      </c>
      <c r="B174" s="32" t="s">
        <v>130</v>
      </c>
      <c r="C174" s="32">
        <v>0</v>
      </c>
      <c r="D174" s="56"/>
      <c r="E174" s="31"/>
      <c r="F174" s="32"/>
      <c r="G174" s="201"/>
      <c r="H174" s="76">
        <f>C174+D174-F174</f>
        <v>0</v>
      </c>
      <c r="I174" s="212"/>
      <c r="J174" s="135"/>
      <c r="K174" s="96"/>
    </row>
    <row r="175" spans="1:11" x14ac:dyDescent="0.25">
      <c r="A175" s="151">
        <v>72</v>
      </c>
      <c r="B175" s="32" t="s">
        <v>131</v>
      </c>
      <c r="C175" s="32">
        <v>0</v>
      </c>
      <c r="D175" s="56"/>
      <c r="E175" s="31"/>
      <c r="F175" s="32"/>
      <c r="G175" s="201"/>
      <c r="H175" s="76">
        <f>C175+D175-F175</f>
        <v>0</v>
      </c>
      <c r="I175" s="174"/>
      <c r="J175" s="135"/>
      <c r="K175" s="96"/>
    </row>
    <row r="176" spans="1:11" x14ac:dyDescent="0.25">
      <c r="A176" s="336">
        <v>73</v>
      </c>
      <c r="B176" s="32" t="s">
        <v>132</v>
      </c>
      <c r="C176" s="339">
        <v>0</v>
      </c>
      <c r="D176" s="32"/>
      <c r="E176" s="31"/>
      <c r="F176" s="32"/>
      <c r="G176" s="201"/>
      <c r="H176" s="344">
        <f>C176+SUM(D176:D177)-SUM(F176:F177)</f>
        <v>0</v>
      </c>
      <c r="I176" s="345"/>
      <c r="J176" s="135"/>
      <c r="K176" s="96"/>
    </row>
    <row r="177" spans="1:11" x14ac:dyDescent="0.25">
      <c r="A177" s="337"/>
      <c r="B177" s="32"/>
      <c r="C177" s="341"/>
      <c r="D177" s="32"/>
      <c r="E177" s="31"/>
      <c r="F177" s="32"/>
      <c r="G177" s="201"/>
      <c r="H177" s="343"/>
      <c r="I177" s="346"/>
      <c r="J177" s="135"/>
      <c r="K177" s="96"/>
    </row>
    <row r="178" spans="1:11" x14ac:dyDescent="0.25">
      <c r="A178" s="336">
        <v>74</v>
      </c>
      <c r="B178" s="339" t="s">
        <v>133</v>
      </c>
      <c r="C178" s="339">
        <v>0</v>
      </c>
      <c r="D178" s="32"/>
      <c r="E178" s="31"/>
      <c r="F178" s="32"/>
      <c r="G178" s="201"/>
      <c r="H178" s="344">
        <f>C178+SUM(D178:D179)-SUM(F178:F179)</f>
        <v>0</v>
      </c>
      <c r="I178" s="345"/>
      <c r="J178" s="135"/>
      <c r="K178" s="96"/>
    </row>
    <row r="179" spans="1:11" x14ac:dyDescent="0.25">
      <c r="A179" s="337"/>
      <c r="B179" s="341"/>
      <c r="C179" s="341"/>
      <c r="D179" s="32"/>
      <c r="E179" s="31"/>
      <c r="F179" s="32"/>
      <c r="G179" s="201"/>
      <c r="H179" s="343"/>
      <c r="I179" s="346"/>
      <c r="J179" s="135"/>
      <c r="K179" s="96"/>
    </row>
    <row r="180" spans="1:11" x14ac:dyDescent="0.25">
      <c r="A180" s="190">
        <v>75</v>
      </c>
      <c r="B180" s="32" t="s">
        <v>134</v>
      </c>
      <c r="C180" s="32">
        <v>0</v>
      </c>
      <c r="D180" s="32"/>
      <c r="E180" s="31"/>
      <c r="F180" s="32"/>
      <c r="G180" s="201"/>
      <c r="H180" s="76">
        <f>C180+D180-F180</f>
        <v>0</v>
      </c>
      <c r="I180" s="174"/>
      <c r="J180" s="135"/>
      <c r="K180" s="96"/>
    </row>
    <row r="181" spans="1:11" x14ac:dyDescent="0.25">
      <c r="A181" s="336">
        <v>76</v>
      </c>
      <c r="B181" s="32" t="s">
        <v>135</v>
      </c>
      <c r="C181" s="32">
        <v>0</v>
      </c>
      <c r="D181" s="32"/>
      <c r="E181" s="31"/>
      <c r="F181" s="32"/>
      <c r="G181" s="201"/>
      <c r="H181" s="76"/>
      <c r="I181" s="174"/>
      <c r="J181" s="135"/>
      <c r="K181" s="96"/>
    </row>
    <row r="182" spans="1:11" x14ac:dyDescent="0.25">
      <c r="A182" s="337"/>
      <c r="B182" s="32" t="s">
        <v>136</v>
      </c>
      <c r="C182" s="32">
        <v>0</v>
      </c>
      <c r="D182" s="32"/>
      <c r="E182" s="31"/>
      <c r="F182" s="32"/>
      <c r="G182" s="201"/>
      <c r="H182" s="76">
        <f>C182+D182-F182</f>
        <v>0</v>
      </c>
      <c r="I182" s="174"/>
      <c r="J182" s="135"/>
      <c r="K182" s="96"/>
    </row>
    <row r="183" spans="1:11" x14ac:dyDescent="0.25">
      <c r="A183" s="190">
        <v>77</v>
      </c>
      <c r="B183" s="32" t="s">
        <v>137</v>
      </c>
      <c r="C183" s="32">
        <v>0</v>
      </c>
      <c r="D183" s="32"/>
      <c r="E183" s="31"/>
      <c r="F183" s="32"/>
      <c r="G183" s="201"/>
      <c r="H183" s="213">
        <f>C183+D183-F183</f>
        <v>0</v>
      </c>
      <c r="I183" s="174"/>
      <c r="J183" s="135"/>
      <c r="K183" s="96"/>
    </row>
    <row r="184" spans="1:11" x14ac:dyDescent="0.25">
      <c r="A184" s="336">
        <v>78</v>
      </c>
      <c r="B184" s="339" t="s">
        <v>138</v>
      </c>
      <c r="C184" s="339">
        <v>140000000</v>
      </c>
      <c r="D184" s="32">
        <v>46200000</v>
      </c>
      <c r="E184" s="31" t="s">
        <v>113</v>
      </c>
      <c r="F184" s="32">
        <v>10000000</v>
      </c>
      <c r="G184" s="201">
        <v>43587</v>
      </c>
      <c r="H184" s="342">
        <f>C184+SUM(D184:D188)-SUM(F184:F188)</f>
        <v>46200000</v>
      </c>
      <c r="I184" s="174"/>
      <c r="J184" s="135"/>
      <c r="K184" s="96" t="s">
        <v>139</v>
      </c>
    </row>
    <row r="185" spans="1:11" x14ac:dyDescent="0.25">
      <c r="A185" s="338"/>
      <c r="B185" s="340"/>
      <c r="C185" s="340"/>
      <c r="D185" s="32"/>
      <c r="E185" s="31"/>
      <c r="F185" s="32">
        <v>90000000</v>
      </c>
      <c r="G185" s="201">
        <v>43587</v>
      </c>
      <c r="H185" s="342"/>
      <c r="I185" s="174"/>
      <c r="J185" s="135"/>
      <c r="K185" s="96"/>
    </row>
    <row r="186" spans="1:11" x14ac:dyDescent="0.25">
      <c r="A186" s="338"/>
      <c r="B186" s="340"/>
      <c r="C186" s="340"/>
      <c r="D186" s="32"/>
      <c r="E186" s="31"/>
      <c r="F186" s="32">
        <v>40000000</v>
      </c>
      <c r="G186" s="201">
        <v>43619</v>
      </c>
      <c r="H186" s="342"/>
      <c r="I186" s="174"/>
      <c r="J186" s="135"/>
      <c r="K186" s="96"/>
    </row>
    <row r="187" spans="1:11" x14ac:dyDescent="0.25">
      <c r="A187" s="338"/>
      <c r="B187" s="340"/>
      <c r="C187" s="340"/>
      <c r="D187" s="32"/>
      <c r="E187" s="31"/>
      <c r="F187" s="32"/>
      <c r="G187" s="201"/>
      <c r="H187" s="342"/>
      <c r="I187" s="174"/>
      <c r="J187" s="135"/>
      <c r="K187" s="96"/>
    </row>
    <row r="188" spans="1:11" x14ac:dyDescent="0.25">
      <c r="A188" s="337"/>
      <c r="B188" s="341"/>
      <c r="C188" s="341"/>
      <c r="D188" s="32"/>
      <c r="E188" s="31"/>
      <c r="F188" s="32"/>
      <c r="G188" s="201"/>
      <c r="H188" s="343"/>
      <c r="I188" s="174"/>
      <c r="J188" s="135"/>
      <c r="K188" s="96"/>
    </row>
    <row r="189" spans="1:11" x14ac:dyDescent="0.25">
      <c r="A189" s="336">
        <v>79</v>
      </c>
      <c r="B189" s="339" t="s">
        <v>140</v>
      </c>
      <c r="C189" s="339">
        <v>0</v>
      </c>
      <c r="D189" s="32"/>
      <c r="E189" s="31"/>
      <c r="F189" s="32"/>
      <c r="G189" s="201"/>
      <c r="H189" s="76">
        <f>C189+SUM(D189:D190)-SUM(F189:F190)</f>
        <v>0</v>
      </c>
      <c r="I189" s="174"/>
      <c r="J189" s="135"/>
      <c r="K189" s="96"/>
    </row>
    <row r="190" spans="1:11" x14ac:dyDescent="0.25">
      <c r="A190" s="337"/>
      <c r="B190" s="341"/>
      <c r="C190" s="341"/>
      <c r="D190" s="32"/>
      <c r="E190" s="31"/>
      <c r="F190" s="32"/>
      <c r="G190" s="201"/>
      <c r="H190" s="76"/>
      <c r="I190" s="174"/>
      <c r="J190" s="135"/>
      <c r="K190" s="96"/>
    </row>
    <row r="191" spans="1:11" x14ac:dyDescent="0.25">
      <c r="A191" s="190">
        <v>80</v>
      </c>
      <c r="B191" s="32" t="s">
        <v>141</v>
      </c>
      <c r="C191" s="32">
        <v>0</v>
      </c>
      <c r="D191" s="32"/>
      <c r="E191" s="31"/>
      <c r="F191" s="32"/>
      <c r="G191" s="201"/>
      <c r="H191" s="76">
        <f t="shared" ref="H191:H200" si="2">C191+D191-F191</f>
        <v>0</v>
      </c>
      <c r="I191" s="174"/>
      <c r="J191" s="135"/>
      <c r="K191" s="96"/>
    </row>
    <row r="192" spans="1:11" x14ac:dyDescent="0.25">
      <c r="A192" s="190">
        <v>81</v>
      </c>
      <c r="B192" s="32" t="s">
        <v>142</v>
      </c>
      <c r="C192" s="32">
        <v>106260000</v>
      </c>
      <c r="D192" s="32">
        <v>35560000</v>
      </c>
      <c r="E192" s="31" t="s">
        <v>113</v>
      </c>
      <c r="F192" s="32">
        <v>76260000</v>
      </c>
      <c r="G192" s="201">
        <v>43615</v>
      </c>
      <c r="H192" s="76">
        <f t="shared" si="2"/>
        <v>65560000</v>
      </c>
      <c r="I192" s="174" t="s">
        <v>143</v>
      </c>
      <c r="J192" s="135"/>
      <c r="K192" s="96"/>
    </row>
    <row r="193" spans="1:13" x14ac:dyDescent="0.25">
      <c r="A193" s="190"/>
      <c r="B193" s="32" t="s">
        <v>144</v>
      </c>
      <c r="C193" s="32">
        <v>0</v>
      </c>
      <c r="D193" s="32"/>
      <c r="E193" s="31"/>
      <c r="F193" s="32"/>
      <c r="G193" s="201"/>
      <c r="H193" s="76">
        <f t="shared" si="2"/>
        <v>0</v>
      </c>
      <c r="I193" s="174"/>
      <c r="J193" s="135"/>
      <c r="K193" s="96"/>
    </row>
    <row r="194" spans="1:13" x14ac:dyDescent="0.25">
      <c r="A194" s="190">
        <v>82</v>
      </c>
      <c r="B194" s="32" t="s">
        <v>145</v>
      </c>
      <c r="C194" s="32">
        <v>0</v>
      </c>
      <c r="D194" s="32"/>
      <c r="E194" s="31"/>
      <c r="F194" s="32"/>
      <c r="G194" s="201"/>
      <c r="H194" s="76"/>
      <c r="I194" s="174"/>
      <c r="J194" s="135"/>
      <c r="K194" s="96"/>
    </row>
    <row r="195" spans="1:13" x14ac:dyDescent="0.25">
      <c r="A195" s="190"/>
      <c r="B195" s="32" t="s">
        <v>146</v>
      </c>
      <c r="C195" s="32">
        <v>24400000</v>
      </c>
      <c r="D195" s="32"/>
      <c r="E195" s="31"/>
      <c r="F195" s="32"/>
      <c r="G195" s="201"/>
      <c r="H195" s="76">
        <f>C195+D195-F195</f>
        <v>24400000</v>
      </c>
      <c r="I195" s="174" t="s">
        <v>147</v>
      </c>
      <c r="J195" s="135"/>
      <c r="K195" s="96"/>
    </row>
    <row r="196" spans="1:13" x14ac:dyDescent="0.25">
      <c r="A196" s="190">
        <v>83</v>
      </c>
      <c r="B196" s="32" t="s">
        <v>148</v>
      </c>
      <c r="C196" s="32">
        <v>0</v>
      </c>
      <c r="D196" s="32"/>
      <c r="E196" s="31"/>
      <c r="F196" s="32"/>
      <c r="G196" s="201"/>
      <c r="H196" s="76">
        <f t="shared" si="2"/>
        <v>0</v>
      </c>
      <c r="I196" s="174"/>
      <c r="J196" s="135"/>
      <c r="K196" s="96"/>
    </row>
    <row r="197" spans="1:13" x14ac:dyDescent="0.25">
      <c r="A197" s="190"/>
      <c r="B197" s="32" t="s">
        <v>149</v>
      </c>
      <c r="C197" s="32">
        <v>0</v>
      </c>
      <c r="D197" s="32"/>
      <c r="E197" s="31"/>
      <c r="F197" s="32"/>
      <c r="G197" s="201"/>
      <c r="H197" s="76">
        <f t="shared" si="2"/>
        <v>0</v>
      </c>
      <c r="I197" s="174"/>
      <c r="J197" s="135"/>
      <c r="K197" s="96"/>
    </row>
    <row r="198" spans="1:13" x14ac:dyDescent="0.25">
      <c r="A198" s="190"/>
      <c r="B198" s="32" t="s">
        <v>150</v>
      </c>
      <c r="C198" s="32">
        <v>31253909</v>
      </c>
      <c r="D198" s="32"/>
      <c r="E198" s="31"/>
      <c r="F198" s="32">
        <v>31253000</v>
      </c>
      <c r="G198" s="201">
        <v>43615</v>
      </c>
      <c r="H198" s="76">
        <f t="shared" si="2"/>
        <v>909</v>
      </c>
      <c r="I198" s="174"/>
      <c r="J198" s="135"/>
      <c r="K198" s="96"/>
    </row>
    <row r="199" spans="1:13" x14ac:dyDescent="0.25">
      <c r="A199" s="190"/>
      <c r="B199" s="32" t="s">
        <v>151</v>
      </c>
      <c r="C199" s="32">
        <v>18100000</v>
      </c>
      <c r="D199" s="32"/>
      <c r="E199" s="31"/>
      <c r="F199" s="32"/>
      <c r="G199" s="201"/>
      <c r="H199" s="76">
        <f t="shared" si="2"/>
        <v>18100000</v>
      </c>
      <c r="I199" s="174"/>
      <c r="J199" s="135"/>
      <c r="K199" s="96"/>
    </row>
    <row r="200" spans="1:13" x14ac:dyDescent="0.25">
      <c r="A200" s="190">
        <v>84</v>
      </c>
      <c r="B200" s="32" t="s">
        <v>152</v>
      </c>
      <c r="C200" s="32">
        <v>0</v>
      </c>
      <c r="D200" s="56"/>
      <c r="E200" s="31"/>
      <c r="F200" s="32"/>
      <c r="G200" s="201"/>
      <c r="H200" s="76">
        <f t="shared" si="2"/>
        <v>0</v>
      </c>
      <c r="I200" s="174"/>
      <c r="J200" s="135"/>
      <c r="K200" s="96"/>
    </row>
    <row r="201" spans="1:13" s="220" customFormat="1" ht="15.75" x14ac:dyDescent="0.25">
      <c r="A201" s="214"/>
      <c r="B201" s="215" t="s">
        <v>153</v>
      </c>
      <c r="C201" s="216">
        <f>SUM(C11:C200)</f>
        <v>1067259814</v>
      </c>
      <c r="D201" s="216">
        <f>SUM(D11:D200)</f>
        <v>641733772</v>
      </c>
      <c r="E201" s="216"/>
      <c r="F201" s="216">
        <f>SUM(F11:F200)</f>
        <v>979965927</v>
      </c>
      <c r="G201" s="216"/>
      <c r="H201" s="216">
        <f>SUM(H11:H200)</f>
        <v>729027659</v>
      </c>
      <c r="I201" s="217"/>
      <c r="J201" s="218"/>
      <c r="K201" s="219"/>
      <c r="M201" s="221"/>
    </row>
    <row r="202" spans="1:13" x14ac:dyDescent="0.25">
      <c r="A202" s="136"/>
      <c r="B202" s="136"/>
      <c r="C202" s="222"/>
      <c r="D202" s="223"/>
      <c r="E202" s="136"/>
      <c r="F202" s="136" t="s">
        <v>154</v>
      </c>
      <c r="G202" s="224"/>
      <c r="H202" s="225">
        <f>C201+D201-F201</f>
        <v>729027659</v>
      </c>
      <c r="I202" s="226"/>
      <c r="J202" s="135"/>
      <c r="K202" s="136"/>
    </row>
    <row r="203" spans="1:13" x14ac:dyDescent="0.25">
      <c r="C203" s="227"/>
      <c r="D203" s="228"/>
      <c r="G203" s="229"/>
      <c r="H203" s="227"/>
      <c r="I203" s="230"/>
    </row>
    <row r="204" spans="1:13" x14ac:dyDescent="0.25">
      <c r="C204" s="227"/>
      <c r="D204" s="228"/>
      <c r="G204" s="229"/>
      <c r="H204" s="4"/>
    </row>
    <row r="205" spans="1:13" x14ac:dyDescent="0.25">
      <c r="D205" s="228"/>
      <c r="F205" s="227"/>
      <c r="G205" s="229"/>
      <c r="H205" s="4"/>
    </row>
    <row r="206" spans="1:13" x14ac:dyDescent="0.25">
      <c r="D206" s="228"/>
      <c r="G206" s="229"/>
      <c r="H206" s="4"/>
    </row>
    <row r="207" spans="1:13" ht="15.75" x14ac:dyDescent="0.25">
      <c r="D207" s="228"/>
      <c r="G207" s="229"/>
      <c r="H207" s="4"/>
      <c r="I207" s="231"/>
    </row>
    <row r="208" spans="1:13" ht="15.75" x14ac:dyDescent="0.25">
      <c r="D208" s="228"/>
      <c r="G208" s="229"/>
      <c r="H208" s="4"/>
      <c r="I208" s="231"/>
    </row>
    <row r="209" spans="4:10" x14ac:dyDescent="0.25">
      <c r="D209" s="228"/>
      <c r="G209" s="229"/>
      <c r="H209" s="4"/>
    </row>
    <row r="210" spans="4:10" x14ac:dyDescent="0.25">
      <c r="D210" s="228"/>
      <c r="G210" s="229"/>
      <c r="H210" s="4"/>
    </row>
    <row r="211" spans="4:10" x14ac:dyDescent="0.25">
      <c r="D211" s="228"/>
      <c r="G211" s="229"/>
      <c r="H211" s="4"/>
    </row>
    <row r="212" spans="4:10" x14ac:dyDescent="0.25">
      <c r="D212" s="228"/>
      <c r="G212" s="229"/>
      <c r="H212" s="4"/>
    </row>
    <row r="213" spans="4:10" x14ac:dyDescent="0.25">
      <c r="D213" s="228"/>
      <c r="G213" s="229"/>
      <c r="H213" s="4"/>
    </row>
    <row r="214" spans="4:10" x14ac:dyDescent="0.25">
      <c r="D214" s="228"/>
      <c r="G214" s="229"/>
      <c r="H214" s="4"/>
    </row>
    <row r="215" spans="4:10" x14ac:dyDescent="0.25">
      <c r="D215" s="228"/>
      <c r="G215" s="229"/>
      <c r="H215" s="4"/>
    </row>
    <row r="216" spans="4:10" x14ac:dyDescent="0.25">
      <c r="D216" s="228"/>
      <c r="G216" s="229"/>
      <c r="H216" s="4"/>
    </row>
    <row r="217" spans="4:10" x14ac:dyDescent="0.25">
      <c r="D217" s="228"/>
      <c r="G217" s="229"/>
      <c r="H217" s="4"/>
    </row>
    <row r="218" spans="4:10" x14ac:dyDescent="0.25">
      <c r="D218" s="228"/>
      <c r="G218" s="229"/>
      <c r="H218" s="4"/>
      <c r="J218" s="4"/>
    </row>
    <row r="219" spans="4:10" x14ac:dyDescent="0.25">
      <c r="D219" s="228"/>
      <c r="G219" s="229"/>
      <c r="H219" s="4"/>
      <c r="J219" s="4"/>
    </row>
    <row r="220" spans="4:10" x14ac:dyDescent="0.25">
      <c r="D220" s="228"/>
      <c r="G220" s="229"/>
      <c r="H220" s="4"/>
      <c r="J220" s="4"/>
    </row>
    <row r="221" spans="4:10" x14ac:dyDescent="0.25">
      <c r="D221" s="228"/>
      <c r="G221" s="229"/>
      <c r="H221" s="4"/>
      <c r="J221" s="4"/>
    </row>
    <row r="222" spans="4:10" x14ac:dyDescent="0.25">
      <c r="D222" s="228"/>
      <c r="G222" s="229"/>
      <c r="H222" s="4"/>
      <c r="J222" s="4"/>
    </row>
    <row r="223" spans="4:10" x14ac:dyDescent="0.25">
      <c r="D223" s="228"/>
      <c r="G223" s="229"/>
      <c r="H223" s="4"/>
      <c r="J223" s="4"/>
    </row>
    <row r="224" spans="4:10" x14ac:dyDescent="0.25">
      <c r="D224" s="228"/>
      <c r="G224" s="229"/>
      <c r="H224" s="4"/>
      <c r="J224" s="4"/>
    </row>
    <row r="225" spans="4:10" x14ac:dyDescent="0.25">
      <c r="D225" s="228"/>
      <c r="G225" s="229"/>
      <c r="H225" s="4"/>
      <c r="J225" s="4"/>
    </row>
    <row r="226" spans="4:10" x14ac:dyDescent="0.25">
      <c r="D226" s="228"/>
      <c r="G226" s="229"/>
      <c r="H226" s="4"/>
      <c r="J226" s="4"/>
    </row>
    <row r="227" spans="4:10" x14ac:dyDescent="0.25">
      <c r="D227" s="228"/>
      <c r="G227" s="229"/>
      <c r="H227" s="4"/>
      <c r="J227" s="4"/>
    </row>
    <row r="228" spans="4:10" x14ac:dyDescent="0.25">
      <c r="D228" s="228"/>
      <c r="G228" s="229"/>
      <c r="H228" s="4"/>
      <c r="J228" s="4"/>
    </row>
    <row r="229" spans="4:10" x14ac:dyDescent="0.25">
      <c r="D229" s="228"/>
      <c r="G229" s="229"/>
      <c r="H229" s="4"/>
      <c r="J229" s="4"/>
    </row>
    <row r="230" spans="4:10" x14ac:dyDescent="0.25">
      <c r="D230" s="228"/>
      <c r="G230" s="229"/>
      <c r="H230" s="4"/>
      <c r="J230" s="4"/>
    </row>
    <row r="231" spans="4:10" x14ac:dyDescent="0.25">
      <c r="D231" s="228"/>
      <c r="G231" s="229"/>
      <c r="H231" s="4"/>
      <c r="J231" s="4"/>
    </row>
    <row r="232" spans="4:10" x14ac:dyDescent="0.25">
      <c r="D232" s="228"/>
      <c r="G232" s="229"/>
      <c r="H232" s="4"/>
      <c r="J232" s="4"/>
    </row>
    <row r="233" spans="4:10" x14ac:dyDescent="0.25">
      <c r="D233" s="228"/>
      <c r="G233" s="229"/>
      <c r="H233" s="4"/>
      <c r="J233" s="4"/>
    </row>
    <row r="234" spans="4:10" x14ac:dyDescent="0.25">
      <c r="D234" s="228"/>
      <c r="G234" s="229"/>
      <c r="H234" s="4"/>
      <c r="J234" s="4"/>
    </row>
    <row r="235" spans="4:10" x14ac:dyDescent="0.25">
      <c r="D235" s="228"/>
      <c r="G235" s="229"/>
      <c r="H235" s="4"/>
      <c r="J235" s="4"/>
    </row>
    <row r="236" spans="4:10" x14ac:dyDescent="0.25">
      <c r="D236" s="228"/>
      <c r="G236" s="229"/>
      <c r="H236" s="4"/>
      <c r="J236" s="4"/>
    </row>
    <row r="237" spans="4:10" x14ac:dyDescent="0.25">
      <c r="D237" s="228"/>
      <c r="G237" s="229"/>
      <c r="H237" s="4"/>
      <c r="J237" s="4"/>
    </row>
    <row r="238" spans="4:10" x14ac:dyDescent="0.25">
      <c r="D238" s="228"/>
      <c r="G238" s="229"/>
      <c r="H238" s="4"/>
      <c r="J238" s="4"/>
    </row>
    <row r="239" spans="4:10" x14ac:dyDescent="0.25">
      <c r="D239" s="228"/>
      <c r="G239" s="229"/>
      <c r="H239" s="4"/>
      <c r="J239" s="4"/>
    </row>
    <row r="240" spans="4:10" x14ac:dyDescent="0.25">
      <c r="D240" s="228"/>
      <c r="G240" s="229"/>
      <c r="H240" s="4"/>
      <c r="J240" s="4"/>
    </row>
    <row r="241" spans="4:10" x14ac:dyDescent="0.25">
      <c r="D241" s="228"/>
      <c r="G241" s="229"/>
      <c r="H241" s="4"/>
      <c r="J241" s="4"/>
    </row>
    <row r="242" spans="4:10" x14ac:dyDescent="0.25">
      <c r="D242" s="228"/>
      <c r="G242" s="229"/>
      <c r="H242" s="4"/>
      <c r="J242" s="4"/>
    </row>
    <row r="243" spans="4:10" x14ac:dyDescent="0.25">
      <c r="D243" s="228"/>
      <c r="G243" s="229"/>
      <c r="H243" s="4"/>
      <c r="J243" s="4"/>
    </row>
    <row r="244" spans="4:10" x14ac:dyDescent="0.25">
      <c r="D244" s="228"/>
      <c r="G244" s="229"/>
      <c r="H244" s="4"/>
      <c r="J244" s="4"/>
    </row>
    <row r="245" spans="4:10" x14ac:dyDescent="0.25">
      <c r="D245" s="228"/>
      <c r="G245" s="229"/>
      <c r="H245" s="4"/>
      <c r="J245" s="4"/>
    </row>
    <row r="246" spans="4:10" x14ac:dyDescent="0.25">
      <c r="D246" s="228"/>
      <c r="G246" s="229"/>
      <c r="H246" s="4"/>
      <c r="J246" s="4"/>
    </row>
    <row r="247" spans="4:10" x14ac:dyDescent="0.25">
      <c r="D247" s="228"/>
      <c r="G247" s="229"/>
      <c r="H247" s="4"/>
      <c r="J247" s="4"/>
    </row>
    <row r="248" spans="4:10" x14ac:dyDescent="0.25">
      <c r="D248" s="228"/>
      <c r="G248" s="229"/>
      <c r="H248" s="4"/>
      <c r="J248" s="4"/>
    </row>
    <row r="249" spans="4:10" x14ac:dyDescent="0.25">
      <c r="D249" s="228"/>
      <c r="G249" s="229"/>
      <c r="H249" s="4"/>
      <c r="J249" s="4"/>
    </row>
    <row r="250" spans="4:10" x14ac:dyDescent="0.25">
      <c r="D250" s="228"/>
      <c r="G250" s="229"/>
      <c r="H250" s="4"/>
      <c r="J250" s="4"/>
    </row>
    <row r="251" spans="4:10" x14ac:dyDescent="0.25">
      <c r="D251" s="228"/>
      <c r="G251" s="229"/>
      <c r="H251" s="4"/>
      <c r="J251" s="4"/>
    </row>
    <row r="252" spans="4:10" x14ac:dyDescent="0.25">
      <c r="D252" s="228"/>
      <c r="G252" s="229"/>
      <c r="H252" s="4"/>
      <c r="J252" s="4"/>
    </row>
    <row r="253" spans="4:10" x14ac:dyDescent="0.25">
      <c r="D253" s="228"/>
      <c r="G253" s="229"/>
      <c r="H253" s="4"/>
      <c r="J253" s="4"/>
    </row>
    <row r="254" spans="4:10" x14ac:dyDescent="0.25">
      <c r="D254" s="228"/>
      <c r="G254" s="229"/>
      <c r="H254" s="4"/>
      <c r="J254" s="4"/>
    </row>
    <row r="255" spans="4:10" x14ac:dyDescent="0.25">
      <c r="D255" s="228"/>
      <c r="G255" s="229"/>
      <c r="H255" s="4"/>
      <c r="J255" s="4"/>
    </row>
    <row r="256" spans="4:10" x14ac:dyDescent="0.25">
      <c r="D256" s="228"/>
      <c r="G256" s="229"/>
      <c r="H256" s="4"/>
      <c r="J256" s="4"/>
    </row>
    <row r="257" spans="4:10" x14ac:dyDescent="0.25">
      <c r="D257" s="228"/>
      <c r="G257" s="229"/>
      <c r="H257" s="4"/>
      <c r="J257" s="4"/>
    </row>
    <row r="258" spans="4:10" x14ac:dyDescent="0.25">
      <c r="D258" s="228"/>
      <c r="G258" s="229"/>
      <c r="H258" s="4"/>
      <c r="J258" s="4"/>
    </row>
    <row r="259" spans="4:10" x14ac:dyDescent="0.25">
      <c r="D259" s="228"/>
      <c r="G259" s="229"/>
      <c r="H259" s="4"/>
      <c r="J259" s="4"/>
    </row>
    <row r="260" spans="4:10" x14ac:dyDescent="0.25">
      <c r="D260" s="228"/>
      <c r="G260" s="229"/>
      <c r="H260" s="4"/>
      <c r="J260" s="4"/>
    </row>
    <row r="261" spans="4:10" x14ac:dyDescent="0.25">
      <c r="D261" s="228"/>
      <c r="G261" s="229"/>
      <c r="H261" s="4"/>
      <c r="J261" s="4"/>
    </row>
    <row r="262" spans="4:10" x14ac:dyDescent="0.25">
      <c r="D262" s="228"/>
      <c r="G262" s="229"/>
      <c r="H262" s="4"/>
      <c r="J262" s="4"/>
    </row>
    <row r="263" spans="4:10" x14ac:dyDescent="0.25">
      <c r="D263" s="228"/>
      <c r="G263" s="229"/>
      <c r="H263" s="4"/>
      <c r="J263" s="4"/>
    </row>
    <row r="264" spans="4:10" x14ac:dyDescent="0.25">
      <c r="D264" s="228"/>
      <c r="G264" s="229"/>
      <c r="H264" s="4"/>
      <c r="J264" s="4"/>
    </row>
    <row r="265" spans="4:10" x14ac:dyDescent="0.25">
      <c r="D265" s="228"/>
      <c r="G265" s="229"/>
      <c r="H265" s="227"/>
      <c r="J265" s="4"/>
    </row>
    <row r="266" spans="4:10" x14ac:dyDescent="0.25">
      <c r="D266" s="228"/>
      <c r="G266" s="229"/>
      <c r="H266" s="227"/>
      <c r="J266" s="4"/>
    </row>
    <row r="267" spans="4:10" x14ac:dyDescent="0.25">
      <c r="D267" s="228"/>
      <c r="G267" s="229"/>
      <c r="H267" s="4"/>
      <c r="J267" s="4"/>
    </row>
    <row r="268" spans="4:10" x14ac:dyDescent="0.25">
      <c r="D268" s="228"/>
      <c r="G268" s="229"/>
      <c r="H268" s="4"/>
      <c r="J268" s="4"/>
    </row>
    <row r="269" spans="4:10" x14ac:dyDescent="0.25">
      <c r="D269" s="228"/>
      <c r="G269" s="229"/>
      <c r="H269" s="4"/>
      <c r="J269" s="4"/>
    </row>
    <row r="270" spans="4:10" x14ac:dyDescent="0.25">
      <c r="D270" s="228"/>
      <c r="G270" s="229"/>
      <c r="H270" s="4"/>
      <c r="J270" s="4"/>
    </row>
    <row r="271" spans="4:10" x14ac:dyDescent="0.25">
      <c r="D271" s="228"/>
      <c r="G271" s="229"/>
      <c r="H271" s="4"/>
      <c r="J271" s="4"/>
    </row>
    <row r="272" spans="4:10" x14ac:dyDescent="0.25">
      <c r="D272" s="228"/>
      <c r="G272" s="229"/>
      <c r="H272" s="4"/>
      <c r="J272" s="4"/>
    </row>
    <row r="273" spans="4:10" x14ac:dyDescent="0.25">
      <c r="D273" s="228"/>
      <c r="G273" s="229"/>
      <c r="H273" s="4"/>
      <c r="J273" s="4"/>
    </row>
    <row r="274" spans="4:10" x14ac:dyDescent="0.25">
      <c r="D274" s="228"/>
      <c r="G274" s="229"/>
      <c r="H274" s="4"/>
      <c r="J274" s="4"/>
    </row>
    <row r="275" spans="4:10" x14ac:dyDescent="0.25">
      <c r="D275" s="228"/>
      <c r="G275" s="229"/>
      <c r="H275" s="4"/>
      <c r="J275" s="4"/>
    </row>
    <row r="276" spans="4:10" x14ac:dyDescent="0.25">
      <c r="D276" s="228"/>
      <c r="G276" s="229"/>
      <c r="H276" s="4"/>
      <c r="J276" s="4"/>
    </row>
    <row r="277" spans="4:10" x14ac:dyDescent="0.25">
      <c r="D277" s="228"/>
      <c r="G277" s="229"/>
      <c r="H277" s="4"/>
      <c r="J277" s="4"/>
    </row>
    <row r="278" spans="4:10" x14ac:dyDescent="0.25">
      <c r="D278" s="228"/>
      <c r="G278" s="229"/>
      <c r="H278" s="4"/>
      <c r="J278" s="4"/>
    </row>
    <row r="279" spans="4:10" x14ac:dyDescent="0.25">
      <c r="G279" s="229"/>
      <c r="H279" s="4"/>
      <c r="J279" s="4"/>
    </row>
    <row r="280" spans="4:10" x14ac:dyDescent="0.25">
      <c r="G280" s="229"/>
      <c r="H280" s="4"/>
      <c r="J280" s="4"/>
    </row>
    <row r="281" spans="4:10" x14ac:dyDescent="0.25">
      <c r="G281" s="229"/>
      <c r="H281" s="4"/>
      <c r="J281" s="4"/>
    </row>
    <row r="282" spans="4:10" x14ac:dyDescent="0.25">
      <c r="G282" s="229"/>
      <c r="H282" s="4"/>
      <c r="J282" s="4"/>
    </row>
    <row r="283" spans="4:10" x14ac:dyDescent="0.25">
      <c r="G283" s="229"/>
      <c r="H283" s="4"/>
      <c r="J283" s="4"/>
    </row>
    <row r="284" spans="4:10" x14ac:dyDescent="0.25">
      <c r="G284" s="229"/>
      <c r="H284" s="4"/>
      <c r="J284" s="4"/>
    </row>
    <row r="285" spans="4:10" x14ac:dyDescent="0.25">
      <c r="G285" s="229"/>
      <c r="H285" s="4"/>
      <c r="J285" s="4"/>
    </row>
    <row r="286" spans="4:10" x14ac:dyDescent="0.25">
      <c r="G286" s="229"/>
      <c r="H286" s="4"/>
      <c r="J286" s="4"/>
    </row>
    <row r="287" spans="4:10" x14ac:dyDescent="0.25">
      <c r="G287" s="229"/>
      <c r="H287" s="4"/>
      <c r="J287" s="4"/>
    </row>
    <row r="288" spans="4:10" x14ac:dyDescent="0.25">
      <c r="G288" s="229"/>
      <c r="H288" s="4"/>
      <c r="J288" s="4"/>
    </row>
    <row r="289" spans="7:10" x14ac:dyDescent="0.25">
      <c r="G289" s="229"/>
      <c r="H289" s="4"/>
      <c r="J289" s="4"/>
    </row>
    <row r="290" spans="7:10" x14ac:dyDescent="0.25">
      <c r="G290" s="229"/>
      <c r="H290" s="4"/>
      <c r="J290" s="4"/>
    </row>
    <row r="291" spans="7:10" x14ac:dyDescent="0.25">
      <c r="G291" s="229"/>
      <c r="H291" s="4"/>
      <c r="J291" s="4"/>
    </row>
    <row r="292" spans="7:10" x14ac:dyDescent="0.25">
      <c r="G292" s="229"/>
      <c r="H292" s="4"/>
      <c r="J292" s="4"/>
    </row>
    <row r="293" spans="7:10" x14ac:dyDescent="0.25">
      <c r="G293" s="229"/>
      <c r="H293" s="4"/>
      <c r="J293" s="4"/>
    </row>
    <row r="294" spans="7:10" x14ac:dyDescent="0.25">
      <c r="G294" s="229"/>
      <c r="H294" s="4"/>
      <c r="J294" s="4"/>
    </row>
    <row r="295" spans="7:10" x14ac:dyDescent="0.25">
      <c r="G295" s="229"/>
      <c r="H295" s="4"/>
      <c r="J295" s="4"/>
    </row>
    <row r="296" spans="7:10" x14ac:dyDescent="0.25">
      <c r="G296" s="229"/>
      <c r="H296" s="4"/>
      <c r="J296" s="4"/>
    </row>
    <row r="297" spans="7:10" x14ac:dyDescent="0.25">
      <c r="G297" s="229"/>
      <c r="H297" s="4"/>
      <c r="J297" s="4"/>
    </row>
    <row r="298" spans="7:10" x14ac:dyDescent="0.25">
      <c r="G298" s="229"/>
      <c r="H298" s="4"/>
      <c r="J298" s="4"/>
    </row>
    <row r="299" spans="7:10" x14ac:dyDescent="0.25">
      <c r="G299" s="229"/>
      <c r="H299" s="4"/>
      <c r="J299" s="4"/>
    </row>
    <row r="300" spans="7:10" x14ac:dyDescent="0.25">
      <c r="G300" s="229"/>
      <c r="H300" s="4"/>
      <c r="J300" s="4"/>
    </row>
    <row r="301" spans="7:10" x14ac:dyDescent="0.25">
      <c r="G301" s="229"/>
      <c r="H301" s="4"/>
      <c r="J301" s="4"/>
    </row>
    <row r="302" spans="7:10" x14ac:dyDescent="0.25">
      <c r="G302" s="229"/>
      <c r="H302" s="4"/>
      <c r="J302" s="4"/>
    </row>
    <row r="303" spans="7:10" x14ac:dyDescent="0.25">
      <c r="G303" s="229"/>
      <c r="H303" s="4"/>
      <c r="J303" s="4"/>
    </row>
    <row r="304" spans="7:10" x14ac:dyDescent="0.25">
      <c r="G304" s="229"/>
      <c r="H304" s="4"/>
      <c r="J304" s="4"/>
    </row>
    <row r="305" spans="7:10" x14ac:dyDescent="0.25">
      <c r="G305" s="229"/>
      <c r="H305" s="4"/>
      <c r="J305" s="4"/>
    </row>
    <row r="306" spans="7:10" x14ac:dyDescent="0.25">
      <c r="G306" s="229"/>
      <c r="H306" s="4"/>
      <c r="J306" s="4"/>
    </row>
    <row r="307" spans="7:10" x14ac:dyDescent="0.25">
      <c r="G307" s="229"/>
      <c r="H307" s="4"/>
      <c r="J307" s="4"/>
    </row>
    <row r="308" spans="7:10" x14ac:dyDescent="0.25">
      <c r="G308" s="229"/>
      <c r="H308" s="4"/>
      <c r="J308" s="4"/>
    </row>
    <row r="309" spans="7:10" x14ac:dyDescent="0.25">
      <c r="G309" s="229"/>
      <c r="H309" s="4"/>
      <c r="J309" s="4"/>
    </row>
    <row r="310" spans="7:10" x14ac:dyDescent="0.25">
      <c r="G310" s="229"/>
      <c r="H310" s="4"/>
      <c r="J310" s="4"/>
    </row>
    <row r="311" spans="7:10" x14ac:dyDescent="0.25">
      <c r="G311" s="229"/>
      <c r="H311" s="4"/>
      <c r="J311" s="4"/>
    </row>
    <row r="312" spans="7:10" x14ac:dyDescent="0.25">
      <c r="G312" s="229"/>
      <c r="H312" s="4"/>
      <c r="J312" s="4"/>
    </row>
    <row r="313" spans="7:10" x14ac:dyDescent="0.25">
      <c r="G313" s="229"/>
      <c r="H313" s="4"/>
      <c r="J313" s="4"/>
    </row>
    <row r="314" spans="7:10" x14ac:dyDescent="0.25">
      <c r="G314" s="229"/>
      <c r="H314" s="4"/>
      <c r="J314" s="4"/>
    </row>
    <row r="315" spans="7:10" x14ac:dyDescent="0.25">
      <c r="G315" s="229"/>
      <c r="H315" s="4"/>
      <c r="J315" s="4"/>
    </row>
    <row r="316" spans="7:10" x14ac:dyDescent="0.25">
      <c r="G316" s="229"/>
      <c r="H316" s="4"/>
      <c r="J316" s="4"/>
    </row>
    <row r="317" spans="7:10" x14ac:dyDescent="0.25">
      <c r="G317" s="229"/>
      <c r="H317" s="4"/>
      <c r="J317" s="4"/>
    </row>
    <row r="318" spans="7:10" x14ac:dyDescent="0.25">
      <c r="G318" s="229"/>
      <c r="H318" s="4"/>
      <c r="J318" s="4"/>
    </row>
    <row r="319" spans="7:10" x14ac:dyDescent="0.25">
      <c r="G319" s="229"/>
      <c r="H319" s="4"/>
      <c r="J319" s="4"/>
    </row>
    <row r="320" spans="7:10" x14ac:dyDescent="0.25">
      <c r="G320" s="229"/>
      <c r="H320" s="4"/>
      <c r="J320" s="4"/>
    </row>
    <row r="321" spans="7:10" x14ac:dyDescent="0.25">
      <c r="G321" s="229"/>
      <c r="H321" s="4"/>
      <c r="J321" s="4"/>
    </row>
    <row r="322" spans="7:10" x14ac:dyDescent="0.25">
      <c r="G322" s="229"/>
      <c r="H322" s="4"/>
      <c r="J322" s="4"/>
    </row>
    <row r="323" spans="7:10" x14ac:dyDescent="0.25">
      <c r="G323" s="229"/>
      <c r="H323" s="4"/>
      <c r="J323" s="4"/>
    </row>
    <row r="324" spans="7:10" x14ac:dyDescent="0.25">
      <c r="G324" s="229"/>
      <c r="H324" s="4"/>
      <c r="J324" s="4"/>
    </row>
    <row r="325" spans="7:10" x14ac:dyDescent="0.25">
      <c r="G325" s="229"/>
      <c r="H325" s="4"/>
      <c r="J325" s="4"/>
    </row>
    <row r="326" spans="7:10" x14ac:dyDescent="0.25">
      <c r="G326" s="229"/>
      <c r="H326" s="4"/>
      <c r="J326" s="4"/>
    </row>
    <row r="327" spans="7:10" x14ac:dyDescent="0.25">
      <c r="G327" s="229"/>
      <c r="H327" s="4"/>
      <c r="J327" s="4"/>
    </row>
    <row r="328" spans="7:10" x14ac:dyDescent="0.25">
      <c r="G328" s="229"/>
      <c r="H328" s="227"/>
      <c r="J328" s="4"/>
    </row>
    <row r="329" spans="7:10" x14ac:dyDescent="0.25">
      <c r="G329" s="229"/>
      <c r="H329" s="227"/>
      <c r="J329" s="4"/>
    </row>
    <row r="330" spans="7:10" x14ac:dyDescent="0.25">
      <c r="G330" s="229"/>
      <c r="H330" s="4"/>
      <c r="J330" s="4"/>
    </row>
    <row r="331" spans="7:10" x14ac:dyDescent="0.25">
      <c r="G331" s="229"/>
      <c r="H331" s="4"/>
      <c r="J331" s="4"/>
    </row>
    <row r="332" spans="7:10" x14ac:dyDescent="0.25">
      <c r="G332" s="229"/>
      <c r="H332" s="4"/>
      <c r="J332" s="4"/>
    </row>
    <row r="333" spans="7:10" x14ac:dyDescent="0.25">
      <c r="G333" s="229"/>
      <c r="H333" s="4"/>
      <c r="J333" s="4"/>
    </row>
    <row r="334" spans="7:10" x14ac:dyDescent="0.25">
      <c r="G334" s="229"/>
      <c r="H334" s="4"/>
      <c r="J334" s="4"/>
    </row>
    <row r="335" spans="7:10" x14ac:dyDescent="0.25">
      <c r="G335" s="229"/>
      <c r="H335" s="4"/>
      <c r="J335" s="4"/>
    </row>
    <row r="336" spans="7:10" x14ac:dyDescent="0.25">
      <c r="G336" s="229"/>
      <c r="H336" s="4"/>
      <c r="J336" s="4"/>
    </row>
    <row r="337" spans="7:10" x14ac:dyDescent="0.25">
      <c r="G337" s="229"/>
      <c r="H337" s="4"/>
      <c r="J337" s="4"/>
    </row>
    <row r="338" spans="7:10" x14ac:dyDescent="0.25">
      <c r="G338" s="229"/>
      <c r="H338" s="4"/>
      <c r="J338" s="4"/>
    </row>
    <row r="339" spans="7:10" x14ac:dyDescent="0.25">
      <c r="G339" s="229"/>
      <c r="H339" s="4"/>
      <c r="J339" s="4"/>
    </row>
    <row r="340" spans="7:10" x14ac:dyDescent="0.25">
      <c r="G340" s="229"/>
      <c r="H340" s="4"/>
      <c r="J340" s="4"/>
    </row>
    <row r="341" spans="7:10" x14ac:dyDescent="0.25">
      <c r="G341" s="229"/>
      <c r="H341" s="4"/>
      <c r="J341" s="4"/>
    </row>
    <row r="342" spans="7:10" x14ac:dyDescent="0.25">
      <c r="G342" s="229"/>
      <c r="H342" s="4"/>
      <c r="J342" s="4"/>
    </row>
    <row r="343" spans="7:10" x14ac:dyDescent="0.25">
      <c r="G343" s="229"/>
      <c r="H343" s="4"/>
      <c r="J343" s="4"/>
    </row>
    <row r="344" spans="7:10" x14ac:dyDescent="0.25">
      <c r="G344" s="229"/>
      <c r="H344" s="4"/>
      <c r="J344" s="4"/>
    </row>
    <row r="345" spans="7:10" x14ac:dyDescent="0.25">
      <c r="G345" s="229"/>
      <c r="H345" s="4"/>
      <c r="J345" s="4"/>
    </row>
    <row r="346" spans="7:10" x14ac:dyDescent="0.25">
      <c r="G346" s="229"/>
      <c r="H346" s="4"/>
      <c r="J346" s="4"/>
    </row>
    <row r="347" spans="7:10" x14ac:dyDescent="0.25">
      <c r="G347" s="229"/>
      <c r="H347" s="4"/>
      <c r="J347" s="4"/>
    </row>
    <row r="348" spans="7:10" x14ac:dyDescent="0.25">
      <c r="G348" s="229"/>
      <c r="H348" s="4"/>
      <c r="J348" s="4"/>
    </row>
    <row r="349" spans="7:10" x14ac:dyDescent="0.25">
      <c r="G349" s="229"/>
      <c r="H349" s="4"/>
      <c r="J349" s="4"/>
    </row>
    <row r="350" spans="7:10" x14ac:dyDescent="0.25">
      <c r="G350" s="229"/>
      <c r="H350" s="4"/>
      <c r="J350" s="4"/>
    </row>
    <row r="351" spans="7:10" x14ac:dyDescent="0.25">
      <c r="G351" s="229"/>
      <c r="H351" s="4"/>
      <c r="J351" s="4"/>
    </row>
    <row r="352" spans="7:10" x14ac:dyDescent="0.25">
      <c r="G352" s="229"/>
      <c r="H352" s="4"/>
      <c r="J352" s="4"/>
    </row>
    <row r="353" spans="7:10" x14ac:dyDescent="0.25">
      <c r="G353" s="229"/>
      <c r="H353" s="4"/>
      <c r="J353" s="4"/>
    </row>
    <row r="354" spans="7:10" x14ac:dyDescent="0.25">
      <c r="G354" s="229"/>
      <c r="H354" s="4"/>
      <c r="J354" s="4"/>
    </row>
    <row r="355" spans="7:10" x14ac:dyDescent="0.25">
      <c r="G355" s="229"/>
      <c r="H355" s="4"/>
      <c r="J355" s="4"/>
    </row>
    <row r="356" spans="7:10" x14ac:dyDescent="0.25">
      <c r="G356" s="229"/>
      <c r="H356" s="4"/>
      <c r="J356" s="4"/>
    </row>
    <row r="357" spans="7:10" x14ac:dyDescent="0.25">
      <c r="G357" s="229"/>
      <c r="H357" s="4"/>
      <c r="J357" s="4"/>
    </row>
    <row r="358" spans="7:10" x14ac:dyDescent="0.25">
      <c r="G358" s="229"/>
      <c r="H358" s="4"/>
      <c r="J358" s="4"/>
    </row>
    <row r="359" spans="7:10" x14ac:dyDescent="0.25">
      <c r="G359" s="229"/>
      <c r="H359" s="4"/>
      <c r="J359" s="4"/>
    </row>
    <row r="360" spans="7:10" x14ac:dyDescent="0.25">
      <c r="G360" s="229"/>
      <c r="H360" s="4"/>
      <c r="J360" s="4"/>
    </row>
    <row r="361" spans="7:10" x14ac:dyDescent="0.25">
      <c r="H361" s="4"/>
      <c r="J361" s="4"/>
    </row>
    <row r="362" spans="7:10" x14ac:dyDescent="0.25">
      <c r="H362" s="4"/>
      <c r="J362" s="4"/>
    </row>
    <row r="363" spans="7:10" x14ac:dyDescent="0.25">
      <c r="H363" s="4"/>
      <c r="J363" s="4"/>
    </row>
    <row r="364" spans="7:10" x14ac:dyDescent="0.25">
      <c r="H364" s="4"/>
      <c r="J364" s="4"/>
    </row>
    <row r="365" spans="7:10" x14ac:dyDescent="0.25">
      <c r="H365" s="4"/>
      <c r="J365" s="4"/>
    </row>
    <row r="366" spans="7:10" x14ac:dyDescent="0.25">
      <c r="H366" s="4"/>
      <c r="J366" s="4"/>
    </row>
    <row r="367" spans="7:10" x14ac:dyDescent="0.25">
      <c r="H367" s="4"/>
      <c r="J367" s="4"/>
    </row>
    <row r="368" spans="7:10" x14ac:dyDescent="0.25">
      <c r="H368" s="4"/>
      <c r="J368" s="4"/>
    </row>
    <row r="369" spans="8:10" x14ac:dyDescent="0.25">
      <c r="H369" s="4"/>
      <c r="J369" s="4"/>
    </row>
    <row r="370" spans="8:10" x14ac:dyDescent="0.25">
      <c r="H370" s="4"/>
      <c r="J370" s="4"/>
    </row>
    <row r="371" spans="8:10" x14ac:dyDescent="0.25">
      <c r="H371" s="4"/>
      <c r="J371" s="4"/>
    </row>
    <row r="372" spans="8:10" x14ac:dyDescent="0.25">
      <c r="H372" s="4"/>
      <c r="J372" s="4"/>
    </row>
    <row r="373" spans="8:10" x14ac:dyDescent="0.25">
      <c r="H373" s="4"/>
      <c r="J373" s="4"/>
    </row>
    <row r="374" spans="8:10" x14ac:dyDescent="0.25">
      <c r="H374" s="4"/>
      <c r="J374" s="4"/>
    </row>
    <row r="375" spans="8:10" x14ac:dyDescent="0.25">
      <c r="H375" s="4"/>
      <c r="J375" s="4"/>
    </row>
    <row r="376" spans="8:10" x14ac:dyDescent="0.25">
      <c r="H376" s="4"/>
      <c r="J376" s="4"/>
    </row>
    <row r="377" spans="8:10" x14ac:dyDescent="0.25">
      <c r="H377" s="4"/>
      <c r="J377" s="4"/>
    </row>
    <row r="378" spans="8:10" x14ac:dyDescent="0.25">
      <c r="H378" s="4"/>
      <c r="J378" s="4"/>
    </row>
    <row r="379" spans="8:10" x14ac:dyDescent="0.25">
      <c r="H379" s="4"/>
      <c r="J379" s="4"/>
    </row>
    <row r="380" spans="8:10" x14ac:dyDescent="0.25">
      <c r="H380" s="4"/>
      <c r="J380" s="4"/>
    </row>
    <row r="381" spans="8:10" x14ac:dyDescent="0.25">
      <c r="H381" s="4"/>
      <c r="J381" s="4"/>
    </row>
    <row r="382" spans="8:10" x14ac:dyDescent="0.25">
      <c r="H382" s="4"/>
      <c r="J382" s="4"/>
    </row>
    <row r="383" spans="8:10" x14ac:dyDescent="0.25">
      <c r="H383" s="4"/>
      <c r="J383" s="4"/>
    </row>
    <row r="384" spans="8:10" x14ac:dyDescent="0.25">
      <c r="H384" s="4"/>
      <c r="J384" s="4"/>
    </row>
    <row r="385" spans="8:10" x14ac:dyDescent="0.25">
      <c r="H385" s="4"/>
      <c r="J385" s="4"/>
    </row>
    <row r="386" spans="8:10" x14ac:dyDescent="0.25">
      <c r="H386" s="4"/>
      <c r="J386" s="4"/>
    </row>
    <row r="387" spans="8:10" x14ac:dyDescent="0.25">
      <c r="H387" s="4"/>
      <c r="J387" s="4"/>
    </row>
    <row r="388" spans="8:10" x14ac:dyDescent="0.25">
      <c r="H388" s="4"/>
      <c r="J388" s="4"/>
    </row>
  </sheetData>
  <autoFilter ref="A12:AB127" xr:uid="{00000000-0009-0000-0000-000000000000}"/>
  <mergeCells count="183">
    <mergeCell ref="A5:H5"/>
    <mergeCell ref="A6:B6"/>
    <mergeCell ref="C6:H6"/>
    <mergeCell ref="A7:I7"/>
    <mergeCell ref="A8:A9"/>
    <mergeCell ref="B8:B9"/>
    <mergeCell ref="C8:C9"/>
    <mergeCell ref="D8:E8"/>
    <mergeCell ref="F8:G8"/>
    <mergeCell ref="H8:H9"/>
    <mergeCell ref="K14:K16"/>
    <mergeCell ref="A17:A19"/>
    <mergeCell ref="B17:B19"/>
    <mergeCell ref="C17:C19"/>
    <mergeCell ref="H17:H19"/>
    <mergeCell ref="K17:K19"/>
    <mergeCell ref="I8:I9"/>
    <mergeCell ref="A11:A13"/>
    <mergeCell ref="B11:B13"/>
    <mergeCell ref="C11:C13"/>
    <mergeCell ref="H11:H13"/>
    <mergeCell ref="K11:K13"/>
    <mergeCell ref="A20:A22"/>
    <mergeCell ref="B20:B22"/>
    <mergeCell ref="C20:C22"/>
    <mergeCell ref="D20:D22"/>
    <mergeCell ref="E20:E22"/>
    <mergeCell ref="H20:H22"/>
    <mergeCell ref="A14:A16"/>
    <mergeCell ref="B14:B16"/>
    <mergeCell ref="C14:C16"/>
    <mergeCell ref="H14:H16"/>
    <mergeCell ref="I23:I28"/>
    <mergeCell ref="A29:A36"/>
    <mergeCell ref="I29:I36"/>
    <mergeCell ref="K29:K36"/>
    <mergeCell ref="A37:A39"/>
    <mergeCell ref="B37:B39"/>
    <mergeCell ref="C37:C39"/>
    <mergeCell ref="K37:K39"/>
    <mergeCell ref="A23:A28"/>
    <mergeCell ref="B23:B28"/>
    <mergeCell ref="C23:C28"/>
    <mergeCell ref="F23:F28"/>
    <mergeCell ref="G23:G28"/>
    <mergeCell ref="H23:H28"/>
    <mergeCell ref="A42:A43"/>
    <mergeCell ref="B42:B43"/>
    <mergeCell ref="C42:C43"/>
    <mergeCell ref="H42:H43"/>
    <mergeCell ref="I42:I43"/>
    <mergeCell ref="K42:K43"/>
    <mergeCell ref="A40:A41"/>
    <mergeCell ref="B40:B41"/>
    <mergeCell ref="C40:C41"/>
    <mergeCell ref="H40:H41"/>
    <mergeCell ref="I40:I41"/>
    <mergeCell ref="K40:K41"/>
    <mergeCell ref="L45:AB45"/>
    <mergeCell ref="A46:A50"/>
    <mergeCell ref="B46:B50"/>
    <mergeCell ref="C46:C50"/>
    <mergeCell ref="H46:H50"/>
    <mergeCell ref="I46:I50"/>
    <mergeCell ref="K46:K50"/>
    <mergeCell ref="A44:A45"/>
    <mergeCell ref="B44:B45"/>
    <mergeCell ref="C44:C45"/>
    <mergeCell ref="H44:H45"/>
    <mergeCell ref="I44:I45"/>
    <mergeCell ref="K44:K45"/>
    <mergeCell ref="A58:A68"/>
    <mergeCell ref="B58:B68"/>
    <mergeCell ref="C58:C68"/>
    <mergeCell ref="H58:H68"/>
    <mergeCell ref="I58:I68"/>
    <mergeCell ref="K58:K68"/>
    <mergeCell ref="A51:A57"/>
    <mergeCell ref="B51:B57"/>
    <mergeCell ref="C51:C57"/>
    <mergeCell ref="H51:H57"/>
    <mergeCell ref="I51:I57"/>
    <mergeCell ref="K51:K57"/>
    <mergeCell ref="A75:A77"/>
    <mergeCell ref="B75:B77"/>
    <mergeCell ref="C75:C77"/>
    <mergeCell ref="H75:H77"/>
    <mergeCell ref="I75:I77"/>
    <mergeCell ref="K75:K77"/>
    <mergeCell ref="A69:A73"/>
    <mergeCell ref="B69:B73"/>
    <mergeCell ref="C69:C73"/>
    <mergeCell ref="H69:H73"/>
    <mergeCell ref="I69:I73"/>
    <mergeCell ref="K69:K73"/>
    <mergeCell ref="I91:I95"/>
    <mergeCell ref="A96:A97"/>
    <mergeCell ref="B96:B97"/>
    <mergeCell ref="C96:C97"/>
    <mergeCell ref="H96:H97"/>
    <mergeCell ref="A78:A83"/>
    <mergeCell ref="K78:K83"/>
    <mergeCell ref="A85:A86"/>
    <mergeCell ref="B85:B86"/>
    <mergeCell ref="C85:C86"/>
    <mergeCell ref="H85:H86"/>
    <mergeCell ref="K85:K86"/>
    <mergeCell ref="A98:A99"/>
    <mergeCell ref="A103:A107"/>
    <mergeCell ref="A108:A109"/>
    <mergeCell ref="B108:B109"/>
    <mergeCell ref="H108:H109"/>
    <mergeCell ref="A110:A111"/>
    <mergeCell ref="A91:A95"/>
    <mergeCell ref="B91:B95"/>
    <mergeCell ref="C91:C95"/>
    <mergeCell ref="H91:H95"/>
    <mergeCell ref="A135:A136"/>
    <mergeCell ref="B135:B136"/>
    <mergeCell ref="C135:C136"/>
    <mergeCell ref="H135:H136"/>
    <mergeCell ref="A137:A138"/>
    <mergeCell ref="B137:B138"/>
    <mergeCell ref="C137:C138"/>
    <mergeCell ref="H137:H138"/>
    <mergeCell ref="J110:J114"/>
    <mergeCell ref="I112:I114"/>
    <mergeCell ref="A125:A126"/>
    <mergeCell ref="A129:A132"/>
    <mergeCell ref="B129:B132"/>
    <mergeCell ref="C129:C132"/>
    <mergeCell ref="H129:H132"/>
    <mergeCell ref="J130:K130"/>
    <mergeCell ref="A145:A148"/>
    <mergeCell ref="B145:B148"/>
    <mergeCell ref="C145:C148"/>
    <mergeCell ref="H145:H148"/>
    <mergeCell ref="I145:I148"/>
    <mergeCell ref="A154:A155"/>
    <mergeCell ref="I137:I138"/>
    <mergeCell ref="A139:A140"/>
    <mergeCell ref="B139:B140"/>
    <mergeCell ref="C139:C140"/>
    <mergeCell ref="H139:H140"/>
    <mergeCell ref="C142:C144"/>
    <mergeCell ref="H142:H144"/>
    <mergeCell ref="I142:I144"/>
    <mergeCell ref="A158:A159"/>
    <mergeCell ref="B158:B159"/>
    <mergeCell ref="H158:H159"/>
    <mergeCell ref="I158:I159"/>
    <mergeCell ref="A164:A165"/>
    <mergeCell ref="B164:B165"/>
    <mergeCell ref="C164:C165"/>
    <mergeCell ref="H164:H165"/>
    <mergeCell ref="I164:I165"/>
    <mergeCell ref="I176:I177"/>
    <mergeCell ref="A178:A179"/>
    <mergeCell ref="B178:B179"/>
    <mergeCell ref="C178:C179"/>
    <mergeCell ref="H178:H179"/>
    <mergeCell ref="I178:I179"/>
    <mergeCell ref="J164:J165"/>
    <mergeCell ref="A166:A170"/>
    <mergeCell ref="B166:B170"/>
    <mergeCell ref="C166:C170"/>
    <mergeCell ref="H166:H170"/>
    <mergeCell ref="A171:A172"/>
    <mergeCell ref="B171:B172"/>
    <mergeCell ref="C171:C172"/>
    <mergeCell ref="H171:H172"/>
    <mergeCell ref="I171:I172"/>
    <mergeCell ref="A181:A182"/>
    <mergeCell ref="A184:A188"/>
    <mergeCell ref="B184:B188"/>
    <mergeCell ref="C184:C188"/>
    <mergeCell ref="H184:H188"/>
    <mergeCell ref="A189:A190"/>
    <mergeCell ref="B189:B190"/>
    <mergeCell ref="C189:C190"/>
    <mergeCell ref="A176:A177"/>
    <mergeCell ref="C176:C177"/>
    <mergeCell ref="H176:H177"/>
  </mergeCell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6"/>
  <sheetViews>
    <sheetView tabSelected="1" zoomScaleNormal="100" workbookViewId="0">
      <selection activeCell="F10" sqref="F10"/>
    </sheetView>
  </sheetViews>
  <sheetFormatPr defaultRowHeight="15.75" x14ac:dyDescent="0.25"/>
  <cols>
    <col min="1" max="1" width="10.85546875" style="232" customWidth="1"/>
    <col min="2" max="2" width="26.28515625" style="232" customWidth="1"/>
    <col min="3" max="3" width="24" style="233" customWidth="1"/>
    <col min="4" max="4" width="17" style="233" customWidth="1"/>
    <col min="5" max="5" width="32.7109375" style="232" customWidth="1"/>
    <col min="6" max="6" width="12.5703125" style="232" customWidth="1"/>
    <col min="7" max="7" width="11.5703125" style="232" bestFit="1" customWidth="1"/>
    <col min="8" max="8" width="9.140625" style="232"/>
    <col min="9" max="9" width="14" style="232" bestFit="1" customWidth="1"/>
    <col min="10" max="10" width="12.7109375" style="232" bestFit="1" customWidth="1"/>
    <col min="11" max="12" width="9.140625" style="232"/>
    <col min="13" max="13" width="15.7109375" style="232" bestFit="1" customWidth="1"/>
    <col min="14" max="14" width="9.140625" customWidth="1"/>
    <col min="16" max="16" width="12.5703125" bestFit="1" customWidth="1"/>
    <col min="17" max="17" width="13.140625" customWidth="1"/>
  </cols>
  <sheetData>
    <row r="1" spans="1:9" ht="22.5" x14ac:dyDescent="0.3">
      <c r="A1" s="409" t="s">
        <v>1943</v>
      </c>
      <c r="B1" s="409"/>
      <c r="C1" s="409"/>
      <c r="D1" s="409"/>
      <c r="E1" s="409"/>
      <c r="F1" s="409"/>
      <c r="G1" s="409"/>
      <c r="H1" s="409"/>
      <c r="I1" s="409"/>
    </row>
    <row r="2" spans="1:9" x14ac:dyDescent="0.25">
      <c r="F2" s="232" t="s">
        <v>13</v>
      </c>
      <c r="G2" s="234">
        <f ca="1">TODAY()</f>
        <v>45784</v>
      </c>
    </row>
    <row r="3" spans="1:9" x14ac:dyDescent="0.25">
      <c r="A3" s="236" t="s">
        <v>0</v>
      </c>
      <c r="B3" s="236" t="s">
        <v>1</v>
      </c>
      <c r="C3" s="237" t="s">
        <v>1476</v>
      </c>
      <c r="D3" s="237" t="s">
        <v>1475</v>
      </c>
      <c r="E3" s="236" t="s">
        <v>2</v>
      </c>
    </row>
    <row r="4" spans="1:9" x14ac:dyDescent="0.25">
      <c r="A4" s="238">
        <v>1</v>
      </c>
      <c r="B4" s="235" t="str">
        <f>'Mộc Sương'!D3</f>
        <v>Mộc Sương</v>
      </c>
      <c r="C4" s="256">
        <f>'Mộc Sương'!F7</f>
        <v>0</v>
      </c>
      <c r="D4" s="256"/>
      <c r="E4" s="247"/>
    </row>
    <row r="5" spans="1:9" x14ac:dyDescent="0.25">
      <c r="A5" s="238">
        <v>2</v>
      </c>
      <c r="B5" s="235" t="str">
        <f>Ligarden!D3</f>
        <v>Ligarden</v>
      </c>
      <c r="C5" s="254">
        <f>Ligarden!F7</f>
        <v>0</v>
      </c>
      <c r="D5" s="254"/>
      <c r="E5" s="247"/>
      <c r="G5" s="250"/>
    </row>
    <row r="6" spans="1:9" x14ac:dyDescent="0.25">
      <c r="A6" s="238">
        <v>3</v>
      </c>
      <c r="B6" s="235" t="str">
        <f>'Tan Lap MC'!D3</f>
        <v>Tân Lập MC</v>
      </c>
      <c r="C6" s="254">
        <f>'Tan Lap MC'!F7</f>
        <v>27330030</v>
      </c>
      <c r="D6" s="254"/>
      <c r="E6" s="247" t="s">
        <v>2014</v>
      </c>
    </row>
    <row r="7" spans="1:9" x14ac:dyDescent="0.25">
      <c r="A7" s="238">
        <v>4</v>
      </c>
      <c r="B7" s="235" t="str">
        <f>Vista!D3</f>
        <v>Vista</v>
      </c>
      <c r="C7" s="254">
        <f>Vista!F7</f>
        <v>25988000</v>
      </c>
      <c r="D7" s="254"/>
      <c r="E7" s="247" t="s">
        <v>2014</v>
      </c>
    </row>
    <row r="8" spans="1:9" x14ac:dyDescent="0.25">
      <c r="A8" s="238">
        <v>5</v>
      </c>
      <c r="B8" s="235" t="str">
        <f>'Vinatea MC'!D3</f>
        <v>Vinatea MC</v>
      </c>
      <c r="C8" s="254">
        <f>'Vinatea MC'!F7</f>
        <v>76640050</v>
      </c>
      <c r="D8" s="254"/>
      <c r="E8" s="247" t="s">
        <v>2006</v>
      </c>
      <c r="F8" s="247"/>
    </row>
    <row r="9" spans="1:9" x14ac:dyDescent="0.25">
      <c r="A9" s="238">
        <v>6</v>
      </c>
      <c r="B9" s="291" t="str">
        <f>'Tra Thu Dan'!D3</f>
        <v>Trà Thu Đan</v>
      </c>
      <c r="C9" s="289">
        <f>'Tra Thu Dan'!F7</f>
        <v>240291120</v>
      </c>
      <c r="D9" s="289"/>
      <c r="E9" s="247" t="s">
        <v>1999</v>
      </c>
    </row>
    <row r="10" spans="1:9" x14ac:dyDescent="0.25">
      <c r="A10" s="238">
        <v>7</v>
      </c>
      <c r="B10" s="235" t="str">
        <f>'Khi Vina'!D3</f>
        <v>Khí Vina</v>
      </c>
      <c r="C10" s="254">
        <f>'Khi Vina'!F7</f>
        <v>800</v>
      </c>
      <c r="D10" s="254"/>
      <c r="E10" s="247"/>
    </row>
    <row r="11" spans="1:9" x14ac:dyDescent="0.25">
      <c r="A11" s="238">
        <v>8</v>
      </c>
      <c r="B11" s="291" t="str">
        <f>'Codo MC'!D3</f>
        <v>Cờ đỏ Mộc Châu</v>
      </c>
      <c r="C11" s="289">
        <f>'Codo MC'!F7</f>
        <v>0</v>
      </c>
      <c r="D11" s="289"/>
      <c r="E11" s="247"/>
    </row>
    <row r="12" spans="1:9" x14ac:dyDescent="0.25">
      <c r="A12" s="238">
        <v>9</v>
      </c>
      <c r="B12" s="1" t="str">
        <f>'Hải Nam'!D3</f>
        <v xml:space="preserve">Hải Nam </v>
      </c>
      <c r="C12" s="254">
        <f>'Hải Nam'!F7</f>
        <v>0</v>
      </c>
      <c r="D12" s="254"/>
      <c r="E12" s="247"/>
    </row>
    <row r="13" spans="1:9" x14ac:dyDescent="0.25">
      <c r="A13" s="238">
        <v>10</v>
      </c>
      <c r="B13" s="1" t="str">
        <f>Vietsun!D3</f>
        <v>Vietsun</v>
      </c>
      <c r="C13" s="254">
        <f>Vietsun!F7</f>
        <v>175092400.29818153</v>
      </c>
      <c r="D13" s="254"/>
      <c r="E13" s="247" t="s">
        <v>2006</v>
      </c>
    </row>
    <row r="14" spans="1:9" x14ac:dyDescent="0.25">
      <c r="A14" s="238">
        <v>11</v>
      </c>
      <c r="B14" s="312" t="str">
        <f>'Tan Viet Hung'!D3</f>
        <v>Tân Việt Hưng</v>
      </c>
      <c r="C14" s="254">
        <f>'Tan Viet Hung'!F7</f>
        <v>256338000</v>
      </c>
      <c r="D14" s="254"/>
      <c r="E14" s="257" t="s">
        <v>2011</v>
      </c>
    </row>
    <row r="15" spans="1:9" x14ac:dyDescent="0.25">
      <c r="A15" s="238">
        <v>12</v>
      </c>
      <c r="B15" s="235" t="str">
        <f>'Che My Lam'!D3</f>
        <v>Chè Mỹ Lâm</v>
      </c>
      <c r="C15" s="254">
        <f>'Che My Lam'!F7</f>
        <v>107972800</v>
      </c>
      <c r="D15" s="254"/>
      <c r="E15" s="247" t="s">
        <v>2006</v>
      </c>
      <c r="G15" s="410"/>
      <c r="H15" s="410"/>
      <c r="I15" s="410"/>
    </row>
    <row r="16" spans="1:9" x14ac:dyDescent="0.25">
      <c r="A16" s="238">
        <v>13</v>
      </c>
      <c r="B16" s="235" t="str">
        <f>'Phu Tai'!D3</f>
        <v>Phú Tài</v>
      </c>
      <c r="C16" s="254">
        <f>'Phu Tai'!F7</f>
        <v>43740800</v>
      </c>
      <c r="D16" s="254"/>
      <c r="E16" s="247" t="s">
        <v>2006</v>
      </c>
      <c r="F16" s="247"/>
    </row>
    <row r="17" spans="1:10" x14ac:dyDescent="0.25">
      <c r="A17" s="238">
        <v>14</v>
      </c>
      <c r="B17" s="291" t="str">
        <f>'Hai Dang'!D3</f>
        <v>Hải Đăng</v>
      </c>
      <c r="C17" s="289">
        <f>'Hai Dang'!F7</f>
        <v>79308000</v>
      </c>
      <c r="D17" s="289"/>
      <c r="E17" s="247" t="s">
        <v>1999</v>
      </c>
      <c r="F17" s="247"/>
      <c r="J17" s="1"/>
    </row>
    <row r="18" spans="1:10" x14ac:dyDescent="0.25">
      <c r="A18" s="238">
        <v>15</v>
      </c>
      <c r="B18" s="258" t="s">
        <v>156</v>
      </c>
      <c r="C18" s="254"/>
      <c r="D18" s="254">
        <f>'An Khanh'!F7</f>
        <v>-6696000</v>
      </c>
      <c r="E18" s="257" t="s">
        <v>2022</v>
      </c>
      <c r="F18" s="250"/>
      <c r="I18" s="239"/>
    </row>
    <row r="19" spans="1:10" x14ac:dyDescent="0.25">
      <c r="A19" s="238">
        <v>16</v>
      </c>
      <c r="B19" s="290" t="str">
        <f>'Hong Anh Phat'!D3</f>
        <v xml:space="preserve"> Anh Đoàn (Hồng Anh Phát)</v>
      </c>
      <c r="C19" s="289">
        <f>'Hong Anh Phat'!F7</f>
        <v>41151199.727272749</v>
      </c>
      <c r="D19" s="289"/>
      <c r="E19" s="247" t="s">
        <v>2012</v>
      </c>
      <c r="F19" s="247"/>
      <c r="G19" s="250"/>
    </row>
    <row r="20" spans="1:10" x14ac:dyDescent="0.25">
      <c r="A20" s="238">
        <v>17</v>
      </c>
      <c r="B20" s="1" t="str">
        <f>'Anh Phương VS'!D3</f>
        <v>Anh Phương Vietsun</v>
      </c>
      <c r="C20" s="233">
        <f>'Anh Phương VS'!F7</f>
        <v>1700000</v>
      </c>
      <c r="E20" s="247" t="s">
        <v>1976</v>
      </c>
    </row>
    <row r="21" spans="1:10" x14ac:dyDescent="0.25">
      <c r="A21" s="238">
        <v>18</v>
      </c>
      <c r="B21" s="1" t="str">
        <f>Vietimex!D3</f>
        <v>Vietimex</v>
      </c>
      <c r="C21" s="233">
        <f>Vietimex!F7</f>
        <v>0</v>
      </c>
      <c r="E21" s="247"/>
    </row>
    <row r="22" spans="1:10" x14ac:dyDescent="0.25">
      <c r="A22" s="238">
        <v>19</v>
      </c>
      <c r="B22" s="1" t="str">
        <f>'Hùng Thuận'!D3</f>
        <v>Hùng Thuận</v>
      </c>
      <c r="C22" s="233">
        <f>'Hùng Thuận'!F7</f>
        <v>14862400</v>
      </c>
      <c r="E22" s="247" t="s">
        <v>2016</v>
      </c>
    </row>
    <row r="23" spans="1:10" ht="20.25" customHeight="1" x14ac:dyDescent="0.25">
      <c r="A23" s="238">
        <v>20</v>
      </c>
      <c r="B23" s="1" t="str">
        <f>Satoen!D3</f>
        <v>Fire Phoenix</v>
      </c>
      <c r="C23" s="233">
        <f>Satoen!F7</f>
        <v>0</v>
      </c>
      <c r="E23" s="247"/>
      <c r="F23" s="239"/>
    </row>
    <row r="24" spans="1:10" x14ac:dyDescent="0.25">
      <c r="A24" s="238">
        <v>21</v>
      </c>
      <c r="B24" s="1" t="str">
        <f>'KHÁCH LẺ'!D3</f>
        <v>Khách lẻ</v>
      </c>
      <c r="D24" s="233">
        <f>'KHÁCH LẺ'!F7</f>
        <v>0</v>
      </c>
      <c r="E24" s="247"/>
      <c r="F24" s="239"/>
    </row>
    <row r="25" spans="1:10" x14ac:dyDescent="0.25">
      <c r="A25" s="238">
        <v>22</v>
      </c>
      <c r="B25" s="1" t="str">
        <f>'Vượng Phát'!D3</f>
        <v>Vượng Phát</v>
      </c>
      <c r="D25" s="233">
        <f>'Vượng Phát'!F7</f>
        <v>-42660000</v>
      </c>
      <c r="E25" s="247" t="s">
        <v>2022</v>
      </c>
      <c r="F25" s="239"/>
    </row>
    <row r="26" spans="1:10" x14ac:dyDescent="0.25">
      <c r="A26" s="238">
        <v>23</v>
      </c>
      <c r="B26" s="1" t="str">
        <f>'Anh Hiệp'!D3</f>
        <v xml:space="preserve">Anh Hiệp </v>
      </c>
      <c r="C26" s="295">
        <f>'Anh Hiệp'!F7</f>
        <v>0</v>
      </c>
      <c r="D26" s="293"/>
      <c r="E26" s="247"/>
      <c r="F26" s="239"/>
    </row>
    <row r="27" spans="1:10" x14ac:dyDescent="0.25">
      <c r="A27" s="238">
        <v>24</v>
      </c>
      <c r="B27" s="1" t="s">
        <v>1466</v>
      </c>
      <c r="C27" s="295"/>
      <c r="D27" s="293">
        <f>'Hân Trang'!F7</f>
        <v>0</v>
      </c>
      <c r="E27" s="247"/>
      <c r="F27" s="239"/>
    </row>
    <row r="28" spans="1:10" x14ac:dyDescent="0.25">
      <c r="A28" s="238">
        <v>25</v>
      </c>
      <c r="B28" s="332" t="s">
        <v>1746</v>
      </c>
      <c r="C28" s="293"/>
      <c r="D28" s="293">
        <f>'Chè Mường Hoa'!F7</f>
        <v>0</v>
      </c>
      <c r="E28" s="247"/>
      <c r="F28" s="239"/>
      <c r="G28" s="239"/>
      <c r="I28" s="239"/>
    </row>
    <row r="29" spans="1:10" x14ac:dyDescent="0.25">
      <c r="A29" s="238">
        <v>26</v>
      </c>
      <c r="B29" s="290" t="s">
        <v>266</v>
      </c>
      <c r="C29" s="294">
        <f>'Chè Tô Múa'!F7</f>
        <v>0</v>
      </c>
      <c r="D29" s="294"/>
      <c r="E29" s="247"/>
      <c r="F29" s="239"/>
    </row>
    <row r="30" spans="1:10" x14ac:dyDescent="0.25">
      <c r="A30" s="238">
        <v>27</v>
      </c>
      <c r="B30" s="290" t="s">
        <v>136</v>
      </c>
      <c r="C30" s="294"/>
      <c r="D30" s="294">
        <f>'TUÂN THÀNH PHÁT'!F7</f>
        <v>0</v>
      </c>
      <c r="E30" s="247"/>
      <c r="F30" s="239"/>
    </row>
    <row r="31" spans="1:10" x14ac:dyDescent="0.25">
      <c r="A31" s="238">
        <v>28</v>
      </c>
      <c r="B31" s="326" t="str">
        <f>'VIỆT VƯƠNG'!D3</f>
        <v>VIỆT VƯƠNG</v>
      </c>
      <c r="C31" s="327">
        <f>'VIỆT VƯƠNG'!F7</f>
        <v>23400000</v>
      </c>
      <c r="D31" s="327"/>
      <c r="E31" s="328" t="s">
        <v>847</v>
      </c>
      <c r="F31" s="239"/>
    </row>
    <row r="32" spans="1:10" x14ac:dyDescent="0.25">
      <c r="A32" s="238">
        <v>29</v>
      </c>
      <c r="B32" s="288" t="s">
        <v>618</v>
      </c>
      <c r="C32" s="289">
        <f>'CTY AT-AT'!F7</f>
        <v>0</v>
      </c>
      <c r="D32" s="289"/>
      <c r="E32" s="247"/>
      <c r="F32" s="239"/>
    </row>
    <row r="33" spans="1:17" x14ac:dyDescent="0.25">
      <c r="A33" s="238">
        <v>30</v>
      </c>
      <c r="B33" s="288" t="s">
        <v>690</v>
      </c>
      <c r="C33" s="289">
        <f>'HHD MC'!F7</f>
        <v>0</v>
      </c>
      <c r="D33" s="289"/>
      <c r="E33" s="247"/>
      <c r="F33" s="239"/>
    </row>
    <row r="34" spans="1:17" x14ac:dyDescent="0.25">
      <c r="A34" s="238">
        <v>31</v>
      </c>
      <c r="B34" s="288" t="s">
        <v>719</v>
      </c>
      <c r="C34" s="289">
        <f>'TỔNG CTY CHÈ'!F7</f>
        <v>0</v>
      </c>
      <c r="D34" s="289"/>
      <c r="E34" s="247"/>
      <c r="F34" s="239"/>
    </row>
    <row r="35" spans="1:17" x14ac:dyDescent="0.25">
      <c r="A35" s="238">
        <v>32</v>
      </c>
      <c r="B35" s="288" t="s">
        <v>132</v>
      </c>
      <c r="C35" s="289">
        <f>'LÊ MINH'!F7</f>
        <v>0</v>
      </c>
      <c r="D35" s="289"/>
      <c r="F35" s="239"/>
    </row>
    <row r="36" spans="1:17" x14ac:dyDescent="0.25">
      <c r="A36" s="238">
        <v>33</v>
      </c>
      <c r="B36" s="288" t="s">
        <v>808</v>
      </c>
      <c r="C36" s="289">
        <f>'Mr Huy VS'!F7</f>
        <v>0</v>
      </c>
      <c r="D36" s="289"/>
      <c r="E36" s="247"/>
      <c r="F36" s="239"/>
    </row>
    <row r="37" spans="1:17" x14ac:dyDescent="0.25">
      <c r="A37" s="238">
        <v>34</v>
      </c>
      <c r="B37" s="288" t="s">
        <v>809</v>
      </c>
      <c r="C37" s="289">
        <f>'Mr Huấn VS'!F7</f>
        <v>0</v>
      </c>
      <c r="D37" s="289"/>
      <c r="E37" s="247"/>
      <c r="F37" s="239"/>
    </row>
    <row r="38" spans="1:17" x14ac:dyDescent="0.25">
      <c r="A38" s="238">
        <v>35</v>
      </c>
      <c r="B38" s="288" t="s">
        <v>1448</v>
      </c>
      <c r="C38" s="289">
        <f>'Chè Nà Tân'!F7</f>
        <v>0</v>
      </c>
      <c r="D38" s="289"/>
      <c r="E38" s="247"/>
      <c r="F38" s="239"/>
    </row>
    <row r="39" spans="1:17" x14ac:dyDescent="0.25">
      <c r="A39" s="238">
        <v>36</v>
      </c>
      <c r="B39" s="288" t="s">
        <v>855</v>
      </c>
      <c r="C39" s="289">
        <f>'Cty Thuận Vũ'!F7</f>
        <v>4428000</v>
      </c>
      <c r="D39" s="289"/>
      <c r="E39" s="247" t="s">
        <v>1976</v>
      </c>
    </row>
    <row r="40" spans="1:17" x14ac:dyDescent="0.25">
      <c r="A40" s="238">
        <v>37</v>
      </c>
      <c r="B40" s="314" t="s">
        <v>1046</v>
      </c>
      <c r="C40" s="289"/>
      <c r="D40" s="289">
        <f>'Nam Tùng'!F7</f>
        <v>-5832000</v>
      </c>
      <c r="E40" s="331" t="s">
        <v>2022</v>
      </c>
      <c r="F40" s="239"/>
    </row>
    <row r="41" spans="1:17" x14ac:dyDescent="0.25">
      <c r="A41" s="238">
        <v>38</v>
      </c>
      <c r="B41" s="290" t="s">
        <v>1082</v>
      </c>
      <c r="C41" s="289">
        <f>Indigo!F7</f>
        <v>76080800</v>
      </c>
      <c r="D41" s="289"/>
      <c r="E41" s="247" t="s">
        <v>2009</v>
      </c>
      <c r="F41" s="239"/>
      <c r="J41" s="250"/>
      <c r="K41" s="250"/>
      <c r="L41" s="250"/>
      <c r="M41" s="322"/>
      <c r="N41" s="321"/>
      <c r="P41" s="242"/>
    </row>
    <row r="42" spans="1:17" x14ac:dyDescent="0.25">
      <c r="A42" s="238">
        <v>39</v>
      </c>
      <c r="B42" s="290" t="s">
        <v>1165</v>
      </c>
      <c r="C42" s="289">
        <f>'ARI+ SONATA'!F7</f>
        <v>0</v>
      </c>
      <c r="D42" s="289"/>
      <c r="E42" s="247"/>
      <c r="F42" s="239"/>
      <c r="K42" s="250"/>
      <c r="L42" s="250"/>
      <c r="M42" s="322"/>
      <c r="N42" s="321"/>
      <c r="P42" s="242"/>
    </row>
    <row r="43" spans="1:17" x14ac:dyDescent="0.25">
      <c r="A43" s="238">
        <v>40</v>
      </c>
      <c r="B43" s="290" t="s">
        <v>1182</v>
      </c>
      <c r="C43" s="289">
        <f>Nitoda!F7</f>
        <v>678092000.36363602</v>
      </c>
      <c r="D43" s="289"/>
      <c r="E43" s="247" t="s">
        <v>2014</v>
      </c>
      <c r="F43" s="239"/>
      <c r="M43" s="289"/>
    </row>
    <row r="44" spans="1:17" x14ac:dyDescent="0.25">
      <c r="A44" s="238">
        <v>41</v>
      </c>
      <c r="B44" s="290" t="s">
        <v>1286</v>
      </c>
      <c r="C44" s="289">
        <f>'CN Cao HB'!F7</f>
        <v>0</v>
      </c>
      <c r="D44" s="289"/>
      <c r="E44" s="247"/>
      <c r="F44" s="239"/>
      <c r="M44" s="233"/>
    </row>
    <row r="45" spans="1:17" x14ac:dyDescent="0.25">
      <c r="A45" s="238">
        <v>42</v>
      </c>
      <c r="B45" s="290" t="s">
        <v>1517</v>
      </c>
      <c r="C45" s="289">
        <f>'Phúc An'!F7</f>
        <v>0</v>
      </c>
      <c r="D45" s="289"/>
      <c r="E45" s="247"/>
      <c r="F45" s="239"/>
      <c r="M45" s="233"/>
    </row>
    <row r="46" spans="1:17" x14ac:dyDescent="0.25">
      <c r="A46" s="238">
        <v>43</v>
      </c>
      <c r="B46" s="290" t="s">
        <v>1521</v>
      </c>
      <c r="C46" s="289">
        <f>'Bông sen vàng'!F7</f>
        <v>14310000</v>
      </c>
      <c r="D46" s="289"/>
      <c r="E46" s="247" t="s">
        <v>2008</v>
      </c>
      <c r="F46" s="239"/>
      <c r="M46" s="233"/>
    </row>
    <row r="47" spans="1:17" x14ac:dyDescent="0.25">
      <c r="A47" s="238">
        <v>44</v>
      </c>
      <c r="B47" s="290" t="s">
        <v>1701</v>
      </c>
      <c r="C47" s="289">
        <f>'Vinatea F&amp;B'!F7</f>
        <v>0</v>
      </c>
      <c r="D47" s="289"/>
      <c r="E47" s="247"/>
      <c r="F47" s="239"/>
      <c r="K47" s="250"/>
      <c r="L47" s="250"/>
      <c r="M47" s="320"/>
      <c r="N47" s="321"/>
      <c r="P47" s="242"/>
      <c r="Q47" s="2"/>
    </row>
    <row r="48" spans="1:17" x14ac:dyDescent="0.25">
      <c r="A48" s="238"/>
      <c r="B48" s="290"/>
      <c r="C48" s="289"/>
      <c r="D48" s="289"/>
      <c r="E48" s="247"/>
      <c r="F48" s="239"/>
      <c r="K48" s="250"/>
      <c r="L48" s="250"/>
      <c r="M48" s="320"/>
      <c r="N48" s="321"/>
      <c r="P48" s="242"/>
      <c r="Q48" s="2"/>
    </row>
    <row r="49" spans="1:16" x14ac:dyDescent="0.25">
      <c r="A49" s="238"/>
      <c r="B49" s="249" t="s">
        <v>153</v>
      </c>
      <c r="C49" s="248">
        <f>SUM(C4:C46)</f>
        <v>1886726400.3890903</v>
      </c>
      <c r="D49" s="248">
        <f>SUM(D4:D46)</f>
        <v>-55188000</v>
      </c>
      <c r="F49" s="239"/>
      <c r="K49" s="250"/>
      <c r="L49" s="250"/>
      <c r="M49" s="320"/>
      <c r="N49" s="321"/>
      <c r="P49" s="242"/>
    </row>
    <row r="50" spans="1:16" x14ac:dyDescent="0.25">
      <c r="A50" s="238"/>
      <c r="K50" s="250"/>
      <c r="L50" s="250"/>
      <c r="M50" s="320"/>
      <c r="N50" s="321"/>
      <c r="P50" s="242"/>
    </row>
    <row r="51" spans="1:16" x14ac:dyDescent="0.25">
      <c r="K51" s="250"/>
      <c r="L51" s="250"/>
      <c r="M51" s="320"/>
      <c r="N51" s="321"/>
      <c r="P51" s="242"/>
    </row>
    <row r="54" spans="1:16" x14ac:dyDescent="0.25">
      <c r="M54" s="239"/>
      <c r="P54" s="242">
        <f>SUM(P41:P51)</f>
        <v>0</v>
      </c>
    </row>
    <row r="56" spans="1:16" x14ac:dyDescent="0.25">
      <c r="M56" s="239"/>
    </row>
  </sheetData>
  <mergeCells count="2">
    <mergeCell ref="A1:I1"/>
    <mergeCell ref="G15:I15"/>
  </mergeCells>
  <hyperlinks>
    <hyperlink ref="B4" location="'Mộc Sương'!A1" display="'Mộc Sương'!A1" xr:uid="{00000000-0004-0000-0100-000000000000}"/>
    <hyperlink ref="B7" location="Vista!A1" display="Vista!A1" xr:uid="{00000000-0004-0000-0100-000001000000}"/>
    <hyperlink ref="B8" location="'Vinatea MC'!A1" display="'Vinatea MC'!A1" xr:uid="{00000000-0004-0000-0100-000002000000}"/>
    <hyperlink ref="B9" location="'Tra Thu Dan'!A1" display="'Tra Thu Dan'!A1" xr:uid="{00000000-0004-0000-0100-000003000000}"/>
    <hyperlink ref="B10" location="'Khi Vina'!A1" display="'Khi Vina'!A1" xr:uid="{00000000-0004-0000-0100-000004000000}"/>
    <hyperlink ref="B6" location="'Tan Lap MC'!A1" display="'Tan Lap MC'!A1" xr:uid="{00000000-0004-0000-0100-000005000000}"/>
    <hyperlink ref="B5" location="Ligarden!A1" display="Ligarden!A1" xr:uid="{00000000-0004-0000-0100-000006000000}"/>
    <hyperlink ref="B11" location="'Codo MC'!A1" display="'Codo MC'!A1" xr:uid="{00000000-0004-0000-0100-000007000000}"/>
    <hyperlink ref="B12" location="'Hải Nam'!A1" display="'Hải Nam'!A1" xr:uid="{00000000-0004-0000-0100-000008000000}"/>
    <hyperlink ref="B14" location="'Tan Viet Hung'!A1" display="'Tan Viet Hung'!A1" xr:uid="{00000000-0004-0000-0100-000009000000}"/>
    <hyperlink ref="B15" location="'Che My Lam'!A1" display="'Che My Lam'!A1" xr:uid="{00000000-0004-0000-0100-00000A000000}"/>
    <hyperlink ref="B16" location="'Phu Tai'!A1" display="'Phu Tai'!A1" xr:uid="{00000000-0004-0000-0100-00000B000000}"/>
    <hyperlink ref="B17" location="'Hai Dang'!A1" display="'Hai Dang'!A1" xr:uid="{00000000-0004-0000-0100-00000F000000}"/>
    <hyperlink ref="B18" location="'An Khanh'!A1" display="An Khánh" xr:uid="{00000000-0004-0000-0100-000010000000}"/>
    <hyperlink ref="B19" location="'Hong Anh Phat'!A1" display="'Hong Anh Phat'!A1" xr:uid="{00000000-0004-0000-0100-000011000000}"/>
    <hyperlink ref="B20" location="'Anh Phương VS'!A1" display="'Anh Phương VS'!A1" xr:uid="{00000000-0004-0000-0100-000013000000}"/>
    <hyperlink ref="B21" location="Vietimex!A1" display="Vietimex!A1" xr:uid="{00000000-0004-0000-0100-000014000000}"/>
    <hyperlink ref="B22" location="'Hùng Thuận'!A1" tooltip="Hùng Thuận" display="'Hùng Thuận'!A1" xr:uid="{00000000-0004-0000-0100-000016000000}"/>
    <hyperlink ref="B13" location="Vietsun!A1" display="Vietsun!A1" xr:uid="{00000000-0004-0000-0100-000018000000}"/>
    <hyperlink ref="B23" location="Satoen!A1" display="Satoen!A1" xr:uid="{00000000-0004-0000-0100-00001B000000}"/>
    <hyperlink ref="B24" location="'KHÁCH LẺ'!A1" display="'KHÁCH LẺ'!A1" xr:uid="{00000000-0004-0000-0100-00001D000000}"/>
    <hyperlink ref="B26" location="'Anh Hiệp'!A1" display="'Anh Hiệp'!A1" xr:uid="{00000000-0004-0000-0100-000020000000}"/>
    <hyperlink ref="B25" location="'Đức Xuyên'!A1" display="'Đức Xuyên'!A1" xr:uid="{00000000-0004-0000-0100-000021000000}"/>
    <hyperlink ref="B28" location="'Chè Mường Hoa'!A1" display="'Chè Mường Hoa'!A1" xr:uid="{00000000-0004-0000-0100-000023000000}"/>
    <hyperlink ref="B29" location="'Chè Tô Múa'!A1" display="Chè Tô Múa" xr:uid="{00000000-0004-0000-0100-000024000000}"/>
    <hyperlink ref="B27" location="'Hân Trang'!A1" display="CTY Hân Trang" xr:uid="{00000000-0004-0000-0100-000025000000}"/>
    <hyperlink ref="B30" location="'TUÂN THÀNH PHÁT'!A1" display="TUÂN THÀNH PHÁT" xr:uid="{00000000-0004-0000-0100-000029000000}"/>
    <hyperlink ref="B31" location="'VIỆT VƯƠNG'!D3" display="'VIỆT VƯƠNG'!D3" xr:uid="{00000000-0004-0000-0100-000030000000}"/>
    <hyperlink ref="B32" location="'CTY AT-AT'!A1" display="'CTY AT-AT'!A1" xr:uid="{00000000-0004-0000-0100-000031000000}"/>
    <hyperlink ref="B33" location="'HHD MC'!A1" display="HHD MC" xr:uid="{00000000-0004-0000-0100-000032000000}"/>
    <hyperlink ref="B34" location="'TỔNG CTY CHÈ'!A1" display="'TỔNG CTY CHÈ'!A1" xr:uid="{00000000-0004-0000-0100-000034000000}"/>
    <hyperlink ref="B35" location="'LÊ MINH'!A1" display="#'LÊ MINH'!A1" xr:uid="{00000000-0004-0000-0100-000035000000}"/>
    <hyperlink ref="B36" location="'Mr Huy VS'!A1" display="'Mr Huy VS'!A1" xr:uid="{00000000-0004-0000-0100-000036000000}"/>
    <hyperlink ref="B37" location="'Mr Huấn VS'!A1" display="'Mr Huấn VS'!A1" xr:uid="{00000000-0004-0000-0100-000037000000}"/>
    <hyperlink ref="B38" location="'Chè Nà Tân'!A1" display="Chè Nà Tân" xr:uid="{00000000-0004-0000-0100-000038000000}"/>
    <hyperlink ref="B39" location="'Cty Thuận Vũ'!A1" display="'Cty Thuận Vũ'!A1" xr:uid="{00000000-0004-0000-0100-000039000000}"/>
    <hyperlink ref="B40" location="'Nam Tùng'!A1" display="'Nam Tùng'!A1" xr:uid="{52CE9541-C270-4C40-B6C9-0E70220E1635}"/>
    <hyperlink ref="B41" location="Indigo!A1" display="Indigo" xr:uid="{E84ADCA9-CBDA-481E-9AF0-15C9E498A76E}"/>
    <hyperlink ref="B42" location="'ARI+ SONATA'!A1" display="ARI" xr:uid="{580DE080-4E73-448E-A55F-409A50370AEC}"/>
    <hyperlink ref="B43" location="Nitoda!A1" display="Nitoda" xr:uid="{2E1CF087-549F-4861-8284-B36C786CF7CB}"/>
    <hyperlink ref="B44" location="'CN Cao HB'!A1" display="#'CN Cao HB'!A1" xr:uid="{BF96B4E1-2F8C-41C4-AF7A-385D9707F914}"/>
    <hyperlink ref="B45" location="'Phúc An'!A1" display="Cty Phúc An" xr:uid="{FE4856B7-E537-4414-908F-2608712195E3}"/>
    <hyperlink ref="B46" location="'Bông sen vàng'!A1" display="Bông sen vàng" xr:uid="{ED2310C1-D6EB-4934-A948-968C908FD987}"/>
    <hyperlink ref="B47" location="'Vinatea F&amp;B'!A1" display="Vinatea F&amp;B" xr:uid="{84659504-37A8-462E-8CBE-40537675C93B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3"/>
  <sheetViews>
    <sheetView workbookViewId="0">
      <selection activeCell="G1" sqref="G1"/>
    </sheetView>
  </sheetViews>
  <sheetFormatPr defaultRowHeight="15" x14ac:dyDescent="0.25"/>
  <cols>
    <col min="2" max="2" width="16.140625" style="251" customWidth="1"/>
    <col min="3" max="3" width="34.85546875" customWidth="1"/>
    <col min="4" max="4" width="19.85546875" style="2" customWidth="1"/>
    <col min="5" max="5" width="13.85546875" style="2" customWidth="1"/>
    <col min="6" max="6" width="13.7109375" style="2" customWidth="1"/>
  </cols>
  <sheetData>
    <row r="1" spans="1:7" x14ac:dyDescent="0.25"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" t="s">
        <v>14</v>
      </c>
    </row>
    <row r="4" spans="1:7" x14ac:dyDescent="0.25">
      <c r="E4" s="2" t="s">
        <v>9</v>
      </c>
      <c r="F4" s="2">
        <v>950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490979150</v>
      </c>
    </row>
    <row r="6" spans="1:7" x14ac:dyDescent="0.25">
      <c r="E6" s="2" t="s">
        <v>11</v>
      </c>
      <c r="F6" s="2">
        <f>SUM(E10:E68)</f>
        <v>490980100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553</v>
      </c>
      <c r="G8" s="413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  <c r="G9" s="414"/>
    </row>
    <row r="10" spans="1:7" x14ac:dyDescent="0.25">
      <c r="A10" s="262">
        <v>1</v>
      </c>
      <c r="B10" s="261">
        <v>43622</v>
      </c>
      <c r="C10" s="260" t="s">
        <v>161</v>
      </c>
      <c r="D10" s="259">
        <v>26567900</v>
      </c>
      <c r="E10" s="259"/>
      <c r="F10" s="259">
        <f>D10+F4</f>
        <v>26568850</v>
      </c>
      <c r="G10" s="260"/>
    </row>
    <row r="11" spans="1:7" x14ac:dyDescent="0.25">
      <c r="A11" s="262">
        <v>2</v>
      </c>
      <c r="B11" s="261">
        <v>43654</v>
      </c>
      <c r="C11" s="260" t="s">
        <v>178</v>
      </c>
      <c r="D11" s="259"/>
      <c r="E11" s="259">
        <v>26567000</v>
      </c>
      <c r="F11" s="259">
        <f>F10+D11-E11</f>
        <v>1850</v>
      </c>
      <c r="G11" s="260"/>
    </row>
    <row r="12" spans="1:7" x14ac:dyDescent="0.25">
      <c r="A12" s="262">
        <v>3</v>
      </c>
      <c r="B12" s="261">
        <v>43677</v>
      </c>
      <c r="C12" s="260" t="s">
        <v>198</v>
      </c>
      <c r="D12" s="259">
        <v>26819450</v>
      </c>
      <c r="E12" s="259"/>
      <c r="F12" s="259">
        <f>F11+D12-E12</f>
        <v>26821300</v>
      </c>
      <c r="G12" s="260"/>
    </row>
    <row r="13" spans="1:7" x14ac:dyDescent="0.25">
      <c r="A13" s="262">
        <v>4</v>
      </c>
      <c r="B13" s="261">
        <v>43704</v>
      </c>
      <c r="C13" s="260" t="s">
        <v>272</v>
      </c>
      <c r="D13" s="259"/>
      <c r="E13" s="259">
        <v>26819450</v>
      </c>
      <c r="F13" s="259">
        <f t="shared" ref="F13:F20" si="0">F12+D13-E13</f>
        <v>1850</v>
      </c>
      <c r="G13" s="269"/>
    </row>
    <row r="14" spans="1:7" x14ac:dyDescent="0.25">
      <c r="A14" s="262">
        <v>5</v>
      </c>
      <c r="B14" s="262" t="s">
        <v>273</v>
      </c>
      <c r="C14" s="260" t="s">
        <v>274</v>
      </c>
      <c r="D14" s="259">
        <v>26819450</v>
      </c>
      <c r="E14" s="259"/>
      <c r="F14" s="259">
        <f t="shared" si="0"/>
        <v>26821300</v>
      </c>
      <c r="G14" s="260"/>
    </row>
    <row r="15" spans="1:7" x14ac:dyDescent="0.25">
      <c r="A15" s="262">
        <v>6</v>
      </c>
      <c r="B15" s="262" t="s">
        <v>300</v>
      </c>
      <c r="C15" s="260" t="s">
        <v>303</v>
      </c>
      <c r="D15" s="259">
        <v>22069750</v>
      </c>
      <c r="E15" s="259"/>
      <c r="F15" s="259">
        <f t="shared" si="0"/>
        <v>48891050</v>
      </c>
      <c r="G15" s="260"/>
    </row>
    <row r="16" spans="1:7" x14ac:dyDescent="0.25">
      <c r="A16" s="262">
        <v>7</v>
      </c>
      <c r="B16" s="261">
        <v>43776</v>
      </c>
      <c r="C16" s="260" t="s">
        <v>314</v>
      </c>
      <c r="D16" s="259"/>
      <c r="E16" s="259">
        <f>48890100+950</f>
        <v>48891050</v>
      </c>
      <c r="F16" s="259">
        <f t="shared" si="0"/>
        <v>0</v>
      </c>
      <c r="G16" s="260"/>
    </row>
    <row r="17" spans="1:8" x14ac:dyDescent="0.25">
      <c r="A17" s="262">
        <v>8</v>
      </c>
      <c r="B17" s="262" t="s">
        <v>480</v>
      </c>
      <c r="C17" s="260" t="s">
        <v>483</v>
      </c>
      <c r="D17" s="259">
        <v>26687400</v>
      </c>
      <c r="E17" s="259"/>
      <c r="F17" s="259">
        <f t="shared" si="0"/>
        <v>26687400</v>
      </c>
      <c r="G17" s="260"/>
    </row>
    <row r="18" spans="1:8" x14ac:dyDescent="0.25">
      <c r="A18" s="262">
        <v>9</v>
      </c>
      <c r="B18" s="261">
        <v>43983</v>
      </c>
      <c r="C18" s="260" t="s">
        <v>314</v>
      </c>
      <c r="D18" s="259"/>
      <c r="E18" s="259">
        <v>26687400</v>
      </c>
      <c r="F18" s="259">
        <f t="shared" si="0"/>
        <v>0</v>
      </c>
      <c r="G18" s="260"/>
    </row>
    <row r="19" spans="1:8" x14ac:dyDescent="0.25">
      <c r="A19" s="262">
        <v>10</v>
      </c>
      <c r="B19" s="261">
        <v>43991</v>
      </c>
      <c r="C19" s="260" t="s">
        <v>516</v>
      </c>
      <c r="D19" s="259">
        <v>24650550</v>
      </c>
      <c r="E19" s="259"/>
      <c r="F19" s="259">
        <f t="shared" si="0"/>
        <v>24650550</v>
      </c>
      <c r="G19" s="260"/>
    </row>
    <row r="20" spans="1:8" x14ac:dyDescent="0.25">
      <c r="A20" s="262">
        <v>11</v>
      </c>
      <c r="B20" s="261">
        <v>44028</v>
      </c>
      <c r="C20" s="260" t="s">
        <v>560</v>
      </c>
      <c r="D20" s="259">
        <v>23813950</v>
      </c>
      <c r="E20" s="259"/>
      <c r="F20" s="259">
        <f t="shared" si="0"/>
        <v>48464500</v>
      </c>
      <c r="G20" s="260"/>
    </row>
    <row r="21" spans="1:8" x14ac:dyDescent="0.25">
      <c r="A21" s="262">
        <v>12</v>
      </c>
      <c r="B21" s="261">
        <v>44035</v>
      </c>
      <c r="C21" s="260" t="s">
        <v>314</v>
      </c>
      <c r="D21" s="259"/>
      <c r="E21" s="259">
        <v>48464950</v>
      </c>
      <c r="F21" s="259">
        <f>F20+D21-E21</f>
        <v>-450</v>
      </c>
      <c r="G21" s="260"/>
    </row>
    <row r="22" spans="1:8" x14ac:dyDescent="0.25">
      <c r="A22" s="262">
        <v>13</v>
      </c>
      <c r="B22" s="261">
        <v>44321</v>
      </c>
      <c r="C22" s="260" t="s">
        <v>820</v>
      </c>
      <c r="D22" s="259">
        <v>40225450</v>
      </c>
      <c r="E22" s="259"/>
      <c r="F22" s="259">
        <f>F21+D22-E22</f>
        <v>40225000</v>
      </c>
      <c r="G22" s="260"/>
    </row>
    <row r="23" spans="1:8" x14ac:dyDescent="0.25">
      <c r="A23" s="262">
        <v>14</v>
      </c>
      <c r="B23" s="261">
        <v>44336</v>
      </c>
      <c r="C23" s="260" t="s">
        <v>314</v>
      </c>
      <c r="D23" s="259"/>
      <c r="E23" s="259">
        <v>40225450</v>
      </c>
      <c r="F23" s="259">
        <f>F22+D23-E23</f>
        <v>-450</v>
      </c>
      <c r="G23" s="260"/>
    </row>
    <row r="24" spans="1:8" x14ac:dyDescent="0.25">
      <c r="A24" s="262">
        <v>15</v>
      </c>
      <c r="B24" s="261">
        <v>44398</v>
      </c>
      <c r="C24" s="260" t="s">
        <v>871</v>
      </c>
      <c r="D24" s="259">
        <v>40442950</v>
      </c>
      <c r="E24" s="259"/>
      <c r="F24" s="259">
        <f>F23+D24-E24</f>
        <v>40442500</v>
      </c>
      <c r="G24" s="260"/>
    </row>
    <row r="25" spans="1:8" x14ac:dyDescent="0.25">
      <c r="A25" s="262">
        <v>16</v>
      </c>
      <c r="B25" s="261">
        <v>44428</v>
      </c>
      <c r="C25" s="260" t="s">
        <v>897</v>
      </c>
      <c r="D25" s="259">
        <v>46254400</v>
      </c>
      <c r="E25" s="259"/>
      <c r="F25" s="259">
        <f>F24+D25-E25</f>
        <v>86696900</v>
      </c>
      <c r="G25" s="260"/>
    </row>
    <row r="26" spans="1:8" x14ac:dyDescent="0.25">
      <c r="A26" s="262">
        <v>17</v>
      </c>
      <c r="B26" s="261">
        <v>44447</v>
      </c>
      <c r="C26" s="260" t="s">
        <v>314</v>
      </c>
      <c r="D26" s="259"/>
      <c r="E26" s="259">
        <f>86697350-450</f>
        <v>86696900</v>
      </c>
      <c r="F26" s="259"/>
      <c r="G26" s="260"/>
      <c r="H26" t="s">
        <v>1590</v>
      </c>
    </row>
    <row r="27" spans="1:8" x14ac:dyDescent="0.25">
      <c r="A27" s="262">
        <v>18</v>
      </c>
      <c r="B27" s="261">
        <v>44803</v>
      </c>
      <c r="C27" s="260" t="s">
        <v>1226</v>
      </c>
      <c r="D27" s="259">
        <v>57276950</v>
      </c>
      <c r="E27" s="259"/>
      <c r="F27" s="259"/>
      <c r="G27" s="260"/>
    </row>
    <row r="28" spans="1:8" x14ac:dyDescent="0.25">
      <c r="A28" s="262">
        <v>19</v>
      </c>
      <c r="B28" s="261">
        <v>44827</v>
      </c>
      <c r="C28" s="260" t="s">
        <v>314</v>
      </c>
      <c r="D28" s="259"/>
      <c r="E28" s="259">
        <v>57276950</v>
      </c>
      <c r="F28" s="259"/>
      <c r="G28" s="260"/>
    </row>
    <row r="29" spans="1:8" x14ac:dyDescent="0.25">
      <c r="A29" s="262">
        <v>20</v>
      </c>
      <c r="B29" s="261">
        <v>45182</v>
      </c>
      <c r="C29" s="260" t="s">
        <v>1589</v>
      </c>
      <c r="D29" s="259">
        <v>43241200</v>
      </c>
      <c r="E29" s="259"/>
      <c r="F29" s="259"/>
      <c r="G29" s="260"/>
    </row>
    <row r="30" spans="1:8" x14ac:dyDescent="0.25">
      <c r="A30" s="262">
        <v>21</v>
      </c>
      <c r="B30" s="261">
        <v>45229</v>
      </c>
      <c r="C30" s="260" t="s">
        <v>1639</v>
      </c>
      <c r="D30" s="259">
        <v>34352550</v>
      </c>
      <c r="E30" s="259"/>
      <c r="F30" s="259"/>
      <c r="G30" s="260"/>
    </row>
    <row r="31" spans="1:8" x14ac:dyDescent="0.25">
      <c r="A31" s="262">
        <v>22</v>
      </c>
      <c r="B31" s="261">
        <v>45245</v>
      </c>
      <c r="C31" s="260" t="s">
        <v>1655</v>
      </c>
      <c r="D31" s="259">
        <v>28352800</v>
      </c>
      <c r="E31" s="259"/>
      <c r="F31" s="259"/>
      <c r="G31" s="260"/>
    </row>
    <row r="32" spans="1:8" x14ac:dyDescent="0.25">
      <c r="A32" s="262">
        <v>23</v>
      </c>
      <c r="B32" s="261">
        <v>45257</v>
      </c>
      <c r="C32" s="260" t="s">
        <v>314</v>
      </c>
      <c r="D32" s="259"/>
      <c r="E32" s="259">
        <v>105946550</v>
      </c>
      <c r="F32" s="259"/>
      <c r="G32" s="260"/>
    </row>
    <row r="33" spans="1:7" x14ac:dyDescent="0.25">
      <c r="A33" s="262">
        <v>24</v>
      </c>
      <c r="B33" s="261">
        <v>45541</v>
      </c>
      <c r="C33" s="260" t="s">
        <v>1860</v>
      </c>
      <c r="D33" s="259">
        <v>23404400</v>
      </c>
      <c r="E33" s="259"/>
      <c r="F33" s="259"/>
      <c r="G33" s="260"/>
    </row>
    <row r="34" spans="1:7" x14ac:dyDescent="0.25">
      <c r="A34" s="262"/>
      <c r="B34" s="261">
        <v>45560</v>
      </c>
      <c r="C34" s="260" t="s">
        <v>314</v>
      </c>
      <c r="D34" s="259"/>
      <c r="E34" s="259">
        <v>23404400</v>
      </c>
      <c r="F34" s="259"/>
      <c r="G34" s="260"/>
    </row>
    <row r="35" spans="1:7" x14ac:dyDescent="0.25">
      <c r="A35" s="262"/>
      <c r="B35" s="261"/>
      <c r="C35" s="260"/>
      <c r="D35" s="259"/>
      <c r="E35" s="259"/>
      <c r="F35" s="259"/>
      <c r="G35" s="260"/>
    </row>
    <row r="36" spans="1:7" x14ac:dyDescent="0.25">
      <c r="A36" s="262"/>
      <c r="B36" s="262"/>
      <c r="C36" s="260"/>
      <c r="D36" s="259"/>
      <c r="E36" s="259"/>
      <c r="F36" s="259"/>
      <c r="G36" s="260"/>
    </row>
    <row r="37" spans="1:7" x14ac:dyDescent="0.25">
      <c r="A37" s="262"/>
      <c r="B37" s="262"/>
      <c r="C37" s="260"/>
      <c r="D37" s="259"/>
      <c r="E37" s="259"/>
      <c r="F37" s="259"/>
      <c r="G37" s="260"/>
    </row>
    <row r="38" spans="1:7" x14ac:dyDescent="0.25">
      <c r="A38" s="260"/>
      <c r="B38" s="262"/>
      <c r="C38" s="260"/>
      <c r="D38" s="259"/>
      <c r="E38" s="259"/>
      <c r="F38" s="259"/>
      <c r="G38" s="260"/>
    </row>
    <row r="39" spans="1:7" x14ac:dyDescent="0.25">
      <c r="A39" s="260"/>
      <c r="B39" s="262"/>
      <c r="C39" s="260"/>
      <c r="D39" s="259"/>
      <c r="E39" s="259"/>
      <c r="F39" s="259"/>
      <c r="G39" s="260"/>
    </row>
    <row r="40" spans="1:7" x14ac:dyDescent="0.25">
      <c r="A40" s="260"/>
      <c r="B40" s="262"/>
      <c r="C40" s="260"/>
      <c r="D40" s="259"/>
      <c r="E40" s="259"/>
      <c r="F40" s="259"/>
      <c r="G40" s="260"/>
    </row>
    <row r="41" spans="1:7" x14ac:dyDescent="0.25">
      <c r="A41" s="260"/>
      <c r="B41" s="262"/>
      <c r="C41" s="260"/>
      <c r="D41" s="259"/>
      <c r="E41" s="259"/>
      <c r="F41" s="259"/>
      <c r="G41" s="260"/>
    </row>
    <row r="42" spans="1:7" x14ac:dyDescent="0.25">
      <c r="A42" s="260"/>
      <c r="B42" s="262"/>
      <c r="C42" s="260"/>
      <c r="D42" s="259"/>
      <c r="E42" s="259"/>
      <c r="F42" s="259"/>
      <c r="G42" s="260"/>
    </row>
    <row r="43" spans="1:7" x14ac:dyDescent="0.25">
      <c r="A43" s="260"/>
      <c r="B43" s="262"/>
      <c r="C43" s="260"/>
      <c r="D43" s="259"/>
      <c r="E43" s="259"/>
      <c r="F43" s="259"/>
      <c r="G43" s="260"/>
    </row>
    <row r="44" spans="1:7" x14ac:dyDescent="0.25">
      <c r="A44" s="260"/>
      <c r="B44" s="262"/>
      <c r="C44" s="260"/>
      <c r="D44" s="259"/>
      <c r="E44" s="259"/>
      <c r="F44" s="259"/>
      <c r="G44" s="260"/>
    </row>
    <row r="45" spans="1:7" x14ac:dyDescent="0.25">
      <c r="A45" s="260"/>
      <c r="B45" s="262"/>
      <c r="C45" s="260"/>
      <c r="D45" s="259"/>
      <c r="E45" s="259"/>
      <c r="F45" s="259"/>
      <c r="G45" s="260"/>
    </row>
    <row r="46" spans="1:7" x14ac:dyDescent="0.25">
      <c r="A46" s="260"/>
      <c r="B46" s="262"/>
      <c r="C46" s="260"/>
      <c r="D46" s="259"/>
      <c r="E46" s="259"/>
      <c r="F46" s="259"/>
      <c r="G46" s="260"/>
    </row>
    <row r="47" spans="1:7" x14ac:dyDescent="0.25">
      <c r="A47" s="260"/>
      <c r="B47" s="262"/>
      <c r="C47" s="260"/>
      <c r="D47" s="259"/>
      <c r="E47" s="259"/>
      <c r="F47" s="259"/>
      <c r="G47" s="260"/>
    </row>
    <row r="48" spans="1:7" x14ac:dyDescent="0.25">
      <c r="A48" s="260"/>
      <c r="B48" s="262"/>
      <c r="C48" s="260"/>
      <c r="D48" s="259"/>
      <c r="E48" s="259"/>
      <c r="F48" s="259"/>
      <c r="G48" s="260"/>
    </row>
    <row r="49" spans="1:7" x14ac:dyDescent="0.25">
      <c r="A49" s="260"/>
      <c r="B49" s="262"/>
      <c r="C49" s="260"/>
      <c r="D49" s="259"/>
      <c r="E49" s="259"/>
      <c r="F49" s="259"/>
      <c r="G49" s="260"/>
    </row>
    <row r="50" spans="1:7" x14ac:dyDescent="0.25">
      <c r="A50" s="260"/>
      <c r="B50" s="262"/>
      <c r="C50" s="260"/>
      <c r="D50" s="259"/>
      <c r="E50" s="259"/>
      <c r="F50" s="259"/>
      <c r="G50" s="260"/>
    </row>
    <row r="51" spans="1:7" x14ac:dyDescent="0.25">
      <c r="A51" s="260"/>
      <c r="B51" s="262"/>
      <c r="C51" s="260"/>
      <c r="D51" s="259"/>
      <c r="E51" s="259"/>
      <c r="F51" s="259"/>
      <c r="G51" s="260"/>
    </row>
    <row r="52" spans="1:7" x14ac:dyDescent="0.25">
      <c r="A52" s="260"/>
      <c r="B52" s="262"/>
      <c r="C52" s="260"/>
      <c r="D52" s="259"/>
      <c r="E52" s="259"/>
      <c r="F52" s="259"/>
      <c r="G52" s="260"/>
    </row>
    <row r="53" spans="1:7" x14ac:dyDescent="0.25">
      <c r="A53" s="260"/>
      <c r="B53" s="262"/>
      <c r="C53" s="260"/>
      <c r="D53" s="259"/>
      <c r="E53" s="259"/>
      <c r="F53" s="259"/>
      <c r="G53" s="260"/>
    </row>
    <row r="54" spans="1:7" x14ac:dyDescent="0.25">
      <c r="A54" s="260"/>
      <c r="B54" s="262"/>
      <c r="C54" s="260"/>
      <c r="D54" s="259"/>
      <c r="E54" s="259"/>
      <c r="F54" s="259"/>
      <c r="G54" s="260"/>
    </row>
    <row r="55" spans="1:7" x14ac:dyDescent="0.25">
      <c r="A55" s="260"/>
      <c r="B55" s="262"/>
      <c r="C55" s="260"/>
      <c r="D55" s="259"/>
      <c r="E55" s="259"/>
      <c r="F55" s="259"/>
      <c r="G55" s="260"/>
    </row>
    <row r="56" spans="1:7" x14ac:dyDescent="0.25">
      <c r="A56" s="260"/>
      <c r="B56" s="262"/>
      <c r="C56" s="260"/>
      <c r="D56" s="259"/>
      <c r="E56" s="259"/>
      <c r="F56" s="259"/>
      <c r="G56" s="260"/>
    </row>
    <row r="57" spans="1:7" x14ac:dyDescent="0.25">
      <c r="A57" s="260"/>
      <c r="B57" s="262"/>
      <c r="C57" s="260"/>
      <c r="D57" s="259"/>
      <c r="E57" s="259"/>
      <c r="F57" s="259"/>
      <c r="G57" s="260"/>
    </row>
    <row r="58" spans="1:7" x14ac:dyDescent="0.25">
      <c r="A58" s="260"/>
      <c r="B58" s="262"/>
      <c r="C58" s="260"/>
      <c r="D58" s="259"/>
      <c r="E58" s="259"/>
      <c r="F58" s="259"/>
      <c r="G58" s="260"/>
    </row>
    <row r="59" spans="1:7" x14ac:dyDescent="0.25">
      <c r="A59" s="260"/>
      <c r="B59" s="262"/>
      <c r="C59" s="260"/>
      <c r="D59" s="259"/>
      <c r="E59" s="259"/>
      <c r="F59" s="259"/>
      <c r="G59" s="260"/>
    </row>
    <row r="60" spans="1:7" x14ac:dyDescent="0.25">
      <c r="A60" s="260"/>
      <c r="B60" s="262"/>
      <c r="C60" s="260"/>
      <c r="D60" s="259"/>
      <c r="E60" s="259"/>
      <c r="F60" s="259"/>
      <c r="G60" s="260"/>
    </row>
    <row r="61" spans="1:7" x14ac:dyDescent="0.25">
      <c r="A61" s="260"/>
      <c r="B61" s="262"/>
      <c r="C61" s="260"/>
      <c r="D61" s="259"/>
      <c r="E61" s="259"/>
      <c r="F61" s="259"/>
      <c r="G61" s="260"/>
    </row>
    <row r="62" spans="1:7" x14ac:dyDescent="0.25">
      <c r="A62" s="260"/>
      <c r="B62" s="262"/>
      <c r="C62" s="260"/>
      <c r="D62" s="259"/>
      <c r="E62" s="259"/>
      <c r="F62" s="259"/>
      <c r="G62" s="260"/>
    </row>
    <row r="63" spans="1:7" x14ac:dyDescent="0.25">
      <c r="A63" s="260"/>
      <c r="B63" s="262"/>
      <c r="C63" s="260"/>
      <c r="D63" s="259"/>
      <c r="E63" s="259"/>
      <c r="F63" s="259"/>
      <c r="G63" s="260"/>
    </row>
    <row r="64" spans="1:7" x14ac:dyDescent="0.25">
      <c r="A64" s="260"/>
      <c r="B64" s="262"/>
      <c r="C64" s="260"/>
      <c r="D64" s="259"/>
      <c r="E64" s="259"/>
      <c r="F64" s="259"/>
      <c r="G64" s="260"/>
    </row>
    <row r="65" spans="1:7" x14ac:dyDescent="0.25">
      <c r="A65" s="260"/>
      <c r="B65" s="262"/>
      <c r="C65" s="260"/>
      <c r="D65" s="259"/>
      <c r="E65" s="259"/>
      <c r="F65" s="259"/>
      <c r="G65" s="260"/>
    </row>
    <row r="66" spans="1:7" x14ac:dyDescent="0.25">
      <c r="A66" s="260"/>
      <c r="B66" s="262"/>
      <c r="C66" s="260"/>
      <c r="D66" s="259"/>
      <c r="E66" s="259"/>
      <c r="F66" s="259"/>
      <c r="G66" s="260"/>
    </row>
    <row r="67" spans="1:7" x14ac:dyDescent="0.25">
      <c r="A67" s="260"/>
      <c r="B67" s="262"/>
      <c r="C67" s="260"/>
      <c r="D67" s="259"/>
      <c r="E67" s="259"/>
      <c r="F67" s="259"/>
      <c r="G67" s="260"/>
    </row>
    <row r="68" spans="1:7" x14ac:dyDescent="0.25">
      <c r="A68" s="260"/>
      <c r="B68" s="262"/>
      <c r="C68" s="260"/>
      <c r="D68" s="259"/>
      <c r="E68" s="259"/>
      <c r="F68" s="259"/>
      <c r="G68" s="260"/>
    </row>
    <row r="69" spans="1:7" x14ac:dyDescent="0.25">
      <c r="A69" s="260"/>
      <c r="B69" s="262"/>
      <c r="C69" s="260"/>
      <c r="D69" s="259"/>
      <c r="E69" s="259"/>
      <c r="F69" s="259"/>
      <c r="G69" s="260"/>
    </row>
    <row r="70" spans="1:7" x14ac:dyDescent="0.25">
      <c r="A70" s="260"/>
      <c r="B70" s="262"/>
      <c r="C70" s="260"/>
      <c r="D70" s="259"/>
      <c r="E70" s="259"/>
      <c r="F70" s="259"/>
      <c r="G70" s="260"/>
    </row>
    <row r="71" spans="1:7" x14ac:dyDescent="0.25">
      <c r="A71" s="260"/>
      <c r="B71" s="262"/>
      <c r="C71" s="260"/>
      <c r="D71" s="259"/>
      <c r="E71" s="259"/>
      <c r="F71" s="259"/>
      <c r="G71" s="260"/>
    </row>
    <row r="72" spans="1:7" x14ac:dyDescent="0.25">
      <c r="A72" s="260"/>
      <c r="B72" s="262"/>
      <c r="C72" s="260"/>
      <c r="D72" s="259"/>
      <c r="E72" s="259"/>
      <c r="F72" s="259"/>
      <c r="G72" s="260"/>
    </row>
    <row r="73" spans="1:7" x14ac:dyDescent="0.25">
      <c r="A73" s="260"/>
      <c r="B73" s="262"/>
      <c r="C73" s="260"/>
      <c r="D73" s="259"/>
      <c r="E73" s="259"/>
      <c r="F73" s="259"/>
      <c r="G73" s="260"/>
    </row>
    <row r="74" spans="1:7" x14ac:dyDescent="0.25">
      <c r="A74" s="260"/>
      <c r="B74" s="262"/>
      <c r="C74" s="260"/>
      <c r="D74" s="259"/>
      <c r="E74" s="259"/>
      <c r="F74" s="259"/>
      <c r="G74" s="260"/>
    </row>
    <row r="75" spans="1:7" x14ac:dyDescent="0.25">
      <c r="A75" s="260"/>
      <c r="B75" s="262"/>
      <c r="C75" s="260"/>
      <c r="D75" s="259"/>
      <c r="E75" s="259"/>
      <c r="F75" s="259"/>
      <c r="G75" s="260"/>
    </row>
    <row r="76" spans="1:7" x14ac:dyDescent="0.25">
      <c r="A76" s="260"/>
      <c r="B76" s="262"/>
      <c r="C76" s="260"/>
      <c r="D76" s="259"/>
      <c r="E76" s="259"/>
      <c r="F76" s="259"/>
      <c r="G76" s="260"/>
    </row>
    <row r="77" spans="1:7" x14ac:dyDescent="0.25">
      <c r="A77" s="260"/>
      <c r="B77" s="262"/>
      <c r="C77" s="260"/>
      <c r="D77" s="259"/>
      <c r="E77" s="259"/>
      <c r="F77" s="259"/>
      <c r="G77" s="260"/>
    </row>
    <row r="78" spans="1:7" x14ac:dyDescent="0.25">
      <c r="A78" s="260"/>
      <c r="B78" s="262"/>
      <c r="C78" s="260"/>
      <c r="D78" s="259"/>
      <c r="E78" s="259"/>
      <c r="F78" s="259"/>
      <c r="G78" s="260"/>
    </row>
    <row r="79" spans="1:7" x14ac:dyDescent="0.25">
      <c r="A79" s="260"/>
      <c r="B79" s="262"/>
      <c r="C79" s="260"/>
      <c r="D79" s="259"/>
      <c r="E79" s="259"/>
      <c r="F79" s="259"/>
      <c r="G79" s="260"/>
    </row>
    <row r="80" spans="1:7" x14ac:dyDescent="0.25">
      <c r="A80" s="260"/>
      <c r="B80" s="262"/>
      <c r="C80" s="260"/>
      <c r="D80" s="259"/>
      <c r="E80" s="259"/>
      <c r="F80" s="259"/>
      <c r="G80" s="260"/>
    </row>
    <row r="81" spans="1:7" x14ac:dyDescent="0.25">
      <c r="A81" s="260"/>
      <c r="B81" s="262"/>
      <c r="C81" s="260"/>
      <c r="D81" s="259"/>
      <c r="E81" s="259"/>
      <c r="F81" s="259"/>
      <c r="G81" s="260"/>
    </row>
    <row r="82" spans="1:7" x14ac:dyDescent="0.25">
      <c r="A82" s="260"/>
      <c r="B82" s="262"/>
      <c r="C82" s="260"/>
      <c r="D82" s="259"/>
      <c r="E82" s="259"/>
      <c r="F82" s="259"/>
      <c r="G82" s="260"/>
    </row>
    <row r="83" spans="1:7" x14ac:dyDescent="0.25">
      <c r="A83" s="260"/>
      <c r="B83" s="262"/>
      <c r="C83" s="260"/>
      <c r="D83" s="259"/>
      <c r="E83" s="259"/>
      <c r="F83" s="259"/>
      <c r="G83" s="260"/>
    </row>
    <row r="84" spans="1:7" x14ac:dyDescent="0.25">
      <c r="A84" s="260"/>
      <c r="B84" s="262"/>
      <c r="C84" s="260"/>
      <c r="D84" s="259"/>
      <c r="E84" s="259"/>
      <c r="F84" s="259"/>
      <c r="G84" s="260"/>
    </row>
    <row r="85" spans="1:7" x14ac:dyDescent="0.25">
      <c r="A85" s="260"/>
      <c r="B85" s="262"/>
      <c r="C85" s="260"/>
      <c r="D85" s="259"/>
      <c r="E85" s="259"/>
      <c r="F85" s="259"/>
      <c r="G85" s="260"/>
    </row>
    <row r="86" spans="1:7" x14ac:dyDescent="0.25">
      <c r="A86" s="260"/>
      <c r="B86" s="262"/>
      <c r="C86" s="260"/>
      <c r="D86" s="259"/>
      <c r="E86" s="259"/>
      <c r="F86" s="259"/>
      <c r="G86" s="260"/>
    </row>
    <row r="87" spans="1:7" x14ac:dyDescent="0.25">
      <c r="A87" s="260"/>
      <c r="B87" s="262"/>
      <c r="C87" s="260"/>
      <c r="D87" s="259"/>
      <c r="E87" s="259"/>
      <c r="F87" s="259"/>
      <c r="G87" s="260"/>
    </row>
    <row r="88" spans="1:7" x14ac:dyDescent="0.25">
      <c r="A88" s="260"/>
      <c r="B88" s="262"/>
      <c r="C88" s="260"/>
      <c r="D88" s="259"/>
      <c r="E88" s="259"/>
      <c r="F88" s="259"/>
      <c r="G88" s="260"/>
    </row>
    <row r="89" spans="1:7" x14ac:dyDescent="0.25">
      <c r="A89" s="260"/>
      <c r="B89" s="262"/>
      <c r="C89" s="260"/>
      <c r="D89" s="259"/>
      <c r="E89" s="259"/>
      <c r="F89" s="259"/>
      <c r="G89" s="260"/>
    </row>
    <row r="90" spans="1:7" x14ac:dyDescent="0.25">
      <c r="A90" s="260"/>
      <c r="B90" s="262"/>
      <c r="C90" s="260"/>
      <c r="D90" s="259"/>
      <c r="E90" s="259"/>
      <c r="F90" s="259"/>
      <c r="G90" s="260"/>
    </row>
    <row r="91" spans="1:7" x14ac:dyDescent="0.25">
      <c r="A91" s="260"/>
      <c r="B91" s="262"/>
      <c r="C91" s="260"/>
      <c r="D91" s="259"/>
      <c r="E91" s="259"/>
      <c r="F91" s="259"/>
      <c r="G91" s="260"/>
    </row>
    <row r="92" spans="1:7" x14ac:dyDescent="0.25">
      <c r="A92" s="260"/>
      <c r="B92" s="262"/>
      <c r="C92" s="260"/>
      <c r="D92" s="259"/>
      <c r="E92" s="259"/>
      <c r="F92" s="259"/>
      <c r="G92" s="260"/>
    </row>
    <row r="93" spans="1:7" x14ac:dyDescent="0.25">
      <c r="A93" s="260"/>
      <c r="B93" s="262"/>
      <c r="C93" s="260"/>
      <c r="D93" s="259"/>
      <c r="E93" s="259"/>
      <c r="F93" s="259"/>
      <c r="G93" s="260"/>
    </row>
    <row r="94" spans="1:7" x14ac:dyDescent="0.25">
      <c r="A94" s="260"/>
      <c r="B94" s="262"/>
      <c r="C94" s="260"/>
      <c r="D94" s="259"/>
      <c r="E94" s="259"/>
      <c r="F94" s="259"/>
      <c r="G94" s="260"/>
    </row>
    <row r="95" spans="1:7" x14ac:dyDescent="0.25">
      <c r="A95" s="260"/>
      <c r="B95" s="262"/>
      <c r="C95" s="260"/>
      <c r="D95" s="259"/>
      <c r="E95" s="259"/>
      <c r="F95" s="259"/>
      <c r="G95" s="260"/>
    </row>
    <row r="96" spans="1:7" x14ac:dyDescent="0.25">
      <c r="A96" s="260"/>
      <c r="B96" s="262"/>
      <c r="C96" s="260"/>
      <c r="D96" s="259"/>
      <c r="E96" s="259"/>
      <c r="F96" s="259"/>
      <c r="G96" s="260"/>
    </row>
    <row r="97" spans="1:7" x14ac:dyDescent="0.25">
      <c r="A97" s="260"/>
      <c r="B97" s="262"/>
      <c r="C97" s="260"/>
      <c r="D97" s="259"/>
      <c r="E97" s="259"/>
      <c r="F97" s="259"/>
      <c r="G97" s="260"/>
    </row>
    <row r="98" spans="1:7" x14ac:dyDescent="0.25">
      <c r="A98" s="260"/>
      <c r="B98" s="262"/>
      <c r="C98" s="260"/>
      <c r="D98" s="259"/>
      <c r="E98" s="259"/>
      <c r="F98" s="259"/>
      <c r="G98" s="260"/>
    </row>
    <row r="99" spans="1:7" x14ac:dyDescent="0.25">
      <c r="A99" s="260"/>
      <c r="B99" s="262"/>
      <c r="C99" s="260"/>
      <c r="D99" s="259"/>
      <c r="E99" s="259"/>
      <c r="F99" s="259"/>
      <c r="G99" s="260"/>
    </row>
    <row r="100" spans="1:7" x14ac:dyDescent="0.25">
      <c r="A100" s="260"/>
      <c r="B100" s="262"/>
      <c r="C100" s="260"/>
      <c r="D100" s="259"/>
      <c r="E100" s="259"/>
      <c r="F100" s="259"/>
      <c r="G100" s="260"/>
    </row>
    <row r="101" spans="1:7" x14ac:dyDescent="0.25">
      <c r="A101" s="260"/>
      <c r="B101" s="262"/>
      <c r="C101" s="260"/>
      <c r="D101" s="259"/>
      <c r="E101" s="259"/>
      <c r="F101" s="259"/>
      <c r="G101" s="260"/>
    </row>
    <row r="102" spans="1:7" x14ac:dyDescent="0.25">
      <c r="A102" s="260"/>
      <c r="B102" s="262"/>
      <c r="C102" s="260"/>
      <c r="D102" s="259"/>
      <c r="E102" s="259"/>
      <c r="F102" s="259"/>
      <c r="G102" s="260"/>
    </row>
    <row r="103" spans="1:7" x14ac:dyDescent="0.25">
      <c r="A103" s="260"/>
      <c r="B103" s="262"/>
      <c r="C103" s="260"/>
      <c r="D103" s="259"/>
      <c r="E103" s="259"/>
      <c r="F103" s="259"/>
      <c r="G103" s="260"/>
    </row>
    <row r="104" spans="1:7" x14ac:dyDescent="0.25">
      <c r="A104" s="260"/>
      <c r="B104" s="262"/>
      <c r="C104" s="260"/>
      <c r="D104" s="259"/>
      <c r="E104" s="259"/>
      <c r="F104" s="259"/>
      <c r="G104" s="260"/>
    </row>
    <row r="105" spans="1:7" x14ac:dyDescent="0.25">
      <c r="A105" s="260"/>
      <c r="B105" s="262"/>
      <c r="C105" s="260"/>
      <c r="D105" s="259"/>
      <c r="E105" s="259"/>
      <c r="F105" s="259"/>
      <c r="G105" s="260"/>
    </row>
    <row r="106" spans="1:7" x14ac:dyDescent="0.25">
      <c r="A106" s="260"/>
      <c r="B106" s="262"/>
      <c r="C106" s="260"/>
      <c r="D106" s="259"/>
      <c r="E106" s="259"/>
      <c r="F106" s="259"/>
      <c r="G106" s="260"/>
    </row>
    <row r="107" spans="1:7" x14ac:dyDescent="0.25">
      <c r="A107" s="260"/>
      <c r="B107" s="262"/>
      <c r="C107" s="260"/>
      <c r="D107" s="259"/>
      <c r="E107" s="259"/>
      <c r="F107" s="259"/>
      <c r="G107" s="260"/>
    </row>
    <row r="108" spans="1:7" x14ac:dyDescent="0.25">
      <c r="A108" s="260"/>
      <c r="B108" s="262"/>
      <c r="C108" s="260"/>
      <c r="D108" s="259"/>
      <c r="E108" s="259"/>
      <c r="F108" s="259"/>
      <c r="G108" s="260"/>
    </row>
    <row r="109" spans="1:7" x14ac:dyDescent="0.25">
      <c r="A109" s="260"/>
      <c r="B109" s="262"/>
      <c r="C109" s="260"/>
      <c r="D109" s="259"/>
      <c r="E109" s="259"/>
      <c r="F109" s="259"/>
      <c r="G109" s="260"/>
    </row>
    <row r="110" spans="1:7" x14ac:dyDescent="0.25">
      <c r="A110" s="260"/>
      <c r="B110" s="262"/>
      <c r="C110" s="260"/>
      <c r="D110" s="259"/>
      <c r="E110" s="259"/>
      <c r="F110" s="259"/>
      <c r="G110" s="260"/>
    </row>
    <row r="111" spans="1:7" x14ac:dyDescent="0.25">
      <c r="A111" s="260"/>
      <c r="B111" s="262"/>
      <c r="C111" s="260"/>
      <c r="D111" s="259"/>
      <c r="E111" s="259"/>
      <c r="F111" s="259"/>
      <c r="G111" s="260"/>
    </row>
    <row r="112" spans="1:7" x14ac:dyDescent="0.25">
      <c r="A112" s="260"/>
      <c r="B112" s="262"/>
      <c r="C112" s="260"/>
      <c r="D112" s="259"/>
      <c r="E112" s="259"/>
      <c r="F112" s="259"/>
      <c r="G112" s="260"/>
    </row>
    <row r="113" spans="1:7" x14ac:dyDescent="0.25">
      <c r="A113" s="260"/>
      <c r="B113" s="262"/>
      <c r="C113" s="260"/>
      <c r="D113" s="259"/>
      <c r="E113" s="259"/>
      <c r="F113" s="259"/>
      <c r="G113" s="260"/>
    </row>
    <row r="114" spans="1:7" x14ac:dyDescent="0.25">
      <c r="A114" s="260"/>
      <c r="B114" s="262"/>
      <c r="C114" s="260"/>
      <c r="D114" s="259"/>
      <c r="E114" s="259"/>
      <c r="F114" s="259"/>
      <c r="G114" s="260"/>
    </row>
    <row r="115" spans="1:7" x14ac:dyDescent="0.25">
      <c r="A115" s="260"/>
      <c r="B115" s="262"/>
      <c r="C115" s="260"/>
      <c r="D115" s="259"/>
      <c r="E115" s="259"/>
      <c r="F115" s="259"/>
      <c r="G115" s="260"/>
    </row>
    <row r="116" spans="1:7" x14ac:dyDescent="0.25">
      <c r="A116" s="260"/>
      <c r="B116" s="262"/>
      <c r="C116" s="260"/>
      <c r="D116" s="259"/>
      <c r="E116" s="259"/>
      <c r="F116" s="259"/>
      <c r="G116" s="260"/>
    </row>
    <row r="117" spans="1:7" x14ac:dyDescent="0.25">
      <c r="A117" s="260"/>
      <c r="B117" s="262"/>
      <c r="C117" s="260"/>
      <c r="D117" s="259"/>
      <c r="E117" s="259"/>
      <c r="F117" s="259"/>
      <c r="G117" s="260"/>
    </row>
    <row r="118" spans="1:7" x14ac:dyDescent="0.25">
      <c r="A118" s="260"/>
      <c r="B118" s="262"/>
      <c r="C118" s="260"/>
      <c r="D118" s="259"/>
      <c r="E118" s="259"/>
      <c r="F118" s="259"/>
      <c r="G118" s="260"/>
    </row>
    <row r="119" spans="1:7" x14ac:dyDescent="0.25">
      <c r="A119" s="260"/>
      <c r="B119" s="262"/>
      <c r="C119" s="260"/>
      <c r="D119" s="259"/>
      <c r="E119" s="259"/>
      <c r="F119" s="259"/>
      <c r="G119" s="260"/>
    </row>
    <row r="120" spans="1:7" x14ac:dyDescent="0.25">
      <c r="A120" s="260"/>
      <c r="B120" s="262"/>
      <c r="C120" s="260"/>
      <c r="D120" s="259"/>
      <c r="E120" s="259"/>
      <c r="F120" s="259"/>
      <c r="G120" s="260"/>
    </row>
    <row r="121" spans="1:7" x14ac:dyDescent="0.25">
      <c r="A121" s="260"/>
      <c r="B121" s="262"/>
      <c r="C121" s="260"/>
      <c r="D121" s="259"/>
      <c r="E121" s="259"/>
      <c r="F121" s="259"/>
      <c r="G121" s="260"/>
    </row>
    <row r="122" spans="1:7" x14ac:dyDescent="0.25">
      <c r="A122" s="260"/>
      <c r="B122" s="262"/>
      <c r="C122" s="260"/>
      <c r="D122" s="259"/>
      <c r="E122" s="259"/>
      <c r="F122" s="259"/>
      <c r="G122" s="260"/>
    </row>
    <row r="123" spans="1:7" x14ac:dyDescent="0.25">
      <c r="A123" s="260"/>
      <c r="B123" s="262"/>
      <c r="C123" s="260"/>
      <c r="D123" s="259"/>
      <c r="E123" s="259"/>
      <c r="F123" s="259"/>
      <c r="G123" s="260"/>
    </row>
    <row r="124" spans="1:7" x14ac:dyDescent="0.25">
      <c r="A124" s="260"/>
      <c r="B124" s="262"/>
      <c r="C124" s="260"/>
      <c r="D124" s="259"/>
      <c r="E124" s="259"/>
      <c r="F124" s="259"/>
      <c r="G124" s="260"/>
    </row>
    <row r="125" spans="1:7" x14ac:dyDescent="0.25">
      <c r="A125" s="260"/>
      <c r="B125" s="262"/>
      <c r="C125" s="260"/>
      <c r="D125" s="259"/>
      <c r="E125" s="259"/>
      <c r="F125" s="259"/>
      <c r="G125" s="260"/>
    </row>
    <row r="126" spans="1:7" x14ac:dyDescent="0.25">
      <c r="A126" s="260"/>
      <c r="B126" s="262"/>
      <c r="C126" s="260"/>
      <c r="D126" s="259"/>
      <c r="E126" s="259"/>
      <c r="F126" s="259"/>
      <c r="G126" s="260"/>
    </row>
    <row r="127" spans="1:7" x14ac:dyDescent="0.25">
      <c r="A127" s="260"/>
      <c r="B127" s="262"/>
      <c r="C127" s="260"/>
      <c r="D127" s="259"/>
      <c r="E127" s="259"/>
      <c r="F127" s="259"/>
      <c r="G127" s="260"/>
    </row>
    <row r="128" spans="1:7" x14ac:dyDescent="0.25">
      <c r="A128" s="260"/>
      <c r="B128" s="262"/>
      <c r="C128" s="260"/>
      <c r="D128" s="259"/>
      <c r="E128" s="259"/>
      <c r="F128" s="259"/>
      <c r="G128" s="260"/>
    </row>
    <row r="129" spans="1:7" x14ac:dyDescent="0.25">
      <c r="A129" s="260"/>
      <c r="B129" s="262"/>
      <c r="C129" s="260"/>
      <c r="D129" s="259"/>
      <c r="E129" s="259"/>
      <c r="F129" s="259"/>
      <c r="G129" s="260"/>
    </row>
    <row r="130" spans="1:7" x14ac:dyDescent="0.25">
      <c r="A130" s="260"/>
      <c r="B130" s="262"/>
      <c r="C130" s="260"/>
      <c r="D130" s="259"/>
      <c r="E130" s="259"/>
      <c r="F130" s="259"/>
      <c r="G130" s="260"/>
    </row>
    <row r="131" spans="1:7" x14ac:dyDescent="0.25">
      <c r="A131" s="260"/>
      <c r="B131" s="262"/>
      <c r="C131" s="260"/>
      <c r="D131" s="259"/>
      <c r="E131" s="259"/>
      <c r="F131" s="259"/>
      <c r="G131" s="260"/>
    </row>
    <row r="132" spans="1:7" x14ac:dyDescent="0.25">
      <c r="A132" s="260"/>
      <c r="B132" s="262"/>
      <c r="C132" s="260"/>
      <c r="D132" s="259"/>
      <c r="E132" s="259"/>
      <c r="F132" s="259"/>
      <c r="G132" s="260"/>
    </row>
    <row r="133" spans="1:7" x14ac:dyDescent="0.25">
      <c r="A133" s="260"/>
      <c r="B133" s="262"/>
      <c r="C133" s="260"/>
      <c r="D133" s="259"/>
      <c r="E133" s="259"/>
      <c r="F133" s="259"/>
      <c r="G133" s="260"/>
    </row>
    <row r="134" spans="1:7" x14ac:dyDescent="0.25">
      <c r="A134" s="260"/>
      <c r="B134" s="262"/>
      <c r="C134" s="260"/>
      <c r="D134" s="259"/>
      <c r="E134" s="259"/>
      <c r="F134" s="259"/>
      <c r="G134" s="260"/>
    </row>
    <row r="135" spans="1:7" x14ac:dyDescent="0.25">
      <c r="A135" s="260"/>
      <c r="B135" s="262"/>
      <c r="C135" s="260"/>
      <c r="D135" s="259"/>
      <c r="E135" s="259"/>
      <c r="F135" s="259"/>
      <c r="G135" s="260"/>
    </row>
    <row r="136" spans="1:7" x14ac:dyDescent="0.25">
      <c r="A136" s="260"/>
      <c r="B136" s="262"/>
      <c r="C136" s="260"/>
      <c r="D136" s="259"/>
      <c r="E136" s="259"/>
      <c r="F136" s="259"/>
      <c r="G136" s="260"/>
    </row>
    <row r="137" spans="1:7" x14ac:dyDescent="0.25">
      <c r="A137" s="260"/>
      <c r="B137" s="262"/>
      <c r="C137" s="260"/>
      <c r="D137" s="259"/>
      <c r="E137" s="259"/>
      <c r="F137" s="259"/>
      <c r="G137" s="260"/>
    </row>
    <row r="138" spans="1:7" x14ac:dyDescent="0.25">
      <c r="A138" s="260"/>
      <c r="B138" s="262"/>
      <c r="C138" s="260"/>
      <c r="D138" s="259"/>
      <c r="E138" s="259"/>
      <c r="F138" s="259"/>
      <c r="G138" s="260"/>
    </row>
    <row r="139" spans="1:7" x14ac:dyDescent="0.25">
      <c r="A139" s="260"/>
      <c r="B139" s="262"/>
      <c r="C139" s="260"/>
      <c r="D139" s="259"/>
      <c r="E139" s="259"/>
      <c r="F139" s="259"/>
      <c r="G139" s="260"/>
    </row>
    <row r="140" spans="1:7" x14ac:dyDescent="0.25">
      <c r="A140" s="260"/>
      <c r="B140" s="262"/>
      <c r="C140" s="260"/>
      <c r="D140" s="259"/>
      <c r="E140" s="259"/>
      <c r="F140" s="259"/>
      <c r="G140" s="260"/>
    </row>
    <row r="141" spans="1:7" x14ac:dyDescent="0.25">
      <c r="A141" s="260"/>
      <c r="B141" s="262"/>
      <c r="C141" s="260"/>
      <c r="D141" s="259"/>
      <c r="E141" s="259"/>
      <c r="F141" s="259"/>
      <c r="G141" s="260"/>
    </row>
    <row r="142" spans="1:7" x14ac:dyDescent="0.25">
      <c r="A142" s="260"/>
      <c r="B142" s="262"/>
      <c r="C142" s="260"/>
      <c r="D142" s="259"/>
      <c r="E142" s="259"/>
      <c r="F142" s="259"/>
      <c r="G142" s="260"/>
    </row>
    <row r="143" spans="1:7" x14ac:dyDescent="0.25">
      <c r="A143" s="260"/>
      <c r="B143" s="262"/>
      <c r="C143" s="260"/>
      <c r="D143" s="259"/>
      <c r="E143" s="259"/>
      <c r="F143" s="259"/>
      <c r="G143" s="260"/>
    </row>
    <row r="144" spans="1:7" x14ac:dyDescent="0.25">
      <c r="A144" s="260"/>
      <c r="B144" s="262"/>
      <c r="C144" s="260"/>
      <c r="D144" s="259"/>
      <c r="E144" s="259"/>
      <c r="F144" s="259"/>
      <c r="G144" s="260"/>
    </row>
    <row r="145" spans="1:7" x14ac:dyDescent="0.25">
      <c r="A145" s="260"/>
      <c r="B145" s="262"/>
      <c r="C145" s="260"/>
      <c r="D145" s="259"/>
      <c r="E145" s="259"/>
      <c r="F145" s="259"/>
      <c r="G145" s="260"/>
    </row>
    <row r="146" spans="1:7" x14ac:dyDescent="0.25">
      <c r="A146" s="260"/>
      <c r="B146" s="262"/>
      <c r="C146" s="260"/>
      <c r="D146" s="259"/>
      <c r="E146" s="259"/>
      <c r="F146" s="259"/>
      <c r="G146" s="260"/>
    </row>
    <row r="147" spans="1:7" x14ac:dyDescent="0.25">
      <c r="A147" s="260"/>
      <c r="B147" s="262"/>
      <c r="C147" s="260"/>
      <c r="D147" s="259"/>
      <c r="E147" s="259"/>
      <c r="F147" s="259"/>
      <c r="G147" s="260"/>
    </row>
    <row r="148" spans="1:7" x14ac:dyDescent="0.25">
      <c r="A148" s="260"/>
      <c r="B148" s="262"/>
      <c r="C148" s="260"/>
      <c r="D148" s="259"/>
      <c r="E148" s="259"/>
      <c r="F148" s="259"/>
      <c r="G148" s="260"/>
    </row>
    <row r="149" spans="1:7" x14ac:dyDescent="0.25">
      <c r="A149" s="260"/>
      <c r="B149" s="262"/>
      <c r="C149" s="260"/>
      <c r="D149" s="259"/>
      <c r="E149" s="259"/>
      <c r="F149" s="259"/>
      <c r="G149" s="260"/>
    </row>
    <row r="150" spans="1:7" x14ac:dyDescent="0.25">
      <c r="A150" s="260"/>
      <c r="B150" s="262"/>
      <c r="C150" s="260"/>
      <c r="D150" s="259"/>
      <c r="E150" s="259"/>
      <c r="F150" s="259"/>
      <c r="G150" s="260"/>
    </row>
    <row r="151" spans="1:7" x14ac:dyDescent="0.25">
      <c r="A151" s="260"/>
      <c r="B151" s="262"/>
      <c r="C151" s="260"/>
      <c r="D151" s="259"/>
      <c r="E151" s="259"/>
      <c r="F151" s="259"/>
      <c r="G151" s="260"/>
    </row>
    <row r="152" spans="1:7" x14ac:dyDescent="0.25">
      <c r="A152" s="260"/>
      <c r="B152" s="262"/>
      <c r="C152" s="260"/>
      <c r="D152" s="259"/>
      <c r="E152" s="259"/>
      <c r="F152" s="259"/>
      <c r="G152" s="260"/>
    </row>
    <row r="153" spans="1:7" x14ac:dyDescent="0.25">
      <c r="A153" s="260"/>
      <c r="B153" s="262"/>
      <c r="C153" s="260"/>
      <c r="D153" s="259"/>
      <c r="E153" s="259"/>
      <c r="F153" s="259"/>
      <c r="G153" s="260"/>
    </row>
    <row r="154" spans="1:7" x14ac:dyDescent="0.25">
      <c r="A154" s="260"/>
      <c r="B154" s="262"/>
      <c r="C154" s="260"/>
      <c r="D154" s="259"/>
      <c r="E154" s="259"/>
      <c r="F154" s="259"/>
      <c r="G154" s="260"/>
    </row>
    <row r="155" spans="1:7" x14ac:dyDescent="0.25">
      <c r="A155" s="260"/>
      <c r="B155" s="262"/>
      <c r="C155" s="260"/>
      <c r="D155" s="259"/>
      <c r="E155" s="259"/>
      <c r="F155" s="259"/>
      <c r="G155" s="260"/>
    </row>
    <row r="156" spans="1:7" x14ac:dyDescent="0.25">
      <c r="A156" s="260"/>
      <c r="B156" s="262"/>
      <c r="C156" s="260"/>
      <c r="D156" s="259"/>
      <c r="E156" s="259"/>
      <c r="F156" s="259"/>
      <c r="G156" s="260"/>
    </row>
    <row r="157" spans="1:7" x14ac:dyDescent="0.25">
      <c r="A157" s="260"/>
      <c r="B157" s="262"/>
      <c r="C157" s="260"/>
      <c r="D157" s="259"/>
      <c r="E157" s="259"/>
      <c r="F157" s="259"/>
      <c r="G157" s="260"/>
    </row>
    <row r="158" spans="1:7" x14ac:dyDescent="0.25">
      <c r="A158" s="260"/>
      <c r="B158" s="262"/>
      <c r="C158" s="260"/>
      <c r="D158" s="259"/>
      <c r="E158" s="259"/>
      <c r="F158" s="259"/>
      <c r="G158" s="260"/>
    </row>
    <row r="159" spans="1:7" x14ac:dyDescent="0.25">
      <c r="A159" s="260"/>
      <c r="B159" s="262"/>
      <c r="C159" s="260"/>
      <c r="D159" s="259"/>
      <c r="E159" s="259"/>
      <c r="F159" s="259"/>
      <c r="G159" s="260"/>
    </row>
    <row r="160" spans="1:7" x14ac:dyDescent="0.25">
      <c r="A160" s="260"/>
      <c r="B160" s="262"/>
      <c r="C160" s="260"/>
      <c r="D160" s="259"/>
      <c r="E160" s="259"/>
      <c r="F160" s="259"/>
      <c r="G160" s="260"/>
    </row>
    <row r="161" spans="1:7" x14ac:dyDescent="0.25">
      <c r="A161" s="260"/>
      <c r="B161" s="262"/>
      <c r="C161" s="260"/>
      <c r="D161" s="259"/>
      <c r="E161" s="259"/>
      <c r="F161" s="259"/>
      <c r="G161" s="260"/>
    </row>
    <row r="162" spans="1:7" x14ac:dyDescent="0.25">
      <c r="A162" s="260"/>
      <c r="B162" s="262"/>
      <c r="C162" s="260"/>
      <c r="D162" s="259"/>
      <c r="E162" s="259"/>
      <c r="F162" s="259"/>
      <c r="G162" s="260"/>
    </row>
    <row r="163" spans="1:7" x14ac:dyDescent="0.25">
      <c r="A163" s="260"/>
      <c r="B163" s="262"/>
      <c r="C163" s="260"/>
      <c r="D163" s="259"/>
      <c r="E163" s="259"/>
      <c r="F163" s="259"/>
      <c r="G163" s="260"/>
    </row>
    <row r="164" spans="1:7" x14ac:dyDescent="0.25">
      <c r="A164" s="260"/>
      <c r="B164" s="262"/>
      <c r="C164" s="260"/>
      <c r="D164" s="259"/>
      <c r="E164" s="259"/>
      <c r="F164" s="259"/>
      <c r="G164" s="260"/>
    </row>
    <row r="165" spans="1:7" x14ac:dyDescent="0.25">
      <c r="A165" s="260"/>
      <c r="B165" s="262"/>
      <c r="C165" s="260"/>
      <c r="D165" s="259"/>
      <c r="E165" s="259"/>
      <c r="F165" s="259"/>
      <c r="G165" s="260"/>
    </row>
    <row r="166" spans="1:7" x14ac:dyDescent="0.25">
      <c r="A166" s="260"/>
      <c r="B166" s="262"/>
      <c r="C166" s="260"/>
      <c r="D166" s="259"/>
      <c r="E166" s="259"/>
      <c r="F166" s="259"/>
      <c r="G166" s="260"/>
    </row>
    <row r="167" spans="1:7" x14ac:dyDescent="0.25">
      <c r="A167" s="260"/>
      <c r="B167" s="262"/>
      <c r="C167" s="260"/>
      <c r="D167" s="259"/>
      <c r="E167" s="259"/>
      <c r="F167" s="259"/>
      <c r="G167" s="260"/>
    </row>
    <row r="168" spans="1:7" x14ac:dyDescent="0.25">
      <c r="A168" s="260"/>
      <c r="B168" s="262"/>
      <c r="C168" s="260"/>
      <c r="D168" s="259"/>
      <c r="E168" s="259"/>
      <c r="F168" s="259"/>
      <c r="G168" s="260"/>
    </row>
    <row r="169" spans="1:7" x14ac:dyDescent="0.25">
      <c r="A169" s="260"/>
      <c r="B169" s="262"/>
      <c r="C169" s="260"/>
      <c r="D169" s="259"/>
      <c r="E169" s="259"/>
      <c r="F169" s="259"/>
      <c r="G169" s="260"/>
    </row>
    <row r="170" spans="1:7" x14ac:dyDescent="0.25">
      <c r="A170" s="260"/>
      <c r="B170" s="262"/>
      <c r="C170" s="260"/>
      <c r="D170" s="259"/>
      <c r="E170" s="259"/>
      <c r="F170" s="259"/>
      <c r="G170" s="260"/>
    </row>
    <row r="171" spans="1:7" x14ac:dyDescent="0.25">
      <c r="A171" s="260"/>
      <c r="B171" s="262"/>
      <c r="C171" s="260"/>
      <c r="D171" s="259"/>
      <c r="E171" s="259"/>
      <c r="F171" s="259"/>
      <c r="G171" s="260"/>
    </row>
    <row r="172" spans="1:7" x14ac:dyDescent="0.25">
      <c r="A172" s="260"/>
      <c r="B172" s="262"/>
      <c r="C172" s="260"/>
      <c r="D172" s="259"/>
      <c r="E172" s="259"/>
      <c r="F172" s="259"/>
      <c r="G172" s="260"/>
    </row>
    <row r="173" spans="1:7" x14ac:dyDescent="0.25">
      <c r="A173" s="260"/>
      <c r="B173" s="262"/>
      <c r="C173" s="260"/>
      <c r="D173" s="259"/>
      <c r="E173" s="259"/>
      <c r="F173" s="259"/>
      <c r="G173" s="260"/>
    </row>
    <row r="174" spans="1:7" x14ac:dyDescent="0.25">
      <c r="A174" s="260"/>
      <c r="B174" s="262"/>
      <c r="C174" s="260"/>
      <c r="D174" s="259"/>
      <c r="E174" s="259"/>
      <c r="F174" s="259"/>
      <c r="G174" s="260"/>
    </row>
    <row r="175" spans="1:7" x14ac:dyDescent="0.25">
      <c r="A175" s="260"/>
      <c r="B175" s="262"/>
      <c r="C175" s="260"/>
      <c r="D175" s="259"/>
      <c r="E175" s="259"/>
      <c r="F175" s="259"/>
      <c r="G175" s="260"/>
    </row>
    <row r="176" spans="1:7" x14ac:dyDescent="0.25">
      <c r="A176" s="260"/>
      <c r="B176" s="262"/>
      <c r="C176" s="260"/>
      <c r="D176" s="259"/>
      <c r="E176" s="259"/>
      <c r="F176" s="259"/>
      <c r="G176" s="260"/>
    </row>
    <row r="177" spans="1:7" x14ac:dyDescent="0.25">
      <c r="A177" s="260"/>
      <c r="B177" s="262"/>
      <c r="C177" s="260"/>
      <c r="D177" s="259"/>
      <c r="E177" s="259"/>
      <c r="F177" s="259"/>
      <c r="G177" s="260"/>
    </row>
    <row r="178" spans="1:7" x14ac:dyDescent="0.25">
      <c r="A178" s="260"/>
      <c r="B178" s="262"/>
      <c r="C178" s="260"/>
      <c r="D178" s="259"/>
      <c r="E178" s="259"/>
      <c r="F178" s="259"/>
      <c r="G178" s="260"/>
    </row>
    <row r="179" spans="1:7" x14ac:dyDescent="0.25">
      <c r="A179" s="260"/>
      <c r="B179" s="262"/>
      <c r="C179" s="260"/>
      <c r="D179" s="259"/>
      <c r="E179" s="259"/>
      <c r="F179" s="259"/>
      <c r="G179" s="260"/>
    </row>
    <row r="180" spans="1:7" x14ac:dyDescent="0.25">
      <c r="A180" s="260"/>
      <c r="B180" s="262"/>
      <c r="C180" s="260"/>
      <c r="D180" s="259"/>
      <c r="E180" s="259"/>
      <c r="F180" s="259"/>
      <c r="G180" s="260"/>
    </row>
    <row r="181" spans="1:7" x14ac:dyDescent="0.25">
      <c r="A181" s="260"/>
      <c r="B181" s="262"/>
      <c r="C181" s="260"/>
      <c r="D181" s="259"/>
      <c r="E181" s="259"/>
      <c r="F181" s="259"/>
      <c r="G181" s="260"/>
    </row>
    <row r="182" spans="1:7" x14ac:dyDescent="0.25">
      <c r="A182" s="260"/>
      <c r="B182" s="262"/>
      <c r="C182" s="260"/>
      <c r="D182" s="259"/>
      <c r="E182" s="259"/>
      <c r="F182" s="259"/>
      <c r="G182" s="260"/>
    </row>
    <row r="183" spans="1:7" x14ac:dyDescent="0.25">
      <c r="A183" s="260"/>
      <c r="B183" s="262"/>
      <c r="C183" s="260"/>
      <c r="D183" s="259"/>
      <c r="E183" s="259"/>
      <c r="F183" s="259"/>
      <c r="G183" s="260"/>
    </row>
    <row r="184" spans="1:7" x14ac:dyDescent="0.25">
      <c r="A184" s="260"/>
      <c r="B184" s="262"/>
      <c r="C184" s="260"/>
      <c r="D184" s="259"/>
      <c r="E184" s="259"/>
      <c r="F184" s="259"/>
      <c r="G184" s="260"/>
    </row>
    <row r="185" spans="1:7" x14ac:dyDescent="0.25">
      <c r="A185" s="260"/>
      <c r="B185" s="262"/>
      <c r="C185" s="260"/>
      <c r="D185" s="259"/>
      <c r="E185" s="259"/>
      <c r="F185" s="259"/>
      <c r="G185" s="260"/>
    </row>
    <row r="186" spans="1:7" x14ac:dyDescent="0.25">
      <c r="A186" s="260"/>
      <c r="B186" s="262"/>
      <c r="C186" s="260"/>
      <c r="D186" s="259"/>
      <c r="E186" s="259"/>
      <c r="F186" s="259"/>
      <c r="G186" s="260"/>
    </row>
    <row r="187" spans="1:7" x14ac:dyDescent="0.25">
      <c r="A187" s="260"/>
      <c r="B187" s="262"/>
      <c r="C187" s="260"/>
      <c r="D187" s="259"/>
      <c r="E187" s="259"/>
      <c r="F187" s="259"/>
      <c r="G187" s="260"/>
    </row>
    <row r="188" spans="1:7" x14ac:dyDescent="0.25">
      <c r="A188" s="260"/>
      <c r="B188" s="262"/>
      <c r="C188" s="260"/>
      <c r="D188" s="259"/>
      <c r="E188" s="259"/>
      <c r="F188" s="259"/>
      <c r="G188" s="260"/>
    </row>
    <row r="189" spans="1:7" x14ac:dyDescent="0.25">
      <c r="A189" s="260"/>
      <c r="B189" s="262"/>
      <c r="C189" s="260"/>
      <c r="D189" s="259"/>
      <c r="E189" s="259"/>
      <c r="F189" s="259"/>
      <c r="G189" s="260"/>
    </row>
    <row r="190" spans="1:7" x14ac:dyDescent="0.25">
      <c r="A190" s="260"/>
      <c r="B190" s="262"/>
      <c r="C190" s="260"/>
      <c r="D190" s="259"/>
      <c r="E190" s="259"/>
      <c r="F190" s="259"/>
      <c r="G190" s="260"/>
    </row>
    <row r="191" spans="1:7" x14ac:dyDescent="0.25">
      <c r="A191" s="260"/>
      <c r="B191" s="262"/>
      <c r="C191" s="260"/>
      <c r="D191" s="259"/>
      <c r="E191" s="259"/>
      <c r="F191" s="259"/>
      <c r="G191" s="260"/>
    </row>
    <row r="192" spans="1:7" x14ac:dyDescent="0.25">
      <c r="A192" s="260"/>
      <c r="B192" s="262"/>
      <c r="C192" s="260"/>
      <c r="D192" s="259"/>
      <c r="E192" s="259"/>
      <c r="F192" s="259"/>
      <c r="G192" s="260"/>
    </row>
    <row r="193" spans="1:7" x14ac:dyDescent="0.25">
      <c r="A193" s="260"/>
      <c r="B193" s="262"/>
      <c r="C193" s="260"/>
      <c r="D193" s="259"/>
      <c r="E193" s="259"/>
      <c r="F193" s="259"/>
      <c r="G193" s="260"/>
    </row>
    <row r="194" spans="1:7" x14ac:dyDescent="0.25">
      <c r="A194" s="260"/>
      <c r="B194" s="262"/>
      <c r="C194" s="260"/>
      <c r="D194" s="259"/>
      <c r="E194" s="259"/>
      <c r="F194" s="259"/>
      <c r="G194" s="260"/>
    </row>
    <row r="195" spans="1:7" x14ac:dyDescent="0.25">
      <c r="A195" s="260"/>
      <c r="B195" s="262"/>
      <c r="C195" s="260"/>
      <c r="D195" s="259"/>
      <c r="E195" s="259"/>
      <c r="F195" s="259"/>
      <c r="G195" s="260"/>
    </row>
    <row r="196" spans="1:7" x14ac:dyDescent="0.25">
      <c r="A196" s="260"/>
      <c r="B196" s="262"/>
      <c r="C196" s="260"/>
      <c r="D196" s="259"/>
      <c r="E196" s="259"/>
      <c r="F196" s="259"/>
      <c r="G196" s="260"/>
    </row>
    <row r="197" spans="1:7" x14ac:dyDescent="0.25">
      <c r="A197" s="260"/>
      <c r="B197" s="262"/>
      <c r="C197" s="260"/>
      <c r="D197" s="259"/>
      <c r="E197" s="259"/>
      <c r="F197" s="259"/>
      <c r="G197" s="260"/>
    </row>
    <row r="198" spans="1:7" x14ac:dyDescent="0.25">
      <c r="A198" s="260"/>
      <c r="B198" s="262"/>
      <c r="C198" s="260"/>
      <c r="D198" s="259"/>
      <c r="E198" s="259"/>
      <c r="F198" s="259"/>
      <c r="G198" s="260"/>
    </row>
    <row r="199" spans="1:7" x14ac:dyDescent="0.25">
      <c r="A199" s="260"/>
      <c r="B199" s="262"/>
      <c r="C199" s="260"/>
      <c r="D199" s="259"/>
      <c r="E199" s="259"/>
      <c r="F199" s="259"/>
      <c r="G199" s="260"/>
    </row>
    <row r="200" spans="1:7" x14ac:dyDescent="0.25">
      <c r="A200" s="260"/>
      <c r="B200" s="262"/>
      <c r="C200" s="260"/>
      <c r="D200" s="259"/>
      <c r="E200" s="259"/>
      <c r="F200" s="259"/>
      <c r="G200" s="260"/>
    </row>
    <row r="201" spans="1:7" x14ac:dyDescent="0.25">
      <c r="A201" s="260"/>
      <c r="B201" s="262"/>
      <c r="C201" s="260"/>
      <c r="D201" s="259"/>
      <c r="E201" s="259"/>
      <c r="F201" s="259"/>
      <c r="G201" s="260"/>
    </row>
    <row r="202" spans="1:7" x14ac:dyDescent="0.25">
      <c r="A202" s="260"/>
      <c r="B202" s="262"/>
      <c r="C202" s="260"/>
      <c r="D202" s="259"/>
      <c r="E202" s="259"/>
      <c r="F202" s="259"/>
      <c r="G202" s="260"/>
    </row>
    <row r="203" spans="1:7" x14ac:dyDescent="0.25">
      <c r="A203" s="260"/>
      <c r="B203" s="262"/>
      <c r="C203" s="260"/>
      <c r="D203" s="259"/>
      <c r="E203" s="259"/>
      <c r="F203" s="259"/>
      <c r="G203" s="260"/>
    </row>
    <row r="204" spans="1:7" x14ac:dyDescent="0.25">
      <c r="A204" s="260"/>
      <c r="B204" s="262"/>
      <c r="C204" s="260"/>
      <c r="D204" s="259"/>
      <c r="E204" s="259"/>
      <c r="F204" s="259"/>
      <c r="G204" s="260"/>
    </row>
    <row r="205" spans="1:7" x14ac:dyDescent="0.25">
      <c r="A205" s="260"/>
      <c r="B205" s="262"/>
      <c r="C205" s="260"/>
      <c r="D205" s="259"/>
      <c r="E205" s="259"/>
      <c r="F205" s="259"/>
      <c r="G205" s="260"/>
    </row>
    <row r="206" spans="1:7" x14ac:dyDescent="0.25">
      <c r="A206" s="260"/>
      <c r="B206" s="262"/>
      <c r="C206" s="260"/>
      <c r="D206" s="259"/>
      <c r="E206" s="259"/>
      <c r="F206" s="259"/>
      <c r="G206" s="260"/>
    </row>
    <row r="207" spans="1:7" x14ac:dyDescent="0.25">
      <c r="A207" s="260"/>
      <c r="B207" s="262"/>
      <c r="C207" s="260"/>
      <c r="D207" s="259"/>
      <c r="E207" s="259"/>
      <c r="F207" s="259"/>
      <c r="G207" s="260"/>
    </row>
    <row r="208" spans="1:7" x14ac:dyDescent="0.25">
      <c r="A208" s="260"/>
      <c r="B208" s="262"/>
      <c r="C208" s="260"/>
      <c r="D208" s="259"/>
      <c r="E208" s="259"/>
      <c r="F208" s="259"/>
      <c r="G208" s="260"/>
    </row>
    <row r="209" spans="1:7" x14ac:dyDescent="0.25">
      <c r="A209" s="260"/>
      <c r="B209" s="262"/>
      <c r="C209" s="260"/>
      <c r="D209" s="259"/>
      <c r="E209" s="259"/>
      <c r="F209" s="259"/>
      <c r="G209" s="260"/>
    </row>
    <row r="210" spans="1:7" x14ac:dyDescent="0.25">
      <c r="A210" s="260"/>
      <c r="B210" s="262"/>
      <c r="C210" s="260"/>
      <c r="D210" s="259"/>
      <c r="E210" s="259"/>
      <c r="F210" s="259"/>
      <c r="G210" s="260"/>
    </row>
    <row r="211" spans="1:7" x14ac:dyDescent="0.25">
      <c r="A211" s="260"/>
      <c r="B211" s="262"/>
      <c r="C211" s="260"/>
      <c r="D211" s="259"/>
      <c r="E211" s="259"/>
      <c r="F211" s="259"/>
      <c r="G211" s="260"/>
    </row>
    <row r="212" spans="1:7" x14ac:dyDescent="0.25">
      <c r="A212" s="260"/>
      <c r="B212" s="262"/>
      <c r="C212" s="260"/>
      <c r="D212" s="259"/>
      <c r="E212" s="259"/>
      <c r="F212" s="259"/>
      <c r="G212" s="260"/>
    </row>
    <row r="213" spans="1:7" x14ac:dyDescent="0.25">
      <c r="A213" s="260"/>
      <c r="B213" s="262"/>
      <c r="C213" s="260"/>
      <c r="D213" s="259"/>
      <c r="E213" s="259"/>
      <c r="F213" s="259"/>
      <c r="G213" s="260"/>
    </row>
    <row r="214" spans="1:7" x14ac:dyDescent="0.25">
      <c r="A214" s="260"/>
      <c r="B214" s="262"/>
      <c r="C214" s="260"/>
      <c r="D214" s="259"/>
      <c r="E214" s="259"/>
      <c r="F214" s="259"/>
      <c r="G214" s="260"/>
    </row>
    <row r="215" spans="1:7" x14ac:dyDescent="0.25">
      <c r="A215" s="260"/>
      <c r="B215" s="262"/>
      <c r="C215" s="260"/>
      <c r="D215" s="259"/>
      <c r="E215" s="259"/>
      <c r="F215" s="259"/>
      <c r="G215" s="260"/>
    </row>
    <row r="216" spans="1:7" x14ac:dyDescent="0.25">
      <c r="A216" s="260"/>
      <c r="B216" s="262"/>
      <c r="C216" s="260"/>
      <c r="D216" s="259"/>
      <c r="E216" s="259"/>
      <c r="F216" s="259"/>
      <c r="G216" s="260"/>
    </row>
    <row r="217" spans="1:7" x14ac:dyDescent="0.25">
      <c r="A217" s="260"/>
      <c r="B217" s="262"/>
      <c r="C217" s="260"/>
      <c r="D217" s="259"/>
      <c r="E217" s="259"/>
      <c r="F217" s="259"/>
      <c r="G217" s="260"/>
    </row>
    <row r="218" spans="1:7" x14ac:dyDescent="0.25">
      <c r="A218" s="260"/>
      <c r="B218" s="262"/>
      <c r="C218" s="260"/>
      <c r="D218" s="259"/>
      <c r="E218" s="259"/>
      <c r="F218" s="259"/>
      <c r="G218" s="260"/>
    </row>
    <row r="219" spans="1:7" x14ac:dyDescent="0.25">
      <c r="A219" s="260"/>
      <c r="B219" s="262"/>
      <c r="C219" s="260"/>
      <c r="D219" s="259"/>
      <c r="E219" s="259"/>
      <c r="F219" s="259"/>
      <c r="G219" s="260"/>
    </row>
    <row r="220" spans="1:7" x14ac:dyDescent="0.25">
      <c r="A220" s="260"/>
      <c r="B220" s="262"/>
      <c r="C220" s="260"/>
      <c r="D220" s="259"/>
      <c r="E220" s="259"/>
      <c r="F220" s="259"/>
      <c r="G220" s="260"/>
    </row>
    <row r="221" spans="1:7" x14ac:dyDescent="0.25">
      <c r="A221" s="260"/>
      <c r="B221" s="262"/>
      <c r="C221" s="260"/>
      <c r="D221" s="259"/>
      <c r="E221" s="259"/>
      <c r="F221" s="259"/>
      <c r="G221" s="260"/>
    </row>
    <row r="222" spans="1:7" x14ac:dyDescent="0.25">
      <c r="A222" s="260"/>
      <c r="B222" s="262"/>
      <c r="C222" s="260"/>
      <c r="D222" s="259"/>
      <c r="E222" s="259"/>
      <c r="F222" s="259"/>
      <c r="G222" s="260"/>
    </row>
    <row r="223" spans="1:7" x14ac:dyDescent="0.25">
      <c r="A223" s="260"/>
      <c r="B223" s="262"/>
      <c r="C223" s="260"/>
      <c r="D223" s="259"/>
      <c r="E223" s="259"/>
      <c r="F223" s="259"/>
      <c r="G223" s="260"/>
    </row>
    <row r="224" spans="1:7" x14ac:dyDescent="0.25">
      <c r="A224" s="260"/>
      <c r="B224" s="262"/>
      <c r="C224" s="260"/>
      <c r="D224" s="259"/>
      <c r="E224" s="259"/>
      <c r="F224" s="259"/>
      <c r="G224" s="260"/>
    </row>
    <row r="225" spans="1:7" x14ac:dyDescent="0.25">
      <c r="A225" s="260"/>
      <c r="B225" s="262"/>
      <c r="C225" s="260"/>
      <c r="D225" s="259"/>
      <c r="E225" s="259"/>
      <c r="F225" s="259"/>
      <c r="G225" s="260"/>
    </row>
    <row r="226" spans="1:7" x14ac:dyDescent="0.25">
      <c r="A226" s="260"/>
      <c r="B226" s="262"/>
      <c r="C226" s="260"/>
      <c r="D226" s="259"/>
      <c r="E226" s="259"/>
      <c r="F226" s="259"/>
      <c r="G226" s="260"/>
    </row>
    <row r="227" spans="1:7" x14ac:dyDescent="0.25">
      <c r="A227" s="260"/>
      <c r="B227" s="262"/>
      <c r="C227" s="260"/>
      <c r="D227" s="259"/>
      <c r="E227" s="259"/>
      <c r="F227" s="259"/>
      <c r="G227" s="260"/>
    </row>
    <row r="228" spans="1:7" x14ac:dyDescent="0.25">
      <c r="A228" s="260"/>
      <c r="B228" s="262"/>
      <c r="C228" s="260"/>
      <c r="D228" s="259"/>
      <c r="E228" s="259"/>
      <c r="F228" s="259"/>
      <c r="G228" s="260"/>
    </row>
    <row r="229" spans="1:7" x14ac:dyDescent="0.25">
      <c r="A229" s="260"/>
      <c r="B229" s="262"/>
      <c r="C229" s="260"/>
      <c r="D229" s="259"/>
      <c r="E229" s="259"/>
      <c r="F229" s="259"/>
      <c r="G229" s="260"/>
    </row>
    <row r="230" spans="1:7" x14ac:dyDescent="0.25">
      <c r="A230" s="260"/>
      <c r="B230" s="262"/>
      <c r="C230" s="260"/>
      <c r="D230" s="259"/>
      <c r="E230" s="259"/>
      <c r="F230" s="259"/>
      <c r="G230" s="260"/>
    </row>
    <row r="231" spans="1:7" x14ac:dyDescent="0.25">
      <c r="A231" s="260"/>
      <c r="B231" s="262"/>
      <c r="C231" s="260"/>
      <c r="D231" s="259"/>
      <c r="E231" s="259"/>
      <c r="F231" s="259"/>
      <c r="G231" s="260"/>
    </row>
    <row r="232" spans="1:7" x14ac:dyDescent="0.25">
      <c r="A232" s="260"/>
      <c r="B232" s="262"/>
      <c r="C232" s="260"/>
      <c r="D232" s="259"/>
      <c r="E232" s="259"/>
      <c r="F232" s="259"/>
      <c r="G232" s="260"/>
    </row>
    <row r="233" spans="1:7" x14ac:dyDescent="0.25">
      <c r="A233" s="260"/>
      <c r="B233" s="262"/>
      <c r="C233" s="260"/>
      <c r="D233" s="259"/>
      <c r="E233" s="259"/>
      <c r="F233" s="259"/>
      <c r="G233" s="260"/>
    </row>
    <row r="234" spans="1:7" x14ac:dyDescent="0.25">
      <c r="A234" s="260"/>
      <c r="B234" s="262"/>
      <c r="C234" s="260"/>
      <c r="D234" s="259"/>
      <c r="E234" s="259"/>
      <c r="F234" s="259"/>
      <c r="G234" s="260"/>
    </row>
    <row r="235" spans="1:7" x14ac:dyDescent="0.25">
      <c r="A235" s="260"/>
      <c r="B235" s="262"/>
      <c r="C235" s="260"/>
      <c r="D235" s="259"/>
      <c r="E235" s="259"/>
      <c r="F235" s="259"/>
      <c r="G235" s="260"/>
    </row>
    <row r="236" spans="1:7" x14ac:dyDescent="0.25">
      <c r="A236" s="260"/>
      <c r="B236" s="262"/>
      <c r="C236" s="260"/>
      <c r="D236" s="259"/>
      <c r="E236" s="259"/>
      <c r="F236" s="259"/>
      <c r="G236" s="260"/>
    </row>
    <row r="237" spans="1:7" x14ac:dyDescent="0.25">
      <c r="A237" s="260"/>
      <c r="B237" s="262"/>
      <c r="C237" s="260"/>
      <c r="D237" s="259"/>
      <c r="E237" s="259"/>
      <c r="F237" s="259"/>
      <c r="G237" s="260"/>
    </row>
    <row r="238" spans="1:7" x14ac:dyDescent="0.25">
      <c r="A238" s="260"/>
      <c r="B238" s="262"/>
      <c r="C238" s="260"/>
      <c r="D238" s="259"/>
      <c r="E238" s="259"/>
      <c r="F238" s="259"/>
      <c r="G238" s="260"/>
    </row>
    <row r="239" spans="1:7" x14ac:dyDescent="0.25">
      <c r="A239" s="260"/>
      <c r="B239" s="262"/>
      <c r="C239" s="260"/>
      <c r="D239" s="259"/>
      <c r="E239" s="259"/>
      <c r="F239" s="259"/>
      <c r="G239" s="260"/>
    </row>
    <row r="240" spans="1:7" x14ac:dyDescent="0.25">
      <c r="A240" s="260"/>
      <c r="B240" s="262"/>
      <c r="C240" s="260"/>
      <c r="D240" s="259"/>
      <c r="E240" s="259"/>
      <c r="F240" s="259"/>
      <c r="G240" s="260"/>
    </row>
    <row r="241" spans="1:7" x14ac:dyDescent="0.25">
      <c r="A241" s="260"/>
      <c r="B241" s="262"/>
      <c r="C241" s="260"/>
      <c r="D241" s="259"/>
      <c r="E241" s="259"/>
      <c r="F241" s="259"/>
      <c r="G241" s="260"/>
    </row>
    <row r="242" spans="1:7" x14ac:dyDescent="0.25">
      <c r="A242" s="260"/>
      <c r="B242" s="262"/>
      <c r="C242" s="260"/>
      <c r="D242" s="259"/>
      <c r="E242" s="259"/>
      <c r="F242" s="259"/>
      <c r="G242" s="260"/>
    </row>
    <row r="243" spans="1:7" x14ac:dyDescent="0.25">
      <c r="A243" s="260"/>
      <c r="B243" s="262"/>
      <c r="C243" s="260"/>
      <c r="D243" s="259"/>
      <c r="E243" s="259"/>
      <c r="F243" s="259"/>
      <c r="G243" s="260"/>
    </row>
    <row r="244" spans="1:7" x14ac:dyDescent="0.25">
      <c r="A244" s="260"/>
      <c r="B244" s="262"/>
      <c r="C244" s="260"/>
      <c r="D244" s="259"/>
      <c r="E244" s="259"/>
      <c r="F244" s="259"/>
      <c r="G244" s="260"/>
    </row>
    <row r="245" spans="1:7" x14ac:dyDescent="0.25">
      <c r="A245" s="260"/>
      <c r="B245" s="262"/>
      <c r="C245" s="260"/>
      <c r="D245" s="259"/>
      <c r="E245" s="259"/>
      <c r="F245" s="259"/>
      <c r="G245" s="260"/>
    </row>
    <row r="246" spans="1:7" x14ac:dyDescent="0.25">
      <c r="A246" s="260"/>
      <c r="B246" s="262"/>
      <c r="C246" s="260"/>
      <c r="D246" s="259"/>
      <c r="E246" s="259"/>
      <c r="F246" s="259"/>
      <c r="G246" s="260"/>
    </row>
    <row r="247" spans="1:7" x14ac:dyDescent="0.25">
      <c r="A247" s="260"/>
      <c r="B247" s="262"/>
      <c r="C247" s="260"/>
      <c r="D247" s="259"/>
      <c r="E247" s="259"/>
      <c r="F247" s="259"/>
      <c r="G247" s="260"/>
    </row>
    <row r="248" spans="1:7" x14ac:dyDescent="0.25">
      <c r="A248" s="260"/>
      <c r="B248" s="262"/>
      <c r="C248" s="260"/>
      <c r="D248" s="259"/>
      <c r="E248" s="259"/>
      <c r="F248" s="259"/>
      <c r="G248" s="260"/>
    </row>
    <row r="249" spans="1:7" x14ac:dyDescent="0.25">
      <c r="A249" s="260"/>
      <c r="B249" s="262"/>
      <c r="C249" s="260"/>
      <c r="D249" s="259"/>
      <c r="E249" s="259"/>
      <c r="F249" s="259"/>
      <c r="G249" s="260"/>
    </row>
    <row r="250" spans="1:7" x14ac:dyDescent="0.25">
      <c r="A250" s="260"/>
      <c r="B250" s="262"/>
      <c r="C250" s="260"/>
      <c r="D250" s="259"/>
      <c r="E250" s="259"/>
      <c r="F250" s="259"/>
      <c r="G250" s="260"/>
    </row>
    <row r="251" spans="1:7" x14ac:dyDescent="0.25">
      <c r="A251" s="260"/>
      <c r="B251" s="262"/>
      <c r="C251" s="260"/>
      <c r="D251" s="259"/>
      <c r="E251" s="259"/>
      <c r="F251" s="259"/>
      <c r="G251" s="260"/>
    </row>
    <row r="252" spans="1:7" x14ac:dyDescent="0.25">
      <c r="A252" s="260"/>
      <c r="B252" s="262"/>
      <c r="C252" s="260"/>
      <c r="D252" s="259"/>
      <c r="E252" s="259"/>
      <c r="F252" s="259"/>
      <c r="G252" s="260"/>
    </row>
    <row r="253" spans="1:7" x14ac:dyDescent="0.25">
      <c r="A253" s="260"/>
      <c r="B253" s="262"/>
      <c r="C253" s="260"/>
      <c r="D253" s="259"/>
      <c r="E253" s="259"/>
      <c r="F253" s="259"/>
      <c r="G253" s="260"/>
    </row>
    <row r="254" spans="1:7" x14ac:dyDescent="0.25">
      <c r="A254" s="260"/>
      <c r="B254" s="262"/>
      <c r="C254" s="260"/>
      <c r="D254" s="259"/>
      <c r="E254" s="259"/>
      <c r="F254" s="259"/>
      <c r="G254" s="260"/>
    </row>
    <row r="255" spans="1:7" x14ac:dyDescent="0.25">
      <c r="A255" s="260"/>
      <c r="B255" s="262"/>
      <c r="C255" s="260"/>
      <c r="D255" s="259"/>
      <c r="E255" s="259"/>
      <c r="F255" s="259"/>
      <c r="G255" s="260"/>
    </row>
    <row r="256" spans="1:7" x14ac:dyDescent="0.25">
      <c r="A256" s="260"/>
      <c r="B256" s="262"/>
      <c r="C256" s="260"/>
      <c r="D256" s="259"/>
      <c r="E256" s="259"/>
      <c r="F256" s="259"/>
      <c r="G256" s="260"/>
    </row>
    <row r="257" spans="1:7" x14ac:dyDescent="0.25">
      <c r="A257" s="260"/>
      <c r="B257" s="262"/>
      <c r="C257" s="260"/>
      <c r="D257" s="259"/>
      <c r="E257" s="259"/>
      <c r="F257" s="259"/>
      <c r="G257" s="260"/>
    </row>
    <row r="258" spans="1:7" x14ac:dyDescent="0.25">
      <c r="A258" s="260"/>
      <c r="B258" s="262"/>
      <c r="C258" s="260"/>
      <c r="D258" s="259"/>
      <c r="E258" s="259"/>
      <c r="F258" s="259"/>
      <c r="G258" s="260"/>
    </row>
    <row r="259" spans="1:7" x14ac:dyDescent="0.25">
      <c r="A259" s="260"/>
      <c r="B259" s="262"/>
      <c r="C259" s="260"/>
      <c r="D259" s="259"/>
      <c r="E259" s="259"/>
      <c r="F259" s="259"/>
      <c r="G259" s="260"/>
    </row>
    <row r="260" spans="1:7" x14ac:dyDescent="0.25">
      <c r="A260" s="260"/>
      <c r="B260" s="262"/>
      <c r="C260" s="260"/>
      <c r="D260" s="259"/>
      <c r="E260" s="259"/>
      <c r="F260" s="259"/>
      <c r="G260" s="260"/>
    </row>
    <row r="261" spans="1:7" x14ac:dyDescent="0.25">
      <c r="A261" s="260"/>
      <c r="B261" s="262"/>
      <c r="C261" s="260"/>
      <c r="D261" s="259"/>
      <c r="E261" s="259"/>
      <c r="F261" s="259"/>
      <c r="G261" s="260"/>
    </row>
    <row r="262" spans="1:7" x14ac:dyDescent="0.25">
      <c r="A262" s="260"/>
      <c r="B262" s="262"/>
      <c r="C262" s="260"/>
      <c r="D262" s="259"/>
      <c r="E262" s="259"/>
      <c r="F262" s="259"/>
      <c r="G262" s="260"/>
    </row>
    <row r="263" spans="1:7" x14ac:dyDescent="0.25">
      <c r="A263" s="260"/>
      <c r="B263" s="262"/>
      <c r="C263" s="260"/>
      <c r="D263" s="259"/>
      <c r="E263" s="259"/>
      <c r="F263" s="259"/>
      <c r="G263" s="260"/>
    </row>
    <row r="264" spans="1:7" x14ac:dyDescent="0.25">
      <c r="A264" s="260"/>
      <c r="B264" s="262"/>
      <c r="C264" s="260"/>
      <c r="D264" s="259"/>
      <c r="E264" s="259"/>
      <c r="F264" s="259"/>
      <c r="G264" s="260"/>
    </row>
    <row r="265" spans="1:7" x14ac:dyDescent="0.25">
      <c r="A265" s="260"/>
      <c r="B265" s="262"/>
      <c r="C265" s="260"/>
      <c r="D265" s="259"/>
      <c r="E265" s="259"/>
      <c r="F265" s="259"/>
      <c r="G265" s="260"/>
    </row>
    <row r="266" spans="1:7" x14ac:dyDescent="0.25">
      <c r="A266" s="260"/>
      <c r="B266" s="262"/>
      <c r="C266" s="260"/>
      <c r="D266" s="259"/>
      <c r="E266" s="259"/>
      <c r="F266" s="259"/>
      <c r="G266" s="260"/>
    </row>
    <row r="267" spans="1:7" x14ac:dyDescent="0.25">
      <c r="A267" s="260"/>
      <c r="B267" s="262"/>
      <c r="C267" s="260"/>
      <c r="D267" s="259"/>
      <c r="E267" s="259"/>
      <c r="F267" s="259"/>
      <c r="G267" s="260"/>
    </row>
    <row r="268" spans="1:7" x14ac:dyDescent="0.25">
      <c r="A268" s="260"/>
      <c r="B268" s="262"/>
      <c r="C268" s="260"/>
      <c r="D268" s="259"/>
      <c r="E268" s="259"/>
      <c r="F268" s="259"/>
      <c r="G268" s="260"/>
    </row>
    <row r="269" spans="1:7" x14ac:dyDescent="0.25">
      <c r="A269" s="260"/>
      <c r="B269" s="262"/>
      <c r="C269" s="260"/>
      <c r="D269" s="259"/>
      <c r="E269" s="259"/>
      <c r="F269" s="259"/>
      <c r="G269" s="260"/>
    </row>
    <row r="270" spans="1:7" x14ac:dyDescent="0.25">
      <c r="A270" s="260"/>
      <c r="B270" s="262"/>
      <c r="C270" s="260"/>
      <c r="D270" s="259"/>
      <c r="E270" s="259"/>
      <c r="F270" s="259"/>
      <c r="G270" s="260"/>
    </row>
    <row r="271" spans="1:7" x14ac:dyDescent="0.25">
      <c r="A271" s="260"/>
      <c r="B271" s="262"/>
      <c r="C271" s="260"/>
      <c r="D271" s="259"/>
      <c r="E271" s="259"/>
      <c r="F271" s="259"/>
      <c r="G271" s="260"/>
    </row>
    <row r="272" spans="1:7" x14ac:dyDescent="0.25">
      <c r="A272" s="260"/>
      <c r="B272" s="262"/>
      <c r="C272" s="260"/>
      <c r="D272" s="259"/>
      <c r="E272" s="259"/>
      <c r="F272" s="259"/>
      <c r="G272" s="260"/>
    </row>
    <row r="273" spans="1:7" x14ac:dyDescent="0.25">
      <c r="A273" s="260"/>
      <c r="B273" s="262"/>
      <c r="C273" s="260"/>
      <c r="D273" s="259"/>
      <c r="E273" s="259"/>
      <c r="F273" s="259"/>
      <c r="G273" s="260"/>
    </row>
    <row r="274" spans="1:7" x14ac:dyDescent="0.25">
      <c r="A274" s="260"/>
      <c r="B274" s="262"/>
      <c r="C274" s="260"/>
      <c r="D274" s="259"/>
      <c r="E274" s="259"/>
      <c r="F274" s="259"/>
      <c r="G274" s="260"/>
    </row>
    <row r="275" spans="1:7" x14ac:dyDescent="0.25">
      <c r="A275" s="260"/>
      <c r="B275" s="262"/>
      <c r="C275" s="260"/>
      <c r="D275" s="259"/>
      <c r="E275" s="259"/>
      <c r="F275" s="259"/>
      <c r="G275" s="260"/>
    </row>
    <row r="276" spans="1:7" x14ac:dyDescent="0.25">
      <c r="A276" s="260"/>
      <c r="B276" s="262"/>
      <c r="C276" s="260"/>
      <c r="D276" s="259"/>
      <c r="E276" s="259"/>
      <c r="F276" s="259"/>
      <c r="G276" s="260"/>
    </row>
    <row r="277" spans="1:7" x14ac:dyDescent="0.25">
      <c r="A277" s="260"/>
      <c r="B277" s="262"/>
      <c r="C277" s="260"/>
      <c r="D277" s="259"/>
      <c r="E277" s="259"/>
      <c r="F277" s="259"/>
      <c r="G277" s="260"/>
    </row>
    <row r="278" spans="1:7" x14ac:dyDescent="0.25">
      <c r="A278" s="260"/>
      <c r="B278" s="262"/>
      <c r="C278" s="260"/>
      <c r="D278" s="259"/>
      <c r="E278" s="259"/>
      <c r="F278" s="259"/>
      <c r="G278" s="260"/>
    </row>
    <row r="279" spans="1:7" x14ac:dyDescent="0.25">
      <c r="A279" s="260"/>
      <c r="B279" s="262"/>
      <c r="C279" s="260"/>
      <c r="D279" s="259"/>
      <c r="E279" s="259"/>
      <c r="F279" s="259"/>
      <c r="G279" s="260"/>
    </row>
    <row r="280" spans="1:7" x14ac:dyDescent="0.25">
      <c r="A280" s="260"/>
      <c r="B280" s="262"/>
      <c r="C280" s="260"/>
      <c r="D280" s="259"/>
      <c r="E280" s="259"/>
      <c r="F280" s="259"/>
      <c r="G280" s="260"/>
    </row>
    <row r="281" spans="1:7" x14ac:dyDescent="0.25">
      <c r="A281" s="260"/>
      <c r="B281" s="262"/>
      <c r="C281" s="260"/>
      <c r="D281" s="259"/>
      <c r="E281" s="259"/>
      <c r="F281" s="259"/>
      <c r="G281" s="260"/>
    </row>
    <row r="282" spans="1:7" x14ac:dyDescent="0.25">
      <c r="A282" s="260"/>
      <c r="B282" s="262"/>
      <c r="C282" s="260"/>
      <c r="D282" s="259"/>
      <c r="E282" s="259"/>
      <c r="F282" s="259"/>
      <c r="G282" s="260"/>
    </row>
    <row r="283" spans="1:7" x14ac:dyDescent="0.25">
      <c r="A283" s="260"/>
      <c r="B283" s="262"/>
      <c r="C283" s="260"/>
      <c r="D283" s="259"/>
      <c r="E283" s="259"/>
      <c r="F283" s="259"/>
      <c r="G283" s="260"/>
    </row>
    <row r="284" spans="1:7" x14ac:dyDescent="0.25">
      <c r="A284" s="260"/>
      <c r="B284" s="262"/>
      <c r="C284" s="260"/>
      <c r="D284" s="259"/>
      <c r="E284" s="259"/>
      <c r="F284" s="259"/>
      <c r="G284" s="260"/>
    </row>
    <row r="285" spans="1:7" x14ac:dyDescent="0.25">
      <c r="A285" s="260"/>
      <c r="B285" s="262"/>
      <c r="C285" s="260"/>
      <c r="D285" s="259"/>
      <c r="E285" s="259"/>
      <c r="F285" s="259"/>
      <c r="G285" s="260"/>
    </row>
    <row r="286" spans="1:7" x14ac:dyDescent="0.25">
      <c r="A286" s="260"/>
      <c r="B286" s="262"/>
      <c r="C286" s="260"/>
      <c r="D286" s="259"/>
      <c r="E286" s="259"/>
      <c r="F286" s="259"/>
      <c r="G286" s="260"/>
    </row>
    <row r="287" spans="1:7" x14ac:dyDescent="0.25">
      <c r="A287" s="260"/>
      <c r="B287" s="262"/>
      <c r="C287" s="260"/>
      <c r="D287" s="259"/>
      <c r="E287" s="259"/>
      <c r="F287" s="259"/>
      <c r="G287" s="260"/>
    </row>
    <row r="288" spans="1:7" x14ac:dyDescent="0.25">
      <c r="A288" s="260"/>
      <c r="B288" s="262"/>
      <c r="C288" s="260"/>
      <c r="D288" s="259"/>
      <c r="E288" s="259"/>
      <c r="F288" s="259"/>
      <c r="G288" s="260"/>
    </row>
    <row r="289" spans="1:7" x14ac:dyDescent="0.25">
      <c r="A289" s="260"/>
      <c r="B289" s="262"/>
      <c r="C289" s="260"/>
      <c r="D289" s="259"/>
      <c r="E289" s="259"/>
      <c r="F289" s="259"/>
      <c r="G289" s="260"/>
    </row>
    <row r="290" spans="1:7" x14ac:dyDescent="0.25">
      <c r="A290" s="260"/>
      <c r="B290" s="262"/>
      <c r="C290" s="260"/>
      <c r="D290" s="259"/>
      <c r="E290" s="259"/>
      <c r="F290" s="259"/>
      <c r="G290" s="260"/>
    </row>
    <row r="291" spans="1:7" x14ac:dyDescent="0.25">
      <c r="A291" s="260"/>
      <c r="B291" s="262"/>
      <c r="C291" s="260"/>
      <c r="D291" s="259"/>
      <c r="E291" s="259"/>
      <c r="F291" s="259"/>
      <c r="G291" s="260"/>
    </row>
    <row r="292" spans="1:7" x14ac:dyDescent="0.25">
      <c r="A292" s="260"/>
      <c r="B292" s="262"/>
      <c r="C292" s="260"/>
      <c r="D292" s="259"/>
      <c r="E292" s="259"/>
      <c r="F292" s="259"/>
      <c r="G292" s="260"/>
    </row>
    <row r="293" spans="1:7" x14ac:dyDescent="0.25">
      <c r="A293" s="260"/>
      <c r="B293" s="262"/>
      <c r="C293" s="260"/>
      <c r="D293" s="259"/>
      <c r="E293" s="259"/>
      <c r="F293" s="259"/>
      <c r="G293" s="260"/>
    </row>
    <row r="294" spans="1:7" x14ac:dyDescent="0.25">
      <c r="A294" s="260"/>
      <c r="B294" s="262"/>
      <c r="C294" s="260"/>
      <c r="D294" s="259"/>
      <c r="E294" s="259"/>
      <c r="F294" s="259"/>
      <c r="G294" s="260"/>
    </row>
    <row r="295" spans="1:7" x14ac:dyDescent="0.25">
      <c r="A295" s="260"/>
      <c r="B295" s="262"/>
      <c r="C295" s="260"/>
      <c r="D295" s="259"/>
      <c r="E295" s="259"/>
      <c r="F295" s="259"/>
      <c r="G295" s="260"/>
    </row>
    <row r="296" spans="1:7" x14ac:dyDescent="0.25">
      <c r="A296" s="260"/>
      <c r="B296" s="262"/>
      <c r="C296" s="260"/>
      <c r="D296" s="259"/>
      <c r="E296" s="259"/>
      <c r="F296" s="259"/>
      <c r="G296" s="260"/>
    </row>
    <row r="297" spans="1:7" x14ac:dyDescent="0.25">
      <c r="A297" s="260"/>
      <c r="B297" s="262"/>
      <c r="C297" s="260"/>
      <c r="D297" s="259"/>
      <c r="E297" s="259"/>
      <c r="F297" s="259"/>
      <c r="G297" s="260"/>
    </row>
    <row r="298" spans="1:7" x14ac:dyDescent="0.25">
      <c r="A298" s="260"/>
      <c r="B298" s="262"/>
      <c r="C298" s="260"/>
      <c r="D298" s="259"/>
      <c r="E298" s="259"/>
      <c r="F298" s="259"/>
      <c r="G298" s="260"/>
    </row>
    <row r="299" spans="1:7" x14ac:dyDescent="0.25">
      <c r="A299" s="260"/>
      <c r="B299" s="262"/>
      <c r="C299" s="260"/>
      <c r="D299" s="259"/>
      <c r="E299" s="259"/>
      <c r="F299" s="259"/>
      <c r="G299" s="260"/>
    </row>
    <row r="300" spans="1:7" x14ac:dyDescent="0.25">
      <c r="A300" s="260"/>
      <c r="B300" s="262"/>
      <c r="C300" s="260"/>
      <c r="D300" s="259"/>
      <c r="E300" s="259"/>
      <c r="F300" s="259"/>
      <c r="G300" s="260"/>
    </row>
    <row r="301" spans="1:7" x14ac:dyDescent="0.25">
      <c r="A301" s="260"/>
      <c r="B301" s="262"/>
      <c r="C301" s="260"/>
      <c r="D301" s="259"/>
      <c r="E301" s="259"/>
      <c r="F301" s="259"/>
      <c r="G301" s="260"/>
    </row>
    <row r="302" spans="1:7" x14ac:dyDescent="0.25">
      <c r="A302" s="260"/>
      <c r="B302" s="262"/>
      <c r="C302" s="260"/>
      <c r="D302" s="259"/>
      <c r="E302" s="259"/>
      <c r="F302" s="259"/>
      <c r="G302" s="260"/>
    </row>
    <row r="303" spans="1:7" x14ac:dyDescent="0.25">
      <c r="A303" s="260"/>
      <c r="B303" s="262"/>
      <c r="C303" s="260"/>
      <c r="D303" s="259"/>
      <c r="E303" s="259"/>
      <c r="F303" s="259"/>
      <c r="G303" s="260"/>
    </row>
    <row r="304" spans="1:7" x14ac:dyDescent="0.25">
      <c r="A304" s="260"/>
      <c r="B304" s="262"/>
      <c r="C304" s="260"/>
      <c r="D304" s="259"/>
      <c r="E304" s="259"/>
      <c r="F304" s="259"/>
      <c r="G304" s="260"/>
    </row>
    <row r="305" spans="1:7" x14ac:dyDescent="0.25">
      <c r="A305" s="260"/>
      <c r="B305" s="262"/>
      <c r="C305" s="260"/>
      <c r="D305" s="259"/>
      <c r="E305" s="259"/>
      <c r="F305" s="259"/>
      <c r="G305" s="260"/>
    </row>
    <row r="306" spans="1:7" x14ac:dyDescent="0.25">
      <c r="A306" s="260"/>
      <c r="B306" s="262"/>
      <c r="C306" s="260"/>
      <c r="D306" s="259"/>
      <c r="E306" s="259"/>
      <c r="F306" s="259"/>
      <c r="G306" s="260"/>
    </row>
    <row r="307" spans="1:7" x14ac:dyDescent="0.25">
      <c r="A307" s="260"/>
      <c r="B307" s="262"/>
      <c r="C307" s="260"/>
      <c r="D307" s="259"/>
      <c r="E307" s="259"/>
      <c r="F307" s="259"/>
      <c r="G307" s="260"/>
    </row>
    <row r="308" spans="1:7" x14ac:dyDescent="0.25">
      <c r="A308" s="260"/>
      <c r="B308" s="262"/>
      <c r="C308" s="260"/>
      <c r="D308" s="259"/>
      <c r="E308" s="259"/>
      <c r="F308" s="259"/>
      <c r="G308" s="260"/>
    </row>
    <row r="309" spans="1:7" x14ac:dyDescent="0.25">
      <c r="A309" s="260"/>
      <c r="B309" s="262"/>
      <c r="C309" s="260"/>
      <c r="D309" s="259"/>
      <c r="E309" s="259"/>
      <c r="F309" s="259"/>
      <c r="G309" s="260"/>
    </row>
    <row r="310" spans="1:7" x14ac:dyDescent="0.25">
      <c r="A310" s="260"/>
      <c r="B310" s="262"/>
      <c r="C310" s="260"/>
      <c r="D310" s="259"/>
      <c r="E310" s="259"/>
      <c r="F310" s="259"/>
      <c r="G310" s="260"/>
    </row>
    <row r="311" spans="1:7" x14ac:dyDescent="0.25">
      <c r="A311" s="260"/>
      <c r="B311" s="262"/>
      <c r="C311" s="260"/>
      <c r="D311" s="259"/>
      <c r="E311" s="259"/>
      <c r="F311" s="259"/>
      <c r="G311" s="260"/>
    </row>
    <row r="312" spans="1:7" x14ac:dyDescent="0.25">
      <c r="A312" s="260"/>
      <c r="B312" s="262"/>
      <c r="C312" s="260"/>
      <c r="D312" s="259"/>
      <c r="E312" s="259"/>
      <c r="F312" s="259"/>
      <c r="G312" s="260"/>
    </row>
    <row r="313" spans="1:7" x14ac:dyDescent="0.25">
      <c r="A313" s="260"/>
      <c r="B313" s="262"/>
      <c r="C313" s="260"/>
      <c r="D313" s="259"/>
      <c r="E313" s="259"/>
      <c r="F313" s="259"/>
      <c r="G313" s="260"/>
    </row>
    <row r="314" spans="1:7" x14ac:dyDescent="0.25">
      <c r="A314" s="260"/>
      <c r="B314" s="262"/>
      <c r="C314" s="260"/>
      <c r="D314" s="259"/>
      <c r="E314" s="259"/>
      <c r="F314" s="259"/>
      <c r="G314" s="260"/>
    </row>
    <row r="315" spans="1:7" x14ac:dyDescent="0.25">
      <c r="A315" s="260"/>
      <c r="B315" s="262"/>
      <c r="C315" s="260"/>
      <c r="D315" s="259"/>
      <c r="E315" s="259"/>
      <c r="F315" s="259"/>
      <c r="G315" s="260"/>
    </row>
    <row r="316" spans="1:7" x14ac:dyDescent="0.25">
      <c r="A316" s="260"/>
      <c r="B316" s="262"/>
      <c r="C316" s="260"/>
      <c r="D316" s="259"/>
      <c r="E316" s="259"/>
      <c r="F316" s="259"/>
      <c r="G316" s="260"/>
    </row>
    <row r="317" spans="1:7" x14ac:dyDescent="0.25">
      <c r="A317" s="260"/>
      <c r="B317" s="262"/>
      <c r="C317" s="260"/>
      <c r="D317" s="259"/>
      <c r="E317" s="259"/>
      <c r="F317" s="259"/>
    </row>
    <row r="318" spans="1:7" x14ac:dyDescent="0.25">
      <c r="A318" s="260"/>
      <c r="B318" s="262"/>
      <c r="C318" s="260"/>
      <c r="D318" s="259"/>
      <c r="E318" s="259"/>
      <c r="F318" s="259"/>
    </row>
    <row r="319" spans="1:7" x14ac:dyDescent="0.25">
      <c r="A319" s="260"/>
      <c r="B319" s="262"/>
      <c r="C319" s="260"/>
      <c r="D319" s="259"/>
      <c r="E319" s="259"/>
      <c r="F319" s="259"/>
    </row>
    <row r="320" spans="1:7" x14ac:dyDescent="0.25">
      <c r="A320" s="260"/>
      <c r="B320" s="262"/>
      <c r="C320" s="260"/>
      <c r="D320" s="259"/>
      <c r="E320" s="259"/>
      <c r="F320" s="259"/>
    </row>
    <row r="321" spans="1:6" x14ac:dyDescent="0.25">
      <c r="A321" s="260"/>
      <c r="B321" s="262"/>
      <c r="C321" s="260"/>
      <c r="D321" s="259"/>
      <c r="E321" s="259"/>
      <c r="F321" s="259"/>
    </row>
    <row r="322" spans="1:6" x14ac:dyDescent="0.25">
      <c r="A322" s="260"/>
      <c r="B322" s="262"/>
      <c r="C322" s="260"/>
      <c r="D322" s="259"/>
      <c r="E322" s="259"/>
      <c r="F322" s="259"/>
    </row>
    <row r="323" spans="1:6" x14ac:dyDescent="0.25">
      <c r="A323" s="260"/>
      <c r="B323" s="262"/>
      <c r="C323" s="260"/>
      <c r="D323" s="259"/>
      <c r="E323" s="259"/>
      <c r="F323" s="259"/>
    </row>
  </sheetData>
  <mergeCells count="7">
    <mergeCell ref="A2:F2"/>
    <mergeCell ref="B8:B9"/>
    <mergeCell ref="G8:G9"/>
    <mergeCell ref="D8:E8"/>
    <mergeCell ref="A8:A9"/>
    <mergeCell ref="C8:C9"/>
    <mergeCell ref="F8:F9"/>
  </mergeCells>
  <hyperlinks>
    <hyperlink ref="G1" location="'Tổng hợp'!A1" display="TH" xr:uid="{00000000-0004-0000-0200-000000000000}"/>
  </hyperlink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6"/>
  <sheetViews>
    <sheetView workbookViewId="0">
      <selection activeCell="G1" sqref="G1"/>
    </sheetView>
  </sheetViews>
  <sheetFormatPr defaultRowHeight="15" x14ac:dyDescent="0.25"/>
  <cols>
    <col min="2" max="2" width="16.140625" style="251" customWidth="1"/>
    <col min="3" max="3" width="23" customWidth="1"/>
    <col min="4" max="4" width="19.85546875" style="2" customWidth="1"/>
    <col min="5" max="5" width="15" style="2" customWidth="1"/>
    <col min="6" max="6" width="13.28515625" style="2" customWidth="1"/>
  </cols>
  <sheetData>
    <row r="1" spans="1:7" x14ac:dyDescent="0.25"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" t="s">
        <v>23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601493208</v>
      </c>
    </row>
    <row r="6" spans="1:7" x14ac:dyDescent="0.25">
      <c r="E6" s="2" t="s">
        <v>11</v>
      </c>
      <c r="F6" s="2">
        <f>SUM(E10:E68)</f>
        <v>601493208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3" t="s">
        <v>6</v>
      </c>
      <c r="E9" s="263" t="s">
        <v>7</v>
      </c>
      <c r="F9" s="415"/>
    </row>
    <row r="10" spans="1:7" x14ac:dyDescent="0.25">
      <c r="A10" s="262">
        <v>1</v>
      </c>
      <c r="B10" s="261">
        <v>43778</v>
      </c>
      <c r="C10" s="260" t="s">
        <v>256</v>
      </c>
      <c r="D10" s="259">
        <v>31282450</v>
      </c>
      <c r="E10" s="259"/>
      <c r="F10" s="259"/>
    </row>
    <row r="11" spans="1:7" x14ac:dyDescent="0.25">
      <c r="A11" s="262">
        <v>2</v>
      </c>
      <c r="B11" s="261">
        <v>43656</v>
      </c>
      <c r="C11" s="260" t="s">
        <v>286</v>
      </c>
      <c r="D11" s="259"/>
      <c r="E11" s="259">
        <v>31282450</v>
      </c>
      <c r="F11" s="259"/>
    </row>
    <row r="12" spans="1:7" x14ac:dyDescent="0.25">
      <c r="A12" s="262">
        <v>3</v>
      </c>
      <c r="B12" s="262" t="s">
        <v>369</v>
      </c>
      <c r="C12" s="260" t="s">
        <v>372</v>
      </c>
      <c r="D12" s="259">
        <v>34553550</v>
      </c>
      <c r="E12" s="259"/>
      <c r="F12" s="259"/>
    </row>
    <row r="13" spans="1:7" x14ac:dyDescent="0.25">
      <c r="A13" s="262">
        <v>4</v>
      </c>
      <c r="B13" s="261">
        <v>44044</v>
      </c>
      <c r="C13" s="260" t="s">
        <v>382</v>
      </c>
      <c r="D13" s="259">
        <v>31258150</v>
      </c>
      <c r="E13" s="259"/>
      <c r="F13" s="259"/>
    </row>
    <row r="14" spans="1:7" x14ac:dyDescent="0.25">
      <c r="A14" s="262">
        <v>5</v>
      </c>
      <c r="B14" s="262" t="s">
        <v>397</v>
      </c>
      <c r="C14" s="260" t="s">
        <v>286</v>
      </c>
      <c r="D14" s="259"/>
      <c r="E14" s="259">
        <v>65811700</v>
      </c>
      <c r="F14" s="259"/>
    </row>
    <row r="15" spans="1:7" x14ac:dyDescent="0.25">
      <c r="A15" s="262">
        <v>6</v>
      </c>
      <c r="B15" s="262" t="s">
        <v>428</v>
      </c>
      <c r="C15" s="260" t="s">
        <v>427</v>
      </c>
      <c r="D15" s="259">
        <v>38734500</v>
      </c>
      <c r="E15" s="259"/>
      <c r="F15" s="259"/>
    </row>
    <row r="16" spans="1:7" x14ac:dyDescent="0.25">
      <c r="A16" s="262">
        <v>7</v>
      </c>
      <c r="B16" s="262" t="s">
        <v>444</v>
      </c>
      <c r="C16" s="260" t="s">
        <v>286</v>
      </c>
      <c r="D16" s="259"/>
      <c r="E16" s="259">
        <v>38734500</v>
      </c>
      <c r="F16" s="259"/>
    </row>
    <row r="17" spans="1:6" x14ac:dyDescent="0.25">
      <c r="A17" s="262">
        <v>8</v>
      </c>
      <c r="B17" s="261">
        <v>44124</v>
      </c>
      <c r="C17" s="260" t="s">
        <v>646</v>
      </c>
      <c r="D17" s="259">
        <v>25569950</v>
      </c>
      <c r="E17" s="259"/>
      <c r="F17" s="259"/>
    </row>
    <row r="18" spans="1:6" x14ac:dyDescent="0.25">
      <c r="A18" s="262">
        <v>9</v>
      </c>
      <c r="B18" s="261">
        <v>44140</v>
      </c>
      <c r="C18" s="260" t="s">
        <v>286</v>
      </c>
      <c r="D18" s="259"/>
      <c r="E18" s="259">
        <v>25569950</v>
      </c>
      <c r="F18" s="259"/>
    </row>
    <row r="19" spans="1:6" x14ac:dyDescent="0.25">
      <c r="A19" s="262">
        <v>10</v>
      </c>
      <c r="B19" s="261">
        <v>44352</v>
      </c>
      <c r="C19" s="260" t="s">
        <v>842</v>
      </c>
      <c r="D19" s="259">
        <v>5021006</v>
      </c>
      <c r="E19" s="259"/>
      <c r="F19" s="259"/>
    </row>
    <row r="20" spans="1:6" x14ac:dyDescent="0.25">
      <c r="A20" s="262">
        <v>11</v>
      </c>
      <c r="B20" s="261">
        <v>44354</v>
      </c>
      <c r="C20" s="260" t="s">
        <v>843</v>
      </c>
      <c r="D20" s="259">
        <v>200000</v>
      </c>
      <c r="E20" s="259"/>
      <c r="F20" s="259"/>
    </row>
    <row r="21" spans="1:6" x14ac:dyDescent="0.25">
      <c r="A21" s="262">
        <v>12</v>
      </c>
      <c r="B21" s="261">
        <v>44354</v>
      </c>
      <c r="C21" s="260" t="s">
        <v>286</v>
      </c>
      <c r="D21" s="259"/>
      <c r="E21" s="259">
        <v>5221006</v>
      </c>
      <c r="F21" s="259"/>
    </row>
    <row r="22" spans="1:6" x14ac:dyDescent="0.25">
      <c r="A22" s="262">
        <v>13</v>
      </c>
      <c r="B22" s="261">
        <v>44615</v>
      </c>
      <c r="C22" s="260" t="s">
        <v>1067</v>
      </c>
      <c r="D22" s="259">
        <v>66037200</v>
      </c>
      <c r="E22" s="259"/>
      <c r="F22" s="259"/>
    </row>
    <row r="23" spans="1:6" x14ac:dyDescent="0.25">
      <c r="A23" s="262">
        <v>14</v>
      </c>
      <c r="B23" s="261">
        <v>44650</v>
      </c>
      <c r="C23" s="260" t="s">
        <v>286</v>
      </c>
      <c r="D23" s="259"/>
      <c r="E23" s="259">
        <v>66037200</v>
      </c>
      <c r="F23" s="259"/>
    </row>
    <row r="24" spans="1:6" x14ac:dyDescent="0.25">
      <c r="A24" s="262">
        <v>15</v>
      </c>
      <c r="B24" s="261">
        <v>44705</v>
      </c>
      <c r="C24" s="260" t="s">
        <v>1127</v>
      </c>
      <c r="D24" s="259">
        <v>43148450</v>
      </c>
      <c r="E24" s="259"/>
      <c r="F24" s="259"/>
    </row>
    <row r="25" spans="1:6" x14ac:dyDescent="0.25">
      <c r="A25" s="262">
        <v>16</v>
      </c>
      <c r="B25" s="261">
        <v>44714</v>
      </c>
      <c r="C25" s="260" t="s">
        <v>1139</v>
      </c>
      <c r="D25" s="259">
        <v>23174604</v>
      </c>
      <c r="E25" s="259"/>
      <c r="F25" s="259"/>
    </row>
    <row r="26" spans="1:6" x14ac:dyDescent="0.25">
      <c r="A26" s="262">
        <v>17</v>
      </c>
      <c r="B26" s="261">
        <v>44718</v>
      </c>
      <c r="C26" s="260" t="s">
        <v>286</v>
      </c>
      <c r="D26" s="259"/>
      <c r="E26" s="259">
        <v>66323054</v>
      </c>
      <c r="F26" s="259"/>
    </row>
    <row r="27" spans="1:6" x14ac:dyDescent="0.25">
      <c r="A27" s="262">
        <v>18</v>
      </c>
      <c r="B27" s="261">
        <v>44747</v>
      </c>
      <c r="C27" s="260" t="s">
        <v>1173</v>
      </c>
      <c r="D27" s="259">
        <v>62029950</v>
      </c>
      <c r="E27" s="259"/>
      <c r="F27" s="259"/>
    </row>
    <row r="28" spans="1:6" x14ac:dyDescent="0.25">
      <c r="A28" s="262">
        <v>19</v>
      </c>
      <c r="B28" s="261">
        <v>44761</v>
      </c>
      <c r="C28" s="260" t="s">
        <v>286</v>
      </c>
      <c r="D28" s="259"/>
      <c r="E28" s="259">
        <v>62029950</v>
      </c>
      <c r="F28" s="259"/>
    </row>
    <row r="29" spans="1:6" x14ac:dyDescent="0.25">
      <c r="A29" s="262">
        <v>20</v>
      </c>
      <c r="B29" s="261">
        <v>44848</v>
      </c>
      <c r="C29" s="260" t="s">
        <v>1251</v>
      </c>
      <c r="D29" s="259">
        <v>41442383</v>
      </c>
      <c r="E29" s="259"/>
      <c r="F29" s="259"/>
    </row>
    <row r="30" spans="1:6" x14ac:dyDescent="0.25">
      <c r="A30" s="262">
        <v>21</v>
      </c>
      <c r="B30" s="261">
        <v>44872</v>
      </c>
      <c r="C30" s="260" t="s">
        <v>286</v>
      </c>
      <c r="D30" s="259"/>
      <c r="E30" s="259">
        <v>41442383</v>
      </c>
      <c r="F30" s="259"/>
    </row>
    <row r="31" spans="1:6" x14ac:dyDescent="0.25">
      <c r="A31" s="262">
        <v>22</v>
      </c>
      <c r="B31" s="261">
        <v>45022</v>
      </c>
      <c r="C31" s="260" t="s">
        <v>1436</v>
      </c>
      <c r="D31" s="259">
        <v>42730460</v>
      </c>
      <c r="E31" s="259"/>
      <c r="F31" s="259"/>
    </row>
    <row r="32" spans="1:6" x14ac:dyDescent="0.25">
      <c r="A32" s="262">
        <v>23</v>
      </c>
      <c r="B32" s="261"/>
      <c r="C32" s="260" t="s">
        <v>286</v>
      </c>
      <c r="D32" s="259"/>
      <c r="E32" s="259">
        <v>42730460</v>
      </c>
      <c r="F32" s="259"/>
    </row>
    <row r="33" spans="1:6" x14ac:dyDescent="0.25">
      <c r="A33" s="262">
        <v>24</v>
      </c>
      <c r="B33" s="261">
        <v>45068</v>
      </c>
      <c r="C33" s="260" t="s">
        <v>1478</v>
      </c>
      <c r="D33" s="259">
        <v>43448895</v>
      </c>
      <c r="E33" s="259"/>
      <c r="F33" s="259"/>
    </row>
    <row r="34" spans="1:6" x14ac:dyDescent="0.25">
      <c r="A34" s="262">
        <v>25</v>
      </c>
      <c r="B34" s="261">
        <v>45072</v>
      </c>
      <c r="C34" s="260" t="s">
        <v>286</v>
      </c>
      <c r="D34" s="259"/>
      <c r="E34" s="259">
        <v>43448895</v>
      </c>
      <c r="F34" s="259"/>
    </row>
    <row r="35" spans="1:6" x14ac:dyDescent="0.25">
      <c r="A35" s="262">
        <v>26</v>
      </c>
      <c r="B35" s="261">
        <v>45377</v>
      </c>
      <c r="C35" s="260" t="s">
        <v>1738</v>
      </c>
      <c r="D35" s="259">
        <v>37182300</v>
      </c>
      <c r="E35" s="259"/>
      <c r="F35" s="259"/>
    </row>
    <row r="36" spans="1:6" x14ac:dyDescent="0.25">
      <c r="A36" s="262">
        <v>27</v>
      </c>
      <c r="B36" s="261">
        <v>45387</v>
      </c>
      <c r="C36" s="260" t="s">
        <v>286</v>
      </c>
      <c r="D36" s="259"/>
      <c r="E36" s="259">
        <v>37182300</v>
      </c>
      <c r="F36" s="259"/>
    </row>
    <row r="37" spans="1:6" x14ac:dyDescent="0.25">
      <c r="A37" s="262">
        <v>28</v>
      </c>
      <c r="B37" s="261">
        <v>45405</v>
      </c>
      <c r="C37" s="260" t="s">
        <v>1779</v>
      </c>
      <c r="D37" s="259">
        <v>31460160</v>
      </c>
      <c r="E37" s="259"/>
      <c r="F37" s="259"/>
    </row>
    <row r="38" spans="1:6" x14ac:dyDescent="0.25">
      <c r="A38" s="262">
        <v>29</v>
      </c>
      <c r="B38" s="261">
        <v>45414</v>
      </c>
      <c r="C38" s="260" t="s">
        <v>286</v>
      </c>
      <c r="D38" s="259"/>
      <c r="E38" s="259">
        <v>31460160</v>
      </c>
      <c r="F38" s="259"/>
    </row>
    <row r="39" spans="1:6" x14ac:dyDescent="0.25">
      <c r="A39" s="262">
        <v>30</v>
      </c>
      <c r="B39" s="261">
        <v>45553</v>
      </c>
      <c r="C39" s="260" t="s">
        <v>1868</v>
      </c>
      <c r="D39" s="259">
        <v>44219200</v>
      </c>
      <c r="E39" s="259"/>
      <c r="F39" s="259"/>
    </row>
    <row r="40" spans="1:6" x14ac:dyDescent="0.25">
      <c r="A40" s="262">
        <v>31</v>
      </c>
      <c r="B40" s="261">
        <v>45573</v>
      </c>
      <c r="C40" s="260" t="s">
        <v>286</v>
      </c>
      <c r="D40" s="259"/>
      <c r="E40" s="259">
        <v>44219200</v>
      </c>
      <c r="F40" s="259"/>
    </row>
    <row r="41" spans="1:6" x14ac:dyDescent="0.25">
      <c r="A41" s="262">
        <v>32</v>
      </c>
      <c r="B41" s="261"/>
      <c r="C41" s="260"/>
      <c r="D41" s="259"/>
      <c r="E41" s="259"/>
      <c r="F41" s="259"/>
    </row>
    <row r="42" spans="1:6" x14ac:dyDescent="0.25">
      <c r="A42" s="262">
        <v>33</v>
      </c>
      <c r="B42" s="261"/>
      <c r="C42" s="260"/>
      <c r="D42" s="259"/>
      <c r="E42" s="259"/>
      <c r="F42" s="259"/>
    </row>
    <row r="43" spans="1:6" x14ac:dyDescent="0.25">
      <c r="A43" s="262">
        <v>34</v>
      </c>
      <c r="B43" s="261"/>
      <c r="C43" s="260"/>
      <c r="D43" s="259"/>
      <c r="E43" s="259"/>
      <c r="F43" s="259"/>
    </row>
    <row r="44" spans="1:6" x14ac:dyDescent="0.25">
      <c r="A44" s="262">
        <v>35</v>
      </c>
      <c r="B44" s="261"/>
      <c r="C44" s="260"/>
      <c r="D44" s="259"/>
      <c r="E44" s="259"/>
      <c r="F44" s="259"/>
    </row>
    <row r="45" spans="1:6" x14ac:dyDescent="0.25">
      <c r="A45" s="260"/>
      <c r="B45" s="261"/>
      <c r="C45" s="260"/>
      <c r="D45" s="259"/>
      <c r="E45" s="259"/>
      <c r="F45" s="259"/>
    </row>
    <row r="46" spans="1:6" x14ac:dyDescent="0.25">
      <c r="A46" s="260"/>
      <c r="B46" s="261"/>
      <c r="C46" s="260"/>
      <c r="D46" s="259"/>
      <c r="E46" s="259"/>
      <c r="F46" s="259"/>
    </row>
    <row r="47" spans="1:6" x14ac:dyDescent="0.25">
      <c r="A47" s="260"/>
      <c r="B47" s="261"/>
      <c r="C47" s="260"/>
      <c r="D47" s="259"/>
      <c r="E47" s="259"/>
      <c r="F47" s="259"/>
    </row>
    <row r="48" spans="1:6" x14ac:dyDescent="0.25">
      <c r="A48" s="260"/>
      <c r="B48" s="261"/>
      <c r="C48" s="260"/>
      <c r="D48" s="259"/>
      <c r="E48" s="259"/>
      <c r="F48" s="259"/>
    </row>
    <row r="49" spans="1:6" x14ac:dyDescent="0.25">
      <c r="A49" s="260"/>
      <c r="B49" s="261"/>
      <c r="C49" s="260"/>
      <c r="D49" s="259"/>
      <c r="E49" s="259"/>
      <c r="F49" s="259"/>
    </row>
    <row r="50" spans="1:6" x14ac:dyDescent="0.25">
      <c r="A50" s="260"/>
      <c r="B50" s="261"/>
      <c r="C50" s="260"/>
      <c r="D50" s="259"/>
      <c r="E50" s="259"/>
      <c r="F50" s="259"/>
    </row>
    <row r="51" spans="1:6" x14ac:dyDescent="0.25">
      <c r="A51" s="260"/>
      <c r="B51" s="261"/>
      <c r="C51" s="260"/>
      <c r="D51" s="259"/>
      <c r="E51" s="259"/>
      <c r="F51" s="259"/>
    </row>
    <row r="52" spans="1:6" x14ac:dyDescent="0.25">
      <c r="A52" s="260"/>
      <c r="B52" s="262"/>
      <c r="C52" s="260"/>
      <c r="D52" s="259"/>
      <c r="E52" s="259"/>
      <c r="F52" s="259"/>
    </row>
    <row r="53" spans="1:6" x14ac:dyDescent="0.25">
      <c r="A53" s="260"/>
      <c r="B53" s="262"/>
      <c r="C53" s="260"/>
      <c r="D53" s="259"/>
      <c r="E53" s="259"/>
      <c r="F53" s="259"/>
    </row>
    <row r="54" spans="1:6" x14ac:dyDescent="0.25">
      <c r="A54" s="260"/>
      <c r="B54" s="262"/>
      <c r="C54" s="260"/>
      <c r="D54" s="259"/>
      <c r="E54" s="259"/>
      <c r="F54" s="259"/>
    </row>
    <row r="55" spans="1:6" x14ac:dyDescent="0.25">
      <c r="A55" s="260"/>
      <c r="B55" s="262"/>
      <c r="C55" s="260"/>
      <c r="D55" s="259"/>
      <c r="E55" s="259"/>
      <c r="F55" s="259"/>
    </row>
    <row r="56" spans="1:6" x14ac:dyDescent="0.25">
      <c r="A56" s="260"/>
      <c r="B56" s="262"/>
      <c r="C56" s="260"/>
      <c r="D56" s="259"/>
      <c r="E56" s="259"/>
      <c r="F56" s="259"/>
    </row>
    <row r="57" spans="1:6" x14ac:dyDescent="0.25">
      <c r="A57" s="260"/>
      <c r="B57" s="262"/>
      <c r="C57" s="260"/>
      <c r="D57" s="259"/>
      <c r="E57" s="259"/>
      <c r="F57" s="259"/>
    </row>
    <row r="58" spans="1:6" x14ac:dyDescent="0.25">
      <c r="A58" s="260"/>
      <c r="B58" s="262"/>
      <c r="C58" s="260"/>
      <c r="D58" s="259"/>
      <c r="E58" s="259"/>
      <c r="F58" s="259"/>
    </row>
    <row r="59" spans="1:6" x14ac:dyDescent="0.25">
      <c r="A59" s="260"/>
      <c r="B59" s="262"/>
      <c r="C59" s="260"/>
      <c r="D59" s="259"/>
      <c r="E59" s="259"/>
      <c r="F59" s="259"/>
    </row>
    <row r="60" spans="1:6" x14ac:dyDescent="0.25">
      <c r="A60" s="260"/>
      <c r="B60" s="262"/>
      <c r="C60" s="260"/>
      <c r="D60" s="259"/>
      <c r="E60" s="259"/>
      <c r="F60" s="259"/>
    </row>
    <row r="61" spans="1:6" x14ac:dyDescent="0.25">
      <c r="A61" s="260"/>
      <c r="B61" s="262"/>
      <c r="C61" s="260"/>
      <c r="D61" s="259"/>
      <c r="E61" s="259"/>
      <c r="F61" s="259"/>
    </row>
    <row r="62" spans="1:6" x14ac:dyDescent="0.25">
      <c r="A62" s="260"/>
      <c r="B62" s="262"/>
      <c r="C62" s="260"/>
      <c r="D62" s="259"/>
      <c r="E62" s="259"/>
      <c r="F62" s="259"/>
    </row>
    <row r="63" spans="1:6" x14ac:dyDescent="0.25">
      <c r="A63" s="260"/>
      <c r="B63" s="262"/>
      <c r="C63" s="260"/>
      <c r="D63" s="259"/>
      <c r="E63" s="259"/>
      <c r="F63" s="259"/>
    </row>
    <row r="64" spans="1:6" x14ac:dyDescent="0.25">
      <c r="A64" s="260"/>
      <c r="B64" s="262"/>
      <c r="C64" s="260"/>
      <c r="D64" s="259"/>
      <c r="E64" s="259"/>
      <c r="F64" s="259"/>
    </row>
    <row r="65" spans="1:6" x14ac:dyDescent="0.25">
      <c r="A65" s="260"/>
      <c r="B65" s="262"/>
      <c r="C65" s="260"/>
      <c r="D65" s="259"/>
      <c r="E65" s="259"/>
      <c r="F65" s="259"/>
    </row>
    <row r="66" spans="1:6" x14ac:dyDescent="0.25">
      <c r="A66" s="260"/>
      <c r="B66" s="262"/>
      <c r="C66" s="260"/>
      <c r="D66" s="259"/>
      <c r="E66" s="259"/>
      <c r="F66" s="259"/>
    </row>
    <row r="67" spans="1:6" x14ac:dyDescent="0.25">
      <c r="A67" s="260"/>
      <c r="B67" s="262"/>
      <c r="C67" s="260"/>
      <c r="D67" s="259"/>
      <c r="E67" s="259"/>
      <c r="F67" s="259"/>
    </row>
    <row r="68" spans="1:6" x14ac:dyDescent="0.25">
      <c r="A68" s="260"/>
      <c r="B68" s="262"/>
      <c r="C68" s="260"/>
      <c r="D68" s="259"/>
      <c r="E68" s="259"/>
      <c r="F68" s="259"/>
    </row>
    <row r="69" spans="1:6" x14ac:dyDescent="0.25">
      <c r="A69" s="260"/>
      <c r="B69" s="262"/>
      <c r="C69" s="260"/>
      <c r="D69" s="259"/>
      <c r="E69" s="259"/>
      <c r="F69" s="259"/>
    </row>
    <row r="70" spans="1:6" x14ac:dyDescent="0.25">
      <c r="A70" s="260"/>
      <c r="B70" s="262"/>
      <c r="C70" s="260"/>
      <c r="D70" s="259"/>
      <c r="E70" s="259"/>
      <c r="F70" s="259"/>
    </row>
    <row r="71" spans="1:6" x14ac:dyDescent="0.25">
      <c r="A71" s="260"/>
      <c r="B71" s="262"/>
      <c r="C71" s="260"/>
      <c r="D71" s="259"/>
      <c r="E71" s="259"/>
      <c r="F71" s="259"/>
    </row>
    <row r="72" spans="1:6" x14ac:dyDescent="0.25">
      <c r="A72" s="260"/>
      <c r="B72" s="262"/>
      <c r="C72" s="260"/>
      <c r="D72" s="259"/>
      <c r="E72" s="259"/>
      <c r="F72" s="259"/>
    </row>
    <row r="73" spans="1:6" x14ac:dyDescent="0.25">
      <c r="A73" s="260"/>
      <c r="B73" s="262"/>
      <c r="C73" s="260"/>
      <c r="D73" s="259"/>
      <c r="E73" s="259"/>
      <c r="F73" s="259"/>
    </row>
    <row r="74" spans="1:6" x14ac:dyDescent="0.25">
      <c r="A74" s="260"/>
      <c r="B74" s="262"/>
      <c r="C74" s="260"/>
      <c r="D74" s="259"/>
      <c r="E74" s="259"/>
      <c r="F74" s="259"/>
    </row>
    <row r="75" spans="1:6" x14ac:dyDescent="0.25">
      <c r="A75" s="260"/>
      <c r="B75" s="262"/>
      <c r="C75" s="260"/>
      <c r="D75" s="259"/>
      <c r="E75" s="259"/>
      <c r="F75" s="259"/>
    </row>
    <row r="76" spans="1:6" x14ac:dyDescent="0.25">
      <c r="A76" s="260"/>
      <c r="B76" s="262"/>
      <c r="C76" s="260"/>
      <c r="D76" s="259"/>
      <c r="E76" s="259"/>
      <c r="F76" s="259"/>
    </row>
    <row r="77" spans="1:6" x14ac:dyDescent="0.25">
      <c r="A77" s="260"/>
      <c r="B77" s="262"/>
      <c r="C77" s="260"/>
      <c r="D77" s="259"/>
      <c r="E77" s="259"/>
      <c r="F77" s="259"/>
    </row>
    <row r="78" spans="1:6" x14ac:dyDescent="0.25">
      <c r="A78" s="260"/>
      <c r="B78" s="262"/>
      <c r="C78" s="260"/>
      <c r="D78" s="259"/>
      <c r="E78" s="259"/>
      <c r="F78" s="259"/>
    </row>
    <row r="79" spans="1:6" x14ac:dyDescent="0.25">
      <c r="A79" s="260"/>
      <c r="B79" s="262"/>
      <c r="C79" s="260"/>
      <c r="D79" s="259"/>
      <c r="E79" s="259"/>
      <c r="F79" s="259"/>
    </row>
    <row r="80" spans="1:6" x14ac:dyDescent="0.25">
      <c r="A80" s="260"/>
      <c r="B80" s="262"/>
      <c r="C80" s="260"/>
      <c r="D80" s="259"/>
      <c r="E80" s="259"/>
      <c r="F80" s="259"/>
    </row>
    <row r="81" spans="1:6" x14ac:dyDescent="0.25">
      <c r="A81" s="260"/>
      <c r="B81" s="262"/>
      <c r="C81" s="260"/>
      <c r="D81" s="259"/>
      <c r="E81" s="259"/>
      <c r="F81" s="259"/>
    </row>
    <row r="82" spans="1:6" x14ac:dyDescent="0.25">
      <c r="A82" s="260"/>
      <c r="B82" s="262"/>
      <c r="C82" s="260"/>
      <c r="D82" s="259"/>
      <c r="E82" s="259"/>
      <c r="F82" s="259"/>
    </row>
    <row r="83" spans="1:6" x14ac:dyDescent="0.25">
      <c r="A83" s="260"/>
      <c r="B83" s="262"/>
      <c r="C83" s="260"/>
      <c r="D83" s="259"/>
      <c r="E83" s="259"/>
      <c r="F83" s="259"/>
    </row>
    <row r="84" spans="1:6" x14ac:dyDescent="0.25">
      <c r="A84" s="260"/>
      <c r="B84" s="262"/>
      <c r="C84" s="260"/>
      <c r="D84" s="259"/>
      <c r="E84" s="259"/>
      <c r="F84" s="259"/>
    </row>
    <row r="85" spans="1:6" x14ac:dyDescent="0.25">
      <c r="A85" s="260"/>
      <c r="B85" s="262"/>
      <c r="C85" s="260"/>
      <c r="D85" s="259"/>
      <c r="E85" s="259"/>
      <c r="F85" s="259"/>
    </row>
    <row r="86" spans="1:6" x14ac:dyDescent="0.25">
      <c r="A86" s="260"/>
      <c r="B86" s="262"/>
      <c r="C86" s="260"/>
      <c r="D86" s="259"/>
      <c r="E86" s="259"/>
      <c r="F86" s="259"/>
    </row>
    <row r="87" spans="1:6" x14ac:dyDescent="0.25">
      <c r="A87" s="260"/>
      <c r="B87" s="262"/>
      <c r="C87" s="260"/>
      <c r="D87" s="259"/>
      <c r="E87" s="259"/>
      <c r="F87" s="259"/>
    </row>
    <row r="88" spans="1:6" x14ac:dyDescent="0.25">
      <c r="A88" s="260"/>
      <c r="B88" s="262"/>
      <c r="C88" s="260"/>
      <c r="D88" s="259"/>
      <c r="E88" s="259"/>
      <c r="F88" s="259"/>
    </row>
    <row r="89" spans="1:6" x14ac:dyDescent="0.25">
      <c r="A89" s="260"/>
      <c r="B89" s="262"/>
      <c r="C89" s="260"/>
      <c r="D89" s="259"/>
      <c r="E89" s="259"/>
      <c r="F89" s="259"/>
    </row>
    <row r="90" spans="1:6" x14ac:dyDescent="0.25">
      <c r="A90" s="260"/>
      <c r="B90" s="262"/>
      <c r="C90" s="260"/>
      <c r="D90" s="259"/>
      <c r="E90" s="259"/>
      <c r="F90" s="259"/>
    </row>
    <row r="91" spans="1:6" x14ac:dyDescent="0.25">
      <c r="A91" s="260"/>
      <c r="B91" s="262"/>
      <c r="C91" s="260"/>
      <c r="D91" s="259"/>
      <c r="E91" s="259"/>
      <c r="F91" s="259"/>
    </row>
    <row r="92" spans="1:6" x14ac:dyDescent="0.25">
      <c r="A92" s="260"/>
      <c r="B92" s="262"/>
      <c r="C92" s="260"/>
      <c r="D92" s="259"/>
      <c r="E92" s="259"/>
      <c r="F92" s="259"/>
    </row>
    <row r="93" spans="1:6" x14ac:dyDescent="0.25">
      <c r="A93" s="260"/>
      <c r="B93" s="262"/>
      <c r="C93" s="260"/>
      <c r="D93" s="259"/>
      <c r="E93" s="259"/>
      <c r="F93" s="259"/>
    </row>
    <row r="94" spans="1:6" x14ac:dyDescent="0.25">
      <c r="A94" s="260"/>
      <c r="B94" s="262"/>
      <c r="C94" s="260"/>
      <c r="D94" s="259"/>
      <c r="E94" s="259"/>
      <c r="F94" s="259"/>
    </row>
    <row r="95" spans="1:6" x14ac:dyDescent="0.25">
      <c r="A95" s="260"/>
      <c r="B95" s="262"/>
      <c r="C95" s="260"/>
      <c r="D95" s="259"/>
      <c r="E95" s="259"/>
      <c r="F95" s="259"/>
    </row>
    <row r="96" spans="1:6" x14ac:dyDescent="0.25">
      <c r="A96" s="260"/>
      <c r="B96" s="262"/>
      <c r="C96" s="260"/>
      <c r="D96" s="259"/>
      <c r="E96" s="259"/>
      <c r="F96" s="259"/>
    </row>
    <row r="97" spans="1:6" x14ac:dyDescent="0.25">
      <c r="A97" s="260"/>
      <c r="B97" s="262"/>
      <c r="C97" s="260"/>
      <c r="D97" s="259"/>
      <c r="E97" s="259"/>
      <c r="F97" s="259"/>
    </row>
    <row r="98" spans="1:6" x14ac:dyDescent="0.25">
      <c r="A98" s="260"/>
      <c r="B98" s="262"/>
      <c r="C98" s="260"/>
      <c r="D98" s="259"/>
      <c r="E98" s="259"/>
      <c r="F98" s="259"/>
    </row>
    <row r="99" spans="1:6" x14ac:dyDescent="0.25">
      <c r="A99" s="260"/>
      <c r="B99" s="262"/>
      <c r="C99" s="260"/>
      <c r="D99" s="259"/>
      <c r="E99" s="259"/>
      <c r="F99" s="259"/>
    </row>
    <row r="100" spans="1:6" x14ac:dyDescent="0.25">
      <c r="A100" s="260"/>
      <c r="B100" s="262"/>
      <c r="C100" s="260"/>
      <c r="D100" s="259"/>
      <c r="E100" s="259"/>
      <c r="F100" s="259"/>
    </row>
    <row r="101" spans="1:6" x14ac:dyDescent="0.25">
      <c r="A101" s="260"/>
      <c r="B101" s="262"/>
      <c r="C101" s="260"/>
      <c r="D101" s="259"/>
      <c r="E101" s="259"/>
      <c r="F101" s="259"/>
    </row>
    <row r="102" spans="1:6" x14ac:dyDescent="0.25">
      <c r="A102" s="260"/>
      <c r="B102" s="262"/>
      <c r="C102" s="260"/>
      <c r="D102" s="259"/>
      <c r="E102" s="259"/>
      <c r="F102" s="259"/>
    </row>
    <row r="103" spans="1:6" x14ac:dyDescent="0.25">
      <c r="A103" s="260"/>
      <c r="B103" s="262"/>
      <c r="C103" s="260"/>
      <c r="D103" s="259"/>
      <c r="E103" s="259"/>
      <c r="F103" s="259"/>
    </row>
    <row r="104" spans="1:6" x14ac:dyDescent="0.25">
      <c r="A104" s="260"/>
      <c r="B104" s="262"/>
      <c r="C104" s="260"/>
      <c r="D104" s="259"/>
      <c r="E104" s="259"/>
      <c r="F104" s="259"/>
    </row>
    <row r="105" spans="1:6" x14ac:dyDescent="0.25">
      <c r="A105" s="260"/>
      <c r="B105" s="262"/>
      <c r="C105" s="260"/>
      <c r="D105" s="259"/>
      <c r="E105" s="259"/>
      <c r="F105" s="259"/>
    </row>
    <row r="106" spans="1:6" x14ac:dyDescent="0.25">
      <c r="A106" s="260"/>
      <c r="B106" s="262"/>
      <c r="C106" s="260"/>
      <c r="D106" s="259"/>
      <c r="E106" s="259"/>
      <c r="F106" s="259"/>
    </row>
    <row r="107" spans="1:6" x14ac:dyDescent="0.25">
      <c r="A107" s="260"/>
      <c r="B107" s="262"/>
      <c r="C107" s="260"/>
      <c r="D107" s="259"/>
      <c r="E107" s="259"/>
      <c r="F107" s="259"/>
    </row>
    <row r="108" spans="1:6" x14ac:dyDescent="0.25">
      <c r="A108" s="260"/>
      <c r="B108" s="262"/>
      <c r="C108" s="260"/>
      <c r="D108" s="259"/>
      <c r="E108" s="259"/>
      <c r="F108" s="259"/>
    </row>
    <row r="109" spans="1:6" x14ac:dyDescent="0.25">
      <c r="A109" s="260"/>
      <c r="B109" s="262"/>
      <c r="C109" s="260"/>
      <c r="D109" s="259"/>
      <c r="E109" s="259"/>
      <c r="F109" s="259"/>
    </row>
    <row r="110" spans="1:6" x14ac:dyDescent="0.25">
      <c r="A110" s="260"/>
      <c r="B110" s="262"/>
      <c r="C110" s="260"/>
      <c r="D110" s="259"/>
      <c r="E110" s="259"/>
      <c r="F110" s="259"/>
    </row>
    <row r="111" spans="1:6" x14ac:dyDescent="0.25">
      <c r="A111" s="260"/>
      <c r="B111" s="262"/>
      <c r="C111" s="260"/>
      <c r="D111" s="259"/>
      <c r="E111" s="259"/>
      <c r="F111" s="259"/>
    </row>
    <row r="112" spans="1:6" x14ac:dyDescent="0.25">
      <c r="A112" s="260"/>
      <c r="B112" s="262"/>
      <c r="C112" s="260"/>
      <c r="D112" s="259"/>
      <c r="E112" s="259"/>
      <c r="F112" s="259"/>
    </row>
    <row r="113" spans="1:6" x14ac:dyDescent="0.25">
      <c r="A113" s="260"/>
      <c r="B113" s="262"/>
      <c r="C113" s="260"/>
      <c r="D113" s="259"/>
      <c r="E113" s="259"/>
      <c r="F113" s="259"/>
    </row>
    <row r="114" spans="1:6" x14ac:dyDescent="0.25">
      <c r="A114" s="260"/>
      <c r="B114" s="262"/>
      <c r="C114" s="260"/>
      <c r="D114" s="259"/>
      <c r="E114" s="259"/>
      <c r="F114" s="259"/>
    </row>
    <row r="115" spans="1:6" x14ac:dyDescent="0.25">
      <c r="A115" s="260"/>
      <c r="B115" s="262"/>
      <c r="C115" s="260"/>
      <c r="D115" s="259"/>
      <c r="E115" s="259"/>
      <c r="F115" s="259"/>
    </row>
    <row r="116" spans="1:6" x14ac:dyDescent="0.25">
      <c r="A116" s="260"/>
      <c r="B116" s="262"/>
      <c r="C116" s="260"/>
      <c r="D116" s="259"/>
      <c r="E116" s="259"/>
      <c r="F116" s="259"/>
    </row>
    <row r="117" spans="1:6" x14ac:dyDescent="0.25">
      <c r="A117" s="260"/>
      <c r="B117" s="262"/>
      <c r="C117" s="260"/>
      <c r="D117" s="259"/>
      <c r="E117" s="259"/>
      <c r="F117" s="259"/>
    </row>
    <row r="118" spans="1:6" x14ac:dyDescent="0.25">
      <c r="A118" s="260"/>
      <c r="B118" s="262"/>
      <c r="C118" s="260"/>
      <c r="D118" s="259"/>
      <c r="E118" s="259"/>
      <c r="F118" s="259"/>
    </row>
    <row r="119" spans="1:6" x14ac:dyDescent="0.25">
      <c r="A119" s="260"/>
      <c r="B119" s="262"/>
      <c r="C119" s="260"/>
      <c r="D119" s="259"/>
      <c r="E119" s="259"/>
      <c r="F119" s="259"/>
    </row>
    <row r="120" spans="1:6" x14ac:dyDescent="0.25">
      <c r="A120" s="260"/>
      <c r="B120" s="262"/>
      <c r="C120" s="260"/>
      <c r="D120" s="259"/>
      <c r="E120" s="259"/>
      <c r="F120" s="259"/>
    </row>
    <row r="121" spans="1:6" x14ac:dyDescent="0.25">
      <c r="A121" s="260"/>
      <c r="B121" s="262"/>
      <c r="C121" s="260"/>
      <c r="D121" s="259"/>
      <c r="E121" s="259"/>
      <c r="F121" s="259"/>
    </row>
    <row r="122" spans="1:6" x14ac:dyDescent="0.25">
      <c r="A122" s="260"/>
      <c r="B122" s="262"/>
      <c r="C122" s="260"/>
      <c r="D122" s="259"/>
      <c r="E122" s="259"/>
      <c r="F122" s="259"/>
    </row>
    <row r="123" spans="1:6" x14ac:dyDescent="0.25">
      <c r="A123" s="260"/>
      <c r="B123" s="262"/>
      <c r="C123" s="260"/>
      <c r="D123" s="259"/>
      <c r="E123" s="259"/>
      <c r="F123" s="259"/>
    </row>
    <row r="124" spans="1:6" x14ac:dyDescent="0.25">
      <c r="A124" s="260"/>
      <c r="B124" s="262"/>
      <c r="C124" s="260"/>
      <c r="D124" s="259"/>
      <c r="E124" s="259"/>
      <c r="F124" s="259"/>
    </row>
    <row r="125" spans="1:6" x14ac:dyDescent="0.25">
      <c r="A125" s="260"/>
      <c r="B125" s="262"/>
      <c r="C125" s="260"/>
      <c r="D125" s="259"/>
      <c r="E125" s="259"/>
      <c r="F125" s="259"/>
    </row>
    <row r="126" spans="1:6" x14ac:dyDescent="0.25">
      <c r="A126" s="260"/>
      <c r="B126" s="262"/>
      <c r="C126" s="260"/>
      <c r="D126" s="259"/>
      <c r="E126" s="259"/>
      <c r="F126" s="259"/>
    </row>
    <row r="127" spans="1:6" x14ac:dyDescent="0.25">
      <c r="A127" s="260"/>
      <c r="B127" s="262"/>
      <c r="C127" s="260"/>
      <c r="D127" s="259"/>
      <c r="E127" s="259"/>
      <c r="F127" s="259"/>
    </row>
    <row r="128" spans="1:6" x14ac:dyDescent="0.25">
      <c r="A128" s="260"/>
      <c r="B128" s="262"/>
      <c r="C128" s="260"/>
      <c r="D128" s="259"/>
      <c r="E128" s="259"/>
      <c r="F128" s="259"/>
    </row>
    <row r="129" spans="1:6" x14ac:dyDescent="0.25">
      <c r="A129" s="260"/>
      <c r="B129" s="262"/>
      <c r="C129" s="260"/>
      <c r="D129" s="259"/>
      <c r="E129" s="259"/>
      <c r="F129" s="259"/>
    </row>
    <row r="130" spans="1:6" x14ac:dyDescent="0.25">
      <c r="A130" s="260"/>
      <c r="B130" s="262"/>
      <c r="C130" s="260"/>
      <c r="D130" s="259"/>
      <c r="E130" s="259"/>
      <c r="F130" s="259"/>
    </row>
    <row r="131" spans="1:6" x14ac:dyDescent="0.25">
      <c r="A131" s="260"/>
      <c r="B131" s="262"/>
      <c r="C131" s="260"/>
      <c r="D131" s="259"/>
      <c r="E131" s="259"/>
      <c r="F131" s="259"/>
    </row>
    <row r="132" spans="1:6" x14ac:dyDescent="0.25">
      <c r="A132" s="260"/>
      <c r="B132" s="262"/>
      <c r="C132" s="260"/>
      <c r="D132" s="259"/>
      <c r="E132" s="259"/>
      <c r="F132" s="259"/>
    </row>
    <row r="133" spans="1:6" x14ac:dyDescent="0.25">
      <c r="A133" s="260"/>
      <c r="B133" s="262"/>
      <c r="C133" s="260"/>
      <c r="D133" s="259"/>
      <c r="E133" s="259"/>
      <c r="F133" s="259"/>
    </row>
    <row r="134" spans="1:6" x14ac:dyDescent="0.25">
      <c r="A134" s="260"/>
      <c r="B134" s="262"/>
      <c r="C134" s="260"/>
      <c r="D134" s="259"/>
      <c r="E134" s="259"/>
      <c r="F134" s="259"/>
    </row>
    <row r="135" spans="1:6" x14ac:dyDescent="0.25">
      <c r="A135" s="260"/>
      <c r="B135" s="262"/>
      <c r="C135" s="260"/>
      <c r="D135" s="259"/>
      <c r="E135" s="259"/>
      <c r="F135" s="259"/>
    </row>
    <row r="136" spans="1:6" x14ac:dyDescent="0.25">
      <c r="A136" s="260"/>
      <c r="B136" s="262"/>
      <c r="C136" s="260"/>
      <c r="D136" s="259"/>
      <c r="E136" s="259"/>
      <c r="F136" s="259"/>
    </row>
    <row r="137" spans="1:6" x14ac:dyDescent="0.25">
      <c r="A137" s="260"/>
      <c r="B137" s="262"/>
      <c r="C137" s="260"/>
      <c r="D137" s="259"/>
      <c r="E137" s="259"/>
      <c r="F137" s="259"/>
    </row>
    <row r="138" spans="1:6" x14ac:dyDescent="0.25">
      <c r="A138" s="260"/>
      <c r="B138" s="262"/>
      <c r="C138" s="260"/>
      <c r="D138" s="259"/>
      <c r="E138" s="259"/>
      <c r="F138" s="259"/>
    </row>
    <row r="139" spans="1:6" x14ac:dyDescent="0.25">
      <c r="A139" s="260"/>
      <c r="B139" s="262"/>
      <c r="C139" s="260"/>
      <c r="D139" s="259"/>
      <c r="E139" s="259"/>
      <c r="F139" s="259"/>
    </row>
    <row r="140" spans="1:6" x14ac:dyDescent="0.25">
      <c r="A140" s="260"/>
      <c r="B140" s="262"/>
      <c r="C140" s="260"/>
      <c r="D140" s="259"/>
      <c r="E140" s="259"/>
      <c r="F140" s="259"/>
    </row>
    <row r="141" spans="1:6" x14ac:dyDescent="0.25">
      <c r="A141" s="260"/>
      <c r="B141" s="262"/>
      <c r="C141" s="260"/>
      <c r="D141" s="259"/>
      <c r="E141" s="259"/>
      <c r="F141" s="259"/>
    </row>
    <row r="142" spans="1:6" x14ac:dyDescent="0.25">
      <c r="A142" s="260"/>
      <c r="B142" s="262"/>
      <c r="C142" s="260"/>
      <c r="D142" s="259"/>
      <c r="E142" s="259"/>
      <c r="F142" s="259"/>
    </row>
    <row r="143" spans="1:6" x14ac:dyDescent="0.25">
      <c r="A143" s="260"/>
      <c r="B143" s="262"/>
      <c r="C143" s="260"/>
      <c r="D143" s="259"/>
      <c r="E143" s="259"/>
      <c r="F143" s="259"/>
    </row>
    <row r="144" spans="1:6" x14ac:dyDescent="0.25">
      <c r="A144" s="260"/>
      <c r="B144" s="262"/>
      <c r="C144" s="260"/>
      <c r="D144" s="259"/>
      <c r="E144" s="259"/>
      <c r="F144" s="259"/>
    </row>
    <row r="145" spans="1:6" x14ac:dyDescent="0.25">
      <c r="A145" s="260"/>
      <c r="B145" s="262"/>
      <c r="C145" s="260"/>
      <c r="D145" s="259"/>
      <c r="E145" s="259"/>
      <c r="F145" s="259"/>
    </row>
    <row r="146" spans="1:6" x14ac:dyDescent="0.25">
      <c r="A146" s="260"/>
      <c r="B146" s="262"/>
      <c r="C146" s="260"/>
      <c r="D146" s="259"/>
      <c r="E146" s="259"/>
      <c r="F146" s="259"/>
    </row>
    <row r="147" spans="1:6" x14ac:dyDescent="0.25">
      <c r="A147" s="260"/>
      <c r="B147" s="262"/>
      <c r="C147" s="260"/>
      <c r="D147" s="259"/>
      <c r="E147" s="259"/>
      <c r="F147" s="259"/>
    </row>
    <row r="148" spans="1:6" x14ac:dyDescent="0.25">
      <c r="A148" s="260"/>
      <c r="B148" s="262"/>
      <c r="C148" s="260"/>
      <c r="D148" s="259"/>
      <c r="E148" s="259"/>
      <c r="F148" s="259"/>
    </row>
    <row r="149" spans="1:6" x14ac:dyDescent="0.25">
      <c r="A149" s="260"/>
      <c r="B149" s="262"/>
      <c r="C149" s="260"/>
      <c r="D149" s="259"/>
      <c r="E149" s="259"/>
      <c r="F149" s="259"/>
    </row>
    <row r="150" spans="1:6" x14ac:dyDescent="0.25">
      <c r="A150" s="260"/>
      <c r="B150" s="262"/>
      <c r="C150" s="260"/>
      <c r="D150" s="259"/>
      <c r="E150" s="259"/>
      <c r="F150" s="259"/>
    </row>
    <row r="151" spans="1:6" x14ac:dyDescent="0.25">
      <c r="A151" s="260"/>
      <c r="B151" s="262"/>
      <c r="C151" s="260"/>
      <c r="D151" s="259"/>
      <c r="E151" s="259"/>
      <c r="F151" s="259"/>
    </row>
    <row r="152" spans="1:6" x14ac:dyDescent="0.25">
      <c r="A152" s="260"/>
      <c r="B152" s="262"/>
      <c r="C152" s="260"/>
      <c r="D152" s="259"/>
      <c r="E152" s="259"/>
      <c r="F152" s="259"/>
    </row>
    <row r="153" spans="1:6" x14ac:dyDescent="0.25">
      <c r="A153" s="260"/>
      <c r="B153" s="262"/>
      <c r="C153" s="260"/>
      <c r="D153" s="259"/>
      <c r="E153" s="259"/>
      <c r="F153" s="259"/>
    </row>
    <row r="154" spans="1:6" x14ac:dyDescent="0.25">
      <c r="A154" s="260"/>
      <c r="B154" s="262"/>
      <c r="C154" s="260"/>
      <c r="D154" s="259"/>
      <c r="E154" s="259"/>
      <c r="F154" s="259"/>
    </row>
    <row r="155" spans="1:6" x14ac:dyDescent="0.25">
      <c r="A155" s="260"/>
      <c r="B155" s="262"/>
      <c r="C155" s="260"/>
      <c r="D155" s="259"/>
      <c r="E155" s="259"/>
      <c r="F155" s="259"/>
    </row>
    <row r="156" spans="1:6" x14ac:dyDescent="0.25">
      <c r="A156" s="260"/>
      <c r="B156" s="262"/>
      <c r="C156" s="260"/>
      <c r="D156" s="259"/>
      <c r="E156" s="259"/>
      <c r="F156" s="259"/>
    </row>
    <row r="157" spans="1:6" x14ac:dyDescent="0.25">
      <c r="A157" s="260"/>
      <c r="B157" s="262"/>
      <c r="C157" s="260"/>
      <c r="D157" s="259"/>
      <c r="E157" s="259"/>
      <c r="F157" s="259"/>
    </row>
    <row r="158" spans="1:6" x14ac:dyDescent="0.25">
      <c r="A158" s="260"/>
      <c r="B158" s="262"/>
      <c r="C158" s="260"/>
      <c r="D158" s="259"/>
      <c r="E158" s="259"/>
      <c r="F158" s="259"/>
    </row>
    <row r="159" spans="1:6" x14ac:dyDescent="0.25">
      <c r="A159" s="260"/>
      <c r="B159" s="262"/>
      <c r="C159" s="260"/>
      <c r="D159" s="259"/>
      <c r="E159" s="259"/>
      <c r="F159" s="259"/>
    </row>
    <row r="160" spans="1:6" x14ac:dyDescent="0.25">
      <c r="A160" s="260"/>
      <c r="B160" s="262"/>
      <c r="C160" s="260"/>
      <c r="D160" s="259"/>
      <c r="E160" s="259"/>
      <c r="F160" s="259"/>
    </row>
    <row r="161" spans="1:6" x14ac:dyDescent="0.25">
      <c r="A161" s="260"/>
      <c r="B161" s="262"/>
      <c r="C161" s="260"/>
      <c r="D161" s="259"/>
      <c r="E161" s="259"/>
      <c r="F161" s="259"/>
    </row>
    <row r="162" spans="1:6" x14ac:dyDescent="0.25">
      <c r="A162" s="260"/>
      <c r="B162" s="262"/>
      <c r="C162" s="260"/>
      <c r="D162" s="259"/>
      <c r="E162" s="259"/>
      <c r="F162" s="259"/>
    </row>
    <row r="163" spans="1:6" x14ac:dyDescent="0.25">
      <c r="A163" s="260"/>
      <c r="B163" s="262"/>
      <c r="C163" s="260"/>
      <c r="D163" s="259"/>
      <c r="E163" s="259"/>
      <c r="F163" s="259"/>
    </row>
    <row r="164" spans="1:6" x14ac:dyDescent="0.25">
      <c r="A164" s="260"/>
      <c r="B164" s="262"/>
      <c r="C164" s="260"/>
      <c r="D164" s="259"/>
      <c r="E164" s="259"/>
      <c r="F164" s="259"/>
    </row>
    <row r="165" spans="1:6" x14ac:dyDescent="0.25">
      <c r="A165" s="260"/>
      <c r="B165" s="262"/>
      <c r="C165" s="260"/>
      <c r="D165" s="259"/>
      <c r="E165" s="259"/>
      <c r="F165" s="259"/>
    </row>
    <row r="166" spans="1:6" x14ac:dyDescent="0.25">
      <c r="A166" s="260"/>
      <c r="B166" s="262"/>
      <c r="C166" s="260"/>
      <c r="D166" s="259"/>
      <c r="E166" s="259"/>
      <c r="F166" s="259"/>
    </row>
    <row r="167" spans="1:6" x14ac:dyDescent="0.25">
      <c r="A167" s="260"/>
      <c r="B167" s="262"/>
      <c r="C167" s="260"/>
      <c r="D167" s="259"/>
      <c r="E167" s="259"/>
      <c r="F167" s="259"/>
    </row>
    <row r="168" spans="1:6" x14ac:dyDescent="0.25">
      <c r="A168" s="260"/>
      <c r="B168" s="262"/>
      <c r="C168" s="260"/>
      <c r="D168" s="259"/>
      <c r="E168" s="259"/>
      <c r="F168" s="259"/>
    </row>
    <row r="169" spans="1:6" x14ac:dyDescent="0.25">
      <c r="A169" s="260"/>
      <c r="B169" s="262"/>
      <c r="C169" s="260"/>
      <c r="D169" s="259"/>
      <c r="E169" s="259"/>
      <c r="F169" s="259"/>
    </row>
    <row r="170" spans="1:6" x14ac:dyDescent="0.25">
      <c r="A170" s="260"/>
      <c r="B170" s="262"/>
      <c r="C170" s="260"/>
      <c r="D170" s="259"/>
      <c r="E170" s="259"/>
      <c r="F170" s="259"/>
    </row>
    <row r="171" spans="1:6" x14ac:dyDescent="0.25">
      <c r="A171" s="260"/>
      <c r="B171" s="262"/>
      <c r="C171" s="260"/>
      <c r="D171" s="259"/>
      <c r="E171" s="259"/>
      <c r="F171" s="259"/>
    </row>
    <row r="172" spans="1:6" x14ac:dyDescent="0.25">
      <c r="A172" s="260"/>
      <c r="B172" s="262"/>
      <c r="C172" s="260"/>
      <c r="D172" s="259"/>
      <c r="E172" s="259"/>
      <c r="F172" s="259"/>
    </row>
    <row r="173" spans="1:6" x14ac:dyDescent="0.25">
      <c r="A173" s="260"/>
      <c r="B173" s="262"/>
      <c r="C173" s="260"/>
      <c r="D173" s="259"/>
      <c r="E173" s="259"/>
      <c r="F173" s="259"/>
    </row>
    <row r="174" spans="1:6" x14ac:dyDescent="0.25">
      <c r="A174" s="260"/>
      <c r="B174" s="262"/>
      <c r="C174" s="260"/>
      <c r="D174" s="259"/>
      <c r="E174" s="259"/>
      <c r="F174" s="259"/>
    </row>
    <row r="175" spans="1:6" x14ac:dyDescent="0.25">
      <c r="A175" s="260"/>
      <c r="B175" s="262"/>
      <c r="C175" s="260"/>
      <c r="D175" s="259"/>
      <c r="E175" s="259"/>
      <c r="F175" s="259"/>
    </row>
    <row r="176" spans="1:6" x14ac:dyDescent="0.25">
      <c r="A176" s="260"/>
      <c r="B176" s="262"/>
      <c r="C176" s="260"/>
      <c r="D176" s="259"/>
      <c r="E176" s="259"/>
      <c r="F176" s="259"/>
    </row>
    <row r="177" spans="1:6" x14ac:dyDescent="0.25">
      <c r="A177" s="260"/>
      <c r="B177" s="262"/>
      <c r="C177" s="260"/>
      <c r="D177" s="259"/>
      <c r="E177" s="259"/>
      <c r="F177" s="259"/>
    </row>
    <row r="178" spans="1:6" x14ac:dyDescent="0.25">
      <c r="A178" s="260"/>
      <c r="B178" s="262"/>
      <c r="C178" s="260"/>
      <c r="D178" s="259"/>
      <c r="E178" s="259"/>
      <c r="F178" s="259"/>
    </row>
    <row r="179" spans="1:6" x14ac:dyDescent="0.25">
      <c r="A179" s="260"/>
      <c r="B179" s="262"/>
      <c r="C179" s="260"/>
      <c r="D179" s="259"/>
      <c r="E179" s="259"/>
      <c r="F179" s="259"/>
    </row>
    <row r="180" spans="1:6" x14ac:dyDescent="0.25">
      <c r="A180" s="260"/>
      <c r="B180" s="262"/>
      <c r="C180" s="260"/>
      <c r="D180" s="259"/>
      <c r="E180" s="259"/>
      <c r="F180" s="259"/>
    </row>
    <row r="181" spans="1:6" x14ac:dyDescent="0.25">
      <c r="A181" s="260"/>
      <c r="B181" s="262"/>
      <c r="C181" s="260"/>
      <c r="D181" s="259"/>
      <c r="E181" s="259"/>
      <c r="F181" s="259"/>
    </row>
    <row r="182" spans="1:6" x14ac:dyDescent="0.25">
      <c r="A182" s="260"/>
      <c r="B182" s="262"/>
      <c r="C182" s="260"/>
      <c r="D182" s="259"/>
      <c r="E182" s="259"/>
      <c r="F182" s="259"/>
    </row>
    <row r="183" spans="1:6" x14ac:dyDescent="0.25">
      <c r="A183" s="260"/>
      <c r="B183" s="262"/>
      <c r="C183" s="260"/>
      <c r="D183" s="259"/>
      <c r="E183" s="259"/>
      <c r="F183" s="259"/>
    </row>
    <row r="184" spans="1:6" x14ac:dyDescent="0.25">
      <c r="A184" s="260"/>
      <c r="B184" s="262"/>
      <c r="C184" s="260"/>
      <c r="D184" s="259"/>
      <c r="E184" s="259"/>
      <c r="F184" s="259"/>
    </row>
    <row r="185" spans="1:6" x14ac:dyDescent="0.25">
      <c r="A185" s="260"/>
      <c r="B185" s="262"/>
      <c r="C185" s="260"/>
      <c r="D185" s="259"/>
      <c r="E185" s="259"/>
      <c r="F185" s="259"/>
    </row>
    <row r="186" spans="1:6" x14ac:dyDescent="0.25">
      <c r="A186" s="260"/>
      <c r="B186" s="262"/>
      <c r="C186" s="260"/>
      <c r="D186" s="259"/>
      <c r="E186" s="259"/>
      <c r="F186" s="259"/>
    </row>
    <row r="187" spans="1:6" x14ac:dyDescent="0.25">
      <c r="A187" s="260"/>
      <c r="B187" s="262"/>
      <c r="C187" s="260"/>
      <c r="D187" s="259"/>
      <c r="E187" s="259"/>
      <c r="F187" s="259"/>
    </row>
    <row r="188" spans="1:6" x14ac:dyDescent="0.25">
      <c r="A188" s="260"/>
      <c r="B188" s="262"/>
      <c r="C188" s="260"/>
      <c r="D188" s="259"/>
      <c r="E188" s="259"/>
      <c r="F188" s="259"/>
    </row>
    <row r="189" spans="1:6" x14ac:dyDescent="0.25">
      <c r="A189" s="260"/>
      <c r="B189" s="262"/>
      <c r="C189" s="260"/>
      <c r="D189" s="259"/>
      <c r="E189" s="259"/>
      <c r="F189" s="259"/>
    </row>
    <row r="190" spans="1:6" x14ac:dyDescent="0.25">
      <c r="A190" s="260"/>
      <c r="B190" s="262"/>
      <c r="C190" s="260"/>
      <c r="D190" s="259"/>
      <c r="E190" s="259"/>
      <c r="F190" s="259"/>
    </row>
    <row r="191" spans="1:6" x14ac:dyDescent="0.25">
      <c r="A191" s="260"/>
      <c r="B191" s="262"/>
      <c r="C191" s="260"/>
      <c r="D191" s="259"/>
      <c r="E191" s="259"/>
      <c r="F191" s="259"/>
    </row>
    <row r="192" spans="1:6" x14ac:dyDescent="0.25">
      <c r="A192" s="260"/>
      <c r="B192" s="262"/>
      <c r="C192" s="260"/>
      <c r="D192" s="259"/>
      <c r="E192" s="259"/>
      <c r="F192" s="259"/>
    </row>
    <row r="193" spans="1:6" x14ac:dyDescent="0.25">
      <c r="A193" s="260"/>
      <c r="B193" s="262"/>
      <c r="C193" s="260"/>
      <c r="D193" s="259"/>
      <c r="E193" s="259"/>
      <c r="F193" s="259"/>
    </row>
    <row r="194" spans="1:6" x14ac:dyDescent="0.25">
      <c r="A194" s="260"/>
      <c r="B194" s="262"/>
      <c r="C194" s="260"/>
      <c r="D194" s="259"/>
      <c r="E194" s="259"/>
      <c r="F194" s="259"/>
    </row>
    <row r="195" spans="1:6" x14ac:dyDescent="0.25">
      <c r="A195" s="260"/>
      <c r="B195" s="262"/>
      <c r="C195" s="260"/>
      <c r="D195" s="259"/>
      <c r="E195" s="259"/>
      <c r="F195" s="259"/>
    </row>
    <row r="196" spans="1:6" x14ac:dyDescent="0.25">
      <c r="A196" s="260"/>
      <c r="B196" s="262"/>
      <c r="C196" s="260"/>
      <c r="D196" s="259"/>
      <c r="E196" s="259"/>
      <c r="F196" s="259"/>
    </row>
    <row r="197" spans="1:6" x14ac:dyDescent="0.25">
      <c r="A197" s="260"/>
      <c r="B197" s="262"/>
      <c r="C197" s="260"/>
      <c r="D197" s="259"/>
      <c r="E197" s="259"/>
      <c r="F197" s="259"/>
    </row>
    <row r="198" spans="1:6" x14ac:dyDescent="0.25">
      <c r="A198" s="260"/>
      <c r="B198" s="262"/>
      <c r="C198" s="260"/>
      <c r="D198" s="259"/>
      <c r="E198" s="259"/>
      <c r="F198" s="259"/>
    </row>
    <row r="199" spans="1:6" x14ac:dyDescent="0.25">
      <c r="A199" s="260"/>
      <c r="B199" s="262"/>
      <c r="C199" s="260"/>
      <c r="D199" s="259"/>
      <c r="E199" s="259"/>
      <c r="F199" s="259"/>
    </row>
    <row r="200" spans="1:6" x14ac:dyDescent="0.25">
      <c r="A200" s="260"/>
      <c r="B200" s="262"/>
      <c r="C200" s="260"/>
      <c r="D200" s="259"/>
      <c r="E200" s="259"/>
      <c r="F200" s="259"/>
    </row>
    <row r="201" spans="1:6" x14ac:dyDescent="0.25">
      <c r="A201" s="260"/>
      <c r="B201" s="262"/>
      <c r="C201" s="260"/>
      <c r="D201" s="259"/>
      <c r="E201" s="259"/>
      <c r="F201" s="259"/>
    </row>
    <row r="202" spans="1:6" x14ac:dyDescent="0.25">
      <c r="A202" s="260"/>
      <c r="B202" s="262"/>
      <c r="C202" s="260"/>
      <c r="D202" s="259"/>
      <c r="E202" s="259"/>
      <c r="F202" s="259"/>
    </row>
    <row r="203" spans="1:6" x14ac:dyDescent="0.25">
      <c r="A203" s="260"/>
      <c r="B203" s="262"/>
      <c r="C203" s="260"/>
      <c r="D203" s="259"/>
      <c r="E203" s="259"/>
      <c r="F203" s="259"/>
    </row>
    <row r="204" spans="1:6" x14ac:dyDescent="0.25">
      <c r="A204" s="260"/>
      <c r="B204" s="262"/>
      <c r="C204" s="260"/>
      <c r="D204" s="259"/>
      <c r="E204" s="259"/>
      <c r="F204" s="259"/>
    </row>
    <row r="205" spans="1:6" x14ac:dyDescent="0.25">
      <c r="A205" s="260"/>
      <c r="B205" s="262"/>
      <c r="C205" s="260"/>
      <c r="D205" s="259"/>
      <c r="E205" s="259"/>
      <c r="F205" s="259"/>
    </row>
    <row r="206" spans="1:6" x14ac:dyDescent="0.25">
      <c r="A206" s="260"/>
      <c r="B206" s="262"/>
      <c r="C206" s="260"/>
      <c r="D206" s="259"/>
      <c r="E206" s="259"/>
      <c r="F206" s="259"/>
    </row>
    <row r="207" spans="1:6" x14ac:dyDescent="0.25">
      <c r="A207" s="260"/>
      <c r="B207" s="262"/>
      <c r="C207" s="260"/>
      <c r="D207" s="259"/>
      <c r="E207" s="259"/>
      <c r="F207" s="259"/>
    </row>
    <row r="208" spans="1:6" x14ac:dyDescent="0.25">
      <c r="A208" s="260"/>
      <c r="B208" s="262"/>
      <c r="C208" s="260"/>
      <c r="D208" s="259"/>
      <c r="E208" s="259"/>
      <c r="F208" s="259"/>
    </row>
    <row r="209" spans="1:6" x14ac:dyDescent="0.25">
      <c r="A209" s="260"/>
      <c r="B209" s="262"/>
      <c r="C209" s="260"/>
      <c r="D209" s="259"/>
      <c r="E209" s="259"/>
      <c r="F209" s="259"/>
    </row>
    <row r="210" spans="1:6" x14ac:dyDescent="0.25">
      <c r="A210" s="260"/>
      <c r="B210" s="262"/>
      <c r="C210" s="260"/>
      <c r="D210" s="259"/>
      <c r="E210" s="259"/>
      <c r="F210" s="259"/>
    </row>
    <row r="211" spans="1:6" x14ac:dyDescent="0.25">
      <c r="A211" s="260"/>
      <c r="B211" s="262"/>
      <c r="C211" s="260"/>
      <c r="D211" s="259"/>
      <c r="E211" s="259"/>
      <c r="F211" s="259"/>
    </row>
    <row r="212" spans="1:6" x14ac:dyDescent="0.25">
      <c r="A212" s="260"/>
      <c r="B212" s="262"/>
      <c r="C212" s="260"/>
      <c r="D212" s="259"/>
      <c r="E212" s="259"/>
      <c r="F212" s="259"/>
    </row>
    <row r="213" spans="1:6" x14ac:dyDescent="0.25">
      <c r="A213" s="260"/>
      <c r="B213" s="262"/>
      <c r="C213" s="260"/>
      <c r="D213" s="259"/>
      <c r="E213" s="259"/>
      <c r="F213" s="259"/>
    </row>
    <row r="214" spans="1:6" x14ac:dyDescent="0.25">
      <c r="A214" s="260"/>
      <c r="B214" s="262"/>
      <c r="C214" s="260"/>
      <c r="D214" s="259"/>
      <c r="E214" s="259"/>
      <c r="F214" s="259"/>
    </row>
    <row r="215" spans="1:6" x14ac:dyDescent="0.25">
      <c r="A215" s="260"/>
      <c r="B215" s="262"/>
      <c r="C215" s="260"/>
      <c r="D215" s="259"/>
      <c r="E215" s="259"/>
      <c r="F215" s="259"/>
    </row>
    <row r="216" spans="1:6" x14ac:dyDescent="0.25">
      <c r="A216" s="260"/>
      <c r="B216" s="262"/>
      <c r="C216" s="260"/>
      <c r="D216" s="259"/>
      <c r="E216" s="259"/>
      <c r="F216" s="259"/>
    </row>
    <row r="217" spans="1:6" x14ac:dyDescent="0.25">
      <c r="A217" s="260"/>
      <c r="B217" s="262"/>
      <c r="C217" s="260"/>
      <c r="D217" s="259"/>
      <c r="E217" s="259"/>
      <c r="F217" s="259"/>
    </row>
    <row r="218" spans="1:6" x14ac:dyDescent="0.25">
      <c r="A218" s="260"/>
      <c r="B218" s="262"/>
      <c r="C218" s="260"/>
      <c r="D218" s="259"/>
      <c r="E218" s="259"/>
      <c r="F218" s="259"/>
    </row>
    <row r="219" spans="1:6" x14ac:dyDescent="0.25">
      <c r="A219" s="260"/>
      <c r="B219" s="262"/>
      <c r="C219" s="260"/>
      <c r="D219" s="259"/>
      <c r="E219" s="259"/>
      <c r="F219" s="259"/>
    </row>
    <row r="220" spans="1:6" x14ac:dyDescent="0.25">
      <c r="A220" s="260"/>
      <c r="B220" s="262"/>
      <c r="C220" s="260"/>
      <c r="D220" s="259"/>
      <c r="E220" s="259"/>
      <c r="F220" s="259"/>
    </row>
    <row r="221" spans="1:6" x14ac:dyDescent="0.25">
      <c r="A221" s="260"/>
      <c r="B221" s="262"/>
      <c r="C221" s="260"/>
      <c r="D221" s="259"/>
      <c r="E221" s="259"/>
      <c r="F221" s="259"/>
    </row>
    <row r="222" spans="1:6" x14ac:dyDescent="0.25">
      <c r="A222" s="260"/>
      <c r="B222" s="262"/>
      <c r="C222" s="260"/>
      <c r="D222" s="259"/>
      <c r="E222" s="259"/>
      <c r="F222" s="259"/>
    </row>
    <row r="223" spans="1:6" x14ac:dyDescent="0.25">
      <c r="A223" s="260"/>
      <c r="B223" s="262"/>
      <c r="C223" s="260"/>
      <c r="D223" s="259"/>
      <c r="E223" s="259"/>
      <c r="F223" s="259"/>
    </row>
    <row r="224" spans="1:6" x14ac:dyDescent="0.25">
      <c r="A224" s="260"/>
      <c r="B224" s="262"/>
      <c r="C224" s="260"/>
      <c r="D224" s="259"/>
      <c r="E224" s="259"/>
      <c r="F224" s="259"/>
    </row>
    <row r="225" spans="1:6" x14ac:dyDescent="0.25">
      <c r="A225" s="260"/>
      <c r="B225" s="262"/>
      <c r="C225" s="260"/>
      <c r="D225" s="259"/>
      <c r="E225" s="259"/>
      <c r="F225" s="259"/>
    </row>
    <row r="226" spans="1:6" x14ac:dyDescent="0.25">
      <c r="A226" s="260"/>
      <c r="B226" s="262"/>
      <c r="C226" s="260"/>
      <c r="D226" s="259"/>
      <c r="E226" s="259"/>
      <c r="F226" s="259"/>
    </row>
    <row r="227" spans="1:6" x14ac:dyDescent="0.25">
      <c r="A227" s="260"/>
      <c r="B227" s="262"/>
      <c r="C227" s="260"/>
      <c r="D227" s="259"/>
      <c r="E227" s="259"/>
      <c r="F227" s="259"/>
    </row>
    <row r="228" spans="1:6" x14ac:dyDescent="0.25">
      <c r="A228" s="260"/>
      <c r="B228" s="262"/>
      <c r="C228" s="260"/>
      <c r="D228" s="259"/>
      <c r="E228" s="259"/>
      <c r="F228" s="259"/>
    </row>
    <row r="229" spans="1:6" x14ac:dyDescent="0.25">
      <c r="A229" s="260"/>
      <c r="B229" s="262"/>
      <c r="C229" s="260"/>
      <c r="D229" s="259"/>
      <c r="E229" s="259"/>
      <c r="F229" s="259"/>
    </row>
    <row r="230" spans="1:6" x14ac:dyDescent="0.25">
      <c r="A230" s="260"/>
      <c r="B230" s="262"/>
      <c r="C230" s="260"/>
      <c r="D230" s="259"/>
      <c r="E230" s="259"/>
      <c r="F230" s="259"/>
    </row>
    <row r="231" spans="1:6" x14ac:dyDescent="0.25">
      <c r="A231" s="260"/>
      <c r="B231" s="262"/>
      <c r="C231" s="260"/>
      <c r="D231" s="259"/>
      <c r="E231" s="259"/>
      <c r="F231" s="259"/>
    </row>
    <row r="232" spans="1:6" x14ac:dyDescent="0.25">
      <c r="A232" s="260"/>
      <c r="B232" s="262"/>
      <c r="C232" s="260"/>
      <c r="D232" s="259"/>
      <c r="E232" s="259"/>
      <c r="F232" s="259"/>
    </row>
    <row r="233" spans="1:6" x14ac:dyDescent="0.25">
      <c r="A233" s="260"/>
      <c r="B233" s="262"/>
      <c r="C233" s="260"/>
      <c r="D233" s="259"/>
      <c r="E233" s="259"/>
      <c r="F233" s="259"/>
    </row>
    <row r="234" spans="1:6" x14ac:dyDescent="0.25">
      <c r="A234" s="260"/>
      <c r="B234" s="262"/>
      <c r="C234" s="260"/>
      <c r="D234" s="259"/>
      <c r="E234" s="259"/>
      <c r="F234" s="259"/>
    </row>
    <row r="235" spans="1:6" x14ac:dyDescent="0.25">
      <c r="A235" s="260"/>
      <c r="B235" s="262"/>
      <c r="C235" s="260"/>
      <c r="D235" s="259"/>
      <c r="E235" s="259"/>
      <c r="F235" s="259"/>
    </row>
    <row r="236" spans="1:6" x14ac:dyDescent="0.25">
      <c r="A236" s="260"/>
      <c r="B236" s="262"/>
      <c r="C236" s="260"/>
      <c r="D236" s="259"/>
      <c r="E236" s="259"/>
      <c r="F236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8"/>
  <sheetViews>
    <sheetView workbookViewId="0">
      <selection activeCell="G1" sqref="G1"/>
    </sheetView>
  </sheetViews>
  <sheetFormatPr defaultRowHeight="15" x14ac:dyDescent="0.25"/>
  <cols>
    <col min="2" max="2" width="16.140625" style="251" customWidth="1"/>
    <col min="3" max="3" width="29.28515625" customWidth="1"/>
    <col min="4" max="4" width="19.85546875" style="2" customWidth="1"/>
    <col min="5" max="5" width="13.85546875" style="2" customWidth="1"/>
    <col min="6" max="6" width="16.28515625" style="2" customWidth="1"/>
    <col min="10" max="10" width="11.5703125" bestFit="1" customWidth="1"/>
  </cols>
  <sheetData>
    <row r="1" spans="1:7" x14ac:dyDescent="0.25"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" t="s">
        <v>21</v>
      </c>
    </row>
    <row r="4" spans="1:7" x14ac:dyDescent="0.25">
      <c r="E4" s="2" t="s">
        <v>9</v>
      </c>
      <c r="F4" s="2">
        <v>46338000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SUM(D10:D200)</f>
        <v>1489489210</v>
      </c>
    </row>
    <row r="6" spans="1:7" x14ac:dyDescent="0.25">
      <c r="E6" s="2" t="s">
        <v>11</v>
      </c>
      <c r="F6" s="2">
        <f>SUM(E10:E200)</f>
        <v>1508497180</v>
      </c>
    </row>
    <row r="7" spans="1:7" x14ac:dyDescent="0.25">
      <c r="E7" s="2" t="s">
        <v>12</v>
      </c>
      <c r="F7" s="2">
        <f>+F4+F5-F6</f>
        <v>27330030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553</v>
      </c>
      <c r="G8" s="282" t="s">
        <v>554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  <c r="G9" s="282"/>
    </row>
    <row r="10" spans="1:7" x14ac:dyDescent="0.25">
      <c r="A10" s="262">
        <v>1</v>
      </c>
      <c r="B10" s="261">
        <v>43629</v>
      </c>
      <c r="C10" s="260" t="s">
        <v>22</v>
      </c>
      <c r="D10" s="259"/>
      <c r="E10" s="259">
        <v>36338000</v>
      </c>
      <c r="F10" s="259">
        <f>F4-E10</f>
        <v>10000000</v>
      </c>
      <c r="G10" s="260"/>
    </row>
    <row r="11" spans="1:7" x14ac:dyDescent="0.25">
      <c r="A11" s="15">
        <v>2</v>
      </c>
      <c r="B11" s="261">
        <v>43629</v>
      </c>
      <c r="C11" s="260" t="s">
        <v>22</v>
      </c>
      <c r="D11" s="259"/>
      <c r="E11" s="259">
        <v>10000000</v>
      </c>
      <c r="F11" s="259">
        <f>F10+D11-E11</f>
        <v>0</v>
      </c>
      <c r="G11" s="260"/>
    </row>
    <row r="12" spans="1:7" x14ac:dyDescent="0.25">
      <c r="A12" s="262">
        <v>3</v>
      </c>
      <c r="B12" s="261">
        <v>43645</v>
      </c>
      <c r="C12" s="260" t="s">
        <v>180</v>
      </c>
      <c r="D12" s="259">
        <v>30932000</v>
      </c>
      <c r="E12" s="259"/>
      <c r="F12" s="259">
        <f t="shared" ref="F12:F76" si="0">F11+D12-E12</f>
        <v>30932000</v>
      </c>
      <c r="G12" s="260"/>
    </row>
    <row r="13" spans="1:7" x14ac:dyDescent="0.25">
      <c r="A13" s="15">
        <v>4</v>
      </c>
      <c r="B13" s="261">
        <v>43656</v>
      </c>
      <c r="C13" s="260" t="s">
        <v>22</v>
      </c>
      <c r="D13" s="259"/>
      <c r="E13" s="259">
        <v>30932000</v>
      </c>
      <c r="F13" s="259">
        <f t="shared" si="0"/>
        <v>0</v>
      </c>
      <c r="G13" s="260"/>
    </row>
    <row r="14" spans="1:7" x14ac:dyDescent="0.25">
      <c r="A14" s="262">
        <v>5</v>
      </c>
      <c r="B14" s="261">
        <v>43677</v>
      </c>
      <c r="C14" s="260" t="s">
        <v>223</v>
      </c>
      <c r="D14" s="259">
        <v>32270000</v>
      </c>
      <c r="E14" s="259"/>
      <c r="F14" s="259">
        <f t="shared" si="0"/>
        <v>32270000</v>
      </c>
      <c r="G14" s="260"/>
    </row>
    <row r="15" spans="1:7" x14ac:dyDescent="0.25">
      <c r="A15" s="15">
        <v>6</v>
      </c>
      <c r="B15" s="262" t="s">
        <v>240</v>
      </c>
      <c r="C15" s="260" t="s">
        <v>22</v>
      </c>
      <c r="D15" s="259"/>
      <c r="E15" s="259">
        <v>32270000</v>
      </c>
      <c r="F15" s="259">
        <f t="shared" si="0"/>
        <v>0</v>
      </c>
      <c r="G15" s="260"/>
    </row>
    <row r="16" spans="1:7" x14ac:dyDescent="0.25">
      <c r="A16" s="262">
        <v>7</v>
      </c>
      <c r="B16" s="262" t="s">
        <v>309</v>
      </c>
      <c r="C16" s="260" t="s">
        <v>312</v>
      </c>
      <c r="D16" s="259">
        <v>10722000</v>
      </c>
      <c r="E16" s="259"/>
      <c r="F16" s="259">
        <f t="shared" si="0"/>
        <v>10722000</v>
      </c>
      <c r="G16" s="260"/>
    </row>
    <row r="17" spans="1:7" x14ac:dyDescent="0.25">
      <c r="A17" s="15">
        <v>8</v>
      </c>
      <c r="B17" s="262" t="s">
        <v>341</v>
      </c>
      <c r="C17" s="260" t="s">
        <v>344</v>
      </c>
      <c r="D17" s="259">
        <v>32270000</v>
      </c>
      <c r="E17" s="259"/>
      <c r="F17" s="259">
        <f t="shared" si="0"/>
        <v>42992000</v>
      </c>
      <c r="G17" s="260"/>
    </row>
    <row r="18" spans="1:7" x14ac:dyDescent="0.25">
      <c r="A18" s="262">
        <v>9</v>
      </c>
      <c r="B18" s="262" t="s">
        <v>360</v>
      </c>
      <c r="C18" s="260" t="s">
        <v>361</v>
      </c>
      <c r="D18" s="259"/>
      <c r="E18" s="259">
        <v>42992000</v>
      </c>
      <c r="F18" s="259">
        <f t="shared" si="0"/>
        <v>0</v>
      </c>
      <c r="G18" s="260"/>
    </row>
    <row r="19" spans="1:7" x14ac:dyDescent="0.25">
      <c r="A19" s="15">
        <v>10</v>
      </c>
      <c r="B19" s="262" t="s">
        <v>449</v>
      </c>
      <c r="C19" s="260" t="s">
        <v>462</v>
      </c>
      <c r="D19" s="259">
        <v>16916000</v>
      </c>
      <c r="E19" s="259"/>
      <c r="F19" s="259">
        <f t="shared" si="0"/>
        <v>16916000</v>
      </c>
      <c r="G19" s="260"/>
    </row>
    <row r="20" spans="1:7" x14ac:dyDescent="0.25">
      <c r="A20" s="262">
        <v>11</v>
      </c>
      <c r="B20" s="262" t="s">
        <v>466</v>
      </c>
      <c r="C20" s="260" t="s">
        <v>361</v>
      </c>
      <c r="D20" s="259"/>
      <c r="E20" s="259">
        <v>16916000</v>
      </c>
      <c r="F20" s="259">
        <f t="shared" si="0"/>
        <v>0</v>
      </c>
      <c r="G20" s="260"/>
    </row>
    <row r="21" spans="1:7" x14ac:dyDescent="0.25">
      <c r="A21" s="15">
        <v>12</v>
      </c>
      <c r="B21" s="262" t="s">
        <v>485</v>
      </c>
      <c r="C21" s="260" t="s">
        <v>494</v>
      </c>
      <c r="D21" s="259">
        <v>44988000</v>
      </c>
      <c r="E21" s="259"/>
      <c r="F21" s="259">
        <f t="shared" si="0"/>
        <v>44988000</v>
      </c>
      <c r="G21" s="260"/>
    </row>
    <row r="22" spans="1:7" x14ac:dyDescent="0.25">
      <c r="A22" s="262">
        <v>13</v>
      </c>
      <c r="B22" s="261">
        <v>44048</v>
      </c>
      <c r="C22" s="260" t="s">
        <v>361</v>
      </c>
      <c r="D22" s="259"/>
      <c r="E22" s="259">
        <v>44988000</v>
      </c>
      <c r="F22" s="259">
        <f t="shared" si="0"/>
        <v>0</v>
      </c>
      <c r="G22" s="260"/>
    </row>
    <row r="23" spans="1:7" x14ac:dyDescent="0.25">
      <c r="A23" s="15">
        <v>14</v>
      </c>
      <c r="B23" s="262" t="s">
        <v>505</v>
      </c>
      <c r="C23" s="260" t="s">
        <v>507</v>
      </c>
      <c r="D23" s="259">
        <v>46368000</v>
      </c>
      <c r="E23" s="259"/>
      <c r="F23" s="259">
        <f t="shared" si="0"/>
        <v>46368000</v>
      </c>
      <c r="G23" s="260"/>
    </row>
    <row r="24" spans="1:7" x14ac:dyDescent="0.25">
      <c r="A24" s="262">
        <v>15</v>
      </c>
      <c r="B24" s="262" t="s">
        <v>527</v>
      </c>
      <c r="C24" s="260" t="s">
        <v>361</v>
      </c>
      <c r="D24" s="259"/>
      <c r="E24" s="259">
        <v>46368000</v>
      </c>
      <c r="F24" s="259">
        <f t="shared" si="0"/>
        <v>0</v>
      </c>
      <c r="G24" s="260"/>
    </row>
    <row r="25" spans="1:7" x14ac:dyDescent="0.25">
      <c r="A25" s="15">
        <v>16</v>
      </c>
      <c r="B25" s="262" t="s">
        <v>538</v>
      </c>
      <c r="C25" s="260" t="s">
        <v>544</v>
      </c>
      <c r="D25" s="259">
        <v>23822000</v>
      </c>
      <c r="E25" s="259"/>
      <c r="F25" s="259">
        <f t="shared" si="0"/>
        <v>23822000</v>
      </c>
      <c r="G25" s="260"/>
    </row>
    <row r="26" spans="1:7" x14ac:dyDescent="0.25">
      <c r="A26" s="262">
        <v>17</v>
      </c>
      <c r="B26" s="261">
        <v>44021</v>
      </c>
      <c r="C26" s="260" t="s">
        <v>361</v>
      </c>
      <c r="D26" s="259"/>
      <c r="E26" s="259">
        <v>23822000</v>
      </c>
      <c r="F26" s="259">
        <f t="shared" si="0"/>
        <v>0</v>
      </c>
      <c r="G26" s="260"/>
    </row>
    <row r="27" spans="1:7" x14ac:dyDescent="0.25">
      <c r="A27" s="15">
        <v>18</v>
      </c>
      <c r="B27" s="261">
        <v>44043</v>
      </c>
      <c r="C27" s="260" t="s">
        <v>600</v>
      </c>
      <c r="D27" s="259">
        <v>29072000</v>
      </c>
      <c r="E27" s="259"/>
      <c r="F27" s="259">
        <f t="shared" si="0"/>
        <v>29072000</v>
      </c>
      <c r="G27" s="260"/>
    </row>
    <row r="28" spans="1:7" x14ac:dyDescent="0.25">
      <c r="A28" s="262">
        <v>19</v>
      </c>
      <c r="B28" s="261">
        <v>44064</v>
      </c>
      <c r="C28" s="260" t="s">
        <v>361</v>
      </c>
      <c r="D28" s="259"/>
      <c r="E28" s="259">
        <v>29072000</v>
      </c>
      <c r="F28" s="259">
        <f t="shared" si="0"/>
        <v>0</v>
      </c>
      <c r="G28" s="260"/>
    </row>
    <row r="29" spans="1:7" x14ac:dyDescent="0.25">
      <c r="A29" s="15">
        <v>20</v>
      </c>
      <c r="B29" s="261">
        <v>44074</v>
      </c>
      <c r="C29" s="260" t="s">
        <v>599</v>
      </c>
      <c r="D29" s="259">
        <v>25202000</v>
      </c>
      <c r="E29" s="259"/>
      <c r="F29" s="259">
        <f t="shared" si="0"/>
        <v>25202000</v>
      </c>
      <c r="G29" s="260"/>
    </row>
    <row r="30" spans="1:7" x14ac:dyDescent="0.25">
      <c r="A30" s="262">
        <v>21</v>
      </c>
      <c r="B30" s="261">
        <v>44092</v>
      </c>
      <c r="C30" s="260" t="s">
        <v>361</v>
      </c>
      <c r="D30" s="259"/>
      <c r="E30" s="259">
        <v>25202000</v>
      </c>
      <c r="F30" s="259">
        <f t="shared" si="0"/>
        <v>0</v>
      </c>
      <c r="G30" s="260"/>
    </row>
    <row r="31" spans="1:7" x14ac:dyDescent="0.25">
      <c r="A31" s="15">
        <v>22</v>
      </c>
      <c r="B31" s="261">
        <v>44104</v>
      </c>
      <c r="C31" s="260" t="s">
        <v>628</v>
      </c>
      <c r="D31" s="259">
        <v>43728000</v>
      </c>
      <c r="E31" s="259"/>
      <c r="F31" s="259">
        <f t="shared" si="0"/>
        <v>43728000</v>
      </c>
      <c r="G31" s="260"/>
    </row>
    <row r="32" spans="1:7" x14ac:dyDescent="0.25">
      <c r="A32" s="262">
        <v>23</v>
      </c>
      <c r="B32" s="261">
        <v>44135</v>
      </c>
      <c r="C32" s="260" t="s">
        <v>661</v>
      </c>
      <c r="D32" s="259">
        <v>29172000</v>
      </c>
      <c r="E32" s="259"/>
      <c r="F32" s="259">
        <f t="shared" si="0"/>
        <v>72900000</v>
      </c>
      <c r="G32" s="260"/>
    </row>
    <row r="33" spans="1:7" x14ac:dyDescent="0.25">
      <c r="A33" s="15">
        <v>24</v>
      </c>
      <c r="B33" s="261">
        <v>44137</v>
      </c>
      <c r="C33" s="260" t="s">
        <v>361</v>
      </c>
      <c r="D33" s="259"/>
      <c r="E33" s="259">
        <v>43728000</v>
      </c>
      <c r="F33" s="259">
        <f t="shared" si="0"/>
        <v>29172000</v>
      </c>
      <c r="G33" s="260"/>
    </row>
    <row r="34" spans="1:7" x14ac:dyDescent="0.25">
      <c r="A34" s="262">
        <v>25</v>
      </c>
      <c r="B34" s="261">
        <v>44167</v>
      </c>
      <c r="C34" s="260" t="s">
        <v>361</v>
      </c>
      <c r="D34" s="259"/>
      <c r="E34" s="259">
        <v>29172000</v>
      </c>
      <c r="F34" s="259">
        <f t="shared" si="0"/>
        <v>0</v>
      </c>
      <c r="G34" s="260"/>
    </row>
    <row r="35" spans="1:7" x14ac:dyDescent="0.25">
      <c r="A35" s="15">
        <v>26</v>
      </c>
      <c r="B35" s="261">
        <v>44165</v>
      </c>
      <c r="C35" s="260" t="s">
        <v>678</v>
      </c>
      <c r="D35" s="259">
        <v>14580000</v>
      </c>
      <c r="E35" s="259"/>
      <c r="F35" s="259">
        <f t="shared" si="0"/>
        <v>14580000</v>
      </c>
      <c r="G35" s="260"/>
    </row>
    <row r="36" spans="1:7" x14ac:dyDescent="0.25">
      <c r="A36" s="262">
        <v>27</v>
      </c>
      <c r="B36" s="261">
        <v>44229</v>
      </c>
      <c r="C36" s="260" t="s">
        <v>361</v>
      </c>
      <c r="D36" s="259"/>
      <c r="E36" s="259">
        <v>14580000</v>
      </c>
      <c r="F36" s="259">
        <f t="shared" si="0"/>
        <v>0</v>
      </c>
      <c r="G36" s="260"/>
    </row>
    <row r="37" spans="1:7" x14ac:dyDescent="0.25">
      <c r="A37" s="15">
        <v>28</v>
      </c>
      <c r="B37" s="261">
        <v>44284</v>
      </c>
      <c r="C37" s="260" t="s">
        <v>763</v>
      </c>
      <c r="D37" s="259">
        <v>11968950</v>
      </c>
      <c r="E37" s="259"/>
      <c r="F37" s="259">
        <f t="shared" si="0"/>
        <v>11968950</v>
      </c>
      <c r="G37" s="260"/>
    </row>
    <row r="38" spans="1:7" x14ac:dyDescent="0.25">
      <c r="A38" s="262">
        <v>29</v>
      </c>
      <c r="B38" s="261">
        <v>44284</v>
      </c>
      <c r="C38" s="260" t="s">
        <v>361</v>
      </c>
      <c r="D38" s="259"/>
      <c r="E38" s="259">
        <v>11968950</v>
      </c>
      <c r="F38" s="259">
        <f t="shared" si="0"/>
        <v>0</v>
      </c>
      <c r="G38" s="260" t="s">
        <v>261</v>
      </c>
    </row>
    <row r="39" spans="1:7" x14ac:dyDescent="0.25">
      <c r="A39" s="15">
        <v>30</v>
      </c>
      <c r="B39" s="261">
        <v>44286</v>
      </c>
      <c r="C39" s="260" t="s">
        <v>764</v>
      </c>
      <c r="D39" s="259">
        <v>29338000</v>
      </c>
      <c r="E39" s="259"/>
      <c r="F39" s="259">
        <f t="shared" si="0"/>
        <v>29338000</v>
      </c>
      <c r="G39" s="260"/>
    </row>
    <row r="40" spans="1:7" x14ac:dyDescent="0.25">
      <c r="A40" s="262">
        <v>31</v>
      </c>
      <c r="B40" s="261">
        <v>44309</v>
      </c>
      <c r="C40" s="260" t="s">
        <v>361</v>
      </c>
      <c r="D40" s="259"/>
      <c r="E40" s="259">
        <v>29338000</v>
      </c>
      <c r="F40" s="259">
        <f t="shared" si="0"/>
        <v>0</v>
      </c>
      <c r="G40" s="260"/>
    </row>
    <row r="41" spans="1:7" x14ac:dyDescent="0.25">
      <c r="A41" s="15">
        <v>32</v>
      </c>
      <c r="B41" s="261">
        <v>44315</v>
      </c>
      <c r="C41" s="260" t="s">
        <v>791</v>
      </c>
      <c r="D41" s="259">
        <v>30429000</v>
      </c>
      <c r="E41" s="259"/>
      <c r="F41" s="259">
        <f t="shared" si="0"/>
        <v>30429000</v>
      </c>
      <c r="G41" s="260"/>
    </row>
    <row r="42" spans="1:7" x14ac:dyDescent="0.25">
      <c r="A42" s="262">
        <v>33</v>
      </c>
      <c r="B42" s="261">
        <v>44340</v>
      </c>
      <c r="C42" s="260" t="s">
        <v>361</v>
      </c>
      <c r="D42" s="259"/>
      <c r="E42" s="259">
        <v>30429000</v>
      </c>
      <c r="F42" s="259">
        <f t="shared" si="0"/>
        <v>0</v>
      </c>
      <c r="G42" s="260"/>
    </row>
    <row r="43" spans="1:7" x14ac:dyDescent="0.25">
      <c r="A43" s="15">
        <v>34</v>
      </c>
      <c r="B43" s="261">
        <v>44347</v>
      </c>
      <c r="C43" s="260" t="s">
        <v>839</v>
      </c>
      <c r="D43" s="259">
        <v>47278000</v>
      </c>
      <c r="E43" s="259"/>
      <c r="F43" s="259">
        <f t="shared" si="0"/>
        <v>47278000</v>
      </c>
      <c r="G43" s="260"/>
    </row>
    <row r="44" spans="1:7" x14ac:dyDescent="0.25">
      <c r="A44" s="262">
        <v>35</v>
      </c>
      <c r="B44" s="261">
        <v>44354</v>
      </c>
      <c r="C44" s="260" t="s">
        <v>844</v>
      </c>
      <c r="D44" s="259">
        <v>8394000</v>
      </c>
      <c r="E44" s="259"/>
      <c r="F44" s="259">
        <f t="shared" si="0"/>
        <v>55672000</v>
      </c>
      <c r="G44" s="260"/>
    </row>
    <row r="45" spans="1:7" x14ac:dyDescent="0.25">
      <c r="A45" s="15">
        <v>36</v>
      </c>
      <c r="B45" s="261">
        <v>44354</v>
      </c>
      <c r="C45" s="260" t="s">
        <v>361</v>
      </c>
      <c r="D45" s="259"/>
      <c r="E45" s="259">
        <v>8394000</v>
      </c>
      <c r="F45" s="259">
        <f t="shared" si="0"/>
        <v>47278000</v>
      </c>
      <c r="G45" s="260"/>
    </row>
    <row r="46" spans="1:7" x14ac:dyDescent="0.25">
      <c r="A46" s="262">
        <v>37</v>
      </c>
      <c r="B46" s="261">
        <v>44365</v>
      </c>
      <c r="C46" s="260" t="s">
        <v>361</v>
      </c>
      <c r="D46" s="259"/>
      <c r="E46" s="259">
        <v>47278000</v>
      </c>
      <c r="F46" s="259">
        <f t="shared" si="0"/>
        <v>0</v>
      </c>
      <c r="G46" s="260"/>
    </row>
    <row r="47" spans="1:7" x14ac:dyDescent="0.25">
      <c r="A47" s="15">
        <v>38</v>
      </c>
      <c r="B47" s="261">
        <v>44377</v>
      </c>
      <c r="C47" s="260" t="s">
        <v>858</v>
      </c>
      <c r="D47" s="279">
        <v>47288000</v>
      </c>
      <c r="E47" s="259"/>
      <c r="F47" s="259">
        <f t="shared" si="0"/>
        <v>47288000</v>
      </c>
      <c r="G47" s="260"/>
    </row>
    <row r="48" spans="1:7" x14ac:dyDescent="0.25">
      <c r="A48" s="262">
        <v>39</v>
      </c>
      <c r="B48" s="261">
        <v>44407</v>
      </c>
      <c r="C48" s="260" t="s">
        <v>880</v>
      </c>
      <c r="D48" s="279">
        <v>31971900</v>
      </c>
      <c r="E48" s="259"/>
      <c r="F48" s="259">
        <f t="shared" si="0"/>
        <v>79259900</v>
      </c>
      <c r="G48" s="260"/>
    </row>
    <row r="49" spans="1:7" x14ac:dyDescent="0.25">
      <c r="A49" s="15">
        <v>40</v>
      </c>
      <c r="B49" s="261">
        <v>44426</v>
      </c>
      <c r="C49" s="260" t="s">
        <v>361</v>
      </c>
      <c r="D49" s="279"/>
      <c r="E49" s="259">
        <v>47288000</v>
      </c>
      <c r="F49" s="259">
        <f t="shared" si="0"/>
        <v>31971900</v>
      </c>
      <c r="G49" s="260"/>
    </row>
    <row r="50" spans="1:7" x14ac:dyDescent="0.25">
      <c r="A50" s="262">
        <v>41</v>
      </c>
      <c r="B50" s="261">
        <v>44439</v>
      </c>
      <c r="C50" s="260" t="s">
        <v>922</v>
      </c>
      <c r="D50" s="279">
        <v>15478000</v>
      </c>
      <c r="E50" s="259"/>
      <c r="F50" s="259">
        <f t="shared" si="0"/>
        <v>47449900</v>
      </c>
      <c r="G50" s="260"/>
    </row>
    <row r="51" spans="1:7" x14ac:dyDescent="0.25">
      <c r="A51" s="15">
        <v>42</v>
      </c>
      <c r="B51" s="261">
        <v>44462</v>
      </c>
      <c r="C51" s="260" t="s">
        <v>361</v>
      </c>
      <c r="D51" s="279"/>
      <c r="E51" s="259">
        <v>31971900</v>
      </c>
      <c r="F51" s="259">
        <f t="shared" si="0"/>
        <v>15478000</v>
      </c>
      <c r="G51" s="260"/>
    </row>
    <row r="52" spans="1:7" x14ac:dyDescent="0.25">
      <c r="A52" s="262">
        <v>43</v>
      </c>
      <c r="B52" s="261">
        <v>44468</v>
      </c>
      <c r="C52" s="260" t="s">
        <v>950</v>
      </c>
      <c r="D52" s="279">
        <v>22694950</v>
      </c>
      <c r="E52" s="259"/>
      <c r="F52" s="259">
        <f t="shared" si="0"/>
        <v>38172950</v>
      </c>
      <c r="G52" s="260"/>
    </row>
    <row r="53" spans="1:7" x14ac:dyDescent="0.25">
      <c r="A53" s="15">
        <v>44</v>
      </c>
      <c r="B53" s="261">
        <v>44469</v>
      </c>
      <c r="C53" s="260" t="s">
        <v>951</v>
      </c>
      <c r="D53" s="279">
        <v>16912800</v>
      </c>
      <c r="E53" s="259"/>
      <c r="F53" s="259">
        <f t="shared" si="0"/>
        <v>55085750</v>
      </c>
      <c r="G53" s="260"/>
    </row>
    <row r="54" spans="1:7" x14ac:dyDescent="0.25">
      <c r="A54" s="262">
        <v>45</v>
      </c>
      <c r="B54" s="261">
        <v>44491</v>
      </c>
      <c r="C54" s="260" t="s">
        <v>361</v>
      </c>
      <c r="D54" s="279"/>
      <c r="E54" s="259">
        <v>38172950</v>
      </c>
      <c r="F54" s="259">
        <f t="shared" si="0"/>
        <v>16912800</v>
      </c>
      <c r="G54" s="260"/>
    </row>
    <row r="55" spans="1:7" x14ac:dyDescent="0.25">
      <c r="A55" s="15">
        <v>46</v>
      </c>
      <c r="B55" s="261">
        <v>44509</v>
      </c>
      <c r="C55" s="260" t="s">
        <v>993</v>
      </c>
      <c r="D55" s="279">
        <v>17083750</v>
      </c>
      <c r="E55" s="259"/>
      <c r="F55" s="259">
        <f t="shared" si="0"/>
        <v>33996550</v>
      </c>
      <c r="G55" s="260"/>
    </row>
    <row r="56" spans="1:7" x14ac:dyDescent="0.25">
      <c r="A56" s="262">
        <v>47</v>
      </c>
      <c r="B56" s="261">
        <v>44515</v>
      </c>
      <c r="C56" s="260" t="s">
        <v>994</v>
      </c>
      <c r="D56" s="279">
        <v>16012000</v>
      </c>
      <c r="E56" s="259"/>
      <c r="F56" s="259">
        <f t="shared" si="0"/>
        <v>50008550</v>
      </c>
      <c r="G56" s="260"/>
    </row>
    <row r="57" spans="1:7" x14ac:dyDescent="0.25">
      <c r="A57" s="15">
        <v>48</v>
      </c>
      <c r="B57" s="261">
        <v>44539</v>
      </c>
      <c r="C57" s="260" t="s">
        <v>361</v>
      </c>
      <c r="D57" s="279"/>
      <c r="E57" s="259">
        <v>50008550</v>
      </c>
      <c r="F57" s="259">
        <f t="shared" si="0"/>
        <v>0</v>
      </c>
      <c r="G57" s="260"/>
    </row>
    <row r="58" spans="1:7" x14ac:dyDescent="0.25">
      <c r="A58" s="262">
        <v>49</v>
      </c>
      <c r="B58" s="261">
        <v>44650</v>
      </c>
      <c r="C58" s="260" t="s">
        <v>1080</v>
      </c>
      <c r="D58" s="259">
        <v>17930400</v>
      </c>
      <c r="E58" s="259"/>
      <c r="F58" s="259">
        <f t="shared" si="0"/>
        <v>17930400</v>
      </c>
      <c r="G58" s="260"/>
    </row>
    <row r="59" spans="1:7" x14ac:dyDescent="0.25">
      <c r="A59" s="15">
        <v>50</v>
      </c>
      <c r="B59" s="261">
        <v>44663</v>
      </c>
      <c r="C59" s="260" t="s">
        <v>1101</v>
      </c>
      <c r="D59" s="279">
        <v>25983305</v>
      </c>
      <c r="E59" s="279"/>
      <c r="F59" s="259">
        <f t="shared" si="0"/>
        <v>43913705</v>
      </c>
      <c r="G59" s="260"/>
    </row>
    <row r="60" spans="1:7" x14ac:dyDescent="0.25">
      <c r="A60" s="262">
        <v>51</v>
      </c>
      <c r="B60" s="261">
        <v>44669</v>
      </c>
      <c r="C60" s="260" t="s">
        <v>361</v>
      </c>
      <c r="D60" s="279"/>
      <c r="E60" s="279">
        <v>43913705</v>
      </c>
      <c r="F60" s="259">
        <f t="shared" si="0"/>
        <v>0</v>
      </c>
      <c r="G60" s="260"/>
    </row>
    <row r="61" spans="1:7" x14ac:dyDescent="0.25">
      <c r="A61" s="15">
        <v>52</v>
      </c>
      <c r="B61" s="261">
        <v>44680</v>
      </c>
      <c r="C61" s="260" t="s">
        <v>1111</v>
      </c>
      <c r="D61" s="279">
        <v>62464400</v>
      </c>
      <c r="E61" s="279"/>
      <c r="F61" s="259">
        <f t="shared" si="0"/>
        <v>62464400</v>
      </c>
      <c r="G61" s="260"/>
    </row>
    <row r="62" spans="1:7" x14ac:dyDescent="0.25">
      <c r="A62" s="262">
        <v>53</v>
      </c>
      <c r="B62" s="261">
        <v>44700</v>
      </c>
      <c r="C62" s="260" t="s">
        <v>1134</v>
      </c>
      <c r="D62" s="279">
        <v>18997950</v>
      </c>
      <c r="E62" s="279"/>
      <c r="F62" s="259">
        <f t="shared" si="0"/>
        <v>81462350</v>
      </c>
      <c r="G62" s="260"/>
    </row>
    <row r="63" spans="1:7" x14ac:dyDescent="0.25">
      <c r="A63" s="15">
        <v>54</v>
      </c>
      <c r="B63" s="261">
        <v>44701</v>
      </c>
      <c r="C63" s="260" t="s">
        <v>361</v>
      </c>
      <c r="D63" s="279"/>
      <c r="E63" s="279">
        <v>62464400</v>
      </c>
      <c r="F63" s="259">
        <f t="shared" si="0"/>
        <v>18997950</v>
      </c>
      <c r="G63" s="260"/>
    </row>
    <row r="64" spans="1:7" x14ac:dyDescent="0.25">
      <c r="A64" s="262">
        <v>55</v>
      </c>
      <c r="B64" s="261">
        <v>44708</v>
      </c>
      <c r="C64" s="260" t="s">
        <v>1133</v>
      </c>
      <c r="D64" s="279">
        <v>50381200</v>
      </c>
      <c r="E64" s="279"/>
      <c r="F64" s="259">
        <f t="shared" si="0"/>
        <v>69379150</v>
      </c>
      <c r="G64" s="260"/>
    </row>
    <row r="65" spans="1:7" x14ac:dyDescent="0.25">
      <c r="A65" s="15">
        <v>56</v>
      </c>
      <c r="B65" s="261">
        <v>44727</v>
      </c>
      <c r="C65" s="260" t="s">
        <v>361</v>
      </c>
      <c r="D65" s="279"/>
      <c r="E65" s="279">
        <v>50381200</v>
      </c>
      <c r="F65" s="259">
        <f t="shared" si="0"/>
        <v>18997950</v>
      </c>
      <c r="G65" s="260"/>
    </row>
    <row r="66" spans="1:7" x14ac:dyDescent="0.25">
      <c r="A66" s="262">
        <v>57</v>
      </c>
      <c r="B66" s="261">
        <v>44741</v>
      </c>
      <c r="C66" s="260" t="s">
        <v>1151</v>
      </c>
      <c r="D66" s="279">
        <v>71076800</v>
      </c>
      <c r="E66" s="279"/>
      <c r="F66" s="259">
        <f t="shared" si="0"/>
        <v>90074750</v>
      </c>
      <c r="G66" s="260"/>
    </row>
    <row r="67" spans="1:7" x14ac:dyDescent="0.25">
      <c r="A67" s="15">
        <v>58</v>
      </c>
      <c r="B67" s="261">
        <v>44741</v>
      </c>
      <c r="C67" s="260" t="s">
        <v>361</v>
      </c>
      <c r="D67" s="279"/>
      <c r="E67" s="279">
        <v>18997950</v>
      </c>
      <c r="F67" s="259">
        <f t="shared" si="0"/>
        <v>71076800</v>
      </c>
      <c r="G67" s="260" t="s">
        <v>1152</v>
      </c>
    </row>
    <row r="68" spans="1:7" x14ac:dyDescent="0.25">
      <c r="A68" s="262">
        <v>59</v>
      </c>
      <c r="B68" s="261">
        <v>44767</v>
      </c>
      <c r="C68" s="260" t="s">
        <v>361</v>
      </c>
      <c r="D68" s="279"/>
      <c r="E68" s="279">
        <v>71076800</v>
      </c>
      <c r="F68" s="259">
        <f t="shared" si="0"/>
        <v>0</v>
      </c>
      <c r="G68" s="260"/>
    </row>
    <row r="69" spans="1:7" x14ac:dyDescent="0.25">
      <c r="A69" s="15">
        <v>60</v>
      </c>
      <c r="B69" s="261">
        <v>44769</v>
      </c>
      <c r="C69" s="260" t="s">
        <v>1174</v>
      </c>
      <c r="D69" s="279">
        <v>20292700</v>
      </c>
      <c r="E69" s="279"/>
      <c r="F69" s="259">
        <f t="shared" si="0"/>
        <v>20292700</v>
      </c>
      <c r="G69" s="260"/>
    </row>
    <row r="70" spans="1:7" x14ac:dyDescent="0.25">
      <c r="A70" s="262">
        <v>61</v>
      </c>
      <c r="B70" s="261">
        <v>44770</v>
      </c>
      <c r="C70" s="260" t="s">
        <v>1175</v>
      </c>
      <c r="D70" s="279">
        <v>36478000</v>
      </c>
      <c r="E70" s="279"/>
      <c r="F70" s="259">
        <f t="shared" si="0"/>
        <v>56770700</v>
      </c>
      <c r="G70" s="260"/>
    </row>
    <row r="71" spans="1:7" x14ac:dyDescent="0.25">
      <c r="A71" s="15">
        <v>62</v>
      </c>
      <c r="B71" s="261">
        <v>44792</v>
      </c>
      <c r="C71" s="260" t="s">
        <v>361</v>
      </c>
      <c r="D71" s="259"/>
      <c r="E71" s="259">
        <v>56770700</v>
      </c>
      <c r="F71" s="259">
        <f t="shared" si="0"/>
        <v>0</v>
      </c>
      <c r="G71" s="260"/>
    </row>
    <row r="72" spans="1:7" x14ac:dyDescent="0.25">
      <c r="A72" s="262">
        <v>63</v>
      </c>
      <c r="B72" s="261">
        <v>44803</v>
      </c>
      <c r="C72" s="260" t="s">
        <v>1220</v>
      </c>
      <c r="D72" s="259">
        <v>36017200</v>
      </c>
      <c r="E72" s="259"/>
      <c r="F72" s="259">
        <f t="shared" si="0"/>
        <v>36017200</v>
      </c>
      <c r="G72" s="260"/>
    </row>
    <row r="73" spans="1:7" x14ac:dyDescent="0.25">
      <c r="A73" s="15">
        <v>64</v>
      </c>
      <c r="B73" s="261">
        <v>44833</v>
      </c>
      <c r="C73" s="260" t="s">
        <v>1244</v>
      </c>
      <c r="D73" s="259">
        <v>16784400</v>
      </c>
      <c r="E73" s="259"/>
      <c r="F73" s="259">
        <f t="shared" si="0"/>
        <v>52801600</v>
      </c>
      <c r="G73" s="260"/>
    </row>
    <row r="74" spans="1:7" x14ac:dyDescent="0.25">
      <c r="A74" s="262">
        <v>65</v>
      </c>
      <c r="B74" s="261">
        <v>44859</v>
      </c>
      <c r="C74" s="260" t="s">
        <v>361</v>
      </c>
      <c r="D74" s="285"/>
      <c r="E74" s="259">
        <v>52801600</v>
      </c>
      <c r="F74" s="259">
        <f t="shared" si="0"/>
        <v>0</v>
      </c>
      <c r="G74" s="260"/>
    </row>
    <row r="75" spans="1:7" x14ac:dyDescent="0.25">
      <c r="A75" s="15">
        <v>66</v>
      </c>
      <c r="B75" s="261">
        <v>44865</v>
      </c>
      <c r="C75" s="260" t="s">
        <v>1263</v>
      </c>
      <c r="D75" s="259">
        <v>16534400</v>
      </c>
      <c r="E75" s="259"/>
      <c r="F75" s="259">
        <f t="shared" si="0"/>
        <v>16534400</v>
      </c>
      <c r="G75" s="260"/>
    </row>
    <row r="76" spans="1:7" x14ac:dyDescent="0.25">
      <c r="A76" s="262">
        <v>67</v>
      </c>
      <c r="B76" s="261">
        <v>44932</v>
      </c>
      <c r="C76" s="260" t="s">
        <v>361</v>
      </c>
      <c r="D76" s="259"/>
      <c r="E76" s="259">
        <v>16534400</v>
      </c>
      <c r="F76" s="259">
        <f t="shared" si="0"/>
        <v>0</v>
      </c>
      <c r="G76" s="260" t="s">
        <v>1152</v>
      </c>
    </row>
    <row r="77" spans="1:7" x14ac:dyDescent="0.25">
      <c r="A77" s="15">
        <v>68</v>
      </c>
      <c r="B77" s="261">
        <v>45044</v>
      </c>
      <c r="C77" s="260" t="s">
        <v>1439</v>
      </c>
      <c r="D77" s="259">
        <v>15595000</v>
      </c>
      <c r="E77" s="259"/>
      <c r="F77" s="259">
        <f t="shared" ref="F77:F106" si="1">F76+D77-E77</f>
        <v>15595000</v>
      </c>
      <c r="G77" s="260"/>
    </row>
    <row r="78" spans="1:7" x14ac:dyDescent="0.25">
      <c r="A78" s="262">
        <v>69</v>
      </c>
      <c r="B78" s="261">
        <v>45074</v>
      </c>
      <c r="C78" s="260" t="s">
        <v>361</v>
      </c>
      <c r="D78" s="259"/>
      <c r="E78" s="259">
        <v>15595000</v>
      </c>
      <c r="F78" s="259">
        <f t="shared" si="1"/>
        <v>0</v>
      </c>
      <c r="G78" s="260" t="s">
        <v>1487</v>
      </c>
    </row>
    <row r="79" spans="1:7" x14ac:dyDescent="0.25">
      <c r="A79" s="15">
        <v>70</v>
      </c>
      <c r="B79" s="261">
        <v>45106</v>
      </c>
      <c r="C79" s="260" t="s">
        <v>1503</v>
      </c>
      <c r="D79" s="259">
        <v>27440000</v>
      </c>
      <c r="E79" s="259"/>
      <c r="F79" s="259">
        <f t="shared" si="1"/>
        <v>27440000</v>
      </c>
      <c r="G79" s="260"/>
    </row>
    <row r="80" spans="1:7" x14ac:dyDescent="0.25">
      <c r="A80" s="262">
        <v>71</v>
      </c>
      <c r="B80" s="261">
        <v>45113</v>
      </c>
      <c r="C80" s="260" t="s">
        <v>361</v>
      </c>
      <c r="D80" s="259"/>
      <c r="E80" s="259">
        <v>27440000</v>
      </c>
      <c r="F80" s="259">
        <f t="shared" si="1"/>
        <v>0</v>
      </c>
      <c r="G80" s="260"/>
    </row>
    <row r="81" spans="1:10" x14ac:dyDescent="0.25">
      <c r="A81" s="15">
        <v>72</v>
      </c>
      <c r="B81" s="261">
        <v>45138</v>
      </c>
      <c r="C81" s="260" t="s">
        <v>1542</v>
      </c>
      <c r="D81" s="259">
        <v>15330000</v>
      </c>
      <c r="E81" s="259"/>
      <c r="F81" s="259">
        <f t="shared" si="1"/>
        <v>15330000</v>
      </c>
      <c r="G81" s="260"/>
    </row>
    <row r="82" spans="1:10" x14ac:dyDescent="0.25">
      <c r="A82" s="262">
        <v>73</v>
      </c>
      <c r="B82" s="261">
        <v>45167</v>
      </c>
      <c r="C82" s="260" t="s">
        <v>361</v>
      </c>
      <c r="D82" s="259"/>
      <c r="E82" s="259">
        <v>15330000</v>
      </c>
      <c r="F82" s="259">
        <f t="shared" si="1"/>
        <v>0</v>
      </c>
      <c r="G82" s="260" t="s">
        <v>1152</v>
      </c>
    </row>
    <row r="83" spans="1:10" x14ac:dyDescent="0.25">
      <c r="A83" s="15">
        <v>74</v>
      </c>
      <c r="B83" s="261">
        <v>45213</v>
      </c>
      <c r="C83" s="260" t="s">
        <v>1623</v>
      </c>
      <c r="D83" s="259">
        <v>19582800</v>
      </c>
      <c r="E83" s="259"/>
      <c r="F83" s="259">
        <f t="shared" si="1"/>
        <v>19582800</v>
      </c>
      <c r="G83" s="260"/>
    </row>
    <row r="84" spans="1:10" x14ac:dyDescent="0.25">
      <c r="A84" s="262">
        <v>75</v>
      </c>
      <c r="B84" s="261">
        <v>45223</v>
      </c>
      <c r="C84" s="260" t="s">
        <v>1636</v>
      </c>
      <c r="D84" s="259">
        <v>17079100</v>
      </c>
      <c r="E84" s="259"/>
      <c r="F84" s="259">
        <f t="shared" si="1"/>
        <v>36661900</v>
      </c>
      <c r="G84" s="260"/>
    </row>
    <row r="85" spans="1:10" x14ac:dyDescent="0.25">
      <c r="A85" s="15">
        <v>76</v>
      </c>
      <c r="B85" s="261">
        <v>45245</v>
      </c>
      <c r="C85" s="260" t="s">
        <v>361</v>
      </c>
      <c r="D85" s="259"/>
      <c r="E85" s="259">
        <f>D83+D84</f>
        <v>36661900</v>
      </c>
      <c r="F85" s="259">
        <f t="shared" si="1"/>
        <v>0</v>
      </c>
      <c r="G85" s="260" t="s">
        <v>1696</v>
      </c>
      <c r="J85" s="242">
        <f>E78+E82+E85</f>
        <v>67586900</v>
      </c>
    </row>
    <row r="86" spans="1:10" x14ac:dyDescent="0.25">
      <c r="A86" s="262">
        <v>77</v>
      </c>
      <c r="B86" s="261">
        <v>45281</v>
      </c>
      <c r="C86" s="260" t="s">
        <v>1675</v>
      </c>
      <c r="D86" s="259">
        <v>16207400</v>
      </c>
      <c r="E86" s="259"/>
      <c r="F86" s="259">
        <f t="shared" si="1"/>
        <v>16207400</v>
      </c>
      <c r="G86" s="260"/>
    </row>
    <row r="87" spans="1:10" x14ac:dyDescent="0.25">
      <c r="A87" s="15">
        <v>78</v>
      </c>
      <c r="B87" s="261">
        <v>45306</v>
      </c>
      <c r="C87" s="260" t="s">
        <v>361</v>
      </c>
      <c r="D87" s="259"/>
      <c r="E87" s="259">
        <v>16207400</v>
      </c>
      <c r="F87" s="259">
        <f t="shared" si="1"/>
        <v>0</v>
      </c>
      <c r="G87" s="260"/>
    </row>
    <row r="88" spans="1:10" x14ac:dyDescent="0.25">
      <c r="A88" s="262">
        <v>79</v>
      </c>
      <c r="B88" s="261">
        <v>45385</v>
      </c>
      <c r="C88" s="260" t="s">
        <v>1751</v>
      </c>
      <c r="D88" s="287">
        <v>16974000</v>
      </c>
      <c r="E88" s="259"/>
      <c r="F88" s="259">
        <f t="shared" si="1"/>
        <v>16974000</v>
      </c>
      <c r="G88" s="260"/>
    </row>
    <row r="89" spans="1:10" x14ac:dyDescent="0.25">
      <c r="A89" s="15">
        <v>80</v>
      </c>
      <c r="B89" s="261">
        <v>45402</v>
      </c>
      <c r="C89" s="260" t="s">
        <v>1753</v>
      </c>
      <c r="D89" s="287">
        <v>40980600</v>
      </c>
      <c r="E89" s="259"/>
      <c r="F89" s="259">
        <f t="shared" si="1"/>
        <v>57954600</v>
      </c>
      <c r="G89" s="260"/>
    </row>
    <row r="90" spans="1:10" x14ac:dyDescent="0.25">
      <c r="A90" s="262">
        <v>81</v>
      </c>
      <c r="B90" s="261">
        <v>45404</v>
      </c>
      <c r="C90" s="260" t="s">
        <v>361</v>
      </c>
      <c r="D90" s="259"/>
      <c r="E90" s="259">
        <v>16974000</v>
      </c>
      <c r="F90" s="259">
        <f t="shared" si="1"/>
        <v>40980600</v>
      </c>
      <c r="G90" s="260" t="s">
        <v>1696</v>
      </c>
    </row>
    <row r="91" spans="1:10" x14ac:dyDescent="0.25">
      <c r="A91" s="15">
        <v>82</v>
      </c>
      <c r="B91" s="261">
        <v>45415</v>
      </c>
      <c r="C91" s="260" t="s">
        <v>1770</v>
      </c>
      <c r="D91" s="287">
        <v>24071100</v>
      </c>
      <c r="E91" s="259"/>
      <c r="F91" s="259">
        <f t="shared" si="1"/>
        <v>65051700</v>
      </c>
      <c r="G91" s="260"/>
    </row>
    <row r="92" spans="1:10" x14ac:dyDescent="0.25">
      <c r="A92" s="262">
        <v>83</v>
      </c>
      <c r="B92" s="261">
        <v>45425</v>
      </c>
      <c r="C92" s="260" t="s">
        <v>361</v>
      </c>
      <c r="D92" s="259"/>
      <c r="E92" s="259">
        <v>40980600</v>
      </c>
      <c r="F92" s="259">
        <f t="shared" si="1"/>
        <v>24071100</v>
      </c>
      <c r="G92" s="260"/>
    </row>
    <row r="93" spans="1:10" x14ac:dyDescent="0.25">
      <c r="A93" s="15">
        <v>84</v>
      </c>
      <c r="B93" s="261">
        <v>45440</v>
      </c>
      <c r="C93" s="260" t="s">
        <v>1786</v>
      </c>
      <c r="D93" s="287">
        <v>24456115</v>
      </c>
      <c r="E93" s="259"/>
      <c r="F93" s="259">
        <f t="shared" si="1"/>
        <v>48527215</v>
      </c>
      <c r="G93" s="260"/>
    </row>
    <row r="94" spans="1:10" x14ac:dyDescent="0.25">
      <c r="A94" s="262">
        <v>85</v>
      </c>
      <c r="B94" s="261">
        <v>45478</v>
      </c>
      <c r="C94" s="260" t="s">
        <v>361</v>
      </c>
      <c r="D94" s="259"/>
      <c r="E94" s="259">
        <v>48527215</v>
      </c>
      <c r="F94" s="259">
        <f t="shared" si="1"/>
        <v>0</v>
      </c>
      <c r="G94" s="260"/>
    </row>
    <row r="95" spans="1:10" x14ac:dyDescent="0.25">
      <c r="A95" s="15">
        <v>86</v>
      </c>
      <c r="B95" s="261">
        <v>45481</v>
      </c>
      <c r="C95" s="260" t="s">
        <v>1817</v>
      </c>
      <c r="D95" s="259">
        <v>33331200</v>
      </c>
      <c r="E95" s="259"/>
      <c r="F95" s="259">
        <f t="shared" si="1"/>
        <v>33331200</v>
      </c>
      <c r="G95" s="260"/>
    </row>
    <row r="96" spans="1:10" x14ac:dyDescent="0.25">
      <c r="A96" s="262">
        <v>87</v>
      </c>
      <c r="B96" s="261">
        <v>45492</v>
      </c>
      <c r="C96" s="260" t="s">
        <v>1826</v>
      </c>
      <c r="D96" s="259">
        <v>62614160</v>
      </c>
      <c r="E96" s="259"/>
      <c r="F96" s="259">
        <f t="shared" si="1"/>
        <v>95945360</v>
      </c>
      <c r="G96" s="260"/>
    </row>
    <row r="97" spans="1:7" x14ac:dyDescent="0.25">
      <c r="A97" s="15">
        <v>88</v>
      </c>
      <c r="B97" s="261">
        <v>45517</v>
      </c>
      <c r="C97" s="260" t="s">
        <v>361</v>
      </c>
      <c r="D97" s="259"/>
      <c r="E97" s="259">
        <v>62614160</v>
      </c>
      <c r="F97" s="259">
        <f t="shared" si="1"/>
        <v>33331200</v>
      </c>
      <c r="G97" s="260"/>
    </row>
    <row r="98" spans="1:7" x14ac:dyDescent="0.25">
      <c r="A98" s="262">
        <v>89</v>
      </c>
      <c r="B98" s="261">
        <v>45531</v>
      </c>
      <c r="C98" s="260" t="s">
        <v>1853</v>
      </c>
      <c r="D98" s="259">
        <v>27364300</v>
      </c>
      <c r="E98" s="259"/>
      <c r="F98" s="259">
        <f t="shared" si="1"/>
        <v>60695500</v>
      </c>
      <c r="G98" s="260"/>
    </row>
    <row r="99" spans="1:7" x14ac:dyDescent="0.25">
      <c r="A99" s="262">
        <v>90</v>
      </c>
      <c r="B99" s="261">
        <v>45541</v>
      </c>
      <c r="C99" s="260" t="s">
        <v>361</v>
      </c>
      <c r="D99" s="259"/>
      <c r="E99" s="259">
        <v>33331200</v>
      </c>
      <c r="F99" s="259">
        <f t="shared" si="1"/>
        <v>27364300</v>
      </c>
      <c r="G99" s="260"/>
    </row>
    <row r="100" spans="1:7" x14ac:dyDescent="0.25">
      <c r="A100" s="262">
        <v>91</v>
      </c>
      <c r="B100" s="261">
        <v>45553</v>
      </c>
      <c r="C100" s="260" t="s">
        <v>1869</v>
      </c>
      <c r="D100" s="259">
        <v>27295300</v>
      </c>
      <c r="E100" s="259"/>
      <c r="F100" s="259">
        <f t="shared" si="1"/>
        <v>54659600</v>
      </c>
      <c r="G100" s="260"/>
    </row>
    <row r="101" spans="1:7" x14ac:dyDescent="0.25">
      <c r="A101" s="262">
        <v>92</v>
      </c>
      <c r="B101" s="261">
        <v>45604</v>
      </c>
      <c r="C101" s="260" t="s">
        <v>1910</v>
      </c>
      <c r="D101" s="259">
        <v>18820500</v>
      </c>
      <c r="E101" s="259"/>
      <c r="F101" s="259">
        <f t="shared" si="1"/>
        <v>73480100</v>
      </c>
      <c r="G101" s="260"/>
    </row>
    <row r="102" spans="1:7" x14ac:dyDescent="0.25">
      <c r="A102" s="262">
        <v>93</v>
      </c>
      <c r="B102" s="261">
        <v>45624</v>
      </c>
      <c r="C102" s="260" t="s">
        <v>361</v>
      </c>
      <c r="D102" s="259"/>
      <c r="E102" s="259">
        <v>54659600</v>
      </c>
      <c r="F102" s="259">
        <f t="shared" si="1"/>
        <v>18820500</v>
      </c>
      <c r="G102" s="260"/>
    </row>
    <row r="103" spans="1:7" x14ac:dyDescent="0.25">
      <c r="A103" s="262">
        <v>94</v>
      </c>
      <c r="B103" s="261">
        <v>45624</v>
      </c>
      <c r="C103" s="260" t="s">
        <v>1919</v>
      </c>
      <c r="D103" s="259">
        <v>27186280</v>
      </c>
      <c r="E103" s="259"/>
      <c r="F103" s="259">
        <f t="shared" si="1"/>
        <v>46006780</v>
      </c>
      <c r="G103" s="260"/>
    </row>
    <row r="104" spans="1:7" x14ac:dyDescent="0.25">
      <c r="A104" s="262">
        <v>95</v>
      </c>
      <c r="B104" s="261">
        <v>45665</v>
      </c>
      <c r="C104" s="260" t="s">
        <v>361</v>
      </c>
      <c r="D104" s="259"/>
      <c r="E104" s="259">
        <v>46006000</v>
      </c>
      <c r="F104" s="259">
        <f t="shared" si="1"/>
        <v>780</v>
      </c>
      <c r="G104" s="260"/>
    </row>
    <row r="105" spans="1:7" x14ac:dyDescent="0.25">
      <c r="A105" s="262">
        <v>96</v>
      </c>
      <c r="B105" s="261">
        <v>45776</v>
      </c>
      <c r="C105" s="260" t="s">
        <v>2013</v>
      </c>
      <c r="D105" s="259">
        <v>27329250</v>
      </c>
      <c r="E105" s="259"/>
      <c r="F105" s="259">
        <f t="shared" si="1"/>
        <v>27330030</v>
      </c>
      <c r="G105" s="260"/>
    </row>
    <row r="106" spans="1:7" x14ac:dyDescent="0.25">
      <c r="A106" s="262"/>
      <c r="B106" s="261"/>
      <c r="C106" s="260"/>
      <c r="D106" s="259"/>
      <c r="E106" s="259"/>
      <c r="F106" s="259">
        <f t="shared" si="1"/>
        <v>27330030</v>
      </c>
      <c r="G106" s="260"/>
    </row>
    <row r="107" spans="1:7" x14ac:dyDescent="0.25">
      <c r="A107" s="262"/>
      <c r="B107" s="261"/>
      <c r="C107" s="260"/>
      <c r="D107" s="259"/>
      <c r="E107" s="259"/>
      <c r="F107" s="259"/>
      <c r="G107" s="260"/>
    </row>
    <row r="108" spans="1:7" x14ac:dyDescent="0.25">
      <c r="A108" s="262"/>
      <c r="B108" s="261"/>
      <c r="C108" s="260"/>
      <c r="D108" s="259"/>
      <c r="E108" s="259"/>
      <c r="F108" s="259"/>
      <c r="G108" s="260"/>
    </row>
    <row r="109" spans="1:7" x14ac:dyDescent="0.25">
      <c r="A109" s="262"/>
      <c r="B109" s="261"/>
      <c r="C109" s="260"/>
      <c r="D109" s="259"/>
      <c r="E109" s="259"/>
      <c r="F109" s="259"/>
      <c r="G109" s="260"/>
    </row>
    <row r="110" spans="1:7" x14ac:dyDescent="0.25">
      <c r="A110" s="262"/>
      <c r="B110" s="262"/>
      <c r="C110" s="260"/>
      <c r="D110" s="259"/>
      <c r="E110" s="259"/>
      <c r="F110" s="259"/>
      <c r="G110" s="260"/>
    </row>
    <row r="111" spans="1:7" x14ac:dyDescent="0.25">
      <c r="A111" s="262"/>
      <c r="B111" s="262"/>
      <c r="C111" s="260"/>
      <c r="D111" s="259"/>
      <c r="E111" s="259"/>
      <c r="F111" s="259"/>
      <c r="G111" s="260"/>
    </row>
    <row r="112" spans="1:7" x14ac:dyDescent="0.25">
      <c r="A112" s="262"/>
      <c r="B112" s="262"/>
      <c r="C112" s="260"/>
      <c r="D112" s="259"/>
      <c r="E112" s="259"/>
      <c r="F112" s="259"/>
      <c r="G112" s="260"/>
    </row>
    <row r="113" spans="1:7" x14ac:dyDescent="0.25">
      <c r="A113" s="260"/>
      <c r="B113" s="262"/>
      <c r="C113" s="260"/>
      <c r="D113" s="259"/>
      <c r="E113" s="259"/>
      <c r="F113" s="259"/>
      <c r="G113" s="260"/>
    </row>
    <row r="114" spans="1:7" x14ac:dyDescent="0.25">
      <c r="A114" s="260"/>
      <c r="B114" s="262"/>
      <c r="C114" s="260"/>
      <c r="D114" s="259"/>
      <c r="E114" s="259"/>
      <c r="F114" s="259"/>
      <c r="G114" s="260"/>
    </row>
    <row r="115" spans="1:7" x14ac:dyDescent="0.25">
      <c r="A115" s="260"/>
      <c r="B115" s="262"/>
      <c r="C115" s="260"/>
      <c r="D115" s="259"/>
      <c r="E115" s="259"/>
      <c r="F115" s="259"/>
      <c r="G115" s="260"/>
    </row>
    <row r="116" spans="1:7" x14ac:dyDescent="0.25">
      <c r="A116" s="260"/>
      <c r="B116" s="262"/>
      <c r="C116" s="260"/>
      <c r="D116" s="259"/>
      <c r="E116" s="259"/>
      <c r="F116" s="259"/>
      <c r="G116" s="260"/>
    </row>
    <row r="117" spans="1:7" x14ac:dyDescent="0.25">
      <c r="A117" s="260"/>
      <c r="B117" s="262"/>
      <c r="C117" s="260"/>
      <c r="D117" s="259"/>
      <c r="E117" s="259"/>
      <c r="F117" s="259"/>
      <c r="G117" s="260"/>
    </row>
    <row r="118" spans="1:7" x14ac:dyDescent="0.25">
      <c r="A118" s="260"/>
      <c r="B118" s="262"/>
      <c r="C118" s="260"/>
      <c r="D118" s="259"/>
      <c r="E118" s="259"/>
      <c r="F118" s="259"/>
      <c r="G118" s="260"/>
    </row>
    <row r="119" spans="1:7" x14ac:dyDescent="0.25">
      <c r="A119" s="260"/>
      <c r="B119" s="262"/>
      <c r="C119" s="260"/>
      <c r="D119" s="259"/>
      <c r="E119" s="259"/>
      <c r="F119" s="259"/>
      <c r="G119" s="260"/>
    </row>
    <row r="120" spans="1:7" x14ac:dyDescent="0.25">
      <c r="A120" s="260"/>
      <c r="B120" s="262"/>
      <c r="C120" s="260"/>
      <c r="D120" s="259"/>
      <c r="E120" s="259"/>
      <c r="F120" s="259"/>
      <c r="G120" s="260"/>
    </row>
    <row r="121" spans="1:7" x14ac:dyDescent="0.25">
      <c r="A121" s="260"/>
      <c r="B121" s="262"/>
      <c r="C121" s="260"/>
      <c r="D121" s="259"/>
      <c r="E121" s="259"/>
      <c r="F121" s="259"/>
      <c r="G121" s="260"/>
    </row>
    <row r="122" spans="1:7" x14ac:dyDescent="0.25">
      <c r="A122" s="260"/>
      <c r="B122" s="262"/>
      <c r="C122" s="260"/>
      <c r="D122" s="259"/>
      <c r="E122" s="259"/>
      <c r="F122" s="259"/>
      <c r="G122" s="260"/>
    </row>
    <row r="123" spans="1:7" x14ac:dyDescent="0.25">
      <c r="A123" s="260"/>
      <c r="B123" s="262"/>
      <c r="C123" s="260"/>
      <c r="D123" s="259"/>
      <c r="E123" s="259"/>
      <c r="F123" s="259"/>
      <c r="G123" s="260"/>
    </row>
    <row r="124" spans="1:7" x14ac:dyDescent="0.25">
      <c r="A124" s="260"/>
      <c r="B124" s="262"/>
      <c r="C124" s="260"/>
      <c r="D124" s="259"/>
      <c r="E124" s="259"/>
      <c r="F124" s="259"/>
      <c r="G124" s="260"/>
    </row>
    <row r="125" spans="1:7" x14ac:dyDescent="0.25">
      <c r="A125" s="260"/>
      <c r="B125" s="262"/>
      <c r="C125" s="260"/>
      <c r="D125" s="259"/>
      <c r="E125" s="259"/>
      <c r="F125" s="259"/>
      <c r="G125" s="260"/>
    </row>
    <row r="126" spans="1:7" x14ac:dyDescent="0.25">
      <c r="A126" s="260"/>
      <c r="B126" s="262"/>
      <c r="C126" s="260"/>
      <c r="D126" s="259"/>
      <c r="E126" s="259"/>
      <c r="F126" s="259"/>
      <c r="G126" s="260"/>
    </row>
    <row r="127" spans="1:7" x14ac:dyDescent="0.25">
      <c r="A127" s="260"/>
      <c r="B127" s="262"/>
      <c r="C127" s="260"/>
      <c r="D127" s="259"/>
      <c r="E127" s="259"/>
      <c r="F127" s="259"/>
      <c r="G127" s="260"/>
    </row>
    <row r="128" spans="1:7" x14ac:dyDescent="0.25">
      <c r="A128" s="260"/>
      <c r="B128" s="262"/>
      <c r="C128" s="260"/>
      <c r="D128" s="259"/>
      <c r="E128" s="259"/>
      <c r="F128" s="259"/>
      <c r="G128" s="260"/>
    </row>
    <row r="129" spans="1:7" x14ac:dyDescent="0.25">
      <c r="A129" s="260"/>
      <c r="B129" s="262"/>
      <c r="C129" s="260"/>
      <c r="D129" s="259"/>
      <c r="E129" s="259"/>
      <c r="F129" s="259"/>
      <c r="G129" s="260"/>
    </row>
    <row r="130" spans="1:7" x14ac:dyDescent="0.25">
      <c r="A130" s="260"/>
      <c r="B130" s="262"/>
      <c r="C130" s="260"/>
      <c r="D130" s="259"/>
      <c r="E130" s="259"/>
      <c r="F130" s="259"/>
      <c r="G130" s="260"/>
    </row>
    <row r="131" spans="1:7" x14ac:dyDescent="0.25">
      <c r="A131" s="260"/>
      <c r="B131" s="262"/>
      <c r="C131" s="260"/>
      <c r="D131" s="259"/>
      <c r="E131" s="259"/>
      <c r="F131" s="259"/>
      <c r="G131" s="260"/>
    </row>
    <row r="132" spans="1:7" x14ac:dyDescent="0.25">
      <c r="A132" s="260"/>
      <c r="B132" s="262"/>
      <c r="C132" s="260"/>
      <c r="D132" s="259"/>
      <c r="E132" s="259"/>
      <c r="F132" s="259"/>
      <c r="G132" s="260"/>
    </row>
    <row r="133" spans="1:7" x14ac:dyDescent="0.25">
      <c r="A133" s="260"/>
      <c r="B133" s="262"/>
      <c r="C133" s="260"/>
      <c r="D133" s="259"/>
      <c r="E133" s="259"/>
      <c r="F133" s="259"/>
      <c r="G133" s="260"/>
    </row>
    <row r="134" spans="1:7" x14ac:dyDescent="0.25">
      <c r="A134" s="260"/>
      <c r="B134" s="262"/>
      <c r="C134" s="260"/>
      <c r="D134" s="259"/>
      <c r="E134" s="259"/>
      <c r="F134" s="259"/>
      <c r="G134" s="260"/>
    </row>
    <row r="135" spans="1:7" x14ac:dyDescent="0.25">
      <c r="A135" s="260"/>
      <c r="B135" s="262"/>
      <c r="C135" s="260"/>
      <c r="D135" s="259"/>
      <c r="E135" s="259"/>
      <c r="F135" s="259"/>
      <c r="G135" s="260"/>
    </row>
    <row r="136" spans="1:7" x14ac:dyDescent="0.25">
      <c r="A136" s="260"/>
      <c r="B136" s="262"/>
      <c r="C136" s="260"/>
      <c r="D136" s="259"/>
      <c r="E136" s="259"/>
      <c r="F136" s="259"/>
      <c r="G136" s="260"/>
    </row>
    <row r="137" spans="1:7" x14ac:dyDescent="0.25">
      <c r="A137" s="260"/>
      <c r="B137" s="262"/>
      <c r="C137" s="260"/>
      <c r="D137" s="259"/>
      <c r="E137" s="259"/>
      <c r="F137" s="259"/>
      <c r="G137" s="260"/>
    </row>
    <row r="138" spans="1:7" x14ac:dyDescent="0.25">
      <c r="A138" s="260"/>
      <c r="B138" s="262"/>
      <c r="C138" s="260"/>
      <c r="D138" s="259"/>
      <c r="E138" s="259"/>
      <c r="F138" s="259"/>
      <c r="G138" s="260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3"/>
  <sheetViews>
    <sheetView workbookViewId="0">
      <pane ySplit="1" topLeftCell="A82" activePane="bottomLeft" state="frozen"/>
      <selection pane="bottomLeft"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4.42578125" style="2" customWidth="1"/>
    <col min="8" max="8" width="11.5703125" customWidth="1"/>
  </cols>
  <sheetData>
    <row r="1" spans="1:11" x14ac:dyDescent="0.25">
      <c r="A1" s="1"/>
      <c r="B1" s="252"/>
      <c r="G1" s="1" t="s">
        <v>16</v>
      </c>
    </row>
    <row r="2" spans="1:11" x14ac:dyDescent="0.25">
      <c r="A2" s="411" t="s">
        <v>3</v>
      </c>
      <c r="B2" s="411"/>
      <c r="C2" s="411"/>
      <c r="D2" s="411"/>
      <c r="E2" s="411"/>
      <c r="F2" s="411"/>
    </row>
    <row r="3" spans="1:11" x14ac:dyDescent="0.25">
      <c r="A3" t="s">
        <v>4</v>
      </c>
      <c r="D3" s="2" t="s">
        <v>15</v>
      </c>
    </row>
    <row r="4" spans="1:11" x14ac:dyDescent="0.25">
      <c r="E4" s="2" t="s">
        <v>9</v>
      </c>
      <c r="F4" s="2">
        <v>7903000</v>
      </c>
      <c r="K4" t="s">
        <v>199</v>
      </c>
    </row>
    <row r="5" spans="1:11" x14ac:dyDescent="0.25">
      <c r="A5" t="s">
        <v>13</v>
      </c>
      <c r="D5" s="3">
        <f ca="1">+'Tổng hợp'!$G$2</f>
        <v>45784</v>
      </c>
      <c r="E5" s="2" t="s">
        <v>10</v>
      </c>
      <c r="F5" s="2">
        <f>SUM(D10:D200)</f>
        <v>1778700998</v>
      </c>
    </row>
    <row r="6" spans="1:11" x14ac:dyDescent="0.25">
      <c r="E6" s="2" t="s">
        <v>11</v>
      </c>
      <c r="F6" s="2">
        <f>SUM(E10:E200)</f>
        <v>1760615998</v>
      </c>
    </row>
    <row r="7" spans="1:11" x14ac:dyDescent="0.25">
      <c r="E7" s="2" t="s">
        <v>12</v>
      </c>
      <c r="F7" s="2">
        <f>+F4+F5-F6</f>
        <v>25988000</v>
      </c>
    </row>
    <row r="8" spans="1:11" x14ac:dyDescent="0.25">
      <c r="A8" s="416" t="s">
        <v>0</v>
      </c>
      <c r="B8" s="416" t="s">
        <v>13</v>
      </c>
      <c r="C8" s="416" t="s">
        <v>5</v>
      </c>
      <c r="D8" s="417" t="s">
        <v>8</v>
      </c>
      <c r="E8" s="417"/>
      <c r="F8" s="417" t="s">
        <v>2</v>
      </c>
    </row>
    <row r="9" spans="1:11" x14ac:dyDescent="0.25">
      <c r="A9" s="416"/>
      <c r="B9" s="416"/>
      <c r="C9" s="416"/>
      <c r="D9" s="259" t="s">
        <v>6</v>
      </c>
      <c r="E9" s="259" t="s">
        <v>7</v>
      </c>
      <c r="F9" s="417"/>
    </row>
    <row r="10" spans="1:11" x14ac:dyDescent="0.25">
      <c r="A10" s="15">
        <v>1</v>
      </c>
      <c r="B10" s="261">
        <v>43645</v>
      </c>
      <c r="C10" s="260" t="s">
        <v>181</v>
      </c>
      <c r="D10" s="259">
        <v>21061200</v>
      </c>
      <c r="E10" s="259"/>
      <c r="F10" s="259"/>
      <c r="H10" s="242">
        <f>F4+D10-E10</f>
        <v>28964200</v>
      </c>
    </row>
    <row r="11" spans="1:11" x14ac:dyDescent="0.25">
      <c r="A11" s="15">
        <v>2</v>
      </c>
      <c r="B11" s="261">
        <v>43663</v>
      </c>
      <c r="C11" s="260" t="s">
        <v>189</v>
      </c>
      <c r="D11" s="259"/>
      <c r="E11" s="259">
        <v>21061200</v>
      </c>
      <c r="F11" s="259"/>
      <c r="H11" s="242">
        <f>H10+D11-E11</f>
        <v>7903000</v>
      </c>
    </row>
    <row r="12" spans="1:11" x14ac:dyDescent="0.25">
      <c r="A12" s="15">
        <v>3</v>
      </c>
      <c r="B12" s="261">
        <v>43693</v>
      </c>
      <c r="C12" s="260" t="s">
        <v>228</v>
      </c>
      <c r="D12" s="259"/>
      <c r="E12" s="259">
        <v>7903000</v>
      </c>
      <c r="F12" s="259"/>
      <c r="H12" s="242">
        <f t="shared" ref="H12:H75" si="0">H11+D12-E12</f>
        <v>0</v>
      </c>
    </row>
    <row r="13" spans="1:11" x14ac:dyDescent="0.25">
      <c r="A13" s="15">
        <v>4</v>
      </c>
      <c r="B13" s="262" t="s">
        <v>277</v>
      </c>
      <c r="C13" s="260" t="s">
        <v>281</v>
      </c>
      <c r="D13" s="259">
        <v>12017700</v>
      </c>
      <c r="E13" s="259"/>
      <c r="F13" s="259"/>
      <c r="H13" s="242">
        <f t="shared" si="0"/>
        <v>12017700</v>
      </c>
    </row>
    <row r="14" spans="1:11" x14ac:dyDescent="0.25">
      <c r="A14" s="15">
        <v>5</v>
      </c>
      <c r="B14" s="274">
        <v>43745</v>
      </c>
      <c r="C14" s="260" t="s">
        <v>287</v>
      </c>
      <c r="D14" s="259"/>
      <c r="E14" s="259">
        <v>12017700</v>
      </c>
      <c r="F14" s="259"/>
      <c r="H14" s="242">
        <f t="shared" si="0"/>
        <v>0</v>
      </c>
    </row>
    <row r="15" spans="1:11" x14ac:dyDescent="0.25">
      <c r="A15" s="15">
        <v>6</v>
      </c>
      <c r="B15" s="262" t="s">
        <v>306</v>
      </c>
      <c r="C15" s="260" t="s">
        <v>307</v>
      </c>
      <c r="D15" s="259">
        <v>1988892</v>
      </c>
      <c r="E15" s="259"/>
      <c r="F15" s="259"/>
      <c r="H15" s="242">
        <f t="shared" si="0"/>
        <v>1988892</v>
      </c>
    </row>
    <row r="16" spans="1:11" x14ac:dyDescent="0.25">
      <c r="A16" s="15">
        <v>7</v>
      </c>
      <c r="B16" s="262" t="s">
        <v>309</v>
      </c>
      <c r="C16" s="260" t="s">
        <v>312</v>
      </c>
      <c r="D16" s="259">
        <v>9800000</v>
      </c>
      <c r="E16" s="259"/>
      <c r="F16" s="259"/>
      <c r="H16" s="242">
        <f t="shared" si="0"/>
        <v>11788892</v>
      </c>
    </row>
    <row r="17" spans="1:8" x14ac:dyDescent="0.25">
      <c r="A17" s="15">
        <v>8</v>
      </c>
      <c r="B17" s="262" t="s">
        <v>336</v>
      </c>
      <c r="C17" s="260" t="s">
        <v>345</v>
      </c>
      <c r="D17" s="259"/>
      <c r="E17" s="259">
        <v>11788892</v>
      </c>
      <c r="F17" s="259"/>
      <c r="H17" s="242">
        <f t="shared" si="0"/>
        <v>0</v>
      </c>
    </row>
    <row r="18" spans="1:8" x14ac:dyDescent="0.25">
      <c r="A18" s="15">
        <v>9</v>
      </c>
      <c r="B18" s="262" t="s">
        <v>342</v>
      </c>
      <c r="C18" s="260" t="s">
        <v>346</v>
      </c>
      <c r="D18" s="259">
        <f>25421000+5775610</f>
        <v>31196610</v>
      </c>
      <c r="E18" s="259"/>
      <c r="F18" s="259"/>
      <c r="H18" s="242">
        <f t="shared" si="0"/>
        <v>31196610</v>
      </c>
    </row>
    <row r="19" spans="1:8" x14ac:dyDescent="0.25">
      <c r="A19" s="15">
        <v>10</v>
      </c>
      <c r="B19" s="262" t="s">
        <v>362</v>
      </c>
      <c r="C19" s="260" t="s">
        <v>363</v>
      </c>
      <c r="D19" s="259"/>
      <c r="E19" s="259">
        <v>31196610</v>
      </c>
      <c r="F19" s="259"/>
      <c r="H19" s="242">
        <f t="shared" si="0"/>
        <v>0</v>
      </c>
    </row>
    <row r="20" spans="1:8" x14ac:dyDescent="0.25">
      <c r="A20" s="15">
        <v>11</v>
      </c>
      <c r="B20" s="262" t="s">
        <v>376</v>
      </c>
      <c r="C20" s="260" t="s">
        <v>378</v>
      </c>
      <c r="D20" s="259">
        <v>35109000</v>
      </c>
      <c r="E20" s="259"/>
      <c r="F20" s="259"/>
      <c r="H20" s="242">
        <f t="shared" si="0"/>
        <v>35109000</v>
      </c>
    </row>
    <row r="21" spans="1:8" x14ac:dyDescent="0.25">
      <c r="A21" s="15">
        <v>12</v>
      </c>
      <c r="B21" s="262" t="s">
        <v>395</v>
      </c>
      <c r="C21" s="260" t="s">
        <v>363</v>
      </c>
      <c r="D21" s="259"/>
      <c r="E21" s="259">
        <v>35109000</v>
      </c>
      <c r="F21" s="259"/>
      <c r="H21" s="242">
        <f t="shared" si="0"/>
        <v>0</v>
      </c>
    </row>
    <row r="22" spans="1:8" x14ac:dyDescent="0.25">
      <c r="A22" s="15">
        <v>13</v>
      </c>
      <c r="B22" s="262" t="s">
        <v>400</v>
      </c>
      <c r="C22" s="260" t="s">
        <v>403</v>
      </c>
      <c r="D22" s="259">
        <v>35853000</v>
      </c>
      <c r="E22" s="259"/>
      <c r="F22" s="259"/>
      <c r="H22" s="242">
        <f t="shared" si="0"/>
        <v>35853000</v>
      </c>
    </row>
    <row r="23" spans="1:8" x14ac:dyDescent="0.25">
      <c r="A23" s="15">
        <v>14</v>
      </c>
      <c r="B23" s="262" t="s">
        <v>420</v>
      </c>
      <c r="C23" s="260" t="s">
        <v>423</v>
      </c>
      <c r="D23" s="259">
        <v>6492000</v>
      </c>
      <c r="E23" s="259"/>
      <c r="F23" s="259"/>
      <c r="H23" s="242">
        <f t="shared" si="0"/>
        <v>42345000</v>
      </c>
    </row>
    <row r="24" spans="1:8" x14ac:dyDescent="0.25">
      <c r="A24" s="15">
        <v>15</v>
      </c>
      <c r="B24" s="261">
        <v>44138</v>
      </c>
      <c r="C24" s="260" t="s">
        <v>363</v>
      </c>
      <c r="D24" s="259"/>
      <c r="E24" s="259">
        <v>35853000</v>
      </c>
      <c r="F24" s="259"/>
      <c r="H24" s="242">
        <f t="shared" si="0"/>
        <v>6492000</v>
      </c>
    </row>
    <row r="25" spans="1:8" x14ac:dyDescent="0.25">
      <c r="A25" s="15">
        <v>16</v>
      </c>
      <c r="B25" s="262" t="s">
        <v>458</v>
      </c>
      <c r="C25" s="260" t="s">
        <v>363</v>
      </c>
      <c r="D25" s="259"/>
      <c r="E25" s="259">
        <v>6492000</v>
      </c>
      <c r="F25" s="259"/>
      <c r="H25" s="242">
        <f t="shared" si="0"/>
        <v>0</v>
      </c>
    </row>
    <row r="26" spans="1:8" x14ac:dyDescent="0.25">
      <c r="A26" s="15">
        <v>17</v>
      </c>
      <c r="B26" s="261">
        <v>43927</v>
      </c>
      <c r="C26" s="260" t="s">
        <v>513</v>
      </c>
      <c r="D26" s="259">
        <v>5221060</v>
      </c>
      <c r="E26" s="259"/>
      <c r="F26" s="259"/>
      <c r="H26" s="242">
        <f t="shared" si="0"/>
        <v>5221060</v>
      </c>
    </row>
    <row r="27" spans="1:8" x14ac:dyDescent="0.25">
      <c r="A27" s="15">
        <v>18</v>
      </c>
      <c r="B27" s="262" t="s">
        <v>538</v>
      </c>
      <c r="C27" s="260" t="s">
        <v>187</v>
      </c>
      <c r="D27" s="259">
        <v>39602000</v>
      </c>
      <c r="E27" s="259"/>
      <c r="F27" s="259"/>
      <c r="H27" s="242">
        <f t="shared" si="0"/>
        <v>44823060</v>
      </c>
    </row>
    <row r="28" spans="1:8" x14ac:dyDescent="0.25">
      <c r="A28" s="15">
        <v>19</v>
      </c>
      <c r="B28" s="261">
        <v>44021</v>
      </c>
      <c r="C28" s="260" t="s">
        <v>363</v>
      </c>
      <c r="D28" s="259"/>
      <c r="E28" s="259">
        <v>44823060</v>
      </c>
      <c r="F28" s="259"/>
      <c r="H28" s="242">
        <f t="shared" si="0"/>
        <v>0</v>
      </c>
    </row>
    <row r="29" spans="1:8" x14ac:dyDescent="0.25">
      <c r="A29" s="15">
        <v>20</v>
      </c>
      <c r="B29" s="261">
        <v>44043</v>
      </c>
      <c r="C29" s="260" t="s">
        <v>230</v>
      </c>
      <c r="D29" s="259">
        <v>25392000</v>
      </c>
      <c r="E29" s="259"/>
      <c r="F29" s="259"/>
      <c r="H29" s="242">
        <f t="shared" si="0"/>
        <v>25392000</v>
      </c>
    </row>
    <row r="30" spans="1:8" x14ac:dyDescent="0.25">
      <c r="A30" s="15">
        <v>21</v>
      </c>
      <c r="B30" s="261">
        <v>44057</v>
      </c>
      <c r="C30" s="260" t="s">
        <v>363</v>
      </c>
      <c r="D30" s="259"/>
      <c r="E30" s="259">
        <v>25392000</v>
      </c>
      <c r="F30" s="259"/>
      <c r="H30" s="242">
        <f t="shared" si="0"/>
        <v>0</v>
      </c>
    </row>
    <row r="31" spans="1:8" x14ac:dyDescent="0.25">
      <c r="A31" s="15">
        <v>22</v>
      </c>
      <c r="B31" s="261">
        <v>44074</v>
      </c>
      <c r="C31" s="260" t="s">
        <v>248</v>
      </c>
      <c r="D31" s="259">
        <v>20039000</v>
      </c>
      <c r="E31" s="259"/>
      <c r="F31" s="259"/>
      <c r="H31" s="242">
        <f t="shared" si="0"/>
        <v>20039000</v>
      </c>
    </row>
    <row r="32" spans="1:8" x14ac:dyDescent="0.25">
      <c r="A32" s="15">
        <v>23</v>
      </c>
      <c r="B32" s="261">
        <v>44083</v>
      </c>
      <c r="C32" s="260" t="s">
        <v>363</v>
      </c>
      <c r="D32" s="259"/>
      <c r="E32" s="259">
        <v>20039000</v>
      </c>
      <c r="F32" s="259"/>
      <c r="H32" s="242">
        <f t="shared" si="0"/>
        <v>0</v>
      </c>
    </row>
    <row r="33" spans="1:8" x14ac:dyDescent="0.25">
      <c r="A33" s="15">
        <v>24</v>
      </c>
      <c r="B33" s="261">
        <v>44104</v>
      </c>
      <c r="C33" s="260" t="s">
        <v>302</v>
      </c>
      <c r="D33" s="259">
        <v>19063000</v>
      </c>
      <c r="E33" s="259"/>
      <c r="F33" s="259"/>
      <c r="H33" s="242">
        <f t="shared" si="0"/>
        <v>19063000</v>
      </c>
    </row>
    <row r="34" spans="1:8" x14ac:dyDescent="0.25">
      <c r="A34" s="15">
        <v>25</v>
      </c>
      <c r="B34" s="261">
        <v>44116</v>
      </c>
      <c r="C34" s="260" t="s">
        <v>634</v>
      </c>
      <c r="D34" s="259"/>
      <c r="E34" s="259">
        <v>19063000</v>
      </c>
      <c r="F34" s="259"/>
      <c r="H34" s="242">
        <f t="shared" si="0"/>
        <v>0</v>
      </c>
    </row>
    <row r="35" spans="1:8" x14ac:dyDescent="0.25">
      <c r="A35" s="15">
        <v>26</v>
      </c>
      <c r="B35" s="261">
        <v>44135</v>
      </c>
      <c r="C35" s="260" t="s">
        <v>318</v>
      </c>
      <c r="D35" s="259">
        <v>12738000</v>
      </c>
      <c r="E35" s="259"/>
      <c r="F35" s="259"/>
      <c r="H35" s="242">
        <f t="shared" si="0"/>
        <v>12738000</v>
      </c>
    </row>
    <row r="36" spans="1:8" x14ac:dyDescent="0.25">
      <c r="A36" s="15">
        <v>27</v>
      </c>
      <c r="B36" s="261">
        <v>44155</v>
      </c>
      <c r="C36" s="260" t="s">
        <v>363</v>
      </c>
      <c r="D36" s="259"/>
      <c r="E36" s="259">
        <v>12738000</v>
      </c>
      <c r="F36" s="259"/>
      <c r="H36" s="242">
        <f t="shared" si="0"/>
        <v>0</v>
      </c>
    </row>
    <row r="37" spans="1:8" x14ac:dyDescent="0.25">
      <c r="A37" s="15">
        <v>28</v>
      </c>
      <c r="B37" s="261">
        <v>44165</v>
      </c>
      <c r="C37" s="260" t="s">
        <v>346</v>
      </c>
      <c r="D37" s="259">
        <v>6163000</v>
      </c>
      <c r="E37" s="259"/>
      <c r="F37" s="259"/>
      <c r="H37" s="242">
        <f t="shared" si="0"/>
        <v>6163000</v>
      </c>
    </row>
    <row r="38" spans="1:8" x14ac:dyDescent="0.25">
      <c r="A38" s="15">
        <v>29</v>
      </c>
      <c r="B38" s="261">
        <v>44172</v>
      </c>
      <c r="C38" s="260" t="s">
        <v>634</v>
      </c>
      <c r="D38" s="259"/>
      <c r="E38" s="259">
        <v>6163000</v>
      </c>
      <c r="F38" s="259"/>
      <c r="H38" s="242">
        <f t="shared" si="0"/>
        <v>0</v>
      </c>
    </row>
    <row r="39" spans="1:8" x14ac:dyDescent="0.25">
      <c r="A39" s="15">
        <v>30</v>
      </c>
      <c r="B39" s="261">
        <v>44196</v>
      </c>
      <c r="C39" s="260" t="s">
        <v>699</v>
      </c>
      <c r="D39" s="259">
        <v>18695000</v>
      </c>
      <c r="E39" s="259"/>
      <c r="F39" s="259"/>
      <c r="H39" s="242">
        <f t="shared" si="0"/>
        <v>18695000</v>
      </c>
    </row>
    <row r="40" spans="1:8" x14ac:dyDescent="0.25">
      <c r="A40" s="15">
        <v>31</v>
      </c>
      <c r="B40" s="261">
        <v>44209</v>
      </c>
      <c r="C40" s="260" t="s">
        <v>363</v>
      </c>
      <c r="D40" s="259"/>
      <c r="E40" s="259">
        <v>18695000</v>
      </c>
      <c r="F40" s="259"/>
      <c r="H40" s="242">
        <f t="shared" si="0"/>
        <v>0</v>
      </c>
    </row>
    <row r="41" spans="1:8" x14ac:dyDescent="0.25">
      <c r="A41" s="15">
        <v>32</v>
      </c>
      <c r="B41" s="261">
        <v>44227</v>
      </c>
      <c r="C41" s="260" t="s">
        <v>724</v>
      </c>
      <c r="D41" s="259">
        <v>6411000</v>
      </c>
      <c r="E41" s="259"/>
      <c r="F41" s="259"/>
      <c r="H41" s="242">
        <f t="shared" si="0"/>
        <v>6411000</v>
      </c>
    </row>
    <row r="42" spans="1:8" x14ac:dyDescent="0.25">
      <c r="A42" s="15">
        <v>33</v>
      </c>
      <c r="B42" s="261">
        <v>44231</v>
      </c>
      <c r="C42" s="260" t="s">
        <v>363</v>
      </c>
      <c r="D42" s="259"/>
      <c r="E42" s="259">
        <v>6411000</v>
      </c>
      <c r="F42" s="259"/>
      <c r="H42" s="242">
        <f t="shared" si="0"/>
        <v>0</v>
      </c>
    </row>
    <row r="43" spans="1:8" x14ac:dyDescent="0.25">
      <c r="A43" s="15">
        <v>34</v>
      </c>
      <c r="B43" s="261">
        <v>44315</v>
      </c>
      <c r="C43" s="260" t="s">
        <v>790</v>
      </c>
      <c r="D43" s="259">
        <v>14762000</v>
      </c>
      <c r="E43" s="259"/>
      <c r="F43" s="259"/>
      <c r="H43" s="242">
        <f t="shared" si="0"/>
        <v>14762000</v>
      </c>
    </row>
    <row r="44" spans="1:8" x14ac:dyDescent="0.25">
      <c r="A44" s="15">
        <v>35</v>
      </c>
      <c r="B44" s="261">
        <v>44327</v>
      </c>
      <c r="C44" s="260" t="s">
        <v>634</v>
      </c>
      <c r="D44" s="259"/>
      <c r="E44" s="259">
        <v>14762000</v>
      </c>
      <c r="F44" s="259"/>
      <c r="H44" s="242">
        <f t="shared" si="0"/>
        <v>0</v>
      </c>
    </row>
    <row r="45" spans="1:8" x14ac:dyDescent="0.25">
      <c r="A45" s="15">
        <v>36</v>
      </c>
      <c r="B45" s="261">
        <v>44375</v>
      </c>
      <c r="C45" s="260" t="s">
        <v>854</v>
      </c>
      <c r="D45" s="259">
        <v>14841000</v>
      </c>
      <c r="E45" s="259"/>
      <c r="F45" s="259"/>
      <c r="H45" s="242">
        <f t="shared" si="0"/>
        <v>14841000</v>
      </c>
    </row>
    <row r="46" spans="1:8" x14ac:dyDescent="0.25">
      <c r="A46" s="15">
        <v>37</v>
      </c>
      <c r="B46" s="261">
        <v>44377</v>
      </c>
      <c r="C46" s="260" t="s">
        <v>634</v>
      </c>
      <c r="D46" s="259"/>
      <c r="E46" s="259">
        <v>14841000</v>
      </c>
      <c r="F46" s="259"/>
      <c r="H46" s="242">
        <f t="shared" si="0"/>
        <v>0</v>
      </c>
    </row>
    <row r="47" spans="1:8" x14ac:dyDescent="0.25">
      <c r="A47" s="15">
        <v>38</v>
      </c>
      <c r="B47" s="261">
        <v>44407</v>
      </c>
      <c r="C47" s="260" t="s">
        <v>885</v>
      </c>
      <c r="D47" s="259">
        <v>20525500</v>
      </c>
      <c r="E47" s="259"/>
      <c r="F47" s="259"/>
      <c r="H47" s="242">
        <f t="shared" si="0"/>
        <v>20525500</v>
      </c>
    </row>
    <row r="48" spans="1:8" x14ac:dyDescent="0.25">
      <c r="A48" s="15">
        <v>39</v>
      </c>
      <c r="B48" s="261">
        <v>44420</v>
      </c>
      <c r="C48" s="260" t="s">
        <v>363</v>
      </c>
      <c r="D48" s="259"/>
      <c r="E48" s="259">
        <v>20525500</v>
      </c>
      <c r="F48" s="259"/>
      <c r="H48" s="242">
        <f t="shared" si="0"/>
        <v>0</v>
      </c>
    </row>
    <row r="49" spans="1:8" x14ac:dyDescent="0.25">
      <c r="A49" s="15">
        <v>40</v>
      </c>
      <c r="B49" s="261">
        <v>44438</v>
      </c>
      <c r="C49" s="260" t="s">
        <v>923</v>
      </c>
      <c r="D49" s="259">
        <v>6764000</v>
      </c>
      <c r="E49" s="259"/>
      <c r="F49" s="259"/>
      <c r="H49" s="242">
        <f t="shared" si="0"/>
        <v>6764000</v>
      </c>
    </row>
    <row r="50" spans="1:8" x14ac:dyDescent="0.25">
      <c r="A50" s="15">
        <v>41</v>
      </c>
      <c r="B50" s="261">
        <v>44455</v>
      </c>
      <c r="C50" s="260" t="s">
        <v>634</v>
      </c>
      <c r="D50" s="259"/>
      <c r="E50" s="259">
        <v>6764000</v>
      </c>
      <c r="F50" s="259"/>
      <c r="H50" s="242">
        <f t="shared" si="0"/>
        <v>0</v>
      </c>
    </row>
    <row r="51" spans="1:8" x14ac:dyDescent="0.25">
      <c r="A51" s="15">
        <v>42</v>
      </c>
      <c r="B51" s="261">
        <v>44469</v>
      </c>
      <c r="C51" s="260" t="s">
        <v>941</v>
      </c>
      <c r="D51" s="259">
        <v>15392790</v>
      </c>
      <c r="E51" s="259"/>
      <c r="F51" s="259"/>
      <c r="H51" s="242">
        <f t="shared" si="0"/>
        <v>15392790</v>
      </c>
    </row>
    <row r="52" spans="1:8" x14ac:dyDescent="0.25">
      <c r="A52" s="15">
        <v>43</v>
      </c>
      <c r="B52" s="261">
        <v>44470</v>
      </c>
      <c r="C52" s="260" t="s">
        <v>955</v>
      </c>
      <c r="D52" s="259">
        <v>7084116</v>
      </c>
      <c r="E52" s="259"/>
      <c r="F52" s="259"/>
      <c r="H52" s="242">
        <f t="shared" si="0"/>
        <v>22476906</v>
      </c>
    </row>
    <row r="53" spans="1:8" x14ac:dyDescent="0.25">
      <c r="A53" s="15">
        <v>44</v>
      </c>
      <c r="B53" s="261">
        <v>44488</v>
      </c>
      <c r="C53" s="260" t="s">
        <v>634</v>
      </c>
      <c r="D53" s="259"/>
      <c r="E53" s="259">
        <v>15392790</v>
      </c>
      <c r="F53" s="259"/>
      <c r="H53" s="242">
        <f t="shared" si="0"/>
        <v>7084116</v>
      </c>
    </row>
    <row r="54" spans="1:8" x14ac:dyDescent="0.25">
      <c r="A54" s="15">
        <v>45</v>
      </c>
      <c r="B54" s="261">
        <v>44494</v>
      </c>
      <c r="C54" s="260" t="s">
        <v>363</v>
      </c>
      <c r="D54" s="259"/>
      <c r="E54" s="259">
        <v>7084116</v>
      </c>
      <c r="F54" s="259"/>
      <c r="H54" s="242">
        <f t="shared" si="0"/>
        <v>0</v>
      </c>
    </row>
    <row r="55" spans="1:8" x14ac:dyDescent="0.25">
      <c r="A55" s="15">
        <v>46</v>
      </c>
      <c r="B55" s="261">
        <v>44499</v>
      </c>
      <c r="C55" s="260" t="s">
        <v>1007</v>
      </c>
      <c r="D55" s="259">
        <v>40743672</v>
      </c>
      <c r="E55" s="259"/>
      <c r="F55" s="259"/>
      <c r="H55" s="242">
        <f t="shared" si="0"/>
        <v>40743672</v>
      </c>
    </row>
    <row r="56" spans="1:8" x14ac:dyDescent="0.25">
      <c r="A56" s="15">
        <v>47</v>
      </c>
      <c r="B56" s="261">
        <v>44510</v>
      </c>
      <c r="C56" s="260" t="s">
        <v>634</v>
      </c>
      <c r="D56" s="259"/>
      <c r="E56" s="259">
        <v>40743672</v>
      </c>
      <c r="F56" s="259"/>
      <c r="H56" s="242">
        <f t="shared" si="0"/>
        <v>0</v>
      </c>
    </row>
    <row r="57" spans="1:8" x14ac:dyDescent="0.25">
      <c r="A57" s="15">
        <v>48</v>
      </c>
      <c r="B57" s="261">
        <v>44531</v>
      </c>
      <c r="C57" s="260" t="s">
        <v>1006</v>
      </c>
      <c r="D57" s="259">
        <v>7131000</v>
      </c>
      <c r="E57" s="259"/>
      <c r="F57" s="259"/>
      <c r="H57" s="242">
        <f t="shared" si="0"/>
        <v>7131000</v>
      </c>
    </row>
    <row r="58" spans="1:8" x14ac:dyDescent="0.25">
      <c r="A58" s="15">
        <v>49</v>
      </c>
      <c r="B58" s="261">
        <v>44543</v>
      </c>
      <c r="C58" s="260" t="s">
        <v>634</v>
      </c>
      <c r="D58" s="259"/>
      <c r="E58" s="259">
        <v>7131000</v>
      </c>
      <c r="F58" s="259"/>
      <c r="H58" s="242">
        <f t="shared" si="0"/>
        <v>0</v>
      </c>
    </row>
    <row r="59" spans="1:8" x14ac:dyDescent="0.25">
      <c r="A59" s="15">
        <v>50</v>
      </c>
      <c r="B59" s="261">
        <v>44560</v>
      </c>
      <c r="C59" s="260" t="s">
        <v>1025</v>
      </c>
      <c r="D59" s="259">
        <v>7274000</v>
      </c>
      <c r="E59" s="259"/>
      <c r="F59" s="259"/>
      <c r="H59" s="242">
        <f t="shared" si="0"/>
        <v>7274000</v>
      </c>
    </row>
    <row r="60" spans="1:8" x14ac:dyDescent="0.25">
      <c r="A60" s="15">
        <v>51</v>
      </c>
      <c r="B60" s="261">
        <v>44578</v>
      </c>
      <c r="C60" s="260" t="s">
        <v>634</v>
      </c>
      <c r="D60" s="259"/>
      <c r="E60" s="259">
        <v>7274000</v>
      </c>
      <c r="F60" s="259"/>
      <c r="H60" s="242">
        <f t="shared" si="0"/>
        <v>0</v>
      </c>
    </row>
    <row r="61" spans="1:8" x14ac:dyDescent="0.25">
      <c r="A61" s="15">
        <v>52</v>
      </c>
      <c r="B61" s="261">
        <v>44589</v>
      </c>
      <c r="C61" s="260" t="s">
        <v>1064</v>
      </c>
      <c r="D61" s="259">
        <v>14937000</v>
      </c>
      <c r="E61" s="259"/>
      <c r="F61" s="259"/>
      <c r="H61" s="242">
        <f t="shared" si="0"/>
        <v>14937000</v>
      </c>
    </row>
    <row r="62" spans="1:8" x14ac:dyDescent="0.25">
      <c r="A62" s="15">
        <v>53</v>
      </c>
      <c r="B62" s="261">
        <v>44620</v>
      </c>
      <c r="C62" s="260" t="s">
        <v>1065</v>
      </c>
      <c r="D62" s="259">
        <v>7488450</v>
      </c>
      <c r="E62" s="259"/>
      <c r="F62" s="259"/>
      <c r="H62" s="242">
        <f t="shared" si="0"/>
        <v>22425450</v>
      </c>
    </row>
    <row r="63" spans="1:8" x14ac:dyDescent="0.25">
      <c r="A63" s="15">
        <v>54</v>
      </c>
      <c r="B63" s="261">
        <v>44636</v>
      </c>
      <c r="C63" s="260" t="s">
        <v>363</v>
      </c>
      <c r="D63" s="259"/>
      <c r="E63" s="259">
        <v>22425450</v>
      </c>
      <c r="F63" s="259"/>
      <c r="H63" s="242">
        <f t="shared" si="0"/>
        <v>0</v>
      </c>
    </row>
    <row r="64" spans="1:8" x14ac:dyDescent="0.25">
      <c r="A64" s="15">
        <v>55</v>
      </c>
      <c r="B64" s="261">
        <v>44650</v>
      </c>
      <c r="C64" s="260" t="s">
        <v>1083</v>
      </c>
      <c r="D64" s="259">
        <v>15740800</v>
      </c>
      <c r="E64" s="259"/>
      <c r="F64" s="259"/>
      <c r="H64" s="242">
        <f t="shared" si="0"/>
        <v>15740800</v>
      </c>
    </row>
    <row r="65" spans="1:8" x14ac:dyDescent="0.25">
      <c r="A65" s="15">
        <v>56</v>
      </c>
      <c r="B65" s="261">
        <v>44669</v>
      </c>
      <c r="C65" s="260" t="s">
        <v>363</v>
      </c>
      <c r="D65" s="259"/>
      <c r="E65" s="259">
        <v>15740800</v>
      </c>
      <c r="F65" s="259"/>
      <c r="H65" s="242">
        <f t="shared" si="0"/>
        <v>0</v>
      </c>
    </row>
    <row r="66" spans="1:8" x14ac:dyDescent="0.25">
      <c r="A66" s="15">
        <v>57</v>
      </c>
      <c r="B66" s="261">
        <v>44680</v>
      </c>
      <c r="C66" s="260" t="s">
        <v>1122</v>
      </c>
      <c r="D66" s="287">
        <v>24421200</v>
      </c>
      <c r="E66" s="259"/>
      <c r="F66" s="259"/>
      <c r="H66" s="242">
        <f t="shared" si="0"/>
        <v>24421200</v>
      </c>
    </row>
    <row r="67" spans="1:8" x14ac:dyDescent="0.25">
      <c r="A67" s="15">
        <v>58</v>
      </c>
      <c r="B67" s="261">
        <v>44690</v>
      </c>
      <c r="C67" s="260" t="s">
        <v>363</v>
      </c>
      <c r="D67" s="259"/>
      <c r="E67" s="259">
        <v>24421200</v>
      </c>
      <c r="F67" s="259"/>
      <c r="H67" s="242">
        <f t="shared" si="0"/>
        <v>0</v>
      </c>
    </row>
    <row r="68" spans="1:8" x14ac:dyDescent="0.25">
      <c r="A68" s="15">
        <v>59</v>
      </c>
      <c r="B68" s="261">
        <v>44711</v>
      </c>
      <c r="C68" s="260" t="s">
        <v>1143</v>
      </c>
      <c r="D68" s="259">
        <v>44375600</v>
      </c>
      <c r="E68" s="259"/>
      <c r="F68" s="259"/>
      <c r="H68" s="242">
        <f t="shared" si="0"/>
        <v>44375600</v>
      </c>
    </row>
    <row r="69" spans="1:8" x14ac:dyDescent="0.25">
      <c r="A69" s="15">
        <v>60</v>
      </c>
      <c r="B69" s="261">
        <v>44729</v>
      </c>
      <c r="C69" s="260" t="s">
        <v>634</v>
      </c>
      <c r="D69" s="259"/>
      <c r="E69" s="259">
        <v>44375600</v>
      </c>
      <c r="F69" s="259"/>
      <c r="H69" s="242">
        <f t="shared" si="0"/>
        <v>0</v>
      </c>
    </row>
    <row r="70" spans="1:8" x14ac:dyDescent="0.25">
      <c r="A70" s="15">
        <v>61</v>
      </c>
      <c r="B70" s="261">
        <v>44742</v>
      </c>
      <c r="C70" s="260" t="s">
        <v>1156</v>
      </c>
      <c r="D70" s="259">
        <v>22632400</v>
      </c>
      <c r="E70" s="259"/>
      <c r="F70" s="259"/>
      <c r="H70" s="242">
        <f t="shared" si="0"/>
        <v>22632400</v>
      </c>
    </row>
    <row r="71" spans="1:8" x14ac:dyDescent="0.25">
      <c r="A71" s="15">
        <v>62</v>
      </c>
      <c r="B71" s="261">
        <v>44754</v>
      </c>
      <c r="C71" s="260" t="s">
        <v>363</v>
      </c>
      <c r="D71" s="259"/>
      <c r="E71" s="259">
        <v>22632400</v>
      </c>
      <c r="F71" s="259"/>
      <c r="H71" s="242">
        <f t="shared" si="0"/>
        <v>0</v>
      </c>
    </row>
    <row r="72" spans="1:8" x14ac:dyDescent="0.25">
      <c r="A72" s="15">
        <v>63</v>
      </c>
      <c r="B72" s="261">
        <v>44771</v>
      </c>
      <c r="C72" s="260" t="s">
        <v>1180</v>
      </c>
      <c r="D72" s="259">
        <v>25834400</v>
      </c>
      <c r="E72" s="259"/>
      <c r="F72" s="259"/>
      <c r="H72" s="242">
        <f t="shared" si="0"/>
        <v>25834400</v>
      </c>
    </row>
    <row r="73" spans="1:8" x14ac:dyDescent="0.25">
      <c r="A73" s="15">
        <v>64</v>
      </c>
      <c r="B73" s="261">
        <v>44785</v>
      </c>
      <c r="C73" s="260" t="s">
        <v>634</v>
      </c>
      <c r="D73" s="259"/>
      <c r="E73" s="259">
        <v>25834400</v>
      </c>
      <c r="F73" s="259"/>
      <c r="H73" s="242">
        <f t="shared" si="0"/>
        <v>0</v>
      </c>
    </row>
    <row r="74" spans="1:8" x14ac:dyDescent="0.25">
      <c r="A74" s="15">
        <v>65</v>
      </c>
      <c r="B74" s="261">
        <v>44833</v>
      </c>
      <c r="C74" s="260" t="s">
        <v>1242</v>
      </c>
      <c r="D74" s="259">
        <v>57912800</v>
      </c>
      <c r="E74" s="259"/>
      <c r="F74" s="259"/>
      <c r="H74" s="242">
        <f t="shared" si="0"/>
        <v>57912800</v>
      </c>
    </row>
    <row r="75" spans="1:8" x14ac:dyDescent="0.25">
      <c r="A75" s="15">
        <v>66</v>
      </c>
      <c r="B75" s="261">
        <v>44837</v>
      </c>
      <c r="C75" s="260" t="s">
        <v>634</v>
      </c>
      <c r="D75" s="259"/>
      <c r="E75" s="259">
        <v>57912800</v>
      </c>
      <c r="F75" s="259"/>
      <c r="H75" s="242">
        <f t="shared" si="0"/>
        <v>0</v>
      </c>
    </row>
    <row r="76" spans="1:8" x14ac:dyDescent="0.25">
      <c r="A76" s="15">
        <v>67</v>
      </c>
      <c r="B76" s="261">
        <v>44864</v>
      </c>
      <c r="C76" s="260" t="s">
        <v>1272</v>
      </c>
      <c r="D76" s="259">
        <v>49383200</v>
      </c>
      <c r="E76" s="259"/>
      <c r="F76" s="259"/>
      <c r="H76" s="242">
        <f t="shared" ref="H76:H139" si="1">H75+D76-E76</f>
        <v>49383200</v>
      </c>
    </row>
    <row r="77" spans="1:8" x14ac:dyDescent="0.25">
      <c r="A77" s="15">
        <v>68</v>
      </c>
      <c r="B77" s="261">
        <v>44879</v>
      </c>
      <c r="C77" s="260" t="s">
        <v>634</v>
      </c>
      <c r="D77" s="259"/>
      <c r="E77" s="259">
        <v>49383200</v>
      </c>
      <c r="F77" s="259"/>
      <c r="H77" s="242">
        <f t="shared" si="1"/>
        <v>0</v>
      </c>
    </row>
    <row r="78" spans="1:8" x14ac:dyDescent="0.25">
      <c r="A78" s="15">
        <v>69</v>
      </c>
      <c r="B78" s="261">
        <v>44895</v>
      </c>
      <c r="C78" s="260" t="s">
        <v>1337</v>
      </c>
      <c r="D78" s="259">
        <v>17132800</v>
      </c>
      <c r="E78" s="259"/>
      <c r="F78" s="259"/>
      <c r="H78" s="242">
        <f t="shared" si="1"/>
        <v>17132800</v>
      </c>
    </row>
    <row r="79" spans="1:8" x14ac:dyDescent="0.25">
      <c r="A79" s="15">
        <v>70</v>
      </c>
      <c r="B79" s="261">
        <v>44925</v>
      </c>
      <c r="C79" s="260" t="s">
        <v>1336</v>
      </c>
      <c r="D79" s="259">
        <v>73513200</v>
      </c>
      <c r="E79" s="259"/>
      <c r="F79" s="259"/>
      <c r="H79" s="242">
        <f t="shared" si="1"/>
        <v>90646000</v>
      </c>
    </row>
    <row r="80" spans="1:8" x14ac:dyDescent="0.25">
      <c r="A80" s="262">
        <v>71</v>
      </c>
      <c r="B80" s="261">
        <v>44925</v>
      </c>
      <c r="C80" s="260" t="s">
        <v>634</v>
      </c>
      <c r="D80" s="259"/>
      <c r="E80" s="259">
        <v>90646000</v>
      </c>
      <c r="F80" s="259"/>
      <c r="H80" s="242">
        <f t="shared" si="1"/>
        <v>0</v>
      </c>
    </row>
    <row r="81" spans="1:8" x14ac:dyDescent="0.25">
      <c r="A81" s="15">
        <v>72</v>
      </c>
      <c r="B81" s="261">
        <v>44957</v>
      </c>
      <c r="C81" s="260" t="s">
        <v>1382</v>
      </c>
      <c r="D81" s="259">
        <v>16593408</v>
      </c>
      <c r="E81" s="259"/>
      <c r="F81" s="259"/>
      <c r="H81" s="242">
        <f t="shared" si="1"/>
        <v>16593408</v>
      </c>
    </row>
    <row r="82" spans="1:8" x14ac:dyDescent="0.25">
      <c r="A82" s="262">
        <v>73</v>
      </c>
      <c r="B82" s="261">
        <v>44973</v>
      </c>
      <c r="C82" s="260" t="s">
        <v>363</v>
      </c>
      <c r="D82" s="259"/>
      <c r="E82" s="259">
        <v>16593408</v>
      </c>
      <c r="F82" s="259"/>
      <c r="H82" s="242">
        <f t="shared" si="1"/>
        <v>0</v>
      </c>
    </row>
    <row r="83" spans="1:8" x14ac:dyDescent="0.25">
      <c r="A83" s="15">
        <v>74</v>
      </c>
      <c r="B83" s="261">
        <v>45015</v>
      </c>
      <c r="C83" s="260" t="s">
        <v>1416</v>
      </c>
      <c r="D83" s="259">
        <v>73635000</v>
      </c>
      <c r="E83" s="259"/>
      <c r="F83" s="259"/>
      <c r="H83" s="242">
        <f t="shared" si="1"/>
        <v>73635000</v>
      </c>
    </row>
    <row r="84" spans="1:8" x14ac:dyDescent="0.25">
      <c r="A84" s="262">
        <v>75</v>
      </c>
      <c r="B84" s="261">
        <v>45029</v>
      </c>
      <c r="C84" s="260" t="s">
        <v>363</v>
      </c>
      <c r="D84" s="259"/>
      <c r="E84" s="259">
        <v>73635000</v>
      </c>
      <c r="F84" s="259"/>
      <c r="H84" s="242">
        <f t="shared" si="1"/>
        <v>0</v>
      </c>
    </row>
    <row r="85" spans="1:8" x14ac:dyDescent="0.25">
      <c r="A85" s="15">
        <v>76</v>
      </c>
      <c r="B85" s="261">
        <v>45044</v>
      </c>
      <c r="C85" s="260" t="s">
        <v>1440</v>
      </c>
      <c r="D85" s="259">
        <v>17871000</v>
      </c>
      <c r="E85" s="259"/>
      <c r="F85" s="259"/>
      <c r="H85" s="242">
        <f t="shared" si="1"/>
        <v>17871000</v>
      </c>
    </row>
    <row r="86" spans="1:8" x14ac:dyDescent="0.25">
      <c r="A86" s="262">
        <v>77</v>
      </c>
      <c r="B86" s="261">
        <v>45056</v>
      </c>
      <c r="C86" s="260" t="s">
        <v>363</v>
      </c>
      <c r="D86" s="259"/>
      <c r="E86" s="259">
        <v>17871000</v>
      </c>
      <c r="F86" s="259"/>
      <c r="H86" s="242">
        <f t="shared" si="1"/>
        <v>0</v>
      </c>
    </row>
    <row r="87" spans="1:8" x14ac:dyDescent="0.25">
      <c r="A87" s="15">
        <v>78</v>
      </c>
      <c r="B87" s="261">
        <v>45076</v>
      </c>
      <c r="C87" s="260" t="s">
        <v>1482</v>
      </c>
      <c r="D87" s="259">
        <v>33947000</v>
      </c>
      <c r="E87" s="259"/>
      <c r="F87" s="259"/>
      <c r="H87" s="242">
        <f t="shared" si="1"/>
        <v>33947000</v>
      </c>
    </row>
    <row r="88" spans="1:8" x14ac:dyDescent="0.25">
      <c r="A88" s="262">
        <v>79</v>
      </c>
      <c r="B88" s="261">
        <v>45086</v>
      </c>
      <c r="C88" s="260" t="s">
        <v>363</v>
      </c>
      <c r="D88" s="259"/>
      <c r="E88" s="259">
        <v>33947000</v>
      </c>
      <c r="F88" s="259"/>
      <c r="H88" s="242">
        <f t="shared" si="1"/>
        <v>0</v>
      </c>
    </row>
    <row r="89" spans="1:8" x14ac:dyDescent="0.25">
      <c r="A89" s="15">
        <v>80</v>
      </c>
      <c r="B89" s="261">
        <v>45107</v>
      </c>
      <c r="C89" s="260" t="s">
        <v>1515</v>
      </c>
      <c r="D89" s="259">
        <v>17384000</v>
      </c>
      <c r="E89" s="259"/>
      <c r="F89" s="259"/>
      <c r="H89" s="242">
        <f t="shared" si="1"/>
        <v>17384000</v>
      </c>
    </row>
    <row r="90" spans="1:8" x14ac:dyDescent="0.25">
      <c r="A90" s="262">
        <v>81</v>
      </c>
      <c r="B90" s="261">
        <v>45112</v>
      </c>
      <c r="C90" s="260" t="s">
        <v>363</v>
      </c>
      <c r="D90" s="259"/>
      <c r="E90" s="259">
        <v>17384000</v>
      </c>
      <c r="F90" s="259"/>
      <c r="H90" s="242">
        <f t="shared" si="1"/>
        <v>0</v>
      </c>
    </row>
    <row r="91" spans="1:8" x14ac:dyDescent="0.25">
      <c r="A91" s="15">
        <v>82</v>
      </c>
      <c r="B91" s="261">
        <v>45138</v>
      </c>
      <c r="C91" s="260" t="s">
        <v>1549</v>
      </c>
      <c r="D91" s="259">
        <v>31112000</v>
      </c>
      <c r="E91" s="259"/>
      <c r="F91" s="259"/>
      <c r="H91" s="242">
        <f t="shared" si="1"/>
        <v>31112000</v>
      </c>
    </row>
    <row r="92" spans="1:8" x14ac:dyDescent="0.25">
      <c r="A92" s="262">
        <v>83</v>
      </c>
      <c r="B92" s="261">
        <v>45149</v>
      </c>
      <c r="C92" s="260" t="s">
        <v>363</v>
      </c>
      <c r="D92" s="259"/>
      <c r="E92" s="259">
        <v>31112000</v>
      </c>
      <c r="F92" s="259"/>
      <c r="H92" s="242">
        <f t="shared" si="1"/>
        <v>0</v>
      </c>
    </row>
    <row r="93" spans="1:8" x14ac:dyDescent="0.25">
      <c r="A93" s="15">
        <v>84</v>
      </c>
      <c r="B93" s="261">
        <v>45169</v>
      </c>
      <c r="C93" s="260" t="s">
        <v>1573</v>
      </c>
      <c r="D93" s="259">
        <v>75461000</v>
      </c>
      <c r="E93" s="259"/>
      <c r="F93" s="259"/>
      <c r="H93" s="242">
        <f t="shared" si="1"/>
        <v>75461000</v>
      </c>
    </row>
    <row r="94" spans="1:8" x14ac:dyDescent="0.25">
      <c r="A94" s="262">
        <v>85</v>
      </c>
      <c r="B94" s="261">
        <v>45180</v>
      </c>
      <c r="C94" s="260" t="s">
        <v>363</v>
      </c>
      <c r="D94" s="259"/>
      <c r="E94" s="259">
        <v>75461000</v>
      </c>
      <c r="F94" s="259"/>
      <c r="H94" s="242">
        <f t="shared" si="1"/>
        <v>0</v>
      </c>
    </row>
    <row r="95" spans="1:8" x14ac:dyDescent="0.25">
      <c r="A95" s="15">
        <v>86</v>
      </c>
      <c r="B95" s="261">
        <v>45199</v>
      </c>
      <c r="C95" s="260" t="s">
        <v>1607</v>
      </c>
      <c r="D95" s="259">
        <v>34248800</v>
      </c>
      <c r="E95" s="259"/>
      <c r="F95" s="259"/>
      <c r="H95" s="242">
        <f t="shared" si="1"/>
        <v>34248800</v>
      </c>
    </row>
    <row r="96" spans="1:8" x14ac:dyDescent="0.25">
      <c r="A96" s="262">
        <v>87</v>
      </c>
      <c r="B96" s="261">
        <v>45216</v>
      </c>
      <c r="C96" s="260" t="s">
        <v>634</v>
      </c>
      <c r="D96" s="259"/>
      <c r="E96" s="259">
        <v>34248800</v>
      </c>
      <c r="F96" s="259"/>
      <c r="H96" s="242">
        <f t="shared" si="1"/>
        <v>0</v>
      </c>
    </row>
    <row r="97" spans="1:8" x14ac:dyDescent="0.25">
      <c r="A97" s="15">
        <v>88</v>
      </c>
      <c r="B97" s="261">
        <v>45230</v>
      </c>
      <c r="C97" s="260" t="s">
        <v>1667</v>
      </c>
      <c r="D97" s="259">
        <v>27450000</v>
      </c>
      <c r="E97" s="259"/>
      <c r="F97" s="259"/>
      <c r="H97" s="242">
        <f t="shared" si="1"/>
        <v>27450000</v>
      </c>
    </row>
    <row r="98" spans="1:8" x14ac:dyDescent="0.25">
      <c r="A98" s="262">
        <v>89</v>
      </c>
      <c r="B98" s="261">
        <v>45236</v>
      </c>
      <c r="C98" s="260" t="s">
        <v>634</v>
      </c>
      <c r="D98" s="259"/>
      <c r="E98" s="259">
        <v>27450000</v>
      </c>
      <c r="F98" s="259"/>
      <c r="H98" s="242">
        <f t="shared" si="1"/>
        <v>0</v>
      </c>
    </row>
    <row r="99" spans="1:8" x14ac:dyDescent="0.25">
      <c r="A99" s="15">
        <v>90</v>
      </c>
      <c r="B99" s="261">
        <v>45260</v>
      </c>
      <c r="C99" s="260" t="s">
        <v>1666</v>
      </c>
      <c r="D99" s="259">
        <v>16601200</v>
      </c>
      <c r="E99" s="259"/>
      <c r="F99" s="259"/>
      <c r="H99" s="242">
        <f t="shared" si="1"/>
        <v>16601200</v>
      </c>
    </row>
    <row r="100" spans="1:8" x14ac:dyDescent="0.25">
      <c r="A100" s="262">
        <v>91</v>
      </c>
      <c r="B100" s="261">
        <v>45271</v>
      </c>
      <c r="C100" s="260" t="s">
        <v>634</v>
      </c>
      <c r="D100" s="259"/>
      <c r="E100" s="259">
        <v>16601200</v>
      </c>
      <c r="F100" s="259"/>
      <c r="H100" s="242">
        <f t="shared" si="1"/>
        <v>0</v>
      </c>
    </row>
    <row r="101" spans="1:8" x14ac:dyDescent="0.25">
      <c r="A101" s="15">
        <v>92</v>
      </c>
      <c r="B101" s="261">
        <v>45289</v>
      </c>
      <c r="C101" s="260" t="s">
        <v>1683</v>
      </c>
      <c r="D101" s="259">
        <v>24292400</v>
      </c>
      <c r="E101" s="259"/>
      <c r="F101" s="259"/>
      <c r="H101" s="242">
        <f t="shared" si="1"/>
        <v>24292400</v>
      </c>
    </row>
    <row r="102" spans="1:8" x14ac:dyDescent="0.25">
      <c r="A102" s="262">
        <v>93</v>
      </c>
      <c r="B102" s="261">
        <v>45307</v>
      </c>
      <c r="C102" s="260" t="s">
        <v>363</v>
      </c>
      <c r="D102" s="279"/>
      <c r="E102" s="259">
        <v>24292400</v>
      </c>
      <c r="F102" s="259"/>
      <c r="H102" s="242">
        <f t="shared" si="1"/>
        <v>0</v>
      </c>
    </row>
    <row r="103" spans="1:8" x14ac:dyDescent="0.25">
      <c r="A103" s="15">
        <v>94</v>
      </c>
      <c r="B103" s="261">
        <v>45322</v>
      </c>
      <c r="C103" s="260" t="s">
        <v>1710</v>
      </c>
      <c r="D103" s="287">
        <v>16506400</v>
      </c>
      <c r="E103" s="259"/>
      <c r="F103" s="259"/>
      <c r="H103" s="242">
        <f>H102+D103-E103</f>
        <v>16506400</v>
      </c>
    </row>
    <row r="104" spans="1:8" x14ac:dyDescent="0.25">
      <c r="A104" s="15">
        <v>95</v>
      </c>
      <c r="B104" s="261">
        <v>45324</v>
      </c>
      <c r="C104" s="260" t="s">
        <v>634</v>
      </c>
      <c r="D104" s="279"/>
      <c r="E104" s="259">
        <v>16506400</v>
      </c>
      <c r="F104" s="259"/>
      <c r="H104" s="242">
        <f t="shared" si="1"/>
        <v>0</v>
      </c>
    </row>
    <row r="105" spans="1:8" x14ac:dyDescent="0.25">
      <c r="A105" s="262">
        <v>96</v>
      </c>
      <c r="B105" s="261">
        <v>45381</v>
      </c>
      <c r="C105" s="260" t="s">
        <v>1737</v>
      </c>
      <c r="D105" s="287">
        <v>24230000</v>
      </c>
      <c r="E105" s="259"/>
      <c r="F105" s="259"/>
      <c r="H105" s="242">
        <f t="shared" si="1"/>
        <v>24230000</v>
      </c>
    </row>
    <row r="106" spans="1:8" x14ac:dyDescent="0.25">
      <c r="A106" s="15">
        <v>97</v>
      </c>
      <c r="B106" s="261">
        <v>45385</v>
      </c>
      <c r="C106" s="260" t="s">
        <v>363</v>
      </c>
      <c r="D106" s="279"/>
      <c r="E106" s="259">
        <v>24230000</v>
      </c>
      <c r="F106" s="259"/>
      <c r="H106" s="242">
        <f t="shared" si="1"/>
        <v>0</v>
      </c>
    </row>
    <row r="107" spans="1:8" x14ac:dyDescent="0.25">
      <c r="A107" s="15">
        <v>98</v>
      </c>
      <c r="B107" s="261">
        <v>45410</v>
      </c>
      <c r="C107" s="260" t="s">
        <v>1757</v>
      </c>
      <c r="D107" s="279">
        <v>42673600</v>
      </c>
      <c r="E107" s="259"/>
      <c r="F107" s="259"/>
      <c r="H107" s="242">
        <f t="shared" si="1"/>
        <v>42673600</v>
      </c>
    </row>
    <row r="108" spans="1:8" x14ac:dyDescent="0.25">
      <c r="A108" s="262">
        <v>99</v>
      </c>
      <c r="B108" s="261">
        <v>45426</v>
      </c>
      <c r="C108" s="260" t="s">
        <v>634</v>
      </c>
      <c r="D108" s="279"/>
      <c r="E108" s="259">
        <v>41923600</v>
      </c>
      <c r="F108" s="259"/>
      <c r="H108" s="242">
        <f t="shared" si="1"/>
        <v>750000</v>
      </c>
    </row>
    <row r="109" spans="1:8" x14ac:dyDescent="0.25">
      <c r="A109" s="15">
        <v>100</v>
      </c>
      <c r="B109" s="261">
        <v>45443</v>
      </c>
      <c r="C109" s="260" t="s">
        <v>1797</v>
      </c>
      <c r="D109" s="279">
        <v>8516000</v>
      </c>
      <c r="E109" s="259"/>
      <c r="F109" s="259"/>
      <c r="H109" s="242">
        <f t="shared" si="1"/>
        <v>9266000</v>
      </c>
    </row>
    <row r="110" spans="1:8" x14ac:dyDescent="0.25">
      <c r="A110" s="15">
        <v>101</v>
      </c>
      <c r="B110" s="261">
        <v>45454</v>
      </c>
      <c r="C110" s="260" t="s">
        <v>363</v>
      </c>
      <c r="D110" s="279"/>
      <c r="E110" s="259">
        <v>9266000</v>
      </c>
      <c r="F110" s="259"/>
      <c r="H110" s="242">
        <f t="shared" si="1"/>
        <v>0</v>
      </c>
    </row>
    <row r="111" spans="1:8" x14ac:dyDescent="0.25">
      <c r="A111" s="262">
        <v>102</v>
      </c>
      <c r="B111" s="261">
        <v>45504</v>
      </c>
      <c r="C111" s="260" t="s">
        <v>1839</v>
      </c>
      <c r="D111" s="279">
        <v>60330000</v>
      </c>
      <c r="E111" s="259"/>
      <c r="F111" s="259"/>
      <c r="H111" s="242">
        <f t="shared" si="1"/>
        <v>60330000</v>
      </c>
    </row>
    <row r="112" spans="1:8" x14ac:dyDescent="0.25">
      <c r="A112" s="15">
        <v>103</v>
      </c>
      <c r="B112" s="261">
        <v>45518</v>
      </c>
      <c r="C112" s="260" t="s">
        <v>363</v>
      </c>
      <c r="D112" s="279"/>
      <c r="E112" s="259">
        <v>60330000</v>
      </c>
      <c r="F112" s="259"/>
      <c r="H112" s="242">
        <f t="shared" si="1"/>
        <v>0</v>
      </c>
    </row>
    <row r="113" spans="1:8" x14ac:dyDescent="0.25">
      <c r="A113" s="15">
        <v>104</v>
      </c>
      <c r="B113" s="261">
        <v>45534</v>
      </c>
      <c r="C113" s="260" t="s">
        <v>1854</v>
      </c>
      <c r="D113" s="279">
        <v>42392400</v>
      </c>
      <c r="E113" s="259"/>
      <c r="F113" s="259"/>
      <c r="H113" s="242">
        <f t="shared" si="1"/>
        <v>42392400</v>
      </c>
    </row>
    <row r="114" spans="1:8" x14ac:dyDescent="0.25">
      <c r="A114" s="262">
        <v>105</v>
      </c>
      <c r="B114" s="261">
        <v>45551</v>
      </c>
      <c r="C114" s="260" t="s">
        <v>363</v>
      </c>
      <c r="D114" s="279"/>
      <c r="E114" s="259">
        <v>42392400</v>
      </c>
      <c r="F114" s="259"/>
      <c r="H114" s="242">
        <f t="shared" si="1"/>
        <v>0</v>
      </c>
    </row>
    <row r="115" spans="1:8" x14ac:dyDescent="0.25">
      <c r="A115" s="15">
        <v>106</v>
      </c>
      <c r="B115" s="261">
        <v>45565</v>
      </c>
      <c r="C115" s="260" t="s">
        <v>1879</v>
      </c>
      <c r="D115" s="279">
        <v>96937400</v>
      </c>
      <c r="E115" s="259"/>
      <c r="F115" s="259"/>
      <c r="H115" s="242">
        <f t="shared" si="1"/>
        <v>96937400</v>
      </c>
    </row>
    <row r="116" spans="1:8" x14ac:dyDescent="0.25">
      <c r="A116" s="262">
        <v>107</v>
      </c>
      <c r="B116" s="261">
        <v>45582</v>
      </c>
      <c r="C116" s="260" t="s">
        <v>363</v>
      </c>
      <c r="D116" s="279"/>
      <c r="E116" s="259">
        <v>96937400</v>
      </c>
      <c r="F116" s="259"/>
      <c r="H116" s="242">
        <f t="shared" si="1"/>
        <v>0</v>
      </c>
    </row>
    <row r="117" spans="1:8" x14ac:dyDescent="0.25">
      <c r="A117" s="15">
        <v>108</v>
      </c>
      <c r="B117" s="261">
        <v>45598</v>
      </c>
      <c r="C117" s="260" t="s">
        <v>1895</v>
      </c>
      <c r="D117" s="279">
        <v>75682800</v>
      </c>
      <c r="E117" s="259"/>
      <c r="F117" s="259"/>
      <c r="H117" s="242">
        <f>H116+D117-E117</f>
        <v>75682800</v>
      </c>
    </row>
    <row r="118" spans="1:8" x14ac:dyDescent="0.25">
      <c r="A118" s="15">
        <v>109</v>
      </c>
      <c r="B118" s="261">
        <v>45609</v>
      </c>
      <c r="C118" s="260" t="s">
        <v>363</v>
      </c>
      <c r="D118" s="279"/>
      <c r="E118" s="259">
        <v>75682800</v>
      </c>
      <c r="F118" s="259"/>
      <c r="H118" s="242">
        <f t="shared" ref="H118:H136" si="2">H117+D118-E118</f>
        <v>0</v>
      </c>
    </row>
    <row r="119" spans="1:8" x14ac:dyDescent="0.25">
      <c r="A119" s="262">
        <v>110</v>
      </c>
      <c r="B119" s="261">
        <v>45626</v>
      </c>
      <c r="C119" s="260" t="s">
        <v>1926</v>
      </c>
      <c r="D119" s="279">
        <v>61403200</v>
      </c>
      <c r="E119" s="259"/>
      <c r="F119" s="259"/>
      <c r="H119" s="242">
        <f t="shared" si="2"/>
        <v>61403200</v>
      </c>
    </row>
    <row r="120" spans="1:8" x14ac:dyDescent="0.25">
      <c r="A120" s="15">
        <v>111</v>
      </c>
      <c r="B120" s="261">
        <v>45642</v>
      </c>
      <c r="C120" s="260" t="s">
        <v>363</v>
      </c>
      <c r="D120" s="279"/>
      <c r="E120" s="259">
        <v>61403200</v>
      </c>
      <c r="F120" s="259"/>
      <c r="H120" s="242">
        <f t="shared" si="2"/>
        <v>0</v>
      </c>
    </row>
    <row r="121" spans="1:8" x14ac:dyDescent="0.25">
      <c r="A121" s="262">
        <v>112</v>
      </c>
      <c r="B121" s="261">
        <v>45656</v>
      </c>
      <c r="C121" s="260" t="s">
        <v>1949</v>
      </c>
      <c r="D121" s="279">
        <v>51326800</v>
      </c>
      <c r="E121" s="259"/>
      <c r="F121" s="259"/>
      <c r="H121" s="242">
        <f t="shared" si="2"/>
        <v>51326800</v>
      </c>
    </row>
    <row r="122" spans="1:8" x14ac:dyDescent="0.25">
      <c r="A122" s="15">
        <v>113</v>
      </c>
      <c r="B122" s="261">
        <v>45974</v>
      </c>
      <c r="C122" s="260" t="s">
        <v>634</v>
      </c>
      <c r="D122" s="279"/>
      <c r="E122" s="259">
        <v>51326800</v>
      </c>
      <c r="F122" s="259"/>
      <c r="H122" s="242">
        <f t="shared" si="2"/>
        <v>0</v>
      </c>
    </row>
    <row r="123" spans="1:8" x14ac:dyDescent="0.25">
      <c r="A123" s="15">
        <v>114</v>
      </c>
      <c r="B123" s="261">
        <v>45680</v>
      </c>
      <c r="C123" s="260" t="s">
        <v>1965</v>
      </c>
      <c r="D123" s="279">
        <v>55436800</v>
      </c>
      <c r="E123" s="259"/>
      <c r="F123" s="259"/>
      <c r="H123" s="242">
        <f t="shared" si="2"/>
        <v>55436800</v>
      </c>
    </row>
    <row r="124" spans="1:8" x14ac:dyDescent="0.25">
      <c r="A124" s="262">
        <v>115</v>
      </c>
      <c r="B124" s="261">
        <v>45706</v>
      </c>
      <c r="C124" s="260" t="s">
        <v>363</v>
      </c>
      <c r="D124" s="279"/>
      <c r="E124" s="259">
        <v>55436800</v>
      </c>
      <c r="F124" s="259"/>
      <c r="H124" s="242">
        <f t="shared" si="2"/>
        <v>0</v>
      </c>
    </row>
    <row r="125" spans="1:8" x14ac:dyDescent="0.25">
      <c r="A125" s="15">
        <v>116</v>
      </c>
      <c r="B125" s="261">
        <v>45747</v>
      </c>
      <c r="C125" s="260" t="s">
        <v>1992</v>
      </c>
      <c r="D125" s="279">
        <v>53949400</v>
      </c>
      <c r="E125" s="259"/>
      <c r="F125" s="259"/>
      <c r="H125" s="242">
        <f t="shared" si="2"/>
        <v>53949400</v>
      </c>
    </row>
    <row r="126" spans="1:8" x14ac:dyDescent="0.25">
      <c r="A126" s="262">
        <v>117</v>
      </c>
      <c r="B126" s="261">
        <v>45755</v>
      </c>
      <c r="C126" s="260" t="s">
        <v>363</v>
      </c>
      <c r="D126" s="279"/>
      <c r="E126" s="259">
        <v>53949400</v>
      </c>
      <c r="F126" s="259" t="s">
        <v>2000</v>
      </c>
      <c r="H126" s="242">
        <f t="shared" si="2"/>
        <v>0</v>
      </c>
    </row>
    <row r="127" spans="1:8" x14ac:dyDescent="0.25">
      <c r="A127" s="15">
        <v>118</v>
      </c>
      <c r="B127" s="261">
        <v>45776</v>
      </c>
      <c r="C127" s="260" t="s">
        <v>2019</v>
      </c>
      <c r="D127" s="259">
        <v>25988000</v>
      </c>
      <c r="E127" s="259"/>
      <c r="F127" s="259"/>
      <c r="H127" s="242">
        <f t="shared" si="2"/>
        <v>25988000</v>
      </c>
    </row>
    <row r="128" spans="1:8" x14ac:dyDescent="0.25">
      <c r="A128" s="15">
        <v>119</v>
      </c>
      <c r="B128" s="261"/>
      <c r="C128" s="260"/>
      <c r="D128" s="259"/>
      <c r="E128" s="259"/>
      <c r="F128" s="259"/>
      <c r="H128" s="242">
        <f t="shared" si="2"/>
        <v>25988000</v>
      </c>
    </row>
    <row r="129" spans="1:8" x14ac:dyDescent="0.25">
      <c r="A129" s="262">
        <v>120</v>
      </c>
      <c r="B129" s="261"/>
      <c r="C129" s="260"/>
      <c r="D129" s="259"/>
      <c r="E129" s="259"/>
      <c r="F129" s="259"/>
      <c r="H129" s="242">
        <f t="shared" si="2"/>
        <v>25988000</v>
      </c>
    </row>
    <row r="130" spans="1:8" x14ac:dyDescent="0.25">
      <c r="A130" s="15">
        <v>121</v>
      </c>
      <c r="B130" s="261"/>
      <c r="C130" s="260"/>
      <c r="D130" s="259"/>
      <c r="E130" s="259"/>
      <c r="F130" s="259"/>
      <c r="H130" s="242">
        <f t="shared" si="2"/>
        <v>25988000</v>
      </c>
    </row>
    <row r="131" spans="1:8" x14ac:dyDescent="0.25">
      <c r="A131" s="262">
        <v>122</v>
      </c>
      <c r="B131" s="261"/>
      <c r="C131" s="260"/>
      <c r="D131" s="259"/>
      <c r="E131" s="259"/>
      <c r="F131" s="259"/>
      <c r="H131" s="242">
        <f t="shared" si="2"/>
        <v>25988000</v>
      </c>
    </row>
    <row r="132" spans="1:8" x14ac:dyDescent="0.25">
      <c r="A132" s="15">
        <v>123</v>
      </c>
      <c r="B132" s="261"/>
      <c r="C132" s="260"/>
      <c r="D132" s="259"/>
      <c r="E132" s="259"/>
      <c r="F132" s="259"/>
      <c r="H132" s="242">
        <f t="shared" si="2"/>
        <v>25988000</v>
      </c>
    </row>
    <row r="133" spans="1:8" x14ac:dyDescent="0.25">
      <c r="A133" s="15">
        <v>124</v>
      </c>
      <c r="B133" s="261"/>
      <c r="C133" s="260"/>
      <c r="D133" s="259"/>
      <c r="E133" s="259"/>
      <c r="F133" s="259"/>
      <c r="H133" s="242">
        <f t="shared" si="2"/>
        <v>25988000</v>
      </c>
    </row>
    <row r="134" spans="1:8" x14ac:dyDescent="0.25">
      <c r="A134" s="262">
        <v>125</v>
      </c>
      <c r="B134" s="261"/>
      <c r="C134" s="260"/>
      <c r="D134" s="259"/>
      <c r="E134" s="259"/>
      <c r="F134" s="259"/>
      <c r="H134" s="242">
        <f t="shared" si="2"/>
        <v>25988000</v>
      </c>
    </row>
    <row r="135" spans="1:8" x14ac:dyDescent="0.25">
      <c r="A135" s="15">
        <v>126</v>
      </c>
      <c r="B135" s="261"/>
      <c r="C135" s="260"/>
      <c r="D135" s="259"/>
      <c r="E135" s="259"/>
      <c r="F135" s="259"/>
      <c r="H135" s="242">
        <f t="shared" si="2"/>
        <v>25988000</v>
      </c>
    </row>
    <row r="136" spans="1:8" x14ac:dyDescent="0.25">
      <c r="A136" s="260"/>
      <c r="B136" s="261"/>
      <c r="C136" s="260"/>
      <c r="D136" s="259"/>
      <c r="E136" s="259"/>
      <c r="F136" s="259"/>
      <c r="H136" s="242">
        <f t="shared" si="2"/>
        <v>25988000</v>
      </c>
    </row>
    <row r="137" spans="1:8" x14ac:dyDescent="0.25">
      <c r="A137" s="260"/>
      <c r="B137" s="261"/>
      <c r="C137" s="260"/>
      <c r="D137" s="259"/>
      <c r="E137" s="259"/>
      <c r="F137" s="259"/>
      <c r="H137" s="242">
        <f t="shared" si="1"/>
        <v>25988000</v>
      </c>
    </row>
    <row r="138" spans="1:8" x14ac:dyDescent="0.25">
      <c r="A138" s="260"/>
      <c r="B138" s="261"/>
      <c r="C138" s="260"/>
      <c r="D138" s="259"/>
      <c r="E138" s="259"/>
      <c r="F138" s="259"/>
      <c r="H138" s="242">
        <f t="shared" si="1"/>
        <v>25988000</v>
      </c>
    </row>
    <row r="139" spans="1:8" x14ac:dyDescent="0.25">
      <c r="A139" s="260"/>
      <c r="B139" s="262"/>
      <c r="C139" s="260"/>
      <c r="D139" s="259"/>
      <c r="E139" s="259"/>
      <c r="F139" s="259"/>
      <c r="H139" s="242">
        <f t="shared" si="1"/>
        <v>25988000</v>
      </c>
    </row>
    <row r="140" spans="1:8" x14ac:dyDescent="0.25">
      <c r="A140" s="260"/>
      <c r="B140" s="262"/>
      <c r="C140" s="260"/>
      <c r="D140" s="259"/>
      <c r="E140" s="259"/>
      <c r="F140" s="259"/>
      <c r="H140" s="242">
        <f t="shared" ref="H140:H189" si="3">H139+D140-E140</f>
        <v>25988000</v>
      </c>
    </row>
    <row r="141" spans="1:8" x14ac:dyDescent="0.25">
      <c r="A141" s="260"/>
      <c r="B141" s="262"/>
      <c r="C141" s="260"/>
      <c r="D141" s="259"/>
      <c r="E141" s="259"/>
      <c r="F141" s="259"/>
      <c r="H141" s="242">
        <f t="shared" si="3"/>
        <v>25988000</v>
      </c>
    </row>
    <row r="142" spans="1:8" x14ac:dyDescent="0.25">
      <c r="A142" s="260"/>
      <c r="B142" s="262"/>
      <c r="C142" s="260"/>
      <c r="D142" s="259"/>
      <c r="E142" s="259"/>
      <c r="F142" s="259"/>
      <c r="H142" s="242">
        <f t="shared" si="3"/>
        <v>25988000</v>
      </c>
    </row>
    <row r="143" spans="1:8" x14ac:dyDescent="0.25">
      <c r="A143" s="260"/>
      <c r="B143" s="262"/>
      <c r="C143" s="260"/>
      <c r="D143" s="259"/>
      <c r="E143" s="259"/>
      <c r="F143" s="259"/>
      <c r="H143" s="242">
        <f t="shared" si="3"/>
        <v>25988000</v>
      </c>
    </row>
    <row r="144" spans="1:8" x14ac:dyDescent="0.25">
      <c r="A144" s="260"/>
      <c r="B144" s="262"/>
      <c r="C144" s="260"/>
      <c r="D144" s="259"/>
      <c r="E144" s="259"/>
      <c r="F144" s="259"/>
      <c r="H144" s="242">
        <f t="shared" si="3"/>
        <v>25988000</v>
      </c>
    </row>
    <row r="145" spans="1:8" x14ac:dyDescent="0.25">
      <c r="A145" s="260"/>
      <c r="B145" s="262"/>
      <c r="C145" s="260"/>
      <c r="D145" s="259"/>
      <c r="E145" s="259"/>
      <c r="F145" s="259"/>
      <c r="H145" s="242">
        <f t="shared" si="3"/>
        <v>25988000</v>
      </c>
    </row>
    <row r="146" spans="1:8" x14ac:dyDescent="0.25">
      <c r="A146" s="260"/>
      <c r="B146" s="262"/>
      <c r="C146" s="260"/>
      <c r="D146" s="259"/>
      <c r="E146" s="259"/>
      <c r="F146" s="259"/>
      <c r="H146" s="242">
        <f t="shared" si="3"/>
        <v>25988000</v>
      </c>
    </row>
    <row r="147" spans="1:8" x14ac:dyDescent="0.25">
      <c r="A147" s="260"/>
      <c r="B147" s="262"/>
      <c r="C147" s="260"/>
      <c r="D147" s="259"/>
      <c r="E147" s="259"/>
      <c r="F147" s="259"/>
      <c r="H147" s="242">
        <f t="shared" si="3"/>
        <v>25988000</v>
      </c>
    </row>
    <row r="148" spans="1:8" x14ac:dyDescent="0.25">
      <c r="A148" s="260"/>
      <c r="B148" s="262"/>
      <c r="C148" s="260"/>
      <c r="D148" s="259"/>
      <c r="E148" s="259"/>
      <c r="F148" s="259"/>
      <c r="H148" s="242">
        <f t="shared" si="3"/>
        <v>25988000</v>
      </c>
    </row>
    <row r="149" spans="1:8" x14ac:dyDescent="0.25">
      <c r="A149" s="260"/>
      <c r="B149" s="262"/>
      <c r="C149" s="260"/>
      <c r="D149" s="259"/>
      <c r="E149" s="259"/>
      <c r="F149" s="259"/>
      <c r="H149" s="242">
        <f t="shared" si="3"/>
        <v>25988000</v>
      </c>
    </row>
    <row r="150" spans="1:8" x14ac:dyDescent="0.25">
      <c r="A150" s="260"/>
      <c r="B150" s="262"/>
      <c r="C150" s="260"/>
      <c r="D150" s="259"/>
      <c r="E150" s="259"/>
      <c r="F150" s="259"/>
      <c r="H150" s="242">
        <f t="shared" si="3"/>
        <v>25988000</v>
      </c>
    </row>
    <row r="151" spans="1:8" x14ac:dyDescent="0.25">
      <c r="A151" s="260"/>
      <c r="B151" s="262"/>
      <c r="C151" s="260"/>
      <c r="D151" s="259"/>
      <c r="E151" s="259"/>
      <c r="F151" s="259"/>
      <c r="H151" s="242">
        <f t="shared" si="3"/>
        <v>25988000</v>
      </c>
    </row>
    <row r="152" spans="1:8" x14ac:dyDescent="0.25">
      <c r="A152" s="260"/>
      <c r="B152" s="262"/>
      <c r="C152" s="260"/>
      <c r="D152" s="259"/>
      <c r="E152" s="259"/>
      <c r="F152" s="259"/>
      <c r="H152" s="242">
        <f t="shared" si="3"/>
        <v>25988000</v>
      </c>
    </row>
    <row r="153" spans="1:8" x14ac:dyDescent="0.25">
      <c r="A153" s="260"/>
      <c r="B153" s="262"/>
      <c r="C153" s="260"/>
      <c r="D153" s="259"/>
      <c r="E153" s="259"/>
      <c r="F153" s="259"/>
      <c r="H153" s="242">
        <f t="shared" si="3"/>
        <v>25988000</v>
      </c>
    </row>
    <row r="154" spans="1:8" x14ac:dyDescent="0.25">
      <c r="A154" s="260"/>
      <c r="B154" s="262"/>
      <c r="C154" s="260"/>
      <c r="D154" s="259"/>
      <c r="E154" s="259"/>
      <c r="F154" s="259"/>
      <c r="H154" s="242">
        <f t="shared" si="3"/>
        <v>25988000</v>
      </c>
    </row>
    <row r="155" spans="1:8" x14ac:dyDescent="0.25">
      <c r="A155" s="260"/>
      <c r="B155" s="262"/>
      <c r="C155" s="260"/>
      <c r="D155" s="259"/>
      <c r="E155" s="259"/>
      <c r="F155" s="259"/>
      <c r="H155" s="242">
        <f t="shared" si="3"/>
        <v>25988000</v>
      </c>
    </row>
    <row r="156" spans="1:8" x14ac:dyDescent="0.25">
      <c r="A156" s="260"/>
      <c r="B156" s="262"/>
      <c r="C156" s="260"/>
      <c r="D156" s="259"/>
      <c r="E156" s="259"/>
      <c r="F156" s="259"/>
      <c r="H156" s="242">
        <f t="shared" si="3"/>
        <v>25988000</v>
      </c>
    </row>
    <row r="157" spans="1:8" x14ac:dyDescent="0.25">
      <c r="A157" s="260"/>
      <c r="B157" s="262"/>
      <c r="C157" s="260"/>
      <c r="D157" s="259"/>
      <c r="E157" s="259"/>
      <c r="F157" s="259"/>
      <c r="H157" s="242">
        <f t="shared" si="3"/>
        <v>25988000</v>
      </c>
    </row>
    <row r="158" spans="1:8" x14ac:dyDescent="0.25">
      <c r="A158" s="260"/>
      <c r="B158" s="262"/>
      <c r="C158" s="260"/>
      <c r="D158" s="259"/>
      <c r="E158" s="259"/>
      <c r="F158" s="259"/>
      <c r="H158" s="242">
        <f t="shared" si="3"/>
        <v>25988000</v>
      </c>
    </row>
    <row r="159" spans="1:8" x14ac:dyDescent="0.25">
      <c r="A159" s="260"/>
      <c r="B159" s="262"/>
      <c r="C159" s="260"/>
      <c r="D159" s="259"/>
      <c r="E159" s="259"/>
      <c r="F159" s="259"/>
      <c r="H159" s="242">
        <f t="shared" si="3"/>
        <v>25988000</v>
      </c>
    </row>
    <row r="160" spans="1:8" x14ac:dyDescent="0.25">
      <c r="A160" s="260"/>
      <c r="B160" s="262"/>
      <c r="C160" s="260"/>
      <c r="D160" s="259"/>
      <c r="E160" s="259"/>
      <c r="F160" s="259"/>
      <c r="H160" s="242">
        <f t="shared" si="3"/>
        <v>25988000</v>
      </c>
    </row>
    <row r="161" spans="1:8" x14ac:dyDescent="0.25">
      <c r="A161" s="260"/>
      <c r="B161" s="262"/>
      <c r="C161" s="260"/>
      <c r="D161" s="259"/>
      <c r="E161" s="259"/>
      <c r="F161" s="259"/>
      <c r="H161" s="242">
        <f t="shared" si="3"/>
        <v>25988000</v>
      </c>
    </row>
    <row r="162" spans="1:8" x14ac:dyDescent="0.25">
      <c r="A162" s="260"/>
      <c r="B162" s="262"/>
      <c r="C162" s="260"/>
      <c r="D162" s="259"/>
      <c r="E162" s="259"/>
      <c r="F162" s="259"/>
      <c r="H162" s="242">
        <f t="shared" si="3"/>
        <v>25988000</v>
      </c>
    </row>
    <row r="163" spans="1:8" x14ac:dyDescent="0.25">
      <c r="A163" s="260"/>
      <c r="B163" s="262"/>
      <c r="C163" s="260"/>
      <c r="D163" s="259"/>
      <c r="E163" s="259"/>
      <c r="F163" s="259"/>
      <c r="H163" s="242">
        <f t="shared" si="3"/>
        <v>25988000</v>
      </c>
    </row>
    <row r="164" spans="1:8" x14ac:dyDescent="0.25">
      <c r="A164" s="260"/>
      <c r="B164" s="262"/>
      <c r="C164" s="260"/>
      <c r="D164" s="259"/>
      <c r="E164" s="259"/>
      <c r="F164" s="259"/>
      <c r="H164" s="242">
        <f t="shared" si="3"/>
        <v>25988000</v>
      </c>
    </row>
    <row r="165" spans="1:8" x14ac:dyDescent="0.25">
      <c r="A165" s="260"/>
      <c r="B165" s="262"/>
      <c r="C165" s="260"/>
      <c r="D165" s="259"/>
      <c r="E165" s="259"/>
      <c r="F165" s="259"/>
      <c r="H165" s="242">
        <f t="shared" si="3"/>
        <v>25988000</v>
      </c>
    </row>
    <row r="166" spans="1:8" x14ac:dyDescent="0.25">
      <c r="A166" s="260"/>
      <c r="B166" s="262"/>
      <c r="C166" s="260"/>
      <c r="D166" s="259"/>
      <c r="E166" s="259"/>
      <c r="F166" s="259"/>
      <c r="H166" s="242">
        <f t="shared" si="3"/>
        <v>25988000</v>
      </c>
    </row>
    <row r="167" spans="1:8" x14ac:dyDescent="0.25">
      <c r="A167" s="260"/>
      <c r="B167" s="262"/>
      <c r="C167" s="260"/>
      <c r="D167" s="259"/>
      <c r="E167" s="259"/>
      <c r="F167" s="259"/>
      <c r="H167" s="242">
        <f t="shared" si="3"/>
        <v>25988000</v>
      </c>
    </row>
    <row r="168" spans="1:8" x14ac:dyDescent="0.25">
      <c r="A168" s="260"/>
      <c r="B168" s="262"/>
      <c r="C168" s="260"/>
      <c r="D168" s="259"/>
      <c r="E168" s="259"/>
      <c r="F168" s="259"/>
      <c r="H168" s="242">
        <f t="shared" si="3"/>
        <v>25988000</v>
      </c>
    </row>
    <row r="169" spans="1:8" x14ac:dyDescent="0.25">
      <c r="A169" s="260"/>
      <c r="B169" s="262"/>
      <c r="C169" s="260"/>
      <c r="D169" s="259"/>
      <c r="E169" s="259"/>
      <c r="F169" s="259"/>
      <c r="H169" s="242">
        <f t="shared" si="3"/>
        <v>25988000</v>
      </c>
    </row>
    <row r="170" spans="1:8" x14ac:dyDescent="0.25">
      <c r="A170" s="260"/>
      <c r="B170" s="262"/>
      <c r="C170" s="260"/>
      <c r="D170" s="259"/>
      <c r="E170" s="259"/>
      <c r="F170" s="259"/>
      <c r="H170" s="242">
        <f t="shared" si="3"/>
        <v>25988000</v>
      </c>
    </row>
    <row r="171" spans="1:8" x14ac:dyDescent="0.25">
      <c r="A171" s="260"/>
      <c r="B171" s="262"/>
      <c r="C171" s="260"/>
      <c r="D171" s="259"/>
      <c r="E171" s="259"/>
      <c r="F171" s="259"/>
      <c r="H171" s="242">
        <f t="shared" si="3"/>
        <v>25988000</v>
      </c>
    </row>
    <row r="172" spans="1:8" x14ac:dyDescent="0.25">
      <c r="A172" s="260"/>
      <c r="B172" s="262"/>
      <c r="C172" s="260"/>
      <c r="D172" s="259"/>
      <c r="E172" s="259"/>
      <c r="F172" s="259"/>
      <c r="H172" s="242">
        <f t="shared" si="3"/>
        <v>25988000</v>
      </c>
    </row>
    <row r="173" spans="1:8" x14ac:dyDescent="0.25">
      <c r="A173" s="260"/>
      <c r="B173" s="262"/>
      <c r="C173" s="260"/>
      <c r="D173" s="259"/>
      <c r="E173" s="259"/>
      <c r="F173" s="259"/>
      <c r="H173" s="242">
        <f t="shared" si="3"/>
        <v>25988000</v>
      </c>
    </row>
    <row r="174" spans="1:8" x14ac:dyDescent="0.25">
      <c r="A174" s="260"/>
      <c r="B174" s="262"/>
      <c r="C174" s="260"/>
      <c r="D174" s="259"/>
      <c r="E174" s="259"/>
      <c r="F174" s="259"/>
      <c r="H174" s="242">
        <f t="shared" si="3"/>
        <v>25988000</v>
      </c>
    </row>
    <row r="175" spans="1:8" x14ac:dyDescent="0.25">
      <c r="A175" s="260"/>
      <c r="B175" s="262"/>
      <c r="C175" s="260"/>
      <c r="D175" s="259"/>
      <c r="E175" s="259"/>
      <c r="F175" s="259"/>
      <c r="H175" s="242">
        <f t="shared" si="3"/>
        <v>25988000</v>
      </c>
    </row>
    <row r="176" spans="1:8" x14ac:dyDescent="0.25">
      <c r="A176" s="260"/>
      <c r="B176" s="262"/>
      <c r="C176" s="260"/>
      <c r="D176" s="259"/>
      <c r="E176" s="259"/>
      <c r="F176" s="259"/>
      <c r="H176" s="242">
        <f t="shared" si="3"/>
        <v>25988000</v>
      </c>
    </row>
    <row r="177" spans="1:8" x14ac:dyDescent="0.25">
      <c r="A177" s="260"/>
      <c r="B177" s="262"/>
      <c r="C177" s="260"/>
      <c r="D177" s="259"/>
      <c r="E177" s="259"/>
      <c r="F177" s="259"/>
      <c r="H177" s="242">
        <f t="shared" si="3"/>
        <v>25988000</v>
      </c>
    </row>
    <row r="178" spans="1:8" x14ac:dyDescent="0.25">
      <c r="A178" s="260"/>
      <c r="B178" s="262"/>
      <c r="C178" s="260"/>
      <c r="D178" s="259"/>
      <c r="E178" s="259"/>
      <c r="F178" s="259"/>
      <c r="H178" s="242">
        <f t="shared" si="3"/>
        <v>25988000</v>
      </c>
    </row>
    <row r="179" spans="1:8" x14ac:dyDescent="0.25">
      <c r="A179" s="260"/>
      <c r="B179" s="262"/>
      <c r="C179" s="260"/>
      <c r="D179" s="259"/>
      <c r="E179" s="259"/>
      <c r="F179" s="259"/>
      <c r="H179" s="242">
        <f t="shared" si="3"/>
        <v>25988000</v>
      </c>
    </row>
    <row r="180" spans="1:8" x14ac:dyDescent="0.25">
      <c r="A180" s="260"/>
      <c r="B180" s="262"/>
      <c r="C180" s="260"/>
      <c r="D180" s="259"/>
      <c r="E180" s="259"/>
      <c r="F180" s="259"/>
      <c r="H180" s="242">
        <f t="shared" si="3"/>
        <v>25988000</v>
      </c>
    </row>
    <row r="181" spans="1:8" x14ac:dyDescent="0.25">
      <c r="A181" s="260"/>
      <c r="B181" s="262"/>
      <c r="C181" s="260"/>
      <c r="D181" s="259"/>
      <c r="E181" s="259"/>
      <c r="F181" s="259"/>
      <c r="H181" s="242">
        <f t="shared" si="3"/>
        <v>25988000</v>
      </c>
    </row>
    <row r="182" spans="1:8" x14ac:dyDescent="0.25">
      <c r="A182" s="260"/>
      <c r="B182" s="262"/>
      <c r="C182" s="260"/>
      <c r="D182" s="259"/>
      <c r="E182" s="259"/>
      <c r="F182" s="259"/>
      <c r="H182" s="242">
        <f t="shared" si="3"/>
        <v>25988000</v>
      </c>
    </row>
    <row r="183" spans="1:8" x14ac:dyDescent="0.25">
      <c r="A183" s="260"/>
      <c r="B183" s="262"/>
      <c r="C183" s="260"/>
      <c r="D183" s="259"/>
      <c r="E183" s="259"/>
      <c r="F183" s="259"/>
      <c r="H183" s="242">
        <f t="shared" si="3"/>
        <v>25988000</v>
      </c>
    </row>
    <row r="184" spans="1:8" x14ac:dyDescent="0.25">
      <c r="A184" s="260"/>
      <c r="B184" s="262"/>
      <c r="C184" s="260"/>
      <c r="D184" s="259"/>
      <c r="E184" s="259"/>
      <c r="F184" s="259"/>
      <c r="H184" s="242">
        <f t="shared" si="3"/>
        <v>25988000</v>
      </c>
    </row>
    <row r="185" spans="1:8" x14ac:dyDescent="0.25">
      <c r="A185" s="260"/>
      <c r="B185" s="262"/>
      <c r="C185" s="260"/>
      <c r="D185" s="259"/>
      <c r="E185" s="259"/>
      <c r="F185" s="259"/>
      <c r="H185" s="242">
        <f t="shared" si="3"/>
        <v>25988000</v>
      </c>
    </row>
    <row r="186" spans="1:8" x14ac:dyDescent="0.25">
      <c r="A186" s="260"/>
      <c r="B186" s="262"/>
      <c r="C186" s="260"/>
      <c r="D186" s="259"/>
      <c r="E186" s="259"/>
      <c r="F186" s="259"/>
      <c r="H186" s="242">
        <f t="shared" si="3"/>
        <v>25988000</v>
      </c>
    </row>
    <row r="187" spans="1:8" x14ac:dyDescent="0.25">
      <c r="A187" s="260"/>
      <c r="B187" s="262"/>
      <c r="C187" s="260"/>
      <c r="D187" s="259"/>
      <c r="E187" s="259"/>
      <c r="F187" s="259"/>
      <c r="H187" s="242">
        <f t="shared" si="3"/>
        <v>25988000</v>
      </c>
    </row>
    <row r="188" spans="1:8" x14ac:dyDescent="0.25">
      <c r="A188" s="260"/>
      <c r="B188" s="262"/>
      <c r="C188" s="260"/>
      <c r="D188" s="259"/>
      <c r="E188" s="259"/>
      <c r="F188" s="259"/>
      <c r="H188" s="242">
        <f t="shared" si="3"/>
        <v>25988000</v>
      </c>
    </row>
    <row r="189" spans="1:8" x14ac:dyDescent="0.25">
      <c r="A189" s="260"/>
      <c r="B189" s="262"/>
      <c r="C189" s="260"/>
      <c r="D189" s="259"/>
      <c r="E189" s="259"/>
      <c r="F189" s="259"/>
      <c r="H189" s="242">
        <f t="shared" si="3"/>
        <v>25988000</v>
      </c>
    </row>
    <row r="190" spans="1:8" x14ac:dyDescent="0.25">
      <c r="A190" s="260"/>
      <c r="B190" s="262"/>
      <c r="C190" s="260"/>
      <c r="D190" s="259"/>
      <c r="E190" s="259"/>
      <c r="F190" s="259"/>
    </row>
    <row r="191" spans="1:8" x14ac:dyDescent="0.25">
      <c r="A191" s="260"/>
      <c r="B191" s="262"/>
      <c r="C191" s="260"/>
      <c r="D191" s="259"/>
      <c r="E191" s="259"/>
      <c r="F191" s="259"/>
    </row>
    <row r="192" spans="1:8" x14ac:dyDescent="0.25">
      <c r="A192" s="260"/>
      <c r="B192" s="262"/>
      <c r="C192" s="260"/>
      <c r="D192" s="259"/>
      <c r="E192" s="259"/>
      <c r="F192" s="259"/>
    </row>
    <row r="193" spans="1:6" x14ac:dyDescent="0.25">
      <c r="A193" s="260"/>
      <c r="B193" s="262"/>
      <c r="C193" s="260"/>
      <c r="D193" s="259"/>
      <c r="E193" s="259"/>
      <c r="F193" s="259"/>
    </row>
  </sheetData>
  <mergeCells count="6">
    <mergeCell ref="A2:F2"/>
    <mergeCell ref="A8:A9"/>
    <mergeCell ref="C8:C9"/>
    <mergeCell ref="D8:E8"/>
    <mergeCell ref="F8:F9"/>
    <mergeCell ref="B8:B9"/>
  </mergeCells>
  <hyperlinks>
    <hyperlink ref="G1" location="'Tổng hợp'!A1" display="TH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13"/>
  <sheetViews>
    <sheetView workbookViewId="0">
      <selection activeCell="G1" sqref="G1"/>
    </sheetView>
  </sheetViews>
  <sheetFormatPr defaultRowHeight="15" x14ac:dyDescent="0.25"/>
  <cols>
    <col min="1" max="1" width="9.140625" style="251"/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4.85546875" style="2" customWidth="1"/>
    <col min="9" max="9" width="11.5703125" bestFit="1" customWidth="1"/>
  </cols>
  <sheetData>
    <row r="1" spans="1:7" x14ac:dyDescent="0.25">
      <c r="A1" s="252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s="251" t="s">
        <v>4</v>
      </c>
      <c r="D3" s="2" t="s">
        <v>17</v>
      </c>
    </row>
    <row r="4" spans="1:7" x14ac:dyDescent="0.25">
      <c r="E4" s="2" t="s">
        <v>9</v>
      </c>
      <c r="F4" s="255">
        <v>4524650</v>
      </c>
    </row>
    <row r="5" spans="1:7" x14ac:dyDescent="0.25">
      <c r="A5" s="251" t="s">
        <v>13</v>
      </c>
      <c r="D5" s="3">
        <f ca="1">+'Tổng hợp'!$G$2</f>
        <v>45784</v>
      </c>
      <c r="E5" s="2" t="s">
        <v>10</v>
      </c>
      <c r="F5" s="2">
        <f>SUM(D10:D500)</f>
        <v>5486142741</v>
      </c>
    </row>
    <row r="6" spans="1:7" x14ac:dyDescent="0.25">
      <c r="E6" s="2" t="s">
        <v>11</v>
      </c>
      <c r="F6" s="2">
        <f>SUM(E10:E500)</f>
        <v>5414027341</v>
      </c>
    </row>
    <row r="7" spans="1:7" x14ac:dyDescent="0.25">
      <c r="E7" s="2" t="s">
        <v>12</v>
      </c>
      <c r="F7" s="255">
        <f>+F4+F5-F6</f>
        <v>76640050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x14ac:dyDescent="0.25">
      <c r="A10" s="262">
        <v>1</v>
      </c>
      <c r="B10" s="261">
        <v>43629</v>
      </c>
      <c r="C10" s="260" t="s">
        <v>160</v>
      </c>
      <c r="D10" s="182">
        <v>37251250</v>
      </c>
      <c r="E10" s="259"/>
      <c r="F10" s="259">
        <f>F4+D10-E10</f>
        <v>41775900</v>
      </c>
    </row>
    <row r="11" spans="1:7" x14ac:dyDescent="0.25">
      <c r="A11" s="262">
        <v>2</v>
      </c>
      <c r="B11" s="261">
        <v>43640</v>
      </c>
      <c r="C11" s="260" t="s">
        <v>162</v>
      </c>
      <c r="D11" s="182">
        <v>28163450</v>
      </c>
      <c r="E11" s="259"/>
      <c r="F11" s="259">
        <f>F10+D11-E11</f>
        <v>69939350</v>
      </c>
    </row>
    <row r="12" spans="1:7" x14ac:dyDescent="0.25">
      <c r="A12" s="262">
        <v>3</v>
      </c>
      <c r="B12" s="261">
        <v>43677</v>
      </c>
      <c r="C12" s="260" t="s">
        <v>200</v>
      </c>
      <c r="D12" s="259">
        <v>128682564</v>
      </c>
      <c r="E12" s="259"/>
      <c r="F12" s="259">
        <f t="shared" ref="F12:F49" si="0">F11+D12-E12</f>
        <v>198621914</v>
      </c>
    </row>
    <row r="13" spans="1:7" x14ac:dyDescent="0.25">
      <c r="A13" s="262">
        <v>4</v>
      </c>
      <c r="B13" s="261">
        <v>43677</v>
      </c>
      <c r="C13" s="260" t="s">
        <v>201</v>
      </c>
      <c r="D13" s="259">
        <v>45895233</v>
      </c>
      <c r="E13" s="259"/>
      <c r="F13" s="259">
        <f t="shared" si="0"/>
        <v>244517147</v>
      </c>
    </row>
    <row r="14" spans="1:7" x14ac:dyDescent="0.25">
      <c r="A14" s="262">
        <v>5</v>
      </c>
      <c r="B14" s="261">
        <v>43683</v>
      </c>
      <c r="C14" s="260" t="s">
        <v>202</v>
      </c>
      <c r="D14" s="259"/>
      <c r="E14" s="259">
        <v>100000000</v>
      </c>
      <c r="F14" s="259">
        <f t="shared" si="0"/>
        <v>144517147</v>
      </c>
    </row>
    <row r="15" spans="1:7" x14ac:dyDescent="0.25">
      <c r="A15" s="262">
        <v>6</v>
      </c>
      <c r="B15" s="261">
        <v>43696</v>
      </c>
      <c r="C15" s="260" t="s">
        <v>202</v>
      </c>
      <c r="D15" s="259"/>
      <c r="E15" s="259">
        <v>100000000</v>
      </c>
      <c r="F15" s="259">
        <f t="shared" si="0"/>
        <v>44517147</v>
      </c>
    </row>
    <row r="16" spans="1:7" x14ac:dyDescent="0.25">
      <c r="A16" s="262">
        <v>7</v>
      </c>
      <c r="B16" s="261">
        <v>43717</v>
      </c>
      <c r="C16" s="260" t="s">
        <v>202</v>
      </c>
      <c r="D16" s="259"/>
      <c r="E16" s="259">
        <v>40000000</v>
      </c>
      <c r="F16" s="259">
        <f t="shared" si="0"/>
        <v>4517147</v>
      </c>
    </row>
    <row r="17" spans="1:6" x14ac:dyDescent="0.25">
      <c r="A17" s="262">
        <v>8</v>
      </c>
      <c r="B17" s="262" t="s">
        <v>263</v>
      </c>
      <c r="C17" s="260" t="s">
        <v>264</v>
      </c>
      <c r="D17" s="259">
        <v>42915864</v>
      </c>
      <c r="E17" s="259"/>
      <c r="F17" s="259">
        <f t="shared" si="0"/>
        <v>47433011</v>
      </c>
    </row>
    <row r="18" spans="1:6" x14ac:dyDescent="0.25">
      <c r="A18" s="262">
        <v>9</v>
      </c>
      <c r="B18" s="262" t="s">
        <v>263</v>
      </c>
      <c r="C18" s="260" t="s">
        <v>265</v>
      </c>
      <c r="D18" s="259">
        <v>28160850</v>
      </c>
      <c r="E18" s="259"/>
      <c r="F18" s="259">
        <f t="shared" si="0"/>
        <v>75593861</v>
      </c>
    </row>
    <row r="19" spans="1:6" x14ac:dyDescent="0.25">
      <c r="A19" s="262">
        <v>10</v>
      </c>
      <c r="B19" s="262" t="s">
        <v>262</v>
      </c>
      <c r="C19" s="260" t="s">
        <v>202</v>
      </c>
      <c r="D19" s="259"/>
      <c r="E19" s="259">
        <v>50000000</v>
      </c>
      <c r="F19" s="259">
        <f t="shared" si="0"/>
        <v>25593861</v>
      </c>
    </row>
    <row r="20" spans="1:6" x14ac:dyDescent="0.25">
      <c r="A20" s="262">
        <v>11</v>
      </c>
      <c r="B20" s="261">
        <v>43506</v>
      </c>
      <c r="C20" s="260" t="s">
        <v>292</v>
      </c>
      <c r="D20" s="259">
        <v>85788376</v>
      </c>
      <c r="E20" s="259"/>
      <c r="F20" s="259">
        <f t="shared" si="0"/>
        <v>111382237</v>
      </c>
    </row>
    <row r="21" spans="1:6" x14ac:dyDescent="0.25">
      <c r="A21" s="262">
        <v>12</v>
      </c>
      <c r="B21" s="261" t="s">
        <v>297</v>
      </c>
      <c r="C21" s="260" t="s">
        <v>202</v>
      </c>
      <c r="D21" s="259"/>
      <c r="E21" s="259">
        <v>25593861</v>
      </c>
      <c r="F21" s="259">
        <f t="shared" si="0"/>
        <v>85788376</v>
      </c>
    </row>
    <row r="22" spans="1:6" x14ac:dyDescent="0.25">
      <c r="A22" s="262">
        <v>13</v>
      </c>
      <c r="B22" s="261" t="s">
        <v>298</v>
      </c>
      <c r="C22" s="260" t="s">
        <v>202</v>
      </c>
      <c r="D22" s="259"/>
      <c r="E22" s="259">
        <v>50000000</v>
      </c>
      <c r="F22" s="259">
        <f t="shared" si="0"/>
        <v>35788376</v>
      </c>
    </row>
    <row r="23" spans="1:6" x14ac:dyDescent="0.25">
      <c r="A23" s="262">
        <v>14</v>
      </c>
      <c r="B23" s="261">
        <v>43596</v>
      </c>
      <c r="C23" s="260" t="s">
        <v>319</v>
      </c>
      <c r="D23" s="259">
        <v>82110376</v>
      </c>
      <c r="E23" s="259"/>
      <c r="F23" s="259">
        <f t="shared" si="0"/>
        <v>117898752</v>
      </c>
    </row>
    <row r="24" spans="1:6" x14ac:dyDescent="0.25">
      <c r="A24" s="262">
        <v>15</v>
      </c>
      <c r="B24" s="274">
        <v>43781</v>
      </c>
      <c r="C24" s="260" t="s">
        <v>320</v>
      </c>
      <c r="D24" s="259">
        <v>28649550</v>
      </c>
      <c r="E24" s="259"/>
      <c r="F24" s="259">
        <f t="shared" si="0"/>
        <v>146548302</v>
      </c>
    </row>
    <row r="25" spans="1:6" x14ac:dyDescent="0.25">
      <c r="A25" s="262">
        <v>16</v>
      </c>
      <c r="B25" s="261">
        <v>43720</v>
      </c>
      <c r="C25" s="260" t="s">
        <v>202</v>
      </c>
      <c r="D25" s="259"/>
      <c r="E25" s="259">
        <v>120000000</v>
      </c>
      <c r="F25" s="259">
        <f t="shared" si="0"/>
        <v>26548302</v>
      </c>
    </row>
    <row r="26" spans="1:6" x14ac:dyDescent="0.25">
      <c r="A26" s="262">
        <v>17</v>
      </c>
      <c r="B26" s="262" t="s">
        <v>374</v>
      </c>
      <c r="C26" s="260" t="s">
        <v>375</v>
      </c>
      <c r="D26" s="259">
        <v>93522400</v>
      </c>
      <c r="E26" s="259"/>
      <c r="F26" s="259">
        <f t="shared" si="0"/>
        <v>120070702</v>
      </c>
    </row>
    <row r="27" spans="1:6" x14ac:dyDescent="0.25">
      <c r="A27" s="262">
        <v>18</v>
      </c>
      <c r="B27" s="262" t="s">
        <v>383</v>
      </c>
      <c r="C27" s="260" t="s">
        <v>202</v>
      </c>
      <c r="D27" s="259"/>
      <c r="E27" s="259">
        <v>120070702</v>
      </c>
      <c r="F27" s="259">
        <f t="shared" si="0"/>
        <v>0</v>
      </c>
    </row>
    <row r="28" spans="1:6" x14ac:dyDescent="0.25">
      <c r="A28" s="262">
        <v>19</v>
      </c>
      <c r="B28" s="262" t="s">
        <v>471</v>
      </c>
      <c r="C28" s="260" t="s">
        <v>474</v>
      </c>
      <c r="D28" s="259">
        <v>52269000</v>
      </c>
      <c r="E28" s="259"/>
      <c r="F28" s="259">
        <f t="shared" si="0"/>
        <v>52269000</v>
      </c>
    </row>
    <row r="29" spans="1:6" x14ac:dyDescent="0.25">
      <c r="A29" s="262">
        <v>20</v>
      </c>
      <c r="B29" s="262" t="s">
        <v>471</v>
      </c>
      <c r="C29" s="260" t="s">
        <v>475</v>
      </c>
      <c r="D29" s="259">
        <v>96787000</v>
      </c>
      <c r="E29" s="259"/>
      <c r="F29" s="259">
        <f t="shared" si="0"/>
        <v>149056000</v>
      </c>
    </row>
    <row r="30" spans="1:6" x14ac:dyDescent="0.25">
      <c r="A30" s="262">
        <v>21</v>
      </c>
      <c r="B30" s="262" t="s">
        <v>471</v>
      </c>
      <c r="C30" s="260" t="s">
        <v>476</v>
      </c>
      <c r="D30" s="259">
        <v>96632000</v>
      </c>
      <c r="E30" s="259"/>
      <c r="F30" s="259">
        <f t="shared" si="0"/>
        <v>245688000</v>
      </c>
    </row>
    <row r="31" spans="1:6" x14ac:dyDescent="0.25">
      <c r="A31" s="262">
        <v>22</v>
      </c>
      <c r="B31" s="262" t="s">
        <v>480</v>
      </c>
      <c r="C31" s="260" t="s">
        <v>484</v>
      </c>
      <c r="D31" s="259">
        <v>30366200</v>
      </c>
      <c r="E31" s="259"/>
      <c r="F31" s="259">
        <f t="shared" si="0"/>
        <v>276054200</v>
      </c>
    </row>
    <row r="32" spans="1:6" x14ac:dyDescent="0.25">
      <c r="A32" s="262">
        <v>23</v>
      </c>
      <c r="B32" s="261">
        <v>44017</v>
      </c>
      <c r="C32" s="260" t="s">
        <v>202</v>
      </c>
      <c r="D32" s="259"/>
      <c r="E32" s="259">
        <v>150000000</v>
      </c>
      <c r="F32" s="259">
        <f t="shared" si="0"/>
        <v>126054200</v>
      </c>
    </row>
    <row r="33" spans="1:9" x14ac:dyDescent="0.25">
      <c r="A33" s="262">
        <v>24</v>
      </c>
      <c r="B33" s="261">
        <v>43895</v>
      </c>
      <c r="C33" s="260" t="s">
        <v>202</v>
      </c>
      <c r="D33" s="259"/>
      <c r="E33" s="259">
        <v>50000000</v>
      </c>
      <c r="F33" s="259">
        <f t="shared" si="0"/>
        <v>76054200</v>
      </c>
    </row>
    <row r="34" spans="1:9" x14ac:dyDescent="0.25">
      <c r="A34" s="262">
        <v>25</v>
      </c>
      <c r="B34" s="262" t="s">
        <v>503</v>
      </c>
      <c r="C34" s="260" t="s">
        <v>502</v>
      </c>
      <c r="D34" s="259">
        <v>9420000</v>
      </c>
      <c r="E34" s="259"/>
      <c r="F34" s="259">
        <f t="shared" si="0"/>
        <v>85474200</v>
      </c>
    </row>
    <row r="35" spans="1:9" x14ac:dyDescent="0.25">
      <c r="A35" s="262">
        <v>26</v>
      </c>
      <c r="B35" s="262" t="s">
        <v>521</v>
      </c>
      <c r="C35" s="260" t="s">
        <v>522</v>
      </c>
      <c r="D35" s="259">
        <v>25067450</v>
      </c>
      <c r="E35" s="259"/>
      <c r="F35" s="259">
        <f t="shared" si="0"/>
        <v>110541650</v>
      </c>
    </row>
    <row r="36" spans="1:9" x14ac:dyDescent="0.25">
      <c r="A36" s="262">
        <v>27</v>
      </c>
      <c r="B36" s="262" t="s">
        <v>527</v>
      </c>
      <c r="C36" s="260" t="s">
        <v>202</v>
      </c>
      <c r="D36" s="259"/>
      <c r="E36" s="259">
        <v>85474200</v>
      </c>
      <c r="F36" s="259">
        <f t="shared" si="0"/>
        <v>25067450</v>
      </c>
    </row>
    <row r="37" spans="1:9" x14ac:dyDescent="0.25">
      <c r="A37" s="262">
        <v>28</v>
      </c>
      <c r="B37" s="262" t="s">
        <v>530</v>
      </c>
      <c r="C37" s="260" t="s">
        <v>529</v>
      </c>
      <c r="D37" s="259">
        <v>90184000</v>
      </c>
      <c r="E37" s="259"/>
      <c r="F37" s="259">
        <f t="shared" si="0"/>
        <v>115251450</v>
      </c>
    </row>
    <row r="38" spans="1:9" x14ac:dyDescent="0.25">
      <c r="A38" s="262">
        <v>29</v>
      </c>
      <c r="B38" s="262" t="s">
        <v>531</v>
      </c>
      <c r="C38" s="260" t="s">
        <v>593</v>
      </c>
      <c r="D38" s="259">
        <v>6993000</v>
      </c>
      <c r="E38" s="259"/>
      <c r="F38" s="259">
        <f t="shared" si="0"/>
        <v>122244450</v>
      </c>
    </row>
    <row r="39" spans="1:9" x14ac:dyDescent="0.25">
      <c r="A39" s="262">
        <v>30</v>
      </c>
      <c r="B39" s="262" t="s">
        <v>537</v>
      </c>
      <c r="C39" s="260" t="s">
        <v>202</v>
      </c>
      <c r="D39" s="259"/>
      <c r="E39" s="259">
        <v>100000000</v>
      </c>
      <c r="F39" s="259">
        <f t="shared" si="0"/>
        <v>22244450</v>
      </c>
      <c r="I39" s="242"/>
    </row>
    <row r="40" spans="1:9" x14ac:dyDescent="0.25">
      <c r="A40" s="262">
        <v>31</v>
      </c>
      <c r="B40" s="261">
        <v>44019</v>
      </c>
      <c r="C40" s="260" t="s">
        <v>550</v>
      </c>
      <c r="D40" s="259">
        <v>97148000</v>
      </c>
      <c r="E40" s="259"/>
      <c r="F40" s="259">
        <f t="shared" si="0"/>
        <v>119392450</v>
      </c>
      <c r="I40" s="242"/>
    </row>
    <row r="41" spans="1:9" x14ac:dyDescent="0.25">
      <c r="A41" s="262">
        <v>32</v>
      </c>
      <c r="B41" s="261">
        <v>44020</v>
      </c>
      <c r="C41" s="260" t="s">
        <v>202</v>
      </c>
      <c r="D41" s="259"/>
      <c r="E41" s="259">
        <v>117000000</v>
      </c>
      <c r="F41" s="259">
        <f t="shared" si="0"/>
        <v>2392450</v>
      </c>
    </row>
    <row r="42" spans="1:9" x14ac:dyDescent="0.25">
      <c r="A42" s="262">
        <v>33</v>
      </c>
      <c r="B42" s="261">
        <v>44040</v>
      </c>
      <c r="C42" s="260" t="s">
        <v>564</v>
      </c>
      <c r="D42" s="259">
        <v>54016000</v>
      </c>
      <c r="E42" s="259"/>
      <c r="F42" s="259">
        <f t="shared" si="0"/>
        <v>56408450</v>
      </c>
    </row>
    <row r="43" spans="1:9" x14ac:dyDescent="0.25">
      <c r="A43" s="262">
        <v>34</v>
      </c>
      <c r="B43" s="261">
        <v>44047</v>
      </c>
      <c r="C43" s="260" t="s">
        <v>589</v>
      </c>
      <c r="D43" s="259">
        <v>155034000</v>
      </c>
      <c r="E43" s="259"/>
      <c r="F43" s="259">
        <f t="shared" si="0"/>
        <v>211442450</v>
      </c>
    </row>
    <row r="44" spans="1:9" x14ac:dyDescent="0.25">
      <c r="A44" s="262">
        <v>35</v>
      </c>
      <c r="B44" s="261">
        <v>44053</v>
      </c>
      <c r="C44" s="260" t="s">
        <v>590</v>
      </c>
      <c r="D44" s="259">
        <v>18621850</v>
      </c>
      <c r="E44" s="259"/>
      <c r="F44" s="259">
        <f t="shared" si="0"/>
        <v>230064300</v>
      </c>
    </row>
    <row r="45" spans="1:9" x14ac:dyDescent="0.25">
      <c r="A45" s="262">
        <v>36</v>
      </c>
      <c r="B45" s="261">
        <v>44064</v>
      </c>
      <c r="C45" s="260" t="s">
        <v>202</v>
      </c>
      <c r="D45" s="259"/>
      <c r="E45" s="259">
        <v>50000000</v>
      </c>
      <c r="F45" s="259">
        <f t="shared" si="0"/>
        <v>180064300</v>
      </c>
    </row>
    <row r="46" spans="1:9" x14ac:dyDescent="0.25">
      <c r="A46" s="262">
        <v>37</v>
      </c>
      <c r="B46" s="261">
        <v>44067</v>
      </c>
      <c r="C46" s="260" t="s">
        <v>592</v>
      </c>
      <c r="D46" s="259">
        <v>6981000</v>
      </c>
      <c r="E46" s="259"/>
      <c r="F46" s="259">
        <f t="shared" si="0"/>
        <v>187045300</v>
      </c>
    </row>
    <row r="47" spans="1:9" x14ac:dyDescent="0.25">
      <c r="A47" s="262">
        <v>38</v>
      </c>
      <c r="B47" s="261">
        <v>44069</v>
      </c>
      <c r="C47" s="260" t="s">
        <v>591</v>
      </c>
      <c r="D47" s="259">
        <v>104076000</v>
      </c>
      <c r="E47" s="259"/>
      <c r="F47" s="259">
        <f t="shared" si="0"/>
        <v>291121300</v>
      </c>
    </row>
    <row r="48" spans="1:9" x14ac:dyDescent="0.25">
      <c r="A48" s="262">
        <v>39</v>
      </c>
      <c r="B48" s="261">
        <v>44070</v>
      </c>
      <c r="C48" s="260" t="s">
        <v>202</v>
      </c>
      <c r="D48" s="259"/>
      <c r="E48" s="259">
        <v>291121300</v>
      </c>
      <c r="F48" s="259">
        <f t="shared" si="0"/>
        <v>0</v>
      </c>
    </row>
    <row r="49" spans="1:6" x14ac:dyDescent="0.25">
      <c r="A49" s="262">
        <v>40</v>
      </c>
      <c r="B49" s="261">
        <v>44117</v>
      </c>
      <c r="C49" s="260" t="s">
        <v>639</v>
      </c>
      <c r="D49" s="259">
        <v>18973550</v>
      </c>
      <c r="E49" s="259"/>
      <c r="F49" s="259">
        <f t="shared" si="0"/>
        <v>18973550</v>
      </c>
    </row>
    <row r="50" spans="1:6" x14ac:dyDescent="0.25">
      <c r="A50" s="262">
        <v>41</v>
      </c>
      <c r="B50" s="261">
        <v>44126</v>
      </c>
      <c r="C50" s="260" t="s">
        <v>647</v>
      </c>
      <c r="D50" s="259">
        <v>115711000</v>
      </c>
      <c r="E50" s="259"/>
      <c r="F50" s="259">
        <f>F49+D50-E50</f>
        <v>134684550</v>
      </c>
    </row>
    <row r="51" spans="1:6" x14ac:dyDescent="0.25">
      <c r="A51" s="262">
        <v>42</v>
      </c>
      <c r="B51" s="261">
        <v>44138</v>
      </c>
      <c r="C51" s="260" t="s">
        <v>202</v>
      </c>
      <c r="D51" s="259"/>
      <c r="E51" s="259">
        <v>134684550</v>
      </c>
      <c r="F51" s="259">
        <f t="shared" ref="F51:F114" si="1">F50+D51-E51</f>
        <v>0</v>
      </c>
    </row>
    <row r="52" spans="1:6" x14ac:dyDescent="0.25">
      <c r="A52" s="262">
        <v>43</v>
      </c>
      <c r="B52" s="261">
        <v>44210</v>
      </c>
      <c r="C52" s="260" t="s">
        <v>711</v>
      </c>
      <c r="D52" s="259">
        <v>262587680</v>
      </c>
      <c r="E52" s="259"/>
      <c r="F52" s="259">
        <f t="shared" si="1"/>
        <v>262587680</v>
      </c>
    </row>
    <row r="53" spans="1:6" x14ac:dyDescent="0.25">
      <c r="A53" s="262">
        <v>44</v>
      </c>
      <c r="B53" s="261">
        <v>44217</v>
      </c>
      <c r="C53" s="260" t="s">
        <v>202</v>
      </c>
      <c r="D53" s="259"/>
      <c r="E53" s="259">
        <v>200000000</v>
      </c>
      <c r="F53" s="259">
        <f t="shared" si="1"/>
        <v>62587680</v>
      </c>
    </row>
    <row r="54" spans="1:6" x14ac:dyDescent="0.25">
      <c r="A54" s="262">
        <v>45</v>
      </c>
      <c r="B54" s="261">
        <v>44218</v>
      </c>
      <c r="C54" s="260" t="s">
        <v>730</v>
      </c>
      <c r="D54" s="259">
        <v>441734840</v>
      </c>
      <c r="E54" s="259"/>
      <c r="F54" s="259">
        <f t="shared" si="1"/>
        <v>504322520</v>
      </c>
    </row>
    <row r="55" spans="1:6" x14ac:dyDescent="0.25">
      <c r="A55" s="262">
        <v>46</v>
      </c>
      <c r="B55" s="261">
        <v>44229</v>
      </c>
      <c r="C55" s="260" t="s">
        <v>202</v>
      </c>
      <c r="D55" s="259"/>
      <c r="E55" s="259">
        <v>350000000</v>
      </c>
      <c r="F55" s="259">
        <f t="shared" si="1"/>
        <v>154322520</v>
      </c>
    </row>
    <row r="56" spans="1:6" x14ac:dyDescent="0.25">
      <c r="A56" s="262">
        <v>47</v>
      </c>
      <c r="B56" s="261">
        <v>44305</v>
      </c>
      <c r="C56" s="260" t="s">
        <v>202</v>
      </c>
      <c r="D56" s="259"/>
      <c r="E56" s="259">
        <v>154322520</v>
      </c>
      <c r="F56" s="259">
        <f t="shared" si="1"/>
        <v>0</v>
      </c>
    </row>
    <row r="57" spans="1:6" x14ac:dyDescent="0.25">
      <c r="A57" s="262">
        <v>48</v>
      </c>
      <c r="B57" s="261">
        <v>44305</v>
      </c>
      <c r="C57" s="260" t="s">
        <v>779</v>
      </c>
      <c r="D57" s="259">
        <v>72300900</v>
      </c>
      <c r="E57" s="259"/>
      <c r="F57" s="259">
        <f t="shared" si="1"/>
        <v>72300900</v>
      </c>
    </row>
    <row r="58" spans="1:6" x14ac:dyDescent="0.25">
      <c r="A58" s="262">
        <v>49</v>
      </c>
      <c r="B58" s="261">
        <v>44305</v>
      </c>
      <c r="C58" s="260" t="s">
        <v>780</v>
      </c>
      <c r="D58" s="259">
        <v>25870450</v>
      </c>
      <c r="E58" s="259"/>
      <c r="F58" s="259">
        <f t="shared" si="1"/>
        <v>98171350</v>
      </c>
    </row>
    <row r="59" spans="1:6" x14ac:dyDescent="0.25">
      <c r="A59" s="262">
        <v>50</v>
      </c>
      <c r="B59" s="261">
        <v>44334</v>
      </c>
      <c r="C59" s="260" t="s">
        <v>202</v>
      </c>
      <c r="D59" s="259"/>
      <c r="E59" s="259">
        <v>70000000</v>
      </c>
      <c r="F59" s="259">
        <f t="shared" si="1"/>
        <v>28171350</v>
      </c>
    </row>
    <row r="60" spans="1:6" x14ac:dyDescent="0.25">
      <c r="A60" s="262">
        <v>51</v>
      </c>
      <c r="B60" s="261">
        <v>44342</v>
      </c>
      <c r="C60" s="260" t="s">
        <v>202</v>
      </c>
      <c r="D60" s="259"/>
      <c r="E60" s="259">
        <v>28171350</v>
      </c>
      <c r="F60" s="259">
        <f t="shared" si="1"/>
        <v>0</v>
      </c>
    </row>
    <row r="61" spans="1:6" x14ac:dyDescent="0.25">
      <c r="A61" s="262">
        <v>52</v>
      </c>
      <c r="B61" s="261">
        <v>44343</v>
      </c>
      <c r="C61" s="260" t="s">
        <v>830</v>
      </c>
      <c r="D61" s="259">
        <v>210220000</v>
      </c>
      <c r="E61" s="259"/>
      <c r="F61" s="259">
        <f t="shared" si="1"/>
        <v>210220000</v>
      </c>
    </row>
    <row r="62" spans="1:6" x14ac:dyDescent="0.25">
      <c r="A62" s="262">
        <v>53</v>
      </c>
      <c r="B62" s="261">
        <v>44350</v>
      </c>
      <c r="C62" s="260" t="s">
        <v>202</v>
      </c>
      <c r="D62" s="259"/>
      <c r="E62" s="259">
        <v>100000000</v>
      </c>
      <c r="F62" s="259">
        <f t="shared" si="1"/>
        <v>110220000</v>
      </c>
    </row>
    <row r="63" spans="1:6" x14ac:dyDescent="0.25">
      <c r="A63" s="262">
        <v>54</v>
      </c>
      <c r="B63" s="261">
        <v>44361</v>
      </c>
      <c r="C63" s="260" t="s">
        <v>202</v>
      </c>
      <c r="D63" s="259"/>
      <c r="E63" s="259">
        <v>100000000</v>
      </c>
      <c r="F63" s="259">
        <f t="shared" si="1"/>
        <v>10220000</v>
      </c>
    </row>
    <row r="64" spans="1:6" x14ac:dyDescent="0.25">
      <c r="A64" s="262">
        <v>55</v>
      </c>
      <c r="B64" s="261">
        <v>44361</v>
      </c>
      <c r="C64" s="260" t="s">
        <v>849</v>
      </c>
      <c r="D64" s="259">
        <v>64289900</v>
      </c>
      <c r="E64" s="259"/>
      <c r="F64" s="259">
        <f t="shared" si="1"/>
        <v>74509900</v>
      </c>
    </row>
    <row r="65" spans="1:6" x14ac:dyDescent="0.25">
      <c r="A65" s="262">
        <v>56</v>
      </c>
      <c r="B65" s="261">
        <v>44391</v>
      </c>
      <c r="C65" s="260" t="s">
        <v>202</v>
      </c>
      <c r="D65" s="259"/>
      <c r="E65" s="259">
        <v>40000000</v>
      </c>
      <c r="F65" s="259">
        <f t="shared" si="1"/>
        <v>34509900</v>
      </c>
    </row>
    <row r="66" spans="1:6" x14ac:dyDescent="0.25">
      <c r="A66" s="262">
        <v>57</v>
      </c>
      <c r="B66" s="261">
        <v>44405</v>
      </c>
      <c r="C66" s="260" t="s">
        <v>202</v>
      </c>
      <c r="D66" s="259"/>
      <c r="E66" s="259">
        <v>34509900</v>
      </c>
      <c r="F66" s="259">
        <f t="shared" si="1"/>
        <v>0</v>
      </c>
    </row>
    <row r="67" spans="1:6" x14ac:dyDescent="0.25">
      <c r="A67" s="262">
        <v>58</v>
      </c>
      <c r="B67" s="261">
        <v>44446</v>
      </c>
      <c r="C67" s="260" t="s">
        <v>934</v>
      </c>
      <c r="D67" s="259">
        <v>26366950</v>
      </c>
      <c r="E67" s="259"/>
      <c r="F67" s="259">
        <f t="shared" si="1"/>
        <v>26366950</v>
      </c>
    </row>
    <row r="68" spans="1:6" x14ac:dyDescent="0.25">
      <c r="A68" s="262">
        <v>59</v>
      </c>
      <c r="B68" s="261">
        <v>44461</v>
      </c>
      <c r="C68" s="260" t="s">
        <v>937</v>
      </c>
      <c r="D68" s="259">
        <v>32506950</v>
      </c>
      <c r="E68" s="259"/>
      <c r="F68" s="259">
        <f t="shared" si="1"/>
        <v>58873900</v>
      </c>
    </row>
    <row r="69" spans="1:6" x14ac:dyDescent="0.25">
      <c r="A69" s="262">
        <v>60</v>
      </c>
      <c r="B69" s="261">
        <v>44495</v>
      </c>
      <c r="C69" s="260" t="s">
        <v>202</v>
      </c>
      <c r="D69" s="259"/>
      <c r="E69" s="259">
        <v>58873900</v>
      </c>
      <c r="F69" s="259">
        <f t="shared" si="1"/>
        <v>0</v>
      </c>
    </row>
    <row r="70" spans="1:6" x14ac:dyDescent="0.25">
      <c r="A70" s="262">
        <v>61</v>
      </c>
      <c r="B70" s="261">
        <v>44495</v>
      </c>
      <c r="C70" s="260" t="s">
        <v>987</v>
      </c>
      <c r="D70" s="259">
        <v>411630800</v>
      </c>
      <c r="E70" s="259"/>
      <c r="F70" s="259">
        <f t="shared" si="1"/>
        <v>411630800</v>
      </c>
    </row>
    <row r="71" spans="1:6" x14ac:dyDescent="0.25">
      <c r="A71" s="262">
        <v>62</v>
      </c>
      <c r="B71" s="261">
        <v>44512</v>
      </c>
      <c r="C71" s="260" t="s">
        <v>202</v>
      </c>
      <c r="D71" s="259"/>
      <c r="E71" s="259">
        <v>411630800</v>
      </c>
      <c r="F71" s="259">
        <f t="shared" si="1"/>
        <v>0</v>
      </c>
    </row>
    <row r="72" spans="1:6" x14ac:dyDescent="0.25">
      <c r="A72" s="262">
        <v>63</v>
      </c>
      <c r="B72" s="261">
        <v>44543</v>
      </c>
      <c r="C72" s="260" t="s">
        <v>1017</v>
      </c>
      <c r="D72" s="259">
        <v>384064800</v>
      </c>
      <c r="E72" s="259"/>
      <c r="F72" s="259">
        <f t="shared" si="1"/>
        <v>384064800</v>
      </c>
    </row>
    <row r="73" spans="1:6" x14ac:dyDescent="0.25">
      <c r="A73" s="262">
        <v>64</v>
      </c>
      <c r="B73" s="261">
        <v>44554</v>
      </c>
      <c r="C73" s="260" t="s">
        <v>202</v>
      </c>
      <c r="D73" s="259"/>
      <c r="E73" s="259">
        <v>150000000</v>
      </c>
      <c r="F73" s="259">
        <f t="shared" si="1"/>
        <v>234064800</v>
      </c>
    </row>
    <row r="74" spans="1:6" x14ac:dyDescent="0.25">
      <c r="A74" s="262">
        <v>65</v>
      </c>
      <c r="B74" s="261">
        <v>44568</v>
      </c>
      <c r="C74" s="260" t="s">
        <v>202</v>
      </c>
      <c r="D74" s="259"/>
      <c r="E74" s="259">
        <v>234064800</v>
      </c>
      <c r="F74" s="259">
        <f t="shared" si="1"/>
        <v>0</v>
      </c>
    </row>
    <row r="75" spans="1:6" x14ac:dyDescent="0.25">
      <c r="A75" s="262">
        <v>66</v>
      </c>
      <c r="B75" s="261">
        <v>44646</v>
      </c>
      <c r="C75" s="260" t="s">
        <v>1092</v>
      </c>
      <c r="D75" s="287">
        <v>26959828</v>
      </c>
      <c r="E75" s="259"/>
      <c r="F75" s="259">
        <f t="shared" si="1"/>
        <v>26959828</v>
      </c>
    </row>
    <row r="76" spans="1:6" x14ac:dyDescent="0.25">
      <c r="A76" s="262">
        <v>67</v>
      </c>
      <c r="B76" s="261">
        <v>44673</v>
      </c>
      <c r="C76" s="260" t="s">
        <v>202</v>
      </c>
      <c r="D76" s="259"/>
      <c r="E76" s="259">
        <v>26959828</v>
      </c>
      <c r="F76" s="259">
        <f t="shared" si="1"/>
        <v>0</v>
      </c>
    </row>
    <row r="77" spans="1:6" x14ac:dyDescent="0.25">
      <c r="A77" s="262">
        <v>68</v>
      </c>
      <c r="B77" s="261">
        <v>44690</v>
      </c>
      <c r="C77" s="260" t="s">
        <v>1124</v>
      </c>
      <c r="D77" s="287">
        <v>33878000</v>
      </c>
      <c r="E77" s="259"/>
      <c r="F77" s="259">
        <f t="shared" si="1"/>
        <v>33878000</v>
      </c>
    </row>
    <row r="78" spans="1:6" x14ac:dyDescent="0.25">
      <c r="A78" s="262">
        <v>69</v>
      </c>
      <c r="B78" s="261">
        <v>44729</v>
      </c>
      <c r="C78" s="260" t="s">
        <v>202</v>
      </c>
      <c r="D78" s="259"/>
      <c r="E78" s="259">
        <v>33878000</v>
      </c>
      <c r="F78" s="259">
        <f t="shared" si="1"/>
        <v>0</v>
      </c>
    </row>
    <row r="79" spans="1:6" x14ac:dyDescent="0.25">
      <c r="A79" s="262">
        <v>70</v>
      </c>
      <c r="B79" s="261">
        <v>44729</v>
      </c>
      <c r="C79" s="260" t="s">
        <v>1144</v>
      </c>
      <c r="D79" s="287">
        <v>22850000</v>
      </c>
      <c r="E79" s="259"/>
      <c r="F79" s="259">
        <f t="shared" si="1"/>
        <v>22850000</v>
      </c>
    </row>
    <row r="80" spans="1:6" x14ac:dyDescent="0.25">
      <c r="A80" s="262">
        <v>71</v>
      </c>
      <c r="B80" s="261">
        <v>44757</v>
      </c>
      <c r="C80" s="260" t="s">
        <v>202</v>
      </c>
      <c r="D80" s="259"/>
      <c r="E80" s="259">
        <v>22850000</v>
      </c>
      <c r="F80" s="259">
        <f t="shared" si="1"/>
        <v>0</v>
      </c>
    </row>
    <row r="81" spans="1:6" x14ac:dyDescent="0.25">
      <c r="A81" s="262">
        <v>72</v>
      </c>
      <c r="B81" s="261">
        <v>44775</v>
      </c>
      <c r="C81" s="260" t="s">
        <v>1191</v>
      </c>
      <c r="D81" s="287">
        <f>40958000</f>
        <v>40958000</v>
      </c>
      <c r="E81" s="259"/>
      <c r="F81" s="259">
        <f t="shared" si="1"/>
        <v>40958000</v>
      </c>
    </row>
    <row r="82" spans="1:6" x14ac:dyDescent="0.25">
      <c r="A82" s="262">
        <v>73</v>
      </c>
      <c r="B82" s="261">
        <v>44791</v>
      </c>
      <c r="C82" s="260" t="s">
        <v>1206</v>
      </c>
      <c r="D82" s="287">
        <v>20050000</v>
      </c>
      <c r="E82" s="259"/>
      <c r="F82" s="259">
        <f t="shared" si="1"/>
        <v>61008000</v>
      </c>
    </row>
    <row r="83" spans="1:6" x14ac:dyDescent="0.25">
      <c r="A83" s="262">
        <v>74</v>
      </c>
      <c r="B83" s="261">
        <v>44804</v>
      </c>
      <c r="C83" s="260" t="s">
        <v>202</v>
      </c>
      <c r="D83" s="259"/>
      <c r="E83" s="259">
        <v>40958000</v>
      </c>
      <c r="F83" s="259">
        <f t="shared" si="1"/>
        <v>20050000</v>
      </c>
    </row>
    <row r="84" spans="1:6" x14ac:dyDescent="0.25">
      <c r="A84" s="262">
        <v>75</v>
      </c>
      <c r="B84" s="261">
        <v>44819</v>
      </c>
      <c r="C84" s="260" t="s">
        <v>202</v>
      </c>
      <c r="D84" s="259"/>
      <c r="E84" s="259">
        <v>20050000</v>
      </c>
      <c r="F84" s="259">
        <f t="shared" si="1"/>
        <v>0</v>
      </c>
    </row>
    <row r="85" spans="1:6" x14ac:dyDescent="0.25">
      <c r="A85" s="262">
        <v>76</v>
      </c>
      <c r="B85" s="261">
        <v>44838</v>
      </c>
      <c r="C85" s="260" t="s">
        <v>1253</v>
      </c>
      <c r="D85" s="287">
        <v>82053000</v>
      </c>
      <c r="E85" s="259"/>
      <c r="F85" s="259">
        <f t="shared" si="1"/>
        <v>82053000</v>
      </c>
    </row>
    <row r="86" spans="1:6" x14ac:dyDescent="0.25">
      <c r="A86" s="262">
        <v>77</v>
      </c>
      <c r="B86" s="261">
        <v>44844</v>
      </c>
      <c r="C86" s="260" t="s">
        <v>1254</v>
      </c>
      <c r="D86" s="259">
        <v>90229318</v>
      </c>
      <c r="E86" s="259"/>
      <c r="F86" s="259">
        <f t="shared" si="1"/>
        <v>172282318</v>
      </c>
    </row>
    <row r="87" spans="1:6" x14ac:dyDescent="0.25">
      <c r="A87" s="262">
        <v>78</v>
      </c>
      <c r="B87" s="261">
        <v>44866</v>
      </c>
      <c r="C87" s="260" t="s">
        <v>1274</v>
      </c>
      <c r="D87" s="287">
        <v>19850000</v>
      </c>
      <c r="E87" s="259"/>
      <c r="F87" s="259">
        <f t="shared" si="1"/>
        <v>192132318</v>
      </c>
    </row>
    <row r="88" spans="1:6" x14ac:dyDescent="0.25">
      <c r="A88" s="262">
        <v>79</v>
      </c>
      <c r="B88" s="261">
        <v>44869</v>
      </c>
      <c r="C88" s="260" t="s">
        <v>202</v>
      </c>
      <c r="D88" s="259"/>
      <c r="E88" s="259">
        <v>172282318</v>
      </c>
      <c r="F88" s="259">
        <f t="shared" si="1"/>
        <v>19850000</v>
      </c>
    </row>
    <row r="89" spans="1:6" x14ac:dyDescent="0.25">
      <c r="A89" s="262">
        <v>80</v>
      </c>
      <c r="B89" s="261">
        <v>44886</v>
      </c>
      <c r="C89" s="260" t="s">
        <v>1289</v>
      </c>
      <c r="D89" s="259">
        <v>33690200</v>
      </c>
      <c r="E89" s="259"/>
      <c r="F89" s="259">
        <f t="shared" si="1"/>
        <v>53540200</v>
      </c>
    </row>
    <row r="90" spans="1:6" x14ac:dyDescent="0.25">
      <c r="A90" s="262">
        <v>81</v>
      </c>
      <c r="B90" s="261">
        <v>44895</v>
      </c>
      <c r="C90" s="260" t="s">
        <v>202</v>
      </c>
      <c r="D90" s="259"/>
      <c r="E90" s="259">
        <v>19850000</v>
      </c>
      <c r="F90" s="259">
        <f t="shared" si="1"/>
        <v>33690200</v>
      </c>
    </row>
    <row r="91" spans="1:6" x14ac:dyDescent="0.25">
      <c r="A91" s="262">
        <v>82</v>
      </c>
      <c r="B91" s="261">
        <v>44886</v>
      </c>
      <c r="C91" s="260" t="s">
        <v>1328</v>
      </c>
      <c r="D91" s="259">
        <v>29147350</v>
      </c>
      <c r="E91" s="259"/>
      <c r="F91" s="259">
        <f t="shared" si="1"/>
        <v>62837550</v>
      </c>
    </row>
    <row r="92" spans="1:6" x14ac:dyDescent="0.25">
      <c r="A92" s="262">
        <v>83</v>
      </c>
      <c r="B92" s="261">
        <v>44910</v>
      </c>
      <c r="C92" s="260" t="s">
        <v>202</v>
      </c>
      <c r="D92" s="259"/>
      <c r="E92" s="259">
        <v>62837550</v>
      </c>
      <c r="F92" s="259">
        <f t="shared" si="1"/>
        <v>0</v>
      </c>
    </row>
    <row r="93" spans="1:6" x14ac:dyDescent="0.25">
      <c r="A93" s="262">
        <v>84</v>
      </c>
      <c r="B93" s="261">
        <v>44925</v>
      </c>
      <c r="C93" s="260" t="s">
        <v>1341</v>
      </c>
      <c r="D93" s="259">
        <v>39093480</v>
      </c>
      <c r="E93" s="259"/>
      <c r="F93" s="259">
        <f t="shared" si="1"/>
        <v>39093480</v>
      </c>
    </row>
    <row r="94" spans="1:6" x14ac:dyDescent="0.25">
      <c r="A94" s="262">
        <v>85</v>
      </c>
      <c r="B94" s="261">
        <v>44939</v>
      </c>
      <c r="C94" s="260" t="s">
        <v>202</v>
      </c>
      <c r="D94" s="259"/>
      <c r="E94" s="259">
        <v>39093480</v>
      </c>
      <c r="F94" s="259">
        <f t="shared" si="1"/>
        <v>0</v>
      </c>
    </row>
    <row r="95" spans="1:6" x14ac:dyDescent="0.25">
      <c r="A95" s="262">
        <v>86</v>
      </c>
      <c r="B95" s="261">
        <v>44956</v>
      </c>
      <c r="C95" s="260" t="s">
        <v>1367</v>
      </c>
      <c r="D95" s="259">
        <v>53365000</v>
      </c>
      <c r="E95" s="259"/>
      <c r="F95" s="259">
        <f t="shared" si="1"/>
        <v>53365000</v>
      </c>
    </row>
    <row r="96" spans="1:6" x14ac:dyDescent="0.25">
      <c r="A96" s="262">
        <v>87</v>
      </c>
      <c r="B96" s="261">
        <v>44977</v>
      </c>
      <c r="C96" s="260" t="s">
        <v>202</v>
      </c>
      <c r="D96" s="259"/>
      <c r="E96" s="259">
        <v>53365000</v>
      </c>
      <c r="F96" s="259">
        <f t="shared" si="1"/>
        <v>0</v>
      </c>
    </row>
    <row r="97" spans="1:6" x14ac:dyDescent="0.25">
      <c r="A97" s="262">
        <v>88</v>
      </c>
      <c r="B97" s="261">
        <v>45040</v>
      </c>
      <c r="C97" s="260" t="s">
        <v>1432</v>
      </c>
      <c r="D97" s="259">
        <v>39021500</v>
      </c>
      <c r="E97" s="259"/>
      <c r="F97" s="259">
        <f t="shared" si="1"/>
        <v>39021500</v>
      </c>
    </row>
    <row r="98" spans="1:6" x14ac:dyDescent="0.25">
      <c r="A98" s="262">
        <v>89</v>
      </c>
      <c r="B98" s="261">
        <v>45062</v>
      </c>
      <c r="C98" s="260" t="s">
        <v>1499</v>
      </c>
      <c r="D98" s="259">
        <v>30579000</v>
      </c>
      <c r="E98" s="259"/>
      <c r="F98" s="259">
        <f t="shared" si="1"/>
        <v>69600500</v>
      </c>
    </row>
    <row r="99" spans="1:6" x14ac:dyDescent="0.25">
      <c r="A99" s="262">
        <v>90</v>
      </c>
      <c r="B99" s="261">
        <v>45072</v>
      </c>
      <c r="C99" s="260" t="s">
        <v>202</v>
      </c>
      <c r="D99" s="259"/>
      <c r="E99" s="259">
        <v>39021500</v>
      </c>
      <c r="F99" s="259">
        <f t="shared" si="1"/>
        <v>30579000</v>
      </c>
    </row>
    <row r="100" spans="1:6" x14ac:dyDescent="0.25">
      <c r="A100" s="262">
        <v>91</v>
      </c>
      <c r="B100" s="261">
        <v>45093</v>
      </c>
      <c r="C100" s="260" t="s">
        <v>202</v>
      </c>
      <c r="D100" s="259"/>
      <c r="E100" s="259">
        <v>30579000</v>
      </c>
      <c r="F100" s="259">
        <f t="shared" si="1"/>
        <v>0</v>
      </c>
    </row>
    <row r="101" spans="1:6" x14ac:dyDescent="0.25">
      <c r="A101" s="262">
        <v>92</v>
      </c>
      <c r="B101" s="261">
        <v>45097</v>
      </c>
      <c r="C101" s="260" t="s">
        <v>1512</v>
      </c>
      <c r="D101" s="259">
        <v>23894000</v>
      </c>
      <c r="E101" s="259"/>
      <c r="F101" s="259">
        <f t="shared" si="1"/>
        <v>23894000</v>
      </c>
    </row>
    <row r="102" spans="1:6" x14ac:dyDescent="0.25">
      <c r="A102" s="262">
        <v>93</v>
      </c>
      <c r="B102" s="261">
        <v>45106</v>
      </c>
      <c r="C102" s="260" t="s">
        <v>1500</v>
      </c>
      <c r="D102" s="259">
        <v>29646000</v>
      </c>
      <c r="E102" s="259"/>
      <c r="F102" s="259">
        <f t="shared" si="1"/>
        <v>53540000</v>
      </c>
    </row>
    <row r="103" spans="1:6" x14ac:dyDescent="0.25">
      <c r="A103" s="262">
        <v>94</v>
      </c>
      <c r="B103" s="261"/>
      <c r="C103" s="260" t="s">
        <v>1501</v>
      </c>
      <c r="D103" s="259">
        <v>55688000</v>
      </c>
      <c r="E103" s="259"/>
      <c r="F103" s="259">
        <f t="shared" si="1"/>
        <v>109228000</v>
      </c>
    </row>
    <row r="104" spans="1:6" x14ac:dyDescent="0.25">
      <c r="A104" s="262">
        <v>95</v>
      </c>
      <c r="B104" s="261"/>
      <c r="C104" s="260" t="s">
        <v>1502</v>
      </c>
      <c r="D104" s="259">
        <v>18400000</v>
      </c>
      <c r="E104" s="259"/>
      <c r="F104" s="259">
        <f t="shared" si="1"/>
        <v>127628000</v>
      </c>
    </row>
    <row r="105" spans="1:6" x14ac:dyDescent="0.25">
      <c r="A105" s="262">
        <v>96</v>
      </c>
      <c r="B105" s="261">
        <v>45111</v>
      </c>
      <c r="C105" s="260" t="s">
        <v>1525</v>
      </c>
      <c r="D105" s="259">
        <v>23633000</v>
      </c>
      <c r="E105" s="259"/>
      <c r="F105" s="259">
        <f t="shared" si="1"/>
        <v>151261000</v>
      </c>
    </row>
    <row r="106" spans="1:6" x14ac:dyDescent="0.25">
      <c r="A106" s="262">
        <v>97</v>
      </c>
      <c r="B106" s="261">
        <v>45119</v>
      </c>
      <c r="C106" s="260" t="s">
        <v>1531</v>
      </c>
      <c r="D106" s="259">
        <v>29299896</v>
      </c>
      <c r="E106" s="259"/>
      <c r="F106" s="259">
        <f t="shared" si="1"/>
        <v>180560896</v>
      </c>
    </row>
    <row r="107" spans="1:6" x14ac:dyDescent="0.25">
      <c r="A107" s="262">
        <v>98</v>
      </c>
      <c r="B107" s="261"/>
      <c r="C107" s="260" t="s">
        <v>1532</v>
      </c>
      <c r="D107" s="259">
        <v>23560800</v>
      </c>
      <c r="E107" s="259"/>
      <c r="F107" s="259">
        <f t="shared" si="1"/>
        <v>204121696</v>
      </c>
    </row>
    <row r="108" spans="1:6" x14ac:dyDescent="0.25">
      <c r="A108" s="262">
        <v>99</v>
      </c>
      <c r="B108" s="261">
        <v>45128</v>
      </c>
      <c r="C108" s="260" t="s">
        <v>202</v>
      </c>
      <c r="D108" s="259"/>
      <c r="E108" s="259">
        <v>127628000</v>
      </c>
      <c r="F108" s="259">
        <f t="shared" si="1"/>
        <v>76493696</v>
      </c>
    </row>
    <row r="109" spans="1:6" x14ac:dyDescent="0.25">
      <c r="A109" s="262">
        <v>100</v>
      </c>
      <c r="B109" s="261">
        <v>45139</v>
      </c>
      <c r="C109" s="260" t="s">
        <v>1556</v>
      </c>
      <c r="D109" s="259">
        <v>23880800</v>
      </c>
      <c r="E109" s="259"/>
      <c r="F109" s="259">
        <f t="shared" si="1"/>
        <v>100374496</v>
      </c>
    </row>
    <row r="110" spans="1:6" x14ac:dyDescent="0.25">
      <c r="A110" s="262">
        <v>101</v>
      </c>
      <c r="B110" s="261"/>
      <c r="C110" s="260" t="s">
        <v>1557</v>
      </c>
      <c r="D110" s="259">
        <v>18150000</v>
      </c>
      <c r="E110" s="259"/>
      <c r="F110" s="259">
        <f t="shared" si="1"/>
        <v>118524496</v>
      </c>
    </row>
    <row r="111" spans="1:6" x14ac:dyDescent="0.25">
      <c r="A111" s="262">
        <v>102</v>
      </c>
      <c r="B111" s="261">
        <v>45155</v>
      </c>
      <c r="C111" s="260" t="s">
        <v>202</v>
      </c>
      <c r="D111" s="259"/>
      <c r="E111" s="259">
        <v>76493696</v>
      </c>
      <c r="F111" s="259">
        <f t="shared" si="1"/>
        <v>42030800</v>
      </c>
    </row>
    <row r="112" spans="1:6" x14ac:dyDescent="0.25">
      <c r="A112" s="262">
        <v>103</v>
      </c>
      <c r="B112" s="261">
        <v>45166</v>
      </c>
      <c r="C112" s="260" t="s">
        <v>1574</v>
      </c>
      <c r="D112" s="259">
        <v>60964400</v>
      </c>
      <c r="E112" s="259"/>
      <c r="F112" s="259">
        <f t="shared" si="1"/>
        <v>102995200</v>
      </c>
    </row>
    <row r="113" spans="1:6" x14ac:dyDescent="0.25">
      <c r="A113" s="262">
        <v>104</v>
      </c>
      <c r="B113" s="261"/>
      <c r="C113" s="260" t="s">
        <v>1576</v>
      </c>
      <c r="D113" s="259">
        <v>18650000</v>
      </c>
      <c r="E113" s="259"/>
      <c r="F113" s="259">
        <f t="shared" si="1"/>
        <v>121645200</v>
      </c>
    </row>
    <row r="114" spans="1:6" x14ac:dyDescent="0.25">
      <c r="A114" s="262">
        <v>105</v>
      </c>
      <c r="B114" s="261">
        <v>45176</v>
      </c>
      <c r="C114" s="260" t="s">
        <v>1577</v>
      </c>
      <c r="D114" s="259">
        <v>25021636</v>
      </c>
      <c r="E114" s="259"/>
      <c r="F114" s="259">
        <f t="shared" si="1"/>
        <v>146666836</v>
      </c>
    </row>
    <row r="115" spans="1:6" x14ac:dyDescent="0.25">
      <c r="A115" s="262">
        <v>106</v>
      </c>
      <c r="B115" s="261">
        <v>45182</v>
      </c>
      <c r="C115" s="260" t="s">
        <v>202</v>
      </c>
      <c r="D115" s="259"/>
      <c r="E115" s="259">
        <v>121645200</v>
      </c>
      <c r="F115" s="259">
        <f t="shared" ref="F115:F170" si="2">F114+D115-E115</f>
        <v>25021636</v>
      </c>
    </row>
    <row r="116" spans="1:6" x14ac:dyDescent="0.25">
      <c r="A116" s="262">
        <v>107</v>
      </c>
      <c r="B116" s="261">
        <v>45187</v>
      </c>
      <c r="C116" s="260" t="s">
        <v>1596</v>
      </c>
      <c r="D116" s="259">
        <v>29163900</v>
      </c>
      <c r="E116" s="259"/>
      <c r="F116" s="259">
        <f t="shared" si="2"/>
        <v>54185536</v>
      </c>
    </row>
    <row r="117" spans="1:6" x14ac:dyDescent="0.25">
      <c r="A117" s="262">
        <v>108</v>
      </c>
      <c r="B117" s="261">
        <v>45190</v>
      </c>
      <c r="C117" s="260" t="s">
        <v>1597</v>
      </c>
      <c r="D117" s="259">
        <v>18650000</v>
      </c>
      <c r="E117" s="259"/>
      <c r="F117" s="259">
        <f t="shared" si="2"/>
        <v>72835536</v>
      </c>
    </row>
    <row r="118" spans="1:6" x14ac:dyDescent="0.25">
      <c r="A118" s="262">
        <v>109</v>
      </c>
      <c r="B118" s="261">
        <v>45211</v>
      </c>
      <c r="C118" s="260" t="s">
        <v>1633</v>
      </c>
      <c r="D118" s="259">
        <v>26266200</v>
      </c>
      <c r="E118" s="259"/>
      <c r="F118" s="259">
        <f t="shared" si="2"/>
        <v>99101736</v>
      </c>
    </row>
    <row r="119" spans="1:6" x14ac:dyDescent="0.25">
      <c r="A119" s="262">
        <v>110</v>
      </c>
      <c r="B119" s="261">
        <v>45219</v>
      </c>
      <c r="C119" s="260" t="s">
        <v>1634</v>
      </c>
      <c r="D119" s="259">
        <v>21027000</v>
      </c>
      <c r="E119" s="259"/>
      <c r="F119" s="259">
        <f t="shared" si="2"/>
        <v>120128736</v>
      </c>
    </row>
    <row r="120" spans="1:6" x14ac:dyDescent="0.25">
      <c r="A120" s="262">
        <v>111</v>
      </c>
      <c r="B120" s="261">
        <v>45219</v>
      </c>
      <c r="C120" s="260" t="s">
        <v>1635</v>
      </c>
      <c r="D120" s="259">
        <v>29946000</v>
      </c>
      <c r="E120" s="259"/>
      <c r="F120" s="259">
        <f t="shared" si="2"/>
        <v>150074736</v>
      </c>
    </row>
    <row r="121" spans="1:6" x14ac:dyDescent="0.25">
      <c r="A121" s="262">
        <v>112</v>
      </c>
      <c r="B121" s="261">
        <v>45223</v>
      </c>
      <c r="C121" s="260" t="s">
        <v>202</v>
      </c>
      <c r="D121" s="259"/>
      <c r="E121" s="259">
        <v>72835536</v>
      </c>
      <c r="F121" s="259">
        <f t="shared" si="2"/>
        <v>77239200</v>
      </c>
    </row>
    <row r="122" spans="1:6" x14ac:dyDescent="0.25">
      <c r="A122" s="262">
        <v>113</v>
      </c>
      <c r="B122" s="261">
        <v>45223</v>
      </c>
      <c r="C122" s="260" t="s">
        <v>1640</v>
      </c>
      <c r="D122" s="259">
        <v>25727800</v>
      </c>
      <c r="E122" s="259"/>
      <c r="F122" s="259">
        <f t="shared" si="2"/>
        <v>102967000</v>
      </c>
    </row>
    <row r="123" spans="1:6" x14ac:dyDescent="0.25">
      <c r="A123" s="262">
        <v>114</v>
      </c>
      <c r="B123" s="261">
        <v>45223</v>
      </c>
      <c r="C123" s="260" t="s">
        <v>1641</v>
      </c>
      <c r="D123" s="259">
        <v>26243750</v>
      </c>
      <c r="E123" s="259"/>
      <c r="F123" s="259">
        <f t="shared" si="2"/>
        <v>129210750</v>
      </c>
    </row>
    <row r="124" spans="1:6" x14ac:dyDescent="0.25">
      <c r="A124" s="262">
        <v>115</v>
      </c>
      <c r="B124" s="261">
        <v>45230</v>
      </c>
      <c r="C124" s="260" t="s">
        <v>1642</v>
      </c>
      <c r="D124" s="259">
        <v>25826800</v>
      </c>
      <c r="E124" s="259"/>
      <c r="F124" s="259">
        <f t="shared" si="2"/>
        <v>155037550</v>
      </c>
    </row>
    <row r="125" spans="1:6" x14ac:dyDescent="0.25">
      <c r="A125" s="262">
        <v>116</v>
      </c>
      <c r="B125" s="261">
        <v>45237</v>
      </c>
      <c r="C125" s="260" t="s">
        <v>202</v>
      </c>
      <c r="D125" s="259"/>
      <c r="E125" s="259">
        <v>155037550</v>
      </c>
      <c r="F125" s="259">
        <f t="shared" si="2"/>
        <v>0</v>
      </c>
    </row>
    <row r="126" spans="1:6" x14ac:dyDescent="0.25">
      <c r="A126" s="262">
        <v>117</v>
      </c>
      <c r="B126" s="261">
        <v>45238</v>
      </c>
      <c r="C126" s="260" t="s">
        <v>1653</v>
      </c>
      <c r="D126" s="259">
        <v>25587500</v>
      </c>
      <c r="E126" s="259"/>
      <c r="F126" s="259">
        <f t="shared" si="2"/>
        <v>25587500</v>
      </c>
    </row>
    <row r="127" spans="1:6" x14ac:dyDescent="0.25">
      <c r="A127" s="262">
        <v>118</v>
      </c>
      <c r="B127" s="261">
        <v>45281</v>
      </c>
      <c r="C127" s="260" t="s">
        <v>202</v>
      </c>
      <c r="D127" s="259"/>
      <c r="E127" s="259">
        <v>25587500</v>
      </c>
      <c r="F127" s="259">
        <f t="shared" si="2"/>
        <v>0</v>
      </c>
    </row>
    <row r="128" spans="1:6" x14ac:dyDescent="0.25">
      <c r="A128" s="262">
        <v>119</v>
      </c>
      <c r="B128" s="261">
        <v>45287</v>
      </c>
      <c r="C128" s="260" t="s">
        <v>1677</v>
      </c>
      <c r="D128" s="259">
        <v>18030000</v>
      </c>
      <c r="E128" s="259"/>
      <c r="F128" s="259">
        <f t="shared" si="2"/>
        <v>18030000</v>
      </c>
    </row>
    <row r="129" spans="1:6" x14ac:dyDescent="0.25">
      <c r="A129" s="262">
        <v>120</v>
      </c>
      <c r="B129" s="261">
        <v>45296</v>
      </c>
      <c r="C129" s="260" t="s">
        <v>1685</v>
      </c>
      <c r="D129" s="259">
        <v>31788000</v>
      </c>
      <c r="E129" s="259"/>
      <c r="F129" s="259">
        <f t="shared" si="2"/>
        <v>49818000</v>
      </c>
    </row>
    <row r="130" spans="1:6" x14ac:dyDescent="0.25">
      <c r="A130" s="262">
        <v>121</v>
      </c>
      <c r="B130" s="261">
        <v>45296</v>
      </c>
      <c r="C130" s="260" t="s">
        <v>1686</v>
      </c>
      <c r="D130" s="259">
        <v>50573625</v>
      </c>
      <c r="E130" s="259"/>
      <c r="F130" s="259">
        <f t="shared" si="2"/>
        <v>100391625</v>
      </c>
    </row>
    <row r="131" spans="1:6" x14ac:dyDescent="0.25">
      <c r="A131" s="262">
        <v>122</v>
      </c>
      <c r="B131" s="261">
        <v>45306</v>
      </c>
      <c r="C131" s="260" t="s">
        <v>1697</v>
      </c>
      <c r="D131" s="287">
        <v>17814000</v>
      </c>
      <c r="E131" s="259"/>
      <c r="F131" s="259">
        <f t="shared" si="2"/>
        <v>118205625</v>
      </c>
    </row>
    <row r="132" spans="1:6" x14ac:dyDescent="0.25">
      <c r="A132" s="262">
        <v>123</v>
      </c>
      <c r="B132" s="261">
        <v>45307</v>
      </c>
      <c r="C132" s="260" t="s">
        <v>202</v>
      </c>
      <c r="D132" s="259"/>
      <c r="E132" s="259">
        <v>18030000</v>
      </c>
      <c r="F132" s="259">
        <f t="shared" si="2"/>
        <v>100175625</v>
      </c>
    </row>
    <row r="133" spans="1:6" x14ac:dyDescent="0.25">
      <c r="A133" s="262">
        <v>124</v>
      </c>
      <c r="B133" s="261">
        <v>45328</v>
      </c>
      <c r="C133" s="260" t="s">
        <v>202</v>
      </c>
      <c r="D133" s="259"/>
      <c r="E133" s="259">
        <v>100175625</v>
      </c>
      <c r="F133" s="259">
        <f t="shared" si="2"/>
        <v>0</v>
      </c>
    </row>
    <row r="134" spans="1:6" x14ac:dyDescent="0.25">
      <c r="A134" s="262">
        <v>125</v>
      </c>
      <c r="B134" s="261">
        <v>45349</v>
      </c>
      <c r="C134" s="260" t="s">
        <v>1719</v>
      </c>
      <c r="D134" s="287">
        <v>25996250</v>
      </c>
      <c r="E134" s="259"/>
      <c r="F134" s="259">
        <f t="shared" si="2"/>
        <v>25996250</v>
      </c>
    </row>
    <row r="135" spans="1:6" x14ac:dyDescent="0.25">
      <c r="A135" s="262">
        <v>126</v>
      </c>
      <c r="B135" s="261">
        <v>45371</v>
      </c>
      <c r="C135" s="260" t="s">
        <v>202</v>
      </c>
      <c r="D135" s="259"/>
      <c r="E135" s="259">
        <v>25996250</v>
      </c>
      <c r="F135" s="259">
        <f t="shared" si="2"/>
        <v>0</v>
      </c>
    </row>
    <row r="136" spans="1:6" x14ac:dyDescent="0.25">
      <c r="A136" s="262">
        <v>127</v>
      </c>
      <c r="B136" s="261">
        <v>45409</v>
      </c>
      <c r="C136" s="260" t="s">
        <v>1764</v>
      </c>
      <c r="D136" s="287">
        <v>21162700</v>
      </c>
      <c r="E136" s="259"/>
      <c r="F136" s="259">
        <f t="shared" si="2"/>
        <v>21162700</v>
      </c>
    </row>
    <row r="137" spans="1:6" x14ac:dyDescent="0.25">
      <c r="A137" s="262">
        <v>128</v>
      </c>
      <c r="B137" s="261">
        <v>45418</v>
      </c>
      <c r="C137" s="260" t="s">
        <v>1765</v>
      </c>
      <c r="D137" s="287">
        <v>24899680</v>
      </c>
      <c r="E137" s="259"/>
      <c r="F137" s="259">
        <f t="shared" si="2"/>
        <v>46062380</v>
      </c>
    </row>
    <row r="138" spans="1:6" x14ac:dyDescent="0.25">
      <c r="A138" s="262">
        <v>129</v>
      </c>
      <c r="B138" s="261">
        <v>45418</v>
      </c>
      <c r="C138" s="260" t="s">
        <v>1766</v>
      </c>
      <c r="D138" s="287">
        <v>31908680</v>
      </c>
      <c r="E138" s="259"/>
      <c r="F138" s="259">
        <f t="shared" si="2"/>
        <v>77971060</v>
      </c>
    </row>
    <row r="139" spans="1:6" x14ac:dyDescent="0.25">
      <c r="A139" s="262">
        <v>130</v>
      </c>
      <c r="B139" s="261">
        <v>45418</v>
      </c>
      <c r="C139" s="260" t="s">
        <v>1767</v>
      </c>
      <c r="D139" s="287">
        <v>24748480</v>
      </c>
      <c r="E139" s="259"/>
      <c r="F139" s="259">
        <f t="shared" si="2"/>
        <v>102719540</v>
      </c>
    </row>
    <row r="140" spans="1:6" x14ac:dyDescent="0.25">
      <c r="A140" s="262">
        <v>131</v>
      </c>
      <c r="B140" s="261">
        <v>45428</v>
      </c>
      <c r="C140" s="260" t="s">
        <v>1778</v>
      </c>
      <c r="D140" s="287">
        <v>17448800</v>
      </c>
      <c r="E140" s="259"/>
      <c r="F140" s="259">
        <f t="shared" si="2"/>
        <v>120168340</v>
      </c>
    </row>
    <row r="141" spans="1:6" x14ac:dyDescent="0.25">
      <c r="A141" s="262">
        <v>132</v>
      </c>
      <c r="B141" s="261">
        <v>45436</v>
      </c>
      <c r="C141" s="260" t="s">
        <v>1782</v>
      </c>
      <c r="D141" s="287">
        <v>22752000</v>
      </c>
      <c r="E141" s="259"/>
      <c r="F141" s="259">
        <f t="shared" si="2"/>
        <v>142920340</v>
      </c>
    </row>
    <row r="142" spans="1:6" x14ac:dyDescent="0.25">
      <c r="A142" s="262">
        <v>133</v>
      </c>
      <c r="B142" s="261">
        <v>45440</v>
      </c>
      <c r="C142" s="260" t="s">
        <v>202</v>
      </c>
      <c r="D142" s="259"/>
      <c r="E142" s="259">
        <v>21162700</v>
      </c>
      <c r="F142" s="259">
        <f t="shared" si="2"/>
        <v>121757640</v>
      </c>
    </row>
    <row r="143" spans="1:6" x14ac:dyDescent="0.25">
      <c r="A143" s="262">
        <v>134</v>
      </c>
      <c r="B143" s="261">
        <v>45458</v>
      </c>
      <c r="C143" s="260" t="s">
        <v>202</v>
      </c>
      <c r="D143" s="259"/>
      <c r="E143" s="259">
        <v>121757640</v>
      </c>
      <c r="F143" s="259">
        <f t="shared" si="2"/>
        <v>0</v>
      </c>
    </row>
    <row r="144" spans="1:6" x14ac:dyDescent="0.25">
      <c r="A144" s="262">
        <v>135</v>
      </c>
      <c r="B144" s="261">
        <v>45456</v>
      </c>
      <c r="C144" s="260" t="s">
        <v>1800</v>
      </c>
      <c r="D144" s="287">
        <v>53350080</v>
      </c>
      <c r="E144" s="259"/>
      <c r="F144" s="259">
        <f t="shared" si="2"/>
        <v>53350080</v>
      </c>
    </row>
    <row r="145" spans="1:6" x14ac:dyDescent="0.25">
      <c r="A145" s="262">
        <v>136</v>
      </c>
      <c r="B145" s="261"/>
      <c r="C145" s="260" t="s">
        <v>1801</v>
      </c>
      <c r="D145" s="287">
        <v>21609400</v>
      </c>
      <c r="E145" s="259"/>
      <c r="F145" s="259">
        <f t="shared" si="2"/>
        <v>74959480</v>
      </c>
    </row>
    <row r="146" spans="1:6" x14ac:dyDescent="0.25">
      <c r="A146" s="262">
        <v>137</v>
      </c>
      <c r="B146" s="261">
        <v>45479</v>
      </c>
      <c r="C146" s="260" t="s">
        <v>1820</v>
      </c>
      <c r="D146" s="287">
        <v>30910320</v>
      </c>
      <c r="E146" s="259"/>
      <c r="F146" s="259">
        <f t="shared" si="2"/>
        <v>105869800</v>
      </c>
    </row>
    <row r="147" spans="1:6" x14ac:dyDescent="0.25">
      <c r="A147" s="262">
        <v>138</v>
      </c>
      <c r="B147" s="261">
        <v>45495</v>
      </c>
      <c r="C147" s="260" t="s">
        <v>202</v>
      </c>
      <c r="D147" s="259"/>
      <c r="E147" s="259">
        <v>74959480</v>
      </c>
      <c r="F147" s="259">
        <f t="shared" si="2"/>
        <v>30910320</v>
      </c>
    </row>
    <row r="148" spans="1:6" x14ac:dyDescent="0.25">
      <c r="A148" s="262">
        <v>139</v>
      </c>
      <c r="B148" s="261">
        <v>45490</v>
      </c>
      <c r="C148" s="260" t="s">
        <v>1827</v>
      </c>
      <c r="D148" s="287">
        <v>24744360</v>
      </c>
      <c r="E148" s="259"/>
      <c r="F148" s="259">
        <f t="shared" si="2"/>
        <v>55654680</v>
      </c>
    </row>
    <row r="149" spans="1:6" x14ac:dyDescent="0.25">
      <c r="A149" s="262">
        <v>140</v>
      </c>
      <c r="B149" s="261">
        <v>45505</v>
      </c>
      <c r="C149" s="260" t="s">
        <v>1838</v>
      </c>
      <c r="D149" s="287">
        <v>34182800</v>
      </c>
      <c r="E149" s="259"/>
      <c r="F149" s="259">
        <f t="shared" si="2"/>
        <v>89837480</v>
      </c>
    </row>
    <row r="150" spans="1:6" x14ac:dyDescent="0.25">
      <c r="A150" s="262">
        <v>141</v>
      </c>
      <c r="B150" s="261">
        <v>45525</v>
      </c>
      <c r="C150" s="260" t="s">
        <v>202</v>
      </c>
      <c r="D150" s="259"/>
      <c r="E150" s="259">
        <v>55654680</v>
      </c>
      <c r="F150" s="259">
        <f t="shared" si="2"/>
        <v>34182800</v>
      </c>
    </row>
    <row r="151" spans="1:6" x14ac:dyDescent="0.25">
      <c r="A151" s="262">
        <v>142</v>
      </c>
      <c r="B151" s="261">
        <v>45529</v>
      </c>
      <c r="C151" s="260" t="s">
        <v>1855</v>
      </c>
      <c r="D151" s="287">
        <v>34542800</v>
      </c>
      <c r="E151" s="259"/>
      <c r="F151" s="259">
        <f t="shared" si="2"/>
        <v>68725600</v>
      </c>
    </row>
    <row r="152" spans="1:6" x14ac:dyDescent="0.25">
      <c r="A152" s="262">
        <v>143</v>
      </c>
      <c r="B152" s="261">
        <v>45540</v>
      </c>
      <c r="C152" s="260" t="s">
        <v>1863</v>
      </c>
      <c r="D152" s="287">
        <v>31625200</v>
      </c>
      <c r="E152" s="259"/>
      <c r="F152" s="259">
        <f t="shared" si="2"/>
        <v>100350800</v>
      </c>
    </row>
    <row r="153" spans="1:6" x14ac:dyDescent="0.25">
      <c r="A153" s="262">
        <v>144</v>
      </c>
      <c r="B153" s="261">
        <v>45540</v>
      </c>
      <c r="C153" s="260" t="s">
        <v>1864</v>
      </c>
      <c r="D153" s="287">
        <v>24608400</v>
      </c>
      <c r="E153" s="259"/>
      <c r="F153" s="259">
        <f t="shared" si="2"/>
        <v>124959200</v>
      </c>
    </row>
    <row r="154" spans="1:6" x14ac:dyDescent="0.25">
      <c r="A154" s="262">
        <v>145</v>
      </c>
      <c r="B154" s="261">
        <v>45546</v>
      </c>
      <c r="C154" s="260" t="s">
        <v>202</v>
      </c>
      <c r="D154" s="259"/>
      <c r="E154" s="259">
        <v>34182800</v>
      </c>
      <c r="F154" s="259">
        <f t="shared" si="2"/>
        <v>90776400</v>
      </c>
    </row>
    <row r="155" spans="1:6" x14ac:dyDescent="0.25">
      <c r="A155" s="262">
        <v>146</v>
      </c>
      <c r="B155" s="261">
        <v>45574</v>
      </c>
      <c r="C155" s="260" t="s">
        <v>202</v>
      </c>
      <c r="D155" s="259"/>
      <c r="E155" s="259">
        <v>90776400</v>
      </c>
      <c r="F155" s="259">
        <f t="shared" si="2"/>
        <v>0</v>
      </c>
    </row>
    <row r="156" spans="1:6" x14ac:dyDescent="0.25">
      <c r="A156" s="262">
        <v>147</v>
      </c>
      <c r="B156" s="261">
        <v>45583</v>
      </c>
      <c r="C156" s="260" t="s">
        <v>1896</v>
      </c>
      <c r="D156" s="287">
        <v>28288000</v>
      </c>
      <c r="E156" s="259"/>
      <c r="F156" s="259">
        <f t="shared" si="2"/>
        <v>28288000</v>
      </c>
    </row>
    <row r="157" spans="1:6" x14ac:dyDescent="0.25">
      <c r="A157" s="262">
        <v>148</v>
      </c>
      <c r="B157" s="261">
        <v>45596</v>
      </c>
      <c r="C157" s="260" t="s">
        <v>1897</v>
      </c>
      <c r="D157" s="287">
        <v>45737200</v>
      </c>
      <c r="E157" s="259"/>
      <c r="F157" s="259">
        <f t="shared" si="2"/>
        <v>74025200</v>
      </c>
    </row>
    <row r="158" spans="1:6" x14ac:dyDescent="0.25">
      <c r="A158" s="262">
        <v>149</v>
      </c>
      <c r="B158" s="261">
        <v>45625</v>
      </c>
      <c r="C158" s="260" t="s">
        <v>202</v>
      </c>
      <c r="D158" s="259"/>
      <c r="E158" s="259">
        <v>74025200</v>
      </c>
      <c r="F158" s="259">
        <f t="shared" si="2"/>
        <v>0</v>
      </c>
    </row>
    <row r="159" spans="1:6" x14ac:dyDescent="0.25">
      <c r="A159" s="262">
        <v>150</v>
      </c>
      <c r="B159" s="261">
        <v>45614</v>
      </c>
      <c r="C159" s="260" t="s">
        <v>1929</v>
      </c>
      <c r="D159" s="287">
        <v>17113600</v>
      </c>
      <c r="E159" s="259"/>
      <c r="F159" s="259">
        <f t="shared" si="2"/>
        <v>17113600</v>
      </c>
    </row>
    <row r="160" spans="1:6" x14ac:dyDescent="0.25">
      <c r="A160" s="262">
        <v>151</v>
      </c>
      <c r="B160" s="261">
        <v>45631</v>
      </c>
      <c r="C160" s="260" t="s">
        <v>1932</v>
      </c>
      <c r="D160" s="259">
        <v>28386460</v>
      </c>
      <c r="E160" s="259"/>
      <c r="F160" s="259">
        <f t="shared" si="2"/>
        <v>45500060</v>
      </c>
    </row>
    <row r="161" spans="1:6" x14ac:dyDescent="0.25">
      <c r="A161" s="262">
        <v>152</v>
      </c>
      <c r="B161" s="261">
        <v>45631</v>
      </c>
      <c r="C161" s="260" t="s">
        <v>1933</v>
      </c>
      <c r="D161" s="259">
        <v>23159985</v>
      </c>
      <c r="E161" s="259"/>
      <c r="F161" s="259">
        <f t="shared" si="2"/>
        <v>68660045</v>
      </c>
    </row>
    <row r="162" spans="1:6" x14ac:dyDescent="0.25">
      <c r="A162" s="262">
        <v>153</v>
      </c>
      <c r="B162" s="261">
        <v>45657</v>
      </c>
      <c r="C162" s="260" t="s">
        <v>1944</v>
      </c>
      <c r="D162" s="259">
        <v>72176480</v>
      </c>
      <c r="E162" s="259"/>
      <c r="F162" s="259">
        <f t="shared" si="2"/>
        <v>140836525</v>
      </c>
    </row>
    <row r="163" spans="1:6" x14ac:dyDescent="0.25">
      <c r="A163" s="262">
        <v>154</v>
      </c>
      <c r="B163" s="261">
        <v>45663</v>
      </c>
      <c r="C163" s="260" t="s">
        <v>202</v>
      </c>
      <c r="D163" s="259"/>
      <c r="E163" s="259">
        <v>68660045</v>
      </c>
      <c r="F163" s="259">
        <f t="shared" si="2"/>
        <v>72176480</v>
      </c>
    </row>
    <row r="164" spans="1:6" x14ac:dyDescent="0.25">
      <c r="A164" s="262">
        <v>155</v>
      </c>
      <c r="B164" s="261">
        <v>45681</v>
      </c>
      <c r="C164" s="260" t="s">
        <v>202</v>
      </c>
      <c r="D164" s="259"/>
      <c r="E164" s="259">
        <v>72176480</v>
      </c>
      <c r="F164" s="259">
        <f t="shared" si="2"/>
        <v>0</v>
      </c>
    </row>
    <row r="165" spans="1:6" x14ac:dyDescent="0.25">
      <c r="A165" s="262">
        <v>156</v>
      </c>
      <c r="B165" s="261">
        <v>45736</v>
      </c>
      <c r="C165" s="260" t="s">
        <v>1987</v>
      </c>
      <c r="D165" s="259">
        <v>22257000</v>
      </c>
      <c r="E165" s="259"/>
      <c r="F165" s="259">
        <f t="shared" si="2"/>
        <v>22257000</v>
      </c>
    </row>
    <row r="166" spans="1:6" x14ac:dyDescent="0.25">
      <c r="A166" s="262">
        <v>157</v>
      </c>
      <c r="B166" s="261">
        <v>45765</v>
      </c>
      <c r="C166" s="260" t="s">
        <v>2003</v>
      </c>
      <c r="D166" s="259">
        <v>31267000</v>
      </c>
      <c r="E166" s="259"/>
      <c r="F166" s="259">
        <f t="shared" si="2"/>
        <v>53524000</v>
      </c>
    </row>
    <row r="167" spans="1:6" x14ac:dyDescent="0.25">
      <c r="A167" s="262">
        <v>158</v>
      </c>
      <c r="B167" s="261">
        <v>45770</v>
      </c>
      <c r="C167" s="260" t="s">
        <v>2004</v>
      </c>
      <c r="D167" s="259">
        <v>23116050</v>
      </c>
      <c r="E167" s="259"/>
      <c r="F167" s="259">
        <f t="shared" si="2"/>
        <v>76640050</v>
      </c>
    </row>
    <row r="168" spans="1:6" x14ac:dyDescent="0.25">
      <c r="A168" s="262">
        <v>159</v>
      </c>
      <c r="B168" s="261"/>
      <c r="C168" s="260"/>
      <c r="D168" s="259"/>
      <c r="E168" s="259"/>
      <c r="F168" s="259">
        <f t="shared" si="2"/>
        <v>76640050</v>
      </c>
    </row>
    <row r="169" spans="1:6" x14ac:dyDescent="0.25">
      <c r="A169" s="262">
        <v>160</v>
      </c>
      <c r="B169" s="261"/>
      <c r="C169" s="260"/>
      <c r="D169" s="259"/>
      <c r="E169" s="259"/>
      <c r="F169" s="259">
        <f t="shared" si="2"/>
        <v>76640050</v>
      </c>
    </row>
    <row r="170" spans="1:6" x14ac:dyDescent="0.25">
      <c r="A170" s="262">
        <v>161</v>
      </c>
      <c r="B170" s="262"/>
      <c r="C170" s="260"/>
      <c r="D170" s="259"/>
      <c r="E170" s="259"/>
      <c r="F170" s="259">
        <f t="shared" si="2"/>
        <v>76640050</v>
      </c>
    </row>
    <row r="171" spans="1:6" x14ac:dyDescent="0.25">
      <c r="A171" s="262">
        <v>162</v>
      </c>
      <c r="B171" s="262"/>
      <c r="C171" s="260"/>
      <c r="D171" s="259"/>
      <c r="E171" s="259"/>
      <c r="F171" s="259"/>
    </row>
    <row r="172" spans="1:6" x14ac:dyDescent="0.25">
      <c r="A172" s="262">
        <v>163</v>
      </c>
      <c r="B172" s="262"/>
      <c r="C172" s="260"/>
      <c r="D172" s="259"/>
      <c r="E172" s="259"/>
      <c r="F172" s="259"/>
    </row>
    <row r="173" spans="1:6" x14ac:dyDescent="0.25">
      <c r="A173" s="262">
        <v>164</v>
      </c>
      <c r="B173" s="262"/>
      <c r="C173" s="260"/>
      <c r="D173" s="259"/>
      <c r="E173" s="259"/>
      <c r="F173" s="259"/>
    </row>
    <row r="174" spans="1:6" x14ac:dyDescent="0.25">
      <c r="A174" s="262"/>
      <c r="B174" s="262"/>
      <c r="C174" s="260"/>
      <c r="D174" s="259"/>
      <c r="E174" s="259"/>
      <c r="F174" s="259"/>
    </row>
    <row r="175" spans="1:6" x14ac:dyDescent="0.25">
      <c r="A175" s="262"/>
      <c r="B175" s="262"/>
      <c r="C175" s="260"/>
      <c r="D175" s="259"/>
      <c r="E175" s="259"/>
      <c r="F175" s="259"/>
    </row>
    <row r="176" spans="1:6" x14ac:dyDescent="0.25">
      <c r="A176" s="262"/>
      <c r="B176" s="262"/>
      <c r="C176" s="260"/>
      <c r="D176" s="259"/>
      <c r="E176" s="259"/>
      <c r="F176" s="259"/>
    </row>
    <row r="177" spans="1:6" x14ac:dyDescent="0.25">
      <c r="A177" s="262"/>
      <c r="B177" s="262"/>
      <c r="C177" s="260"/>
      <c r="D177" s="259"/>
      <c r="E177" s="259"/>
      <c r="F177" s="259"/>
    </row>
    <row r="178" spans="1:6" x14ac:dyDescent="0.25">
      <c r="A178" s="262"/>
      <c r="B178" s="262"/>
      <c r="C178" s="260"/>
      <c r="D178" s="259"/>
      <c r="E178" s="259"/>
      <c r="F178" s="259"/>
    </row>
    <row r="179" spans="1:6" x14ac:dyDescent="0.25">
      <c r="A179" s="262"/>
      <c r="B179" s="262"/>
      <c r="C179" s="260"/>
      <c r="D179" s="259"/>
      <c r="E179" s="259"/>
      <c r="F179" s="259"/>
    </row>
    <row r="180" spans="1:6" x14ac:dyDescent="0.25">
      <c r="A180" s="262"/>
      <c r="B180" s="262"/>
      <c r="C180" s="260"/>
      <c r="D180" s="259"/>
      <c r="E180" s="259"/>
      <c r="F180" s="259"/>
    </row>
    <row r="181" spans="1:6" x14ac:dyDescent="0.25">
      <c r="A181" s="262"/>
      <c r="B181" s="262"/>
      <c r="C181" s="260"/>
      <c r="D181" s="259"/>
      <c r="E181" s="259"/>
      <c r="F181" s="259"/>
    </row>
    <row r="182" spans="1:6" x14ac:dyDescent="0.25">
      <c r="A182" s="262"/>
      <c r="B182" s="262"/>
      <c r="C182" s="260"/>
      <c r="D182" s="259"/>
      <c r="E182" s="259"/>
      <c r="F182" s="259"/>
    </row>
    <row r="183" spans="1:6" x14ac:dyDescent="0.25">
      <c r="A183" s="262"/>
      <c r="B183" s="262"/>
      <c r="C183" s="260"/>
      <c r="D183" s="259"/>
      <c r="E183" s="259"/>
      <c r="F183" s="259"/>
    </row>
    <row r="184" spans="1:6" x14ac:dyDescent="0.25">
      <c r="A184" s="262"/>
      <c r="B184" s="262"/>
      <c r="C184" s="260"/>
      <c r="D184" s="259"/>
      <c r="E184" s="259"/>
      <c r="F184" s="259"/>
    </row>
    <row r="185" spans="1:6" x14ac:dyDescent="0.25">
      <c r="A185" s="262"/>
      <c r="B185" s="262"/>
      <c r="C185" s="260"/>
      <c r="D185" s="259"/>
      <c r="E185" s="259"/>
      <c r="F185" s="259"/>
    </row>
    <row r="186" spans="1:6" x14ac:dyDescent="0.25">
      <c r="A186" s="262"/>
      <c r="B186" s="262"/>
      <c r="C186" s="260"/>
      <c r="D186" s="259"/>
      <c r="E186" s="259"/>
      <c r="F186" s="259"/>
    </row>
    <row r="187" spans="1:6" x14ac:dyDescent="0.25">
      <c r="A187" s="262"/>
      <c r="B187" s="262"/>
      <c r="C187" s="260"/>
      <c r="D187" s="259"/>
      <c r="E187" s="259"/>
      <c r="F187" s="259"/>
    </row>
    <row r="188" spans="1:6" x14ac:dyDescent="0.25">
      <c r="A188" s="262"/>
      <c r="B188" s="262"/>
      <c r="C188" s="260"/>
      <c r="D188" s="259"/>
      <c r="E188" s="259"/>
      <c r="F188" s="259"/>
    </row>
    <row r="189" spans="1:6" x14ac:dyDescent="0.25">
      <c r="A189" s="262"/>
      <c r="B189" s="262"/>
      <c r="C189" s="260"/>
      <c r="D189" s="259"/>
      <c r="E189" s="259"/>
      <c r="F189" s="259"/>
    </row>
    <row r="190" spans="1:6" x14ac:dyDescent="0.25">
      <c r="A190" s="262"/>
      <c r="B190" s="262"/>
      <c r="C190" s="260"/>
      <c r="D190" s="259"/>
      <c r="E190" s="259"/>
      <c r="F190" s="259"/>
    </row>
    <row r="191" spans="1:6" x14ac:dyDescent="0.25">
      <c r="A191" s="262"/>
      <c r="B191" s="262"/>
      <c r="C191" s="260"/>
      <c r="D191" s="259"/>
      <c r="E191" s="259"/>
      <c r="F191" s="259"/>
    </row>
    <row r="192" spans="1:6" x14ac:dyDescent="0.25">
      <c r="A192" s="262"/>
      <c r="B192" s="262"/>
      <c r="C192" s="260"/>
      <c r="D192" s="259"/>
      <c r="E192" s="259"/>
      <c r="F192" s="259"/>
    </row>
    <row r="193" spans="1:6" x14ac:dyDescent="0.25">
      <c r="A193" s="262"/>
      <c r="B193" s="262"/>
      <c r="C193" s="260"/>
      <c r="D193" s="259"/>
      <c r="E193" s="259"/>
      <c r="F193" s="259"/>
    </row>
    <row r="194" spans="1:6" x14ac:dyDescent="0.25">
      <c r="A194" s="262"/>
      <c r="B194" s="262"/>
      <c r="C194" s="260"/>
      <c r="D194" s="259"/>
      <c r="E194" s="259"/>
      <c r="F194" s="259"/>
    </row>
    <row r="195" spans="1:6" x14ac:dyDescent="0.25">
      <c r="A195" s="262"/>
      <c r="B195" s="262"/>
      <c r="C195" s="260"/>
      <c r="D195" s="259"/>
      <c r="E195" s="259"/>
      <c r="F195" s="259"/>
    </row>
    <row r="196" spans="1:6" x14ac:dyDescent="0.25">
      <c r="A196" s="262"/>
      <c r="B196" s="262"/>
      <c r="C196" s="260"/>
      <c r="D196" s="259"/>
      <c r="E196" s="259"/>
      <c r="F196" s="259"/>
    </row>
    <row r="197" spans="1:6" x14ac:dyDescent="0.25">
      <c r="A197" s="262"/>
      <c r="B197" s="262"/>
      <c r="C197" s="260"/>
      <c r="D197" s="259"/>
      <c r="E197" s="259"/>
      <c r="F197" s="259"/>
    </row>
    <row r="198" spans="1:6" x14ac:dyDescent="0.25">
      <c r="A198" s="262"/>
      <c r="B198" s="262"/>
      <c r="C198" s="260"/>
      <c r="D198" s="259"/>
      <c r="E198" s="259"/>
      <c r="F198" s="259"/>
    </row>
    <row r="199" spans="1:6" x14ac:dyDescent="0.25">
      <c r="A199" s="262"/>
      <c r="B199" s="262"/>
      <c r="C199" s="260"/>
      <c r="D199" s="259"/>
      <c r="E199" s="259"/>
      <c r="F199" s="259"/>
    </row>
    <row r="200" spans="1:6" x14ac:dyDescent="0.25">
      <c r="A200" s="262"/>
      <c r="B200" s="262"/>
      <c r="C200" s="260"/>
      <c r="D200" s="259"/>
      <c r="E200" s="259"/>
      <c r="F200" s="259"/>
    </row>
    <row r="201" spans="1:6" x14ac:dyDescent="0.25">
      <c r="A201" s="262"/>
      <c r="B201" s="262"/>
      <c r="C201" s="260"/>
      <c r="D201" s="259"/>
      <c r="E201" s="259"/>
      <c r="F201" s="259"/>
    </row>
    <row r="202" spans="1:6" x14ac:dyDescent="0.25">
      <c r="A202" s="262"/>
      <c r="B202" s="262"/>
      <c r="C202" s="260"/>
      <c r="D202" s="259"/>
      <c r="E202" s="259"/>
      <c r="F202" s="259"/>
    </row>
    <row r="203" spans="1:6" x14ac:dyDescent="0.25">
      <c r="A203" s="262"/>
      <c r="B203" s="262"/>
      <c r="C203" s="260"/>
      <c r="D203" s="259"/>
      <c r="E203" s="259"/>
      <c r="F203" s="259"/>
    </row>
    <row r="204" spans="1:6" x14ac:dyDescent="0.25">
      <c r="A204" s="262"/>
      <c r="B204" s="262"/>
      <c r="C204" s="260"/>
      <c r="D204" s="259"/>
      <c r="E204" s="259"/>
      <c r="F204" s="259"/>
    </row>
    <row r="205" spans="1:6" x14ac:dyDescent="0.25">
      <c r="A205" s="262"/>
      <c r="B205" s="262"/>
      <c r="C205" s="260"/>
      <c r="D205" s="259"/>
      <c r="E205" s="259"/>
      <c r="F205" s="259"/>
    </row>
    <row r="206" spans="1:6" x14ac:dyDescent="0.25">
      <c r="A206" s="262"/>
      <c r="B206" s="262"/>
      <c r="C206" s="260"/>
      <c r="D206" s="259"/>
      <c r="E206" s="259"/>
      <c r="F206" s="259"/>
    </row>
    <row r="207" spans="1:6" x14ac:dyDescent="0.25">
      <c r="A207" s="262"/>
      <c r="B207" s="262"/>
      <c r="C207" s="260"/>
      <c r="D207" s="259"/>
      <c r="E207" s="259"/>
      <c r="F207" s="259"/>
    </row>
    <row r="208" spans="1:6" x14ac:dyDescent="0.25">
      <c r="A208" s="262"/>
      <c r="B208" s="262"/>
      <c r="C208" s="260"/>
      <c r="D208" s="259"/>
      <c r="E208" s="259"/>
      <c r="F208" s="259"/>
    </row>
    <row r="209" spans="1:6" x14ac:dyDescent="0.25">
      <c r="A209" s="262"/>
      <c r="B209" s="262"/>
      <c r="C209" s="260"/>
      <c r="D209" s="259"/>
      <c r="E209" s="259"/>
      <c r="F209" s="259"/>
    </row>
    <row r="210" spans="1:6" x14ac:dyDescent="0.25">
      <c r="A210" s="262"/>
      <c r="B210" s="262"/>
      <c r="C210" s="260"/>
      <c r="D210" s="259"/>
      <c r="E210" s="259"/>
      <c r="F210" s="259"/>
    </row>
    <row r="211" spans="1:6" x14ac:dyDescent="0.25">
      <c r="A211" s="262"/>
      <c r="B211" s="262"/>
      <c r="C211" s="260"/>
      <c r="D211" s="259"/>
      <c r="E211" s="259"/>
      <c r="F211" s="259"/>
    </row>
    <row r="212" spans="1:6" x14ac:dyDescent="0.25">
      <c r="A212" s="262"/>
      <c r="B212" s="262"/>
      <c r="C212" s="260"/>
      <c r="D212" s="259"/>
      <c r="E212" s="259"/>
      <c r="F212" s="259"/>
    </row>
    <row r="213" spans="1:6" x14ac:dyDescent="0.25">
      <c r="A213" s="262"/>
      <c r="B213" s="262"/>
      <c r="C213" s="260"/>
      <c r="D213" s="259"/>
      <c r="E213" s="259"/>
      <c r="F213" s="259"/>
    </row>
    <row r="214" spans="1:6" x14ac:dyDescent="0.25">
      <c r="A214" s="262"/>
      <c r="B214" s="262"/>
      <c r="C214" s="260"/>
      <c r="D214" s="259"/>
      <c r="E214" s="259"/>
      <c r="F214" s="259"/>
    </row>
    <row r="215" spans="1:6" x14ac:dyDescent="0.25">
      <c r="A215" s="262"/>
      <c r="B215" s="262"/>
      <c r="C215" s="260"/>
      <c r="D215" s="259"/>
      <c r="E215" s="259"/>
      <c r="F215" s="259"/>
    </row>
    <row r="216" spans="1:6" x14ac:dyDescent="0.25">
      <c r="A216" s="262"/>
      <c r="B216" s="262"/>
      <c r="C216" s="260"/>
      <c r="D216" s="259"/>
      <c r="E216" s="259"/>
      <c r="F216" s="259"/>
    </row>
    <row r="217" spans="1:6" x14ac:dyDescent="0.25">
      <c r="A217" s="262"/>
      <c r="B217" s="262"/>
      <c r="C217" s="260"/>
      <c r="D217" s="259"/>
      <c r="E217" s="259"/>
      <c r="F217" s="259"/>
    </row>
    <row r="218" spans="1:6" x14ac:dyDescent="0.25">
      <c r="A218" s="262"/>
      <c r="B218" s="262"/>
      <c r="C218" s="260"/>
      <c r="D218" s="259"/>
      <c r="E218" s="259"/>
      <c r="F218" s="259"/>
    </row>
    <row r="219" spans="1:6" x14ac:dyDescent="0.25">
      <c r="A219" s="262"/>
      <c r="B219" s="262"/>
      <c r="C219" s="260"/>
      <c r="D219" s="259"/>
      <c r="E219" s="259"/>
      <c r="F219" s="259"/>
    </row>
    <row r="220" spans="1:6" x14ac:dyDescent="0.25">
      <c r="A220" s="262"/>
      <c r="B220" s="262"/>
      <c r="C220" s="260"/>
      <c r="D220" s="259"/>
      <c r="E220" s="259"/>
      <c r="F220" s="259"/>
    </row>
    <row r="221" spans="1:6" x14ac:dyDescent="0.25">
      <c r="A221" s="262"/>
      <c r="B221" s="262"/>
      <c r="C221" s="260"/>
      <c r="D221" s="259"/>
      <c r="E221" s="259"/>
      <c r="F221" s="259"/>
    </row>
    <row r="222" spans="1:6" x14ac:dyDescent="0.25">
      <c r="A222" s="262"/>
      <c r="B222" s="262"/>
      <c r="C222" s="260"/>
      <c r="D222" s="259"/>
      <c r="E222" s="259"/>
      <c r="F222" s="259"/>
    </row>
    <row r="223" spans="1:6" x14ac:dyDescent="0.25">
      <c r="A223" s="262"/>
      <c r="B223" s="262"/>
      <c r="C223" s="260"/>
      <c r="D223" s="259"/>
      <c r="E223" s="259"/>
      <c r="F223" s="259"/>
    </row>
    <row r="224" spans="1:6" x14ac:dyDescent="0.25">
      <c r="A224" s="262"/>
      <c r="B224" s="262"/>
      <c r="C224" s="260"/>
      <c r="D224" s="259"/>
      <c r="E224" s="259"/>
      <c r="F224" s="259"/>
    </row>
    <row r="225" spans="1:6" x14ac:dyDescent="0.25">
      <c r="A225" s="262"/>
      <c r="B225" s="262"/>
      <c r="C225" s="260"/>
      <c r="D225" s="259"/>
      <c r="E225" s="259"/>
      <c r="F225" s="259"/>
    </row>
    <row r="226" spans="1:6" x14ac:dyDescent="0.25">
      <c r="A226" s="262"/>
      <c r="B226" s="262"/>
      <c r="C226" s="260"/>
      <c r="D226" s="259"/>
      <c r="E226" s="259"/>
      <c r="F226" s="259"/>
    </row>
    <row r="227" spans="1:6" x14ac:dyDescent="0.25">
      <c r="A227" s="262"/>
      <c r="B227" s="262"/>
      <c r="C227" s="260"/>
      <c r="D227" s="259"/>
      <c r="E227" s="259"/>
      <c r="F227" s="259"/>
    </row>
    <row r="228" spans="1:6" x14ac:dyDescent="0.25">
      <c r="A228" s="262"/>
      <c r="B228" s="262"/>
      <c r="C228" s="260"/>
      <c r="D228" s="259"/>
      <c r="E228" s="259"/>
      <c r="F228" s="259"/>
    </row>
    <row r="229" spans="1:6" x14ac:dyDescent="0.25">
      <c r="A229" s="262"/>
      <c r="B229" s="262"/>
      <c r="C229" s="260"/>
      <c r="D229" s="259"/>
      <c r="E229" s="259"/>
      <c r="F229" s="259"/>
    </row>
    <row r="230" spans="1:6" x14ac:dyDescent="0.25">
      <c r="A230" s="262"/>
      <c r="B230" s="262"/>
      <c r="C230" s="260"/>
      <c r="D230" s="259"/>
      <c r="E230" s="259"/>
      <c r="F230" s="259"/>
    </row>
    <row r="231" spans="1:6" x14ac:dyDescent="0.25">
      <c r="A231" s="262"/>
      <c r="B231" s="262"/>
      <c r="C231" s="260"/>
      <c r="D231" s="259"/>
      <c r="E231" s="259"/>
      <c r="F231" s="259"/>
    </row>
    <row r="232" spans="1:6" x14ac:dyDescent="0.25">
      <c r="A232" s="262"/>
      <c r="B232" s="262"/>
      <c r="C232" s="260"/>
      <c r="D232" s="259"/>
      <c r="E232" s="259"/>
      <c r="F232" s="259"/>
    </row>
    <row r="233" spans="1:6" x14ac:dyDescent="0.25">
      <c r="A233" s="262"/>
      <c r="B233" s="262"/>
      <c r="C233" s="260"/>
      <c r="D233" s="259"/>
      <c r="E233" s="259"/>
      <c r="F233" s="259"/>
    </row>
    <row r="234" spans="1:6" x14ac:dyDescent="0.25">
      <c r="A234" s="262"/>
      <c r="B234" s="262"/>
      <c r="C234" s="260"/>
      <c r="D234" s="259"/>
      <c r="E234" s="259"/>
      <c r="F234" s="259"/>
    </row>
    <row r="235" spans="1:6" x14ac:dyDescent="0.25">
      <c r="A235" s="262"/>
      <c r="B235" s="262"/>
      <c r="C235" s="260"/>
      <c r="D235" s="259"/>
      <c r="E235" s="259"/>
      <c r="F235" s="259"/>
    </row>
    <row r="236" spans="1:6" x14ac:dyDescent="0.25">
      <c r="A236" s="262"/>
      <c r="B236" s="262"/>
      <c r="C236" s="260"/>
      <c r="D236" s="259"/>
      <c r="E236" s="259"/>
      <c r="F236" s="259"/>
    </row>
    <row r="237" spans="1:6" x14ac:dyDescent="0.25">
      <c r="A237" s="262"/>
      <c r="B237" s="262"/>
      <c r="C237" s="260"/>
      <c r="D237" s="259"/>
      <c r="E237" s="259"/>
      <c r="F237" s="259"/>
    </row>
    <row r="238" spans="1:6" x14ac:dyDescent="0.25">
      <c r="A238" s="262"/>
      <c r="B238" s="262"/>
      <c r="C238" s="260"/>
      <c r="D238" s="259"/>
      <c r="E238" s="259"/>
      <c r="F238" s="259"/>
    </row>
    <row r="239" spans="1:6" x14ac:dyDescent="0.25">
      <c r="A239" s="262"/>
      <c r="B239" s="262"/>
      <c r="C239" s="260"/>
      <c r="D239" s="259"/>
      <c r="E239" s="259"/>
      <c r="F239" s="259"/>
    </row>
    <row r="240" spans="1:6" x14ac:dyDescent="0.25">
      <c r="A240" s="262"/>
      <c r="B240" s="262"/>
      <c r="C240" s="260"/>
      <c r="D240" s="259"/>
      <c r="E240" s="259"/>
      <c r="F240" s="259"/>
    </row>
    <row r="241" spans="1:6" x14ac:dyDescent="0.25">
      <c r="A241" s="262"/>
      <c r="B241" s="262"/>
      <c r="C241" s="260"/>
      <c r="D241" s="259"/>
      <c r="E241" s="259"/>
      <c r="F241" s="259"/>
    </row>
    <row r="242" spans="1:6" x14ac:dyDescent="0.25">
      <c r="A242" s="262"/>
      <c r="B242" s="262"/>
      <c r="C242" s="260"/>
      <c r="D242" s="259"/>
      <c r="E242" s="259"/>
      <c r="F242" s="259"/>
    </row>
    <row r="243" spans="1:6" x14ac:dyDescent="0.25">
      <c r="A243" s="262"/>
      <c r="B243" s="262"/>
      <c r="C243" s="260"/>
      <c r="D243" s="259"/>
      <c r="E243" s="259"/>
      <c r="F243" s="259"/>
    </row>
    <row r="244" spans="1:6" x14ac:dyDescent="0.25">
      <c r="A244" s="262"/>
      <c r="B244" s="262"/>
      <c r="C244" s="260"/>
      <c r="D244" s="259"/>
      <c r="E244" s="259"/>
      <c r="F244" s="259"/>
    </row>
    <row r="245" spans="1:6" x14ac:dyDescent="0.25">
      <c r="A245" s="262"/>
      <c r="B245" s="262"/>
      <c r="C245" s="260"/>
      <c r="D245" s="259"/>
      <c r="E245" s="259"/>
      <c r="F245" s="259"/>
    </row>
    <row r="246" spans="1:6" x14ac:dyDescent="0.25">
      <c r="A246" s="262"/>
      <c r="B246" s="262"/>
      <c r="C246" s="260"/>
      <c r="D246" s="259"/>
      <c r="E246" s="259"/>
      <c r="F246" s="259"/>
    </row>
    <row r="247" spans="1:6" x14ac:dyDescent="0.25">
      <c r="A247" s="262"/>
      <c r="B247" s="262"/>
      <c r="C247" s="260"/>
      <c r="D247" s="259"/>
      <c r="E247" s="259"/>
      <c r="F247" s="259"/>
    </row>
    <row r="248" spans="1:6" x14ac:dyDescent="0.25">
      <c r="A248" s="262"/>
      <c r="B248" s="262"/>
      <c r="C248" s="260"/>
      <c r="D248" s="259"/>
      <c r="E248" s="259"/>
      <c r="F248" s="259"/>
    </row>
    <row r="249" spans="1:6" x14ac:dyDescent="0.25">
      <c r="A249" s="262"/>
      <c r="B249" s="262"/>
      <c r="C249" s="260"/>
      <c r="D249" s="259"/>
      <c r="E249" s="259"/>
      <c r="F249" s="259"/>
    </row>
    <row r="250" spans="1:6" x14ac:dyDescent="0.25">
      <c r="A250" s="262"/>
      <c r="B250" s="262"/>
      <c r="C250" s="260"/>
      <c r="D250" s="259"/>
      <c r="E250" s="259"/>
      <c r="F250" s="259"/>
    </row>
    <row r="251" spans="1:6" x14ac:dyDescent="0.25">
      <c r="A251" s="262"/>
      <c r="B251" s="262"/>
      <c r="C251" s="260"/>
      <c r="D251" s="259"/>
      <c r="E251" s="259"/>
      <c r="F251" s="259"/>
    </row>
    <row r="252" spans="1:6" x14ac:dyDescent="0.25">
      <c r="A252" s="262"/>
      <c r="B252" s="262"/>
      <c r="C252" s="260"/>
      <c r="D252" s="259"/>
      <c r="E252" s="259"/>
      <c r="F252" s="259"/>
    </row>
    <row r="253" spans="1:6" x14ac:dyDescent="0.25">
      <c r="A253" s="262"/>
      <c r="B253" s="262"/>
      <c r="C253" s="260"/>
      <c r="D253" s="259"/>
      <c r="E253" s="259"/>
      <c r="F253" s="259"/>
    </row>
    <row r="254" spans="1:6" x14ac:dyDescent="0.25">
      <c r="A254" s="262"/>
      <c r="B254" s="262"/>
      <c r="C254" s="260"/>
      <c r="D254" s="259"/>
      <c r="E254" s="259"/>
      <c r="F254" s="259"/>
    </row>
    <row r="255" spans="1:6" x14ac:dyDescent="0.25">
      <c r="A255" s="262"/>
      <c r="B255" s="262"/>
      <c r="C255" s="260"/>
      <c r="D255" s="259"/>
      <c r="E255" s="259"/>
      <c r="F255" s="259"/>
    </row>
    <row r="256" spans="1:6" x14ac:dyDescent="0.25">
      <c r="A256" s="262"/>
      <c r="B256" s="262"/>
      <c r="C256" s="260"/>
      <c r="D256" s="259"/>
      <c r="E256" s="259"/>
      <c r="F256" s="259"/>
    </row>
    <row r="257" spans="1:6" x14ac:dyDescent="0.25">
      <c r="A257" s="262"/>
      <c r="B257" s="262"/>
      <c r="C257" s="260"/>
      <c r="D257" s="259"/>
      <c r="E257" s="259"/>
      <c r="F257" s="259"/>
    </row>
    <row r="258" spans="1:6" x14ac:dyDescent="0.25">
      <c r="A258" s="262"/>
      <c r="B258" s="262"/>
      <c r="C258" s="260"/>
      <c r="D258" s="259"/>
      <c r="E258" s="259"/>
      <c r="F258" s="259"/>
    </row>
    <row r="259" spans="1:6" x14ac:dyDescent="0.25">
      <c r="A259" s="262"/>
      <c r="B259" s="262"/>
      <c r="C259" s="260"/>
      <c r="D259" s="259"/>
      <c r="E259" s="259"/>
      <c r="F259" s="259"/>
    </row>
    <row r="260" spans="1:6" x14ac:dyDescent="0.25">
      <c r="A260" s="262"/>
      <c r="B260" s="262"/>
      <c r="C260" s="260"/>
      <c r="D260" s="259"/>
      <c r="E260" s="259"/>
      <c r="F260" s="259"/>
    </row>
    <row r="261" spans="1:6" x14ac:dyDescent="0.25">
      <c r="A261" s="262"/>
      <c r="B261" s="262"/>
      <c r="C261" s="260"/>
      <c r="D261" s="259"/>
      <c r="E261" s="259"/>
      <c r="F261" s="259"/>
    </row>
    <row r="262" spans="1:6" x14ac:dyDescent="0.25">
      <c r="A262" s="262"/>
      <c r="B262" s="262"/>
      <c r="C262" s="260"/>
      <c r="D262" s="259"/>
      <c r="E262" s="259"/>
      <c r="F262" s="259"/>
    </row>
    <row r="263" spans="1:6" x14ac:dyDescent="0.25">
      <c r="A263" s="262"/>
      <c r="B263" s="262"/>
      <c r="C263" s="260"/>
      <c r="D263" s="259"/>
      <c r="E263" s="259"/>
      <c r="F263" s="259"/>
    </row>
    <row r="264" spans="1:6" x14ac:dyDescent="0.25">
      <c r="A264" s="262"/>
      <c r="B264" s="262"/>
      <c r="C264" s="260"/>
      <c r="D264" s="259"/>
      <c r="E264" s="259"/>
      <c r="F264" s="259"/>
    </row>
    <row r="265" spans="1:6" x14ac:dyDescent="0.25">
      <c r="A265" s="262"/>
      <c r="B265" s="262"/>
      <c r="C265" s="260"/>
      <c r="D265" s="259"/>
      <c r="E265" s="259"/>
      <c r="F265" s="259"/>
    </row>
    <row r="266" spans="1:6" x14ac:dyDescent="0.25">
      <c r="A266" s="262"/>
      <c r="B266" s="262"/>
      <c r="C266" s="260"/>
      <c r="D266" s="259"/>
      <c r="E266" s="259"/>
      <c r="F266" s="259"/>
    </row>
    <row r="267" spans="1:6" x14ac:dyDescent="0.25">
      <c r="A267" s="262"/>
      <c r="B267" s="262"/>
      <c r="C267" s="260"/>
      <c r="D267" s="259"/>
      <c r="E267" s="259"/>
      <c r="F267" s="259"/>
    </row>
    <row r="268" spans="1:6" x14ac:dyDescent="0.25">
      <c r="A268" s="262"/>
      <c r="B268" s="262"/>
      <c r="C268" s="260"/>
      <c r="D268" s="259"/>
      <c r="E268" s="259"/>
      <c r="F268" s="259"/>
    </row>
    <row r="269" spans="1:6" x14ac:dyDescent="0.25">
      <c r="A269" s="262"/>
      <c r="B269" s="262"/>
      <c r="C269" s="260"/>
      <c r="D269" s="259"/>
      <c r="E269" s="259"/>
      <c r="F269" s="259"/>
    </row>
    <row r="270" spans="1:6" x14ac:dyDescent="0.25">
      <c r="A270" s="262"/>
      <c r="B270" s="262"/>
      <c r="C270" s="260"/>
      <c r="D270" s="259"/>
      <c r="E270" s="259"/>
      <c r="F270" s="259"/>
    </row>
    <row r="271" spans="1:6" x14ac:dyDescent="0.25">
      <c r="A271" s="262"/>
      <c r="B271" s="262"/>
      <c r="C271" s="260"/>
      <c r="D271" s="259"/>
      <c r="E271" s="259"/>
      <c r="F271" s="259"/>
    </row>
    <row r="272" spans="1:6" x14ac:dyDescent="0.25">
      <c r="A272" s="262"/>
      <c r="B272" s="262"/>
      <c r="C272" s="260"/>
      <c r="D272" s="259"/>
      <c r="E272" s="259"/>
      <c r="F272" s="259"/>
    </row>
    <row r="273" spans="1:6" x14ac:dyDescent="0.25">
      <c r="A273" s="262"/>
      <c r="B273" s="262"/>
      <c r="C273" s="260"/>
      <c r="D273" s="259"/>
      <c r="E273" s="259"/>
      <c r="F273" s="259"/>
    </row>
    <row r="274" spans="1:6" x14ac:dyDescent="0.25">
      <c r="A274" s="262"/>
      <c r="B274" s="262"/>
      <c r="C274" s="260"/>
      <c r="D274" s="259"/>
      <c r="E274" s="259"/>
      <c r="F274" s="259"/>
    </row>
    <row r="275" spans="1:6" x14ac:dyDescent="0.25">
      <c r="A275" s="262"/>
      <c r="B275" s="262"/>
      <c r="C275" s="260"/>
      <c r="D275" s="259"/>
      <c r="E275" s="259"/>
      <c r="F275" s="259"/>
    </row>
    <row r="276" spans="1:6" x14ac:dyDescent="0.25">
      <c r="A276" s="262"/>
      <c r="B276" s="262"/>
      <c r="C276" s="260"/>
      <c r="D276" s="259"/>
      <c r="E276" s="259"/>
      <c r="F276" s="259"/>
    </row>
    <row r="277" spans="1:6" x14ac:dyDescent="0.25">
      <c r="A277" s="262"/>
      <c r="B277" s="262"/>
      <c r="C277" s="260"/>
      <c r="D277" s="259"/>
      <c r="E277" s="259"/>
      <c r="F277" s="259"/>
    </row>
    <row r="278" spans="1:6" x14ac:dyDescent="0.25">
      <c r="A278" s="262"/>
      <c r="B278" s="262"/>
      <c r="C278" s="260"/>
      <c r="D278" s="259"/>
      <c r="E278" s="259"/>
      <c r="F278" s="259"/>
    </row>
    <row r="279" spans="1:6" x14ac:dyDescent="0.25">
      <c r="A279" s="262"/>
      <c r="B279" s="262"/>
      <c r="C279" s="260"/>
      <c r="D279" s="259"/>
      <c r="E279" s="259"/>
      <c r="F279" s="259"/>
    </row>
    <row r="280" spans="1:6" x14ac:dyDescent="0.25">
      <c r="A280" s="262"/>
      <c r="B280" s="262"/>
      <c r="C280" s="260"/>
      <c r="D280" s="259"/>
      <c r="E280" s="259"/>
      <c r="F280" s="259"/>
    </row>
    <row r="281" spans="1:6" x14ac:dyDescent="0.25">
      <c r="A281" s="262"/>
      <c r="B281" s="262"/>
      <c r="C281" s="260"/>
      <c r="D281" s="259"/>
      <c r="E281" s="259"/>
      <c r="F281" s="259"/>
    </row>
    <row r="282" spans="1:6" x14ac:dyDescent="0.25">
      <c r="A282" s="262"/>
      <c r="B282" s="262"/>
      <c r="C282" s="260"/>
      <c r="D282" s="259"/>
      <c r="E282" s="259"/>
      <c r="F282" s="259"/>
    </row>
    <row r="283" spans="1:6" x14ac:dyDescent="0.25">
      <c r="A283" s="262"/>
      <c r="B283" s="262"/>
      <c r="C283" s="260"/>
      <c r="D283" s="259"/>
      <c r="E283" s="259"/>
      <c r="F283" s="259"/>
    </row>
    <row r="284" spans="1:6" x14ac:dyDescent="0.25">
      <c r="A284" s="262"/>
      <c r="B284" s="262"/>
      <c r="C284" s="260"/>
      <c r="D284" s="259"/>
      <c r="E284" s="259"/>
      <c r="F284" s="259"/>
    </row>
    <row r="285" spans="1:6" x14ac:dyDescent="0.25">
      <c r="A285" s="262"/>
      <c r="B285" s="262"/>
      <c r="C285" s="260"/>
      <c r="D285" s="259"/>
      <c r="E285" s="259"/>
      <c r="F285" s="259"/>
    </row>
    <row r="286" spans="1:6" x14ac:dyDescent="0.25">
      <c r="A286" s="262"/>
      <c r="B286" s="262"/>
      <c r="C286" s="260"/>
      <c r="D286" s="259"/>
      <c r="E286" s="259"/>
      <c r="F286" s="259"/>
    </row>
    <row r="287" spans="1:6" x14ac:dyDescent="0.25">
      <c r="A287" s="262"/>
      <c r="B287" s="262"/>
      <c r="C287" s="260"/>
      <c r="D287" s="259"/>
      <c r="E287" s="259"/>
      <c r="F287" s="259"/>
    </row>
    <row r="288" spans="1:6" x14ac:dyDescent="0.25">
      <c r="A288" s="262"/>
      <c r="B288" s="262"/>
      <c r="C288" s="260"/>
      <c r="D288" s="259"/>
      <c r="E288" s="259"/>
      <c r="F288" s="259"/>
    </row>
    <row r="289" spans="1:6" x14ac:dyDescent="0.25">
      <c r="A289" s="262"/>
      <c r="B289" s="262"/>
      <c r="C289" s="260"/>
      <c r="D289" s="259"/>
      <c r="E289" s="259"/>
      <c r="F289" s="259"/>
    </row>
    <row r="290" spans="1:6" x14ac:dyDescent="0.25">
      <c r="A290" s="262"/>
      <c r="B290" s="262"/>
      <c r="C290" s="260"/>
      <c r="D290" s="259"/>
      <c r="E290" s="259"/>
      <c r="F290" s="259"/>
    </row>
    <row r="291" spans="1:6" x14ac:dyDescent="0.25">
      <c r="A291" s="262"/>
      <c r="B291" s="262"/>
      <c r="C291" s="260"/>
      <c r="D291" s="259"/>
      <c r="E291" s="259"/>
      <c r="F291" s="259"/>
    </row>
    <row r="292" spans="1:6" x14ac:dyDescent="0.25">
      <c r="A292" s="262"/>
      <c r="B292" s="262"/>
      <c r="C292" s="260"/>
      <c r="D292" s="259"/>
      <c r="E292" s="259"/>
      <c r="F292" s="259"/>
    </row>
    <row r="293" spans="1:6" x14ac:dyDescent="0.25">
      <c r="A293" s="262"/>
      <c r="B293" s="262"/>
      <c r="C293" s="260"/>
      <c r="D293" s="259"/>
      <c r="E293" s="259"/>
      <c r="F293" s="259"/>
    </row>
    <row r="294" spans="1:6" x14ac:dyDescent="0.25">
      <c r="A294" s="262"/>
      <c r="B294" s="262"/>
      <c r="C294" s="260"/>
      <c r="D294" s="259"/>
      <c r="E294" s="259"/>
      <c r="F294" s="259"/>
    </row>
    <row r="295" spans="1:6" x14ac:dyDescent="0.25">
      <c r="A295" s="262"/>
      <c r="B295" s="262"/>
      <c r="C295" s="260"/>
      <c r="D295" s="259"/>
      <c r="E295" s="259"/>
      <c r="F295" s="259"/>
    </row>
    <row r="296" spans="1:6" x14ac:dyDescent="0.25">
      <c r="A296" s="262"/>
      <c r="B296" s="262"/>
      <c r="C296" s="260"/>
      <c r="D296" s="259"/>
      <c r="E296" s="259"/>
      <c r="F296" s="259"/>
    </row>
    <row r="297" spans="1:6" x14ac:dyDescent="0.25">
      <c r="A297" s="262"/>
      <c r="B297" s="262"/>
      <c r="C297" s="260"/>
      <c r="D297" s="259"/>
      <c r="E297" s="259"/>
      <c r="F297" s="259"/>
    </row>
    <row r="298" spans="1:6" x14ac:dyDescent="0.25">
      <c r="A298" s="262"/>
      <c r="B298" s="262"/>
      <c r="C298" s="260"/>
      <c r="D298" s="259"/>
      <c r="E298" s="259"/>
      <c r="F298" s="259"/>
    </row>
    <row r="299" spans="1:6" x14ac:dyDescent="0.25">
      <c r="A299" s="262"/>
      <c r="B299" s="262"/>
      <c r="C299" s="260"/>
      <c r="D299" s="259"/>
      <c r="E299" s="259"/>
      <c r="F299" s="259"/>
    </row>
    <row r="300" spans="1:6" x14ac:dyDescent="0.25">
      <c r="A300" s="262"/>
      <c r="B300" s="262"/>
      <c r="C300" s="260"/>
      <c r="D300" s="259"/>
      <c r="E300" s="259"/>
      <c r="F300" s="259"/>
    </row>
    <row r="301" spans="1:6" x14ac:dyDescent="0.25">
      <c r="A301" s="262"/>
      <c r="B301" s="262"/>
      <c r="C301" s="260"/>
      <c r="D301" s="259"/>
      <c r="E301" s="259"/>
      <c r="F301" s="259"/>
    </row>
    <row r="302" spans="1:6" x14ac:dyDescent="0.25">
      <c r="A302" s="262"/>
      <c r="B302" s="262"/>
      <c r="C302" s="260"/>
      <c r="D302" s="259"/>
      <c r="E302" s="259"/>
      <c r="F302" s="259"/>
    </row>
    <row r="303" spans="1:6" x14ac:dyDescent="0.25">
      <c r="A303" s="262"/>
      <c r="B303" s="262"/>
      <c r="C303" s="260"/>
      <c r="D303" s="259"/>
      <c r="E303" s="259"/>
      <c r="F303" s="259"/>
    </row>
    <row r="304" spans="1:6" x14ac:dyDescent="0.25">
      <c r="A304" s="262"/>
      <c r="B304" s="262"/>
      <c r="C304" s="260"/>
      <c r="D304" s="259"/>
      <c r="E304" s="259"/>
      <c r="F304" s="259"/>
    </row>
    <row r="305" spans="1:6" x14ac:dyDescent="0.25">
      <c r="A305" s="262"/>
      <c r="B305" s="262"/>
      <c r="C305" s="260"/>
      <c r="D305" s="259"/>
      <c r="E305" s="259"/>
      <c r="F305" s="259"/>
    </row>
    <row r="306" spans="1:6" x14ac:dyDescent="0.25">
      <c r="A306" s="262"/>
      <c r="B306" s="262"/>
      <c r="C306" s="260"/>
      <c r="D306" s="259"/>
      <c r="E306" s="259"/>
      <c r="F306" s="259"/>
    </row>
    <row r="307" spans="1:6" x14ac:dyDescent="0.25">
      <c r="A307" s="262"/>
      <c r="B307" s="262"/>
      <c r="C307" s="260"/>
      <c r="D307" s="259"/>
      <c r="E307" s="259"/>
      <c r="F307" s="259"/>
    </row>
    <row r="308" spans="1:6" x14ac:dyDescent="0.25">
      <c r="A308" s="262"/>
      <c r="B308" s="262"/>
      <c r="C308" s="260"/>
      <c r="D308" s="259"/>
      <c r="E308" s="259"/>
      <c r="F308" s="259"/>
    </row>
    <row r="309" spans="1:6" x14ac:dyDescent="0.25">
      <c r="A309" s="262"/>
      <c r="B309" s="262"/>
      <c r="C309" s="260"/>
      <c r="D309" s="259"/>
      <c r="E309" s="259"/>
      <c r="F309" s="259"/>
    </row>
    <row r="310" spans="1:6" x14ac:dyDescent="0.25">
      <c r="A310" s="262"/>
      <c r="B310" s="262"/>
      <c r="C310" s="260"/>
      <c r="D310" s="259"/>
      <c r="E310" s="259"/>
      <c r="F310" s="259"/>
    </row>
    <row r="311" spans="1:6" x14ac:dyDescent="0.25">
      <c r="A311" s="262"/>
      <c r="B311" s="262"/>
      <c r="C311" s="260"/>
      <c r="D311" s="259"/>
      <c r="E311" s="259"/>
      <c r="F311" s="259"/>
    </row>
    <row r="312" spans="1:6" x14ac:dyDescent="0.25">
      <c r="A312" s="262"/>
      <c r="B312" s="262"/>
      <c r="C312" s="260"/>
      <c r="D312" s="259"/>
      <c r="E312" s="259"/>
      <c r="F312" s="259"/>
    </row>
    <row r="313" spans="1:6" x14ac:dyDescent="0.25">
      <c r="A313" s="262"/>
      <c r="B313" s="262"/>
      <c r="C313" s="260"/>
      <c r="D313" s="259"/>
      <c r="E313" s="259"/>
      <c r="F313" s="259"/>
    </row>
    <row r="314" spans="1:6" x14ac:dyDescent="0.25">
      <c r="A314" s="262"/>
      <c r="B314" s="262"/>
      <c r="C314" s="260"/>
      <c r="D314" s="259"/>
      <c r="E314" s="259"/>
      <c r="F314" s="259"/>
    </row>
    <row r="315" spans="1:6" x14ac:dyDescent="0.25">
      <c r="A315" s="262"/>
      <c r="B315" s="262"/>
      <c r="C315" s="260"/>
      <c r="D315" s="259"/>
      <c r="E315" s="259"/>
      <c r="F315" s="259"/>
    </row>
    <row r="316" spans="1:6" x14ac:dyDescent="0.25">
      <c r="A316" s="262"/>
      <c r="B316" s="262"/>
      <c r="C316" s="260"/>
      <c r="D316" s="259"/>
      <c r="E316" s="259"/>
      <c r="F316" s="259"/>
    </row>
    <row r="317" spans="1:6" x14ac:dyDescent="0.25">
      <c r="A317" s="262"/>
      <c r="B317" s="262"/>
      <c r="C317" s="260"/>
      <c r="D317" s="259"/>
      <c r="E317" s="259"/>
      <c r="F317" s="259"/>
    </row>
    <row r="318" spans="1:6" x14ac:dyDescent="0.25">
      <c r="A318" s="262"/>
      <c r="B318" s="262"/>
      <c r="C318" s="260"/>
      <c r="D318" s="259"/>
      <c r="E318" s="259"/>
      <c r="F318" s="259"/>
    </row>
    <row r="319" spans="1:6" x14ac:dyDescent="0.25">
      <c r="A319" s="262"/>
      <c r="B319" s="262"/>
      <c r="C319" s="260"/>
      <c r="D319" s="259"/>
      <c r="E319" s="259"/>
      <c r="F319" s="259"/>
    </row>
    <row r="320" spans="1:6" x14ac:dyDescent="0.25">
      <c r="A320" s="262"/>
      <c r="B320" s="262"/>
      <c r="C320" s="260"/>
      <c r="D320" s="259"/>
      <c r="E320" s="259"/>
      <c r="F320" s="259"/>
    </row>
    <row r="321" spans="1:6" x14ac:dyDescent="0.25">
      <c r="A321" s="262"/>
      <c r="B321" s="262"/>
      <c r="C321" s="260"/>
      <c r="D321" s="259"/>
      <c r="E321" s="259"/>
      <c r="F321" s="259"/>
    </row>
    <row r="322" spans="1:6" x14ac:dyDescent="0.25">
      <c r="A322" s="262"/>
      <c r="B322" s="262"/>
      <c r="C322" s="260"/>
      <c r="D322" s="259"/>
      <c r="E322" s="259"/>
      <c r="F322" s="259"/>
    </row>
    <row r="323" spans="1:6" x14ac:dyDescent="0.25">
      <c r="A323" s="262"/>
      <c r="B323" s="262"/>
      <c r="C323" s="260"/>
      <c r="D323" s="259"/>
      <c r="E323" s="259"/>
      <c r="F323" s="259"/>
    </row>
    <row r="324" spans="1:6" x14ac:dyDescent="0.25">
      <c r="A324" s="262"/>
      <c r="B324" s="262"/>
      <c r="C324" s="260"/>
      <c r="D324" s="259"/>
      <c r="E324" s="259"/>
      <c r="F324" s="259"/>
    </row>
    <row r="325" spans="1:6" x14ac:dyDescent="0.25">
      <c r="A325" s="262"/>
      <c r="B325" s="262"/>
      <c r="C325" s="260"/>
      <c r="D325" s="259"/>
      <c r="E325" s="259"/>
      <c r="F325" s="259"/>
    </row>
    <row r="326" spans="1:6" x14ac:dyDescent="0.25">
      <c r="A326" s="262"/>
      <c r="B326" s="262"/>
      <c r="C326" s="260"/>
      <c r="D326" s="259"/>
      <c r="E326" s="259"/>
      <c r="F326" s="259"/>
    </row>
    <row r="327" spans="1:6" x14ac:dyDescent="0.25">
      <c r="A327" s="262"/>
      <c r="B327" s="262"/>
      <c r="C327" s="260"/>
      <c r="D327" s="259"/>
      <c r="E327" s="259"/>
      <c r="F327" s="259"/>
    </row>
    <row r="328" spans="1:6" x14ac:dyDescent="0.25">
      <c r="A328" s="262"/>
      <c r="B328" s="262"/>
      <c r="C328" s="260"/>
      <c r="D328" s="259"/>
      <c r="E328" s="259"/>
      <c r="F328" s="259"/>
    </row>
    <row r="329" spans="1:6" x14ac:dyDescent="0.25">
      <c r="A329" s="262"/>
      <c r="B329" s="262"/>
      <c r="C329" s="260"/>
      <c r="D329" s="259"/>
      <c r="E329" s="259"/>
      <c r="F329" s="259"/>
    </row>
    <row r="330" spans="1:6" x14ac:dyDescent="0.25">
      <c r="A330" s="262"/>
      <c r="B330" s="262"/>
      <c r="C330" s="260"/>
      <c r="D330" s="259"/>
      <c r="E330" s="259"/>
      <c r="F330" s="259"/>
    </row>
    <row r="331" spans="1:6" x14ac:dyDescent="0.25">
      <c r="A331" s="262"/>
      <c r="B331" s="262"/>
      <c r="C331" s="260"/>
      <c r="D331" s="259"/>
      <c r="E331" s="259"/>
      <c r="F331" s="259"/>
    </row>
    <row r="332" spans="1:6" x14ac:dyDescent="0.25">
      <c r="A332" s="262"/>
      <c r="B332" s="262"/>
      <c r="C332" s="260"/>
      <c r="D332" s="259"/>
      <c r="E332" s="259"/>
      <c r="F332" s="259"/>
    </row>
    <row r="333" spans="1:6" x14ac:dyDescent="0.25">
      <c r="A333" s="262"/>
      <c r="B333" s="262"/>
      <c r="C333" s="260"/>
      <c r="D333" s="259"/>
      <c r="E333" s="259"/>
      <c r="F333" s="259"/>
    </row>
    <row r="334" spans="1:6" x14ac:dyDescent="0.25">
      <c r="A334" s="262"/>
      <c r="B334" s="262"/>
      <c r="C334" s="260"/>
      <c r="D334" s="259"/>
      <c r="E334" s="259"/>
      <c r="F334" s="259"/>
    </row>
    <row r="335" spans="1:6" x14ac:dyDescent="0.25">
      <c r="A335" s="262"/>
      <c r="B335" s="262"/>
      <c r="C335" s="260"/>
      <c r="D335" s="259"/>
      <c r="E335" s="259"/>
      <c r="F335" s="259"/>
    </row>
    <row r="336" spans="1:6" x14ac:dyDescent="0.25">
      <c r="A336" s="262"/>
      <c r="B336" s="262"/>
      <c r="C336" s="260"/>
      <c r="D336" s="259"/>
      <c r="E336" s="259"/>
      <c r="F336" s="259"/>
    </row>
    <row r="337" spans="1:6" x14ac:dyDescent="0.25">
      <c r="A337" s="262"/>
      <c r="B337" s="262"/>
      <c r="C337" s="260"/>
      <c r="D337" s="259"/>
      <c r="E337" s="259"/>
      <c r="F337" s="259"/>
    </row>
    <row r="338" spans="1:6" x14ac:dyDescent="0.25">
      <c r="A338" s="262"/>
      <c r="B338" s="262"/>
      <c r="C338" s="260"/>
      <c r="D338" s="259"/>
      <c r="E338" s="259"/>
      <c r="F338" s="259"/>
    </row>
    <row r="339" spans="1:6" x14ac:dyDescent="0.25">
      <c r="A339" s="262"/>
      <c r="B339" s="262"/>
      <c r="C339" s="260"/>
      <c r="D339" s="259"/>
      <c r="E339" s="259"/>
      <c r="F339" s="259"/>
    </row>
    <row r="340" spans="1:6" x14ac:dyDescent="0.25">
      <c r="A340" s="262"/>
      <c r="B340" s="262"/>
      <c r="C340" s="260"/>
      <c r="D340" s="259"/>
      <c r="E340" s="259"/>
      <c r="F340" s="259"/>
    </row>
    <row r="341" spans="1:6" x14ac:dyDescent="0.25">
      <c r="A341" s="262"/>
      <c r="B341" s="262"/>
      <c r="C341" s="260"/>
      <c r="D341" s="259"/>
      <c r="E341" s="259"/>
      <c r="F341" s="259"/>
    </row>
    <row r="342" spans="1:6" x14ac:dyDescent="0.25">
      <c r="A342" s="262"/>
      <c r="B342" s="262"/>
      <c r="C342" s="260"/>
      <c r="D342" s="259"/>
      <c r="E342" s="259"/>
      <c r="F342" s="259"/>
    </row>
    <row r="343" spans="1:6" x14ac:dyDescent="0.25">
      <c r="A343" s="262"/>
      <c r="B343" s="262"/>
      <c r="C343" s="260"/>
      <c r="D343" s="259"/>
      <c r="E343" s="259"/>
      <c r="F343" s="259"/>
    </row>
    <row r="344" spans="1:6" x14ac:dyDescent="0.25">
      <c r="A344" s="262"/>
      <c r="B344" s="262"/>
      <c r="C344" s="260"/>
      <c r="D344" s="259"/>
      <c r="E344" s="259"/>
      <c r="F344" s="259"/>
    </row>
    <row r="345" spans="1:6" x14ac:dyDescent="0.25">
      <c r="A345" s="262"/>
      <c r="B345" s="262"/>
      <c r="C345" s="260"/>
      <c r="D345" s="259"/>
      <c r="E345" s="259"/>
      <c r="F345" s="259"/>
    </row>
    <row r="346" spans="1:6" x14ac:dyDescent="0.25">
      <c r="A346" s="262"/>
      <c r="B346" s="262"/>
      <c r="C346" s="260"/>
      <c r="D346" s="259"/>
      <c r="E346" s="259"/>
      <c r="F346" s="259"/>
    </row>
    <row r="347" spans="1:6" x14ac:dyDescent="0.25">
      <c r="A347" s="262"/>
      <c r="B347" s="262"/>
      <c r="C347" s="260"/>
      <c r="D347" s="259"/>
      <c r="E347" s="259"/>
      <c r="F347" s="259"/>
    </row>
    <row r="348" spans="1:6" x14ac:dyDescent="0.25">
      <c r="A348" s="262"/>
      <c r="B348" s="262"/>
      <c r="C348" s="260"/>
      <c r="D348" s="259"/>
      <c r="E348" s="259"/>
      <c r="F348" s="259"/>
    </row>
    <row r="349" spans="1:6" x14ac:dyDescent="0.25">
      <c r="A349" s="262"/>
      <c r="B349" s="262"/>
      <c r="C349" s="260"/>
      <c r="D349" s="259"/>
      <c r="E349" s="259"/>
      <c r="F349" s="259"/>
    </row>
    <row r="350" spans="1:6" x14ac:dyDescent="0.25">
      <c r="A350" s="262"/>
      <c r="B350" s="262"/>
      <c r="C350" s="260"/>
      <c r="D350" s="259"/>
      <c r="E350" s="259"/>
      <c r="F350" s="259"/>
    </row>
    <row r="351" spans="1:6" x14ac:dyDescent="0.25">
      <c r="A351" s="262"/>
      <c r="B351" s="262"/>
      <c r="C351" s="260"/>
      <c r="D351" s="259"/>
      <c r="E351" s="259"/>
      <c r="F351" s="259"/>
    </row>
    <row r="352" spans="1:6" x14ac:dyDescent="0.25">
      <c r="A352" s="262"/>
      <c r="B352" s="262"/>
      <c r="C352" s="260"/>
      <c r="D352" s="259"/>
      <c r="E352" s="259"/>
      <c r="F352" s="259"/>
    </row>
    <row r="353" spans="1:6" x14ac:dyDescent="0.25">
      <c r="A353" s="262"/>
      <c r="B353" s="262"/>
      <c r="C353" s="260"/>
      <c r="D353" s="259"/>
      <c r="E353" s="259"/>
      <c r="F353" s="259"/>
    </row>
    <row r="354" spans="1:6" x14ac:dyDescent="0.25">
      <c r="A354" s="262"/>
      <c r="B354" s="262"/>
      <c r="C354" s="260"/>
      <c r="D354" s="259"/>
      <c r="E354" s="259"/>
      <c r="F354" s="259"/>
    </row>
    <row r="355" spans="1:6" x14ac:dyDescent="0.25">
      <c r="A355" s="262"/>
      <c r="B355" s="262"/>
      <c r="C355" s="260"/>
      <c r="D355" s="259"/>
      <c r="E355" s="259"/>
      <c r="F355" s="259"/>
    </row>
    <row r="356" spans="1:6" x14ac:dyDescent="0.25">
      <c r="A356" s="262"/>
      <c r="B356" s="262"/>
      <c r="C356" s="260"/>
      <c r="D356" s="259"/>
      <c r="E356" s="259"/>
      <c r="F356" s="259"/>
    </row>
    <row r="357" spans="1:6" x14ac:dyDescent="0.25">
      <c r="A357" s="262"/>
      <c r="B357" s="262"/>
      <c r="C357" s="260"/>
      <c r="D357" s="259"/>
      <c r="E357" s="259"/>
      <c r="F357" s="259"/>
    </row>
    <row r="358" spans="1:6" x14ac:dyDescent="0.25">
      <c r="A358" s="262"/>
      <c r="B358" s="262"/>
      <c r="C358" s="260"/>
      <c r="D358" s="259"/>
      <c r="E358" s="259"/>
      <c r="F358" s="259"/>
    </row>
    <row r="359" spans="1:6" x14ac:dyDescent="0.25">
      <c r="A359" s="262"/>
      <c r="B359" s="262"/>
      <c r="C359" s="260"/>
      <c r="D359" s="259"/>
      <c r="E359" s="259"/>
      <c r="F359" s="259"/>
    </row>
    <row r="360" spans="1:6" x14ac:dyDescent="0.25">
      <c r="A360" s="262"/>
      <c r="B360" s="262"/>
      <c r="C360" s="260"/>
      <c r="D360" s="259"/>
      <c r="E360" s="259"/>
      <c r="F360" s="259"/>
    </row>
    <row r="361" spans="1:6" x14ac:dyDescent="0.25">
      <c r="A361" s="262"/>
      <c r="B361" s="262"/>
      <c r="C361" s="260"/>
      <c r="D361" s="259"/>
      <c r="E361" s="259"/>
      <c r="F361" s="259"/>
    </row>
    <row r="362" spans="1:6" x14ac:dyDescent="0.25">
      <c r="A362" s="262"/>
      <c r="B362" s="262"/>
      <c r="C362" s="260"/>
      <c r="D362" s="259"/>
      <c r="E362" s="259"/>
      <c r="F362" s="259"/>
    </row>
    <row r="363" spans="1:6" x14ac:dyDescent="0.25">
      <c r="A363" s="262"/>
      <c r="B363" s="262"/>
      <c r="C363" s="260"/>
      <c r="D363" s="259"/>
      <c r="E363" s="259"/>
      <c r="F363" s="259"/>
    </row>
    <row r="364" spans="1:6" x14ac:dyDescent="0.25">
      <c r="A364" s="262"/>
      <c r="B364" s="262"/>
      <c r="C364" s="260"/>
      <c r="D364" s="259"/>
      <c r="E364" s="259"/>
      <c r="F364" s="259"/>
    </row>
    <row r="365" spans="1:6" x14ac:dyDescent="0.25">
      <c r="A365" s="262"/>
      <c r="B365" s="262"/>
      <c r="C365" s="260"/>
      <c r="D365" s="259"/>
      <c r="E365" s="259"/>
      <c r="F365" s="259"/>
    </row>
    <row r="366" spans="1:6" x14ac:dyDescent="0.25">
      <c r="A366" s="262"/>
      <c r="B366" s="262"/>
      <c r="C366" s="260"/>
      <c r="D366" s="259"/>
      <c r="E366" s="259"/>
      <c r="F366" s="259"/>
    </row>
    <row r="367" spans="1:6" x14ac:dyDescent="0.25">
      <c r="A367" s="262"/>
      <c r="B367" s="262"/>
      <c r="C367" s="260"/>
      <c r="D367" s="259"/>
      <c r="E367" s="259"/>
      <c r="F367" s="259"/>
    </row>
    <row r="368" spans="1:6" x14ac:dyDescent="0.25">
      <c r="A368" s="262"/>
      <c r="B368" s="262"/>
      <c r="C368" s="260"/>
      <c r="D368" s="259"/>
      <c r="E368" s="259"/>
      <c r="F368" s="259"/>
    </row>
    <row r="369" spans="1:6" x14ac:dyDescent="0.25">
      <c r="A369" s="262"/>
      <c r="B369" s="262"/>
      <c r="C369" s="260"/>
      <c r="D369" s="259"/>
      <c r="E369" s="259"/>
      <c r="F369" s="259"/>
    </row>
    <row r="370" spans="1:6" x14ac:dyDescent="0.25">
      <c r="A370" s="262"/>
      <c r="B370" s="262"/>
      <c r="C370" s="260"/>
      <c r="D370" s="259"/>
      <c r="E370" s="259"/>
      <c r="F370" s="259"/>
    </row>
    <row r="371" spans="1:6" x14ac:dyDescent="0.25">
      <c r="A371" s="262"/>
      <c r="B371" s="262"/>
      <c r="C371" s="260"/>
      <c r="D371" s="259"/>
      <c r="E371" s="259"/>
      <c r="F371" s="259"/>
    </row>
    <row r="372" spans="1:6" x14ac:dyDescent="0.25">
      <c r="A372" s="262"/>
      <c r="B372" s="262"/>
      <c r="C372" s="260"/>
      <c r="D372" s="259"/>
      <c r="E372" s="259"/>
      <c r="F372" s="259"/>
    </row>
    <row r="373" spans="1:6" x14ac:dyDescent="0.25">
      <c r="A373" s="262"/>
      <c r="B373" s="262"/>
      <c r="C373" s="260"/>
      <c r="D373" s="259"/>
      <c r="E373" s="259"/>
      <c r="F373" s="259"/>
    </row>
    <row r="374" spans="1:6" x14ac:dyDescent="0.25">
      <c r="A374" s="262"/>
      <c r="B374" s="262"/>
      <c r="C374" s="260"/>
      <c r="D374" s="259"/>
      <c r="E374" s="259"/>
      <c r="F374" s="259"/>
    </row>
    <row r="375" spans="1:6" x14ac:dyDescent="0.25">
      <c r="A375" s="262"/>
      <c r="B375" s="262"/>
      <c r="C375" s="260"/>
      <c r="D375" s="259"/>
      <c r="E375" s="259"/>
      <c r="F375" s="259"/>
    </row>
    <row r="376" spans="1:6" x14ac:dyDescent="0.25">
      <c r="A376" s="262"/>
      <c r="B376" s="262"/>
      <c r="C376" s="260"/>
      <c r="D376" s="259"/>
      <c r="E376" s="259"/>
      <c r="F376" s="259"/>
    </row>
    <row r="377" spans="1:6" x14ac:dyDescent="0.25">
      <c r="A377" s="262"/>
      <c r="B377" s="262"/>
      <c r="C377" s="260"/>
      <c r="D377" s="259"/>
      <c r="E377" s="259"/>
      <c r="F377" s="259"/>
    </row>
    <row r="378" spans="1:6" x14ac:dyDescent="0.25">
      <c r="A378" s="262"/>
      <c r="B378" s="262"/>
      <c r="C378" s="260"/>
      <c r="D378" s="259"/>
      <c r="E378" s="259"/>
      <c r="F378" s="259"/>
    </row>
    <row r="379" spans="1:6" x14ac:dyDescent="0.25">
      <c r="A379" s="262"/>
      <c r="B379" s="262"/>
      <c r="C379" s="260"/>
      <c r="D379" s="259"/>
      <c r="E379" s="259"/>
      <c r="F379" s="259"/>
    </row>
    <row r="380" spans="1:6" x14ac:dyDescent="0.25">
      <c r="A380" s="262"/>
      <c r="B380" s="262"/>
      <c r="C380" s="260"/>
      <c r="D380" s="259"/>
      <c r="E380" s="259"/>
      <c r="F380" s="259"/>
    </row>
    <row r="381" spans="1:6" x14ac:dyDescent="0.25">
      <c r="A381" s="262"/>
      <c r="B381" s="262"/>
      <c r="C381" s="260"/>
      <c r="D381" s="259"/>
      <c r="E381" s="259"/>
      <c r="F381" s="259"/>
    </row>
    <row r="382" spans="1:6" x14ac:dyDescent="0.25">
      <c r="A382" s="262"/>
      <c r="B382" s="262"/>
      <c r="C382" s="260"/>
      <c r="D382" s="259"/>
      <c r="E382" s="259"/>
      <c r="F382" s="259"/>
    </row>
    <row r="383" spans="1:6" x14ac:dyDescent="0.25">
      <c r="A383" s="262"/>
      <c r="B383" s="262"/>
      <c r="C383" s="260"/>
      <c r="D383" s="259"/>
      <c r="E383" s="259"/>
      <c r="F383" s="259"/>
    </row>
    <row r="384" spans="1:6" x14ac:dyDescent="0.25">
      <c r="A384" s="262"/>
      <c r="B384" s="262"/>
      <c r="C384" s="260"/>
      <c r="D384" s="259"/>
      <c r="E384" s="259"/>
      <c r="F384" s="259"/>
    </row>
    <row r="385" spans="1:6" x14ac:dyDescent="0.25">
      <c r="A385" s="262"/>
      <c r="B385" s="262"/>
      <c r="C385" s="260"/>
      <c r="D385" s="259"/>
      <c r="E385" s="259"/>
      <c r="F385" s="259"/>
    </row>
    <row r="386" spans="1:6" x14ac:dyDescent="0.25">
      <c r="A386" s="262"/>
      <c r="B386" s="262"/>
      <c r="C386" s="260"/>
      <c r="D386" s="259"/>
      <c r="E386" s="259"/>
      <c r="F386" s="259"/>
    </row>
    <row r="387" spans="1:6" x14ac:dyDescent="0.25">
      <c r="A387" s="262"/>
      <c r="B387" s="262"/>
      <c r="C387" s="260"/>
      <c r="D387" s="259"/>
      <c r="E387" s="259"/>
      <c r="F387" s="259"/>
    </row>
    <row r="388" spans="1:6" x14ac:dyDescent="0.25">
      <c r="A388" s="262"/>
      <c r="B388" s="262"/>
      <c r="C388" s="260"/>
      <c r="D388" s="259"/>
      <c r="E388" s="259"/>
      <c r="F388" s="259"/>
    </row>
    <row r="389" spans="1:6" x14ac:dyDescent="0.25">
      <c r="A389" s="262"/>
      <c r="B389" s="262"/>
      <c r="C389" s="260"/>
      <c r="D389" s="259"/>
      <c r="E389" s="259"/>
      <c r="F389" s="259"/>
    </row>
    <row r="390" spans="1:6" x14ac:dyDescent="0.25">
      <c r="A390" s="262"/>
      <c r="B390" s="262"/>
      <c r="C390" s="260"/>
      <c r="D390" s="259"/>
      <c r="E390" s="259"/>
      <c r="F390" s="259"/>
    </row>
    <row r="391" spans="1:6" x14ac:dyDescent="0.25">
      <c r="A391" s="262"/>
      <c r="B391" s="262"/>
      <c r="C391" s="260"/>
      <c r="D391" s="259"/>
      <c r="E391" s="259"/>
      <c r="F391" s="259"/>
    </row>
    <row r="392" spans="1:6" x14ac:dyDescent="0.25">
      <c r="A392" s="262"/>
      <c r="B392" s="262"/>
      <c r="C392" s="260"/>
      <c r="D392" s="259"/>
      <c r="E392" s="259"/>
      <c r="F392" s="259"/>
    </row>
    <row r="393" spans="1:6" x14ac:dyDescent="0.25">
      <c r="A393" s="262"/>
      <c r="B393" s="262"/>
      <c r="C393" s="260"/>
      <c r="D393" s="259"/>
      <c r="E393" s="259"/>
      <c r="F393" s="259"/>
    </row>
    <row r="394" spans="1:6" x14ac:dyDescent="0.25">
      <c r="A394" s="262"/>
      <c r="B394" s="262"/>
      <c r="C394" s="260"/>
      <c r="D394" s="259"/>
      <c r="E394" s="259"/>
      <c r="F394" s="259"/>
    </row>
    <row r="395" spans="1:6" x14ac:dyDescent="0.25">
      <c r="A395" s="262"/>
      <c r="B395" s="262"/>
      <c r="C395" s="260"/>
      <c r="D395" s="259"/>
      <c r="E395" s="259"/>
      <c r="F395" s="259"/>
    </row>
    <row r="396" spans="1:6" x14ac:dyDescent="0.25">
      <c r="A396" s="262"/>
      <c r="B396" s="262"/>
      <c r="C396" s="260"/>
      <c r="D396" s="259"/>
      <c r="E396" s="259"/>
      <c r="F396" s="259"/>
    </row>
    <row r="397" spans="1:6" x14ac:dyDescent="0.25">
      <c r="A397" s="262"/>
      <c r="B397" s="262"/>
      <c r="C397" s="260"/>
      <c r="D397" s="259"/>
      <c r="E397" s="259"/>
      <c r="F397" s="259"/>
    </row>
    <row r="398" spans="1:6" x14ac:dyDescent="0.25">
      <c r="A398" s="262"/>
      <c r="B398" s="262"/>
      <c r="C398" s="260"/>
      <c r="D398" s="259"/>
      <c r="E398" s="259"/>
      <c r="F398" s="259"/>
    </row>
    <row r="399" spans="1:6" x14ac:dyDescent="0.25">
      <c r="A399" s="262"/>
      <c r="B399" s="262"/>
      <c r="C399" s="260"/>
      <c r="D399" s="259"/>
      <c r="E399" s="259"/>
      <c r="F399" s="259"/>
    </row>
    <row r="400" spans="1:6" x14ac:dyDescent="0.25">
      <c r="A400" s="262"/>
      <c r="B400" s="262"/>
      <c r="C400" s="260"/>
      <c r="D400" s="259"/>
      <c r="E400" s="259"/>
      <c r="F400" s="259"/>
    </row>
    <row r="401" spans="1:6" x14ac:dyDescent="0.25">
      <c r="A401" s="262"/>
      <c r="B401" s="262"/>
      <c r="C401" s="260"/>
      <c r="D401" s="259"/>
      <c r="E401" s="259"/>
      <c r="F401" s="259"/>
    </row>
    <row r="402" spans="1:6" x14ac:dyDescent="0.25">
      <c r="A402" s="262"/>
      <c r="B402" s="262"/>
      <c r="C402" s="260"/>
      <c r="D402" s="259"/>
      <c r="E402" s="259"/>
      <c r="F402" s="259"/>
    </row>
    <row r="403" spans="1:6" x14ac:dyDescent="0.25">
      <c r="A403" s="262"/>
      <c r="B403" s="262"/>
      <c r="C403" s="260"/>
      <c r="D403" s="259"/>
      <c r="E403" s="259"/>
      <c r="F403" s="259"/>
    </row>
    <row r="404" spans="1:6" x14ac:dyDescent="0.25">
      <c r="A404" s="262"/>
      <c r="B404" s="262"/>
      <c r="C404" s="260"/>
      <c r="D404" s="259"/>
      <c r="E404" s="259"/>
      <c r="F404" s="259"/>
    </row>
    <row r="405" spans="1:6" x14ac:dyDescent="0.25">
      <c r="A405" s="262"/>
      <c r="B405" s="262"/>
      <c r="C405" s="260"/>
      <c r="D405" s="259"/>
      <c r="E405" s="259"/>
      <c r="F405" s="259"/>
    </row>
    <row r="406" spans="1:6" x14ac:dyDescent="0.25">
      <c r="A406" s="262"/>
      <c r="B406" s="262"/>
      <c r="C406" s="260"/>
      <c r="D406" s="259"/>
      <c r="E406" s="259"/>
      <c r="F406" s="259"/>
    </row>
    <row r="407" spans="1:6" x14ac:dyDescent="0.25">
      <c r="A407" s="262"/>
      <c r="B407" s="262"/>
      <c r="C407" s="260"/>
      <c r="D407" s="259"/>
      <c r="E407" s="259"/>
      <c r="F407" s="259"/>
    </row>
    <row r="408" spans="1:6" x14ac:dyDescent="0.25">
      <c r="A408" s="262"/>
      <c r="B408" s="262"/>
      <c r="C408" s="260"/>
      <c r="D408" s="259"/>
      <c r="E408" s="259"/>
      <c r="F408" s="259"/>
    </row>
    <row r="409" spans="1:6" x14ac:dyDescent="0.25">
      <c r="A409" s="262"/>
      <c r="B409" s="262"/>
      <c r="C409" s="260"/>
      <c r="D409" s="259"/>
      <c r="E409" s="259"/>
      <c r="F409" s="259"/>
    </row>
    <row r="410" spans="1:6" x14ac:dyDescent="0.25">
      <c r="A410" s="262"/>
      <c r="B410" s="262"/>
      <c r="C410" s="260"/>
      <c r="D410" s="259"/>
      <c r="E410" s="259"/>
      <c r="F410" s="259"/>
    </row>
    <row r="411" spans="1:6" x14ac:dyDescent="0.25">
      <c r="A411" s="262"/>
      <c r="B411" s="262"/>
      <c r="C411" s="260"/>
      <c r="D411" s="259"/>
      <c r="E411" s="259"/>
      <c r="F411" s="259"/>
    </row>
    <row r="412" spans="1:6" x14ac:dyDescent="0.25">
      <c r="A412" s="262"/>
      <c r="B412" s="262"/>
      <c r="C412" s="260"/>
      <c r="D412" s="259"/>
      <c r="E412" s="259"/>
      <c r="F412" s="259"/>
    </row>
    <row r="413" spans="1:6" x14ac:dyDescent="0.25">
      <c r="A413" s="262"/>
      <c r="B413" s="262"/>
      <c r="C413" s="260"/>
      <c r="D413" s="259"/>
      <c r="E413" s="259"/>
      <c r="F413" s="259"/>
    </row>
    <row r="414" spans="1:6" x14ac:dyDescent="0.25">
      <c r="A414" s="262"/>
      <c r="B414" s="262"/>
      <c r="C414" s="260"/>
      <c r="D414" s="259"/>
      <c r="E414" s="259"/>
      <c r="F414" s="259"/>
    </row>
    <row r="415" spans="1:6" x14ac:dyDescent="0.25">
      <c r="A415" s="262"/>
      <c r="B415" s="262"/>
      <c r="C415" s="260"/>
      <c r="D415" s="259"/>
      <c r="E415" s="259"/>
      <c r="F415" s="259"/>
    </row>
    <row r="416" spans="1:6" x14ac:dyDescent="0.25">
      <c r="A416" s="262"/>
      <c r="B416" s="262"/>
      <c r="C416" s="260"/>
      <c r="D416" s="259"/>
      <c r="E416" s="259"/>
      <c r="F416" s="259"/>
    </row>
    <row r="417" spans="1:6" x14ac:dyDescent="0.25">
      <c r="A417" s="262"/>
      <c r="B417" s="262"/>
      <c r="C417" s="260"/>
      <c r="D417" s="259"/>
      <c r="E417" s="259"/>
      <c r="F417" s="259"/>
    </row>
    <row r="418" spans="1:6" x14ac:dyDescent="0.25">
      <c r="A418" s="262"/>
      <c r="B418" s="262"/>
      <c r="C418" s="260"/>
      <c r="D418" s="259"/>
      <c r="E418" s="259"/>
      <c r="F418" s="259"/>
    </row>
    <row r="419" spans="1:6" x14ac:dyDescent="0.25">
      <c r="A419" s="262"/>
      <c r="B419" s="262"/>
      <c r="C419" s="260"/>
      <c r="D419" s="259"/>
      <c r="E419" s="259"/>
      <c r="F419" s="259"/>
    </row>
    <row r="420" spans="1:6" x14ac:dyDescent="0.25">
      <c r="A420" s="262"/>
      <c r="B420" s="262"/>
      <c r="C420" s="260"/>
      <c r="D420" s="259"/>
      <c r="E420" s="259"/>
      <c r="F420" s="259"/>
    </row>
    <row r="421" spans="1:6" x14ac:dyDescent="0.25">
      <c r="A421" s="262"/>
      <c r="B421" s="262"/>
      <c r="C421" s="260"/>
      <c r="D421" s="259"/>
      <c r="E421" s="259"/>
      <c r="F421" s="259"/>
    </row>
    <row r="422" spans="1:6" x14ac:dyDescent="0.25">
      <c r="A422" s="262"/>
      <c r="B422" s="262"/>
      <c r="C422" s="260"/>
      <c r="D422" s="259"/>
      <c r="E422" s="259"/>
      <c r="F422" s="259"/>
    </row>
    <row r="423" spans="1:6" x14ac:dyDescent="0.25">
      <c r="A423" s="262"/>
      <c r="B423" s="262"/>
      <c r="C423" s="260"/>
      <c r="D423" s="259"/>
      <c r="E423" s="259"/>
      <c r="F423" s="259"/>
    </row>
    <row r="424" spans="1:6" x14ac:dyDescent="0.25">
      <c r="A424" s="262"/>
      <c r="B424" s="262"/>
      <c r="C424" s="260"/>
      <c r="D424" s="259"/>
      <c r="E424" s="259"/>
      <c r="F424" s="259"/>
    </row>
    <row r="425" spans="1:6" x14ac:dyDescent="0.25">
      <c r="A425" s="262"/>
      <c r="B425" s="262"/>
      <c r="C425" s="260"/>
      <c r="D425" s="259"/>
      <c r="E425" s="259"/>
      <c r="F425" s="259"/>
    </row>
    <row r="426" spans="1:6" x14ac:dyDescent="0.25">
      <c r="A426" s="262"/>
      <c r="B426" s="262"/>
      <c r="C426" s="260"/>
      <c r="D426" s="259"/>
      <c r="E426" s="259"/>
      <c r="F426" s="259"/>
    </row>
    <row r="427" spans="1:6" x14ac:dyDescent="0.25">
      <c r="A427" s="262"/>
      <c r="B427" s="262"/>
      <c r="C427" s="260"/>
      <c r="D427" s="259"/>
      <c r="E427" s="259"/>
      <c r="F427" s="259"/>
    </row>
    <row r="428" spans="1:6" x14ac:dyDescent="0.25">
      <c r="A428" s="262"/>
      <c r="B428" s="262"/>
      <c r="C428" s="260"/>
      <c r="D428" s="259"/>
      <c r="E428" s="259"/>
      <c r="F428" s="259"/>
    </row>
    <row r="429" spans="1:6" x14ac:dyDescent="0.25">
      <c r="A429" s="262"/>
      <c r="B429" s="262"/>
      <c r="C429" s="260"/>
      <c r="D429" s="259"/>
      <c r="E429" s="259"/>
      <c r="F429" s="259"/>
    </row>
    <row r="430" spans="1:6" x14ac:dyDescent="0.25">
      <c r="A430" s="262"/>
      <c r="B430" s="262"/>
      <c r="C430" s="260"/>
      <c r="D430" s="259"/>
      <c r="E430" s="259"/>
      <c r="F430" s="259"/>
    </row>
    <row r="431" spans="1:6" x14ac:dyDescent="0.25">
      <c r="A431" s="262"/>
      <c r="B431" s="262"/>
      <c r="C431" s="260"/>
      <c r="D431" s="259"/>
      <c r="E431" s="259"/>
      <c r="F431" s="259"/>
    </row>
    <row r="432" spans="1:6" x14ac:dyDescent="0.25">
      <c r="A432" s="262"/>
      <c r="B432" s="262"/>
      <c r="C432" s="260"/>
      <c r="D432" s="259"/>
      <c r="E432" s="259"/>
      <c r="F432" s="259"/>
    </row>
    <row r="433" spans="1:6" x14ac:dyDescent="0.25">
      <c r="A433" s="262"/>
      <c r="B433" s="262"/>
      <c r="C433" s="260"/>
      <c r="D433" s="259"/>
      <c r="E433" s="259"/>
      <c r="F433" s="259"/>
    </row>
    <row r="434" spans="1:6" x14ac:dyDescent="0.25">
      <c r="A434" s="262"/>
      <c r="B434" s="262"/>
      <c r="C434" s="260"/>
      <c r="D434" s="259"/>
      <c r="E434" s="259"/>
      <c r="F434" s="259"/>
    </row>
    <row r="435" spans="1:6" x14ac:dyDescent="0.25">
      <c r="A435" s="262"/>
      <c r="B435" s="262"/>
      <c r="C435" s="260"/>
      <c r="D435" s="259"/>
      <c r="E435" s="259"/>
      <c r="F435" s="259"/>
    </row>
    <row r="436" spans="1:6" x14ac:dyDescent="0.25">
      <c r="A436" s="262"/>
      <c r="B436" s="262"/>
      <c r="C436" s="260"/>
      <c r="D436" s="259"/>
      <c r="E436" s="259"/>
      <c r="F436" s="259"/>
    </row>
    <row r="437" spans="1:6" x14ac:dyDescent="0.25">
      <c r="A437" s="262"/>
      <c r="B437" s="262"/>
      <c r="C437" s="260"/>
      <c r="D437" s="259"/>
      <c r="E437" s="259"/>
      <c r="F437" s="259"/>
    </row>
    <row r="438" spans="1:6" x14ac:dyDescent="0.25">
      <c r="A438" s="262"/>
      <c r="B438" s="262"/>
      <c r="C438" s="260"/>
      <c r="D438" s="259"/>
      <c r="E438" s="259"/>
      <c r="F438" s="259"/>
    </row>
    <row r="439" spans="1:6" x14ac:dyDescent="0.25">
      <c r="A439" s="262"/>
      <c r="B439" s="262"/>
      <c r="C439" s="260"/>
      <c r="D439" s="259"/>
      <c r="E439" s="259"/>
      <c r="F439" s="259"/>
    </row>
    <row r="440" spans="1:6" x14ac:dyDescent="0.25">
      <c r="A440" s="262"/>
      <c r="B440" s="262"/>
      <c r="C440" s="260"/>
      <c r="D440" s="259"/>
      <c r="E440" s="259"/>
      <c r="F440" s="259"/>
    </row>
    <row r="441" spans="1:6" x14ac:dyDescent="0.25">
      <c r="A441" s="262"/>
      <c r="B441" s="262"/>
      <c r="C441" s="260"/>
      <c r="D441" s="259"/>
      <c r="E441" s="259"/>
      <c r="F441" s="259"/>
    </row>
    <row r="442" spans="1:6" x14ac:dyDescent="0.25">
      <c r="A442" s="262"/>
      <c r="B442" s="262"/>
      <c r="C442" s="260"/>
      <c r="D442" s="259"/>
      <c r="E442" s="259"/>
      <c r="F442" s="259"/>
    </row>
    <row r="443" spans="1:6" x14ac:dyDescent="0.25">
      <c r="A443" s="262"/>
      <c r="B443" s="262"/>
      <c r="C443" s="260"/>
      <c r="D443" s="259"/>
      <c r="E443" s="259"/>
      <c r="F443" s="259"/>
    </row>
    <row r="444" spans="1:6" x14ac:dyDescent="0.25">
      <c r="A444" s="262"/>
      <c r="B444" s="262"/>
      <c r="C444" s="260"/>
      <c r="D444" s="259"/>
      <c r="E444" s="259"/>
      <c r="F444" s="259"/>
    </row>
    <row r="445" spans="1:6" x14ac:dyDescent="0.25">
      <c r="A445" s="262"/>
      <c r="B445" s="262"/>
      <c r="C445" s="260"/>
      <c r="D445" s="259"/>
      <c r="E445" s="259"/>
      <c r="F445" s="259"/>
    </row>
    <row r="446" spans="1:6" x14ac:dyDescent="0.25">
      <c r="A446" s="262"/>
      <c r="B446" s="262"/>
      <c r="C446" s="260"/>
      <c r="D446" s="259"/>
      <c r="E446" s="259"/>
      <c r="F446" s="259"/>
    </row>
    <row r="447" spans="1:6" x14ac:dyDescent="0.25">
      <c r="A447" s="262"/>
      <c r="B447" s="262"/>
      <c r="C447" s="260"/>
      <c r="D447" s="259"/>
      <c r="E447" s="259"/>
      <c r="F447" s="259"/>
    </row>
    <row r="448" spans="1:6" x14ac:dyDescent="0.25">
      <c r="A448" s="262"/>
      <c r="B448" s="262"/>
      <c r="C448" s="260"/>
      <c r="D448" s="259"/>
      <c r="E448" s="259"/>
      <c r="F448" s="259"/>
    </row>
    <row r="449" spans="1:6" x14ac:dyDescent="0.25">
      <c r="A449" s="262"/>
      <c r="B449" s="262"/>
      <c r="C449" s="260"/>
      <c r="D449" s="259"/>
      <c r="E449" s="259"/>
      <c r="F449" s="259"/>
    </row>
    <row r="450" spans="1:6" x14ac:dyDescent="0.25">
      <c r="A450" s="262"/>
      <c r="B450" s="262"/>
      <c r="C450" s="260"/>
      <c r="D450" s="259"/>
      <c r="E450" s="259"/>
      <c r="F450" s="259"/>
    </row>
    <row r="451" spans="1:6" x14ac:dyDescent="0.25">
      <c r="A451" s="262"/>
      <c r="B451" s="262"/>
      <c r="C451" s="260"/>
      <c r="D451" s="259"/>
      <c r="E451" s="259"/>
      <c r="F451" s="259"/>
    </row>
    <row r="452" spans="1:6" x14ac:dyDescent="0.25">
      <c r="A452" s="262"/>
      <c r="B452" s="262"/>
      <c r="C452" s="260"/>
      <c r="D452" s="259"/>
      <c r="E452" s="259"/>
      <c r="F452" s="259"/>
    </row>
    <row r="453" spans="1:6" x14ac:dyDescent="0.25">
      <c r="A453" s="262"/>
      <c r="B453" s="262"/>
      <c r="C453" s="260"/>
      <c r="D453" s="259"/>
      <c r="E453" s="259"/>
      <c r="F453" s="259"/>
    </row>
    <row r="454" spans="1:6" x14ac:dyDescent="0.25">
      <c r="A454" s="262"/>
      <c r="B454" s="262"/>
      <c r="C454" s="260"/>
      <c r="D454" s="259"/>
      <c r="E454" s="259"/>
      <c r="F454" s="259"/>
    </row>
    <row r="455" spans="1:6" x14ac:dyDescent="0.25">
      <c r="A455" s="262"/>
      <c r="B455" s="262"/>
      <c r="C455" s="260"/>
      <c r="D455" s="259"/>
      <c r="E455" s="259"/>
      <c r="F455" s="259"/>
    </row>
    <row r="456" spans="1:6" x14ac:dyDescent="0.25">
      <c r="A456" s="262"/>
      <c r="B456" s="262"/>
      <c r="C456" s="260"/>
      <c r="D456" s="259"/>
      <c r="E456" s="259"/>
      <c r="F456" s="259"/>
    </row>
    <row r="457" spans="1:6" x14ac:dyDescent="0.25">
      <c r="A457" s="262"/>
      <c r="B457" s="262"/>
      <c r="C457" s="260"/>
      <c r="D457" s="259"/>
      <c r="E457" s="259"/>
      <c r="F457" s="259"/>
    </row>
    <row r="458" spans="1:6" x14ac:dyDescent="0.25">
      <c r="A458" s="262"/>
      <c r="B458" s="262"/>
      <c r="C458" s="260"/>
      <c r="D458" s="259"/>
      <c r="E458" s="259"/>
      <c r="F458" s="259"/>
    </row>
    <row r="459" spans="1:6" x14ac:dyDescent="0.25">
      <c r="A459" s="262"/>
      <c r="B459" s="262"/>
      <c r="C459" s="260"/>
      <c r="D459" s="259"/>
      <c r="E459" s="259"/>
      <c r="F459" s="259"/>
    </row>
    <row r="460" spans="1:6" x14ac:dyDescent="0.25">
      <c r="A460" s="262"/>
      <c r="B460" s="262"/>
      <c r="C460" s="260"/>
      <c r="D460" s="259"/>
      <c r="E460" s="259"/>
      <c r="F460" s="259"/>
    </row>
    <row r="461" spans="1:6" x14ac:dyDescent="0.25">
      <c r="A461" s="262"/>
      <c r="B461" s="262"/>
      <c r="C461" s="260"/>
      <c r="D461" s="259"/>
      <c r="E461" s="259"/>
      <c r="F461" s="259"/>
    </row>
    <row r="462" spans="1:6" x14ac:dyDescent="0.25">
      <c r="A462" s="262"/>
      <c r="B462" s="262"/>
      <c r="C462" s="260"/>
      <c r="D462" s="259"/>
      <c r="E462" s="259"/>
      <c r="F462" s="259"/>
    </row>
    <row r="463" spans="1:6" x14ac:dyDescent="0.25">
      <c r="A463" s="262"/>
      <c r="B463" s="262"/>
      <c r="C463" s="260"/>
      <c r="D463" s="259"/>
      <c r="E463" s="259"/>
      <c r="F463" s="259"/>
    </row>
    <row r="464" spans="1:6" x14ac:dyDescent="0.25">
      <c r="A464" s="262"/>
      <c r="B464" s="262"/>
      <c r="C464" s="260"/>
      <c r="D464" s="259"/>
      <c r="E464" s="259"/>
      <c r="F464" s="259"/>
    </row>
    <row r="465" spans="1:6" x14ac:dyDescent="0.25">
      <c r="A465" s="262"/>
      <c r="B465" s="262"/>
      <c r="C465" s="260"/>
      <c r="D465" s="259"/>
      <c r="E465" s="259"/>
      <c r="F465" s="259"/>
    </row>
    <row r="466" spans="1:6" x14ac:dyDescent="0.25">
      <c r="A466" s="262"/>
      <c r="B466" s="262"/>
      <c r="C466" s="260"/>
      <c r="D466" s="259"/>
      <c r="E466" s="259"/>
      <c r="F466" s="259"/>
    </row>
    <row r="467" spans="1:6" x14ac:dyDescent="0.25">
      <c r="A467" s="262"/>
      <c r="B467" s="262"/>
      <c r="C467" s="260"/>
      <c r="D467" s="259"/>
      <c r="E467" s="259"/>
      <c r="F467" s="259"/>
    </row>
    <row r="468" spans="1:6" x14ac:dyDescent="0.25">
      <c r="A468" s="262"/>
      <c r="B468" s="262"/>
      <c r="C468" s="260"/>
      <c r="D468" s="259"/>
      <c r="E468" s="259"/>
      <c r="F468" s="259"/>
    </row>
    <row r="469" spans="1:6" x14ac:dyDescent="0.25">
      <c r="A469" s="262"/>
      <c r="B469" s="262"/>
      <c r="C469" s="260"/>
      <c r="D469" s="259"/>
      <c r="E469" s="259"/>
      <c r="F469" s="259"/>
    </row>
    <row r="470" spans="1:6" x14ac:dyDescent="0.25">
      <c r="A470" s="262"/>
      <c r="B470" s="262"/>
      <c r="C470" s="260"/>
      <c r="D470" s="259"/>
      <c r="E470" s="259"/>
      <c r="F470" s="259"/>
    </row>
    <row r="471" spans="1:6" x14ac:dyDescent="0.25">
      <c r="A471" s="262"/>
      <c r="B471" s="262"/>
      <c r="C471" s="260"/>
      <c r="D471" s="259"/>
      <c r="E471" s="259"/>
      <c r="F471" s="259"/>
    </row>
    <row r="472" spans="1:6" x14ac:dyDescent="0.25">
      <c r="A472" s="262"/>
      <c r="B472" s="262"/>
      <c r="C472" s="260"/>
      <c r="D472" s="259"/>
      <c r="E472" s="259"/>
      <c r="F472" s="259"/>
    </row>
    <row r="473" spans="1:6" x14ac:dyDescent="0.25">
      <c r="A473" s="262"/>
      <c r="B473" s="262"/>
      <c r="C473" s="260"/>
      <c r="D473" s="259"/>
      <c r="E473" s="259"/>
      <c r="F473" s="259"/>
    </row>
    <row r="474" spans="1:6" x14ac:dyDescent="0.25">
      <c r="A474" s="262"/>
      <c r="B474" s="262"/>
      <c r="C474" s="260"/>
      <c r="D474" s="259"/>
      <c r="E474" s="259"/>
      <c r="F474" s="259"/>
    </row>
    <row r="475" spans="1:6" x14ac:dyDescent="0.25">
      <c r="A475" s="262"/>
      <c r="B475" s="262"/>
      <c r="C475" s="260"/>
      <c r="D475" s="259"/>
      <c r="E475" s="259"/>
      <c r="F475" s="259"/>
    </row>
    <row r="476" spans="1:6" x14ac:dyDescent="0.25">
      <c r="A476" s="262"/>
      <c r="B476" s="262"/>
      <c r="C476" s="260"/>
      <c r="D476" s="259"/>
      <c r="E476" s="259"/>
      <c r="F476" s="259"/>
    </row>
    <row r="477" spans="1:6" x14ac:dyDescent="0.25">
      <c r="A477" s="262"/>
      <c r="B477" s="262"/>
      <c r="C477" s="260"/>
      <c r="D477" s="259"/>
      <c r="E477" s="259"/>
      <c r="F477" s="259"/>
    </row>
    <row r="478" spans="1:6" x14ac:dyDescent="0.25">
      <c r="A478" s="262"/>
      <c r="B478" s="262"/>
      <c r="C478" s="260"/>
      <c r="D478" s="259"/>
      <c r="E478" s="259"/>
      <c r="F478" s="259"/>
    </row>
    <row r="479" spans="1:6" x14ac:dyDescent="0.25">
      <c r="A479" s="262"/>
      <c r="B479" s="262"/>
      <c r="C479" s="260"/>
      <c r="D479" s="259"/>
      <c r="E479" s="259"/>
      <c r="F479" s="259"/>
    </row>
    <row r="480" spans="1:6" x14ac:dyDescent="0.25">
      <c r="A480" s="262"/>
      <c r="B480" s="262"/>
      <c r="C480" s="260"/>
      <c r="D480" s="259"/>
      <c r="E480" s="259"/>
      <c r="F480" s="259"/>
    </row>
    <row r="481" spans="1:6" x14ac:dyDescent="0.25">
      <c r="A481" s="262"/>
      <c r="B481" s="262"/>
      <c r="C481" s="260"/>
      <c r="D481" s="259"/>
      <c r="E481" s="259"/>
      <c r="F481" s="259"/>
    </row>
    <row r="482" spans="1:6" x14ac:dyDescent="0.25">
      <c r="A482" s="262"/>
      <c r="B482" s="262"/>
      <c r="C482" s="260"/>
      <c r="D482" s="259"/>
      <c r="E482" s="259"/>
      <c r="F482" s="259"/>
    </row>
    <row r="483" spans="1:6" x14ac:dyDescent="0.25">
      <c r="A483" s="262"/>
      <c r="B483" s="262"/>
      <c r="C483" s="260"/>
      <c r="D483" s="259"/>
      <c r="E483" s="259"/>
      <c r="F483" s="259"/>
    </row>
    <row r="484" spans="1:6" x14ac:dyDescent="0.25">
      <c r="A484" s="262"/>
      <c r="B484" s="262"/>
      <c r="C484" s="260"/>
      <c r="D484" s="259"/>
      <c r="E484" s="259"/>
      <c r="F484" s="259"/>
    </row>
    <row r="485" spans="1:6" x14ac:dyDescent="0.25">
      <c r="A485" s="262"/>
      <c r="B485" s="262"/>
      <c r="C485" s="260"/>
      <c r="D485" s="259"/>
      <c r="E485" s="259"/>
      <c r="F485" s="259"/>
    </row>
    <row r="486" spans="1:6" x14ac:dyDescent="0.25">
      <c r="A486" s="262"/>
      <c r="B486" s="262"/>
      <c r="C486" s="260"/>
      <c r="D486" s="259"/>
      <c r="E486" s="259"/>
      <c r="F486" s="259"/>
    </row>
    <row r="487" spans="1:6" x14ac:dyDescent="0.25">
      <c r="A487" s="262"/>
      <c r="B487" s="262"/>
      <c r="C487" s="260"/>
      <c r="D487" s="259"/>
      <c r="E487" s="259"/>
      <c r="F487" s="259"/>
    </row>
    <row r="488" spans="1:6" x14ac:dyDescent="0.25">
      <c r="A488" s="262"/>
      <c r="B488" s="262"/>
      <c r="C488" s="260"/>
      <c r="D488" s="259"/>
      <c r="E488" s="259"/>
      <c r="F488" s="259"/>
    </row>
    <row r="489" spans="1:6" x14ac:dyDescent="0.25">
      <c r="A489" s="262"/>
      <c r="B489" s="262"/>
      <c r="C489" s="260"/>
      <c r="D489" s="259"/>
      <c r="E489" s="259"/>
      <c r="F489" s="259"/>
    </row>
    <row r="490" spans="1:6" x14ac:dyDescent="0.25">
      <c r="A490" s="262"/>
      <c r="B490" s="262"/>
      <c r="C490" s="260"/>
      <c r="D490" s="259"/>
      <c r="E490" s="259"/>
      <c r="F490" s="259"/>
    </row>
    <row r="491" spans="1:6" x14ac:dyDescent="0.25">
      <c r="A491" s="262"/>
      <c r="B491" s="262"/>
      <c r="C491" s="260"/>
      <c r="D491" s="259"/>
      <c r="E491" s="259"/>
      <c r="F491" s="259"/>
    </row>
    <row r="492" spans="1:6" x14ac:dyDescent="0.25">
      <c r="A492" s="262"/>
      <c r="B492" s="262"/>
      <c r="C492" s="260"/>
      <c r="D492" s="259"/>
      <c r="E492" s="259"/>
      <c r="F492" s="259"/>
    </row>
    <row r="493" spans="1:6" x14ac:dyDescent="0.25">
      <c r="A493" s="262"/>
      <c r="B493" s="262"/>
      <c r="C493" s="260"/>
      <c r="D493" s="259"/>
      <c r="E493" s="259"/>
      <c r="F493" s="259"/>
    </row>
    <row r="494" spans="1:6" x14ac:dyDescent="0.25">
      <c r="A494" s="262"/>
      <c r="B494" s="262"/>
      <c r="C494" s="260"/>
      <c r="D494" s="259"/>
      <c r="E494" s="259"/>
      <c r="F494" s="259"/>
    </row>
    <row r="495" spans="1:6" x14ac:dyDescent="0.25">
      <c r="A495" s="262"/>
      <c r="B495" s="262"/>
      <c r="C495" s="260"/>
      <c r="D495" s="259"/>
      <c r="E495" s="259"/>
      <c r="F495" s="259"/>
    </row>
    <row r="496" spans="1:6" x14ac:dyDescent="0.25">
      <c r="A496" s="262"/>
      <c r="B496" s="262"/>
      <c r="C496" s="260"/>
      <c r="D496" s="259"/>
      <c r="E496" s="259"/>
      <c r="F496" s="259"/>
    </row>
    <row r="497" spans="1:6" x14ac:dyDescent="0.25">
      <c r="A497" s="262"/>
      <c r="B497" s="262"/>
      <c r="C497" s="260"/>
      <c r="D497" s="259"/>
      <c r="E497" s="259"/>
      <c r="F497" s="259"/>
    </row>
    <row r="498" spans="1:6" x14ac:dyDescent="0.25">
      <c r="A498" s="262"/>
      <c r="B498" s="262"/>
      <c r="C498" s="260"/>
      <c r="D498" s="259"/>
      <c r="E498" s="259"/>
      <c r="F498" s="259"/>
    </row>
    <row r="499" spans="1:6" x14ac:dyDescent="0.25">
      <c r="A499" s="262"/>
      <c r="B499" s="262"/>
      <c r="C499" s="260"/>
      <c r="D499" s="259"/>
      <c r="E499" s="259"/>
      <c r="F499" s="259"/>
    </row>
    <row r="500" spans="1:6" x14ac:dyDescent="0.25">
      <c r="A500" s="262"/>
      <c r="B500" s="262"/>
      <c r="C500" s="260"/>
      <c r="D500" s="259"/>
      <c r="E500" s="259"/>
      <c r="F500" s="259"/>
    </row>
    <row r="501" spans="1:6" x14ac:dyDescent="0.25">
      <c r="A501" s="262"/>
      <c r="B501" s="262"/>
      <c r="C501" s="260"/>
      <c r="D501" s="259"/>
      <c r="E501" s="259"/>
      <c r="F501" s="259"/>
    </row>
    <row r="502" spans="1:6" x14ac:dyDescent="0.25">
      <c r="A502" s="262"/>
      <c r="B502" s="262"/>
      <c r="C502" s="260"/>
      <c r="D502" s="259"/>
      <c r="E502" s="259"/>
      <c r="F502" s="259"/>
    </row>
    <row r="503" spans="1:6" x14ac:dyDescent="0.25">
      <c r="A503" s="262"/>
      <c r="B503" s="262"/>
      <c r="C503" s="260"/>
      <c r="D503" s="259"/>
      <c r="E503" s="259"/>
      <c r="F503" s="259"/>
    </row>
    <row r="504" spans="1:6" x14ac:dyDescent="0.25">
      <c r="A504" s="262"/>
      <c r="B504" s="262"/>
      <c r="C504" s="260"/>
      <c r="D504" s="259"/>
      <c r="E504" s="259"/>
      <c r="F504" s="259"/>
    </row>
    <row r="505" spans="1:6" x14ac:dyDescent="0.25">
      <c r="A505" s="262"/>
      <c r="B505" s="262"/>
      <c r="C505" s="260"/>
      <c r="D505" s="259"/>
      <c r="E505" s="259"/>
      <c r="F505" s="259"/>
    </row>
    <row r="506" spans="1:6" x14ac:dyDescent="0.25">
      <c r="A506" s="262"/>
      <c r="B506" s="262"/>
      <c r="C506" s="260"/>
      <c r="D506" s="259"/>
      <c r="E506" s="259"/>
      <c r="F506" s="259"/>
    </row>
    <row r="507" spans="1:6" x14ac:dyDescent="0.25">
      <c r="A507" s="262"/>
      <c r="B507" s="262"/>
      <c r="C507" s="260"/>
      <c r="D507" s="259"/>
      <c r="E507" s="259"/>
      <c r="F507" s="259"/>
    </row>
    <row r="508" spans="1:6" x14ac:dyDescent="0.25">
      <c r="A508" s="262"/>
      <c r="B508" s="262"/>
      <c r="C508" s="260"/>
      <c r="D508" s="259"/>
      <c r="E508" s="259"/>
      <c r="F508" s="259"/>
    </row>
    <row r="509" spans="1:6" x14ac:dyDescent="0.25">
      <c r="A509" s="262"/>
      <c r="B509" s="262"/>
      <c r="C509" s="260"/>
      <c r="D509" s="259"/>
      <c r="E509" s="259"/>
      <c r="F509" s="259"/>
    </row>
    <row r="510" spans="1:6" x14ac:dyDescent="0.25">
      <c r="A510" s="262"/>
      <c r="B510" s="262"/>
      <c r="C510" s="260"/>
      <c r="D510" s="259"/>
      <c r="E510" s="259"/>
      <c r="F510" s="259"/>
    </row>
    <row r="511" spans="1:6" x14ac:dyDescent="0.25">
      <c r="A511" s="262"/>
      <c r="B511" s="262"/>
      <c r="C511" s="260"/>
      <c r="D511" s="259"/>
      <c r="E511" s="259"/>
      <c r="F511" s="259"/>
    </row>
    <row r="512" spans="1:6" x14ac:dyDescent="0.25">
      <c r="A512" s="262"/>
      <c r="B512" s="262"/>
      <c r="C512" s="260"/>
      <c r="D512" s="259"/>
      <c r="E512" s="259"/>
      <c r="F512" s="259"/>
    </row>
    <row r="513" spans="1:6" x14ac:dyDescent="0.25">
      <c r="A513" s="262"/>
      <c r="B513" s="262"/>
      <c r="C513" s="260"/>
      <c r="D513" s="259"/>
      <c r="E513" s="259"/>
      <c r="F513" s="259"/>
    </row>
    <row r="514" spans="1:6" x14ac:dyDescent="0.25">
      <c r="A514" s="262"/>
      <c r="B514" s="262"/>
      <c r="C514" s="260"/>
      <c r="D514" s="259"/>
      <c r="E514" s="259"/>
      <c r="F514" s="259"/>
    </row>
    <row r="515" spans="1:6" x14ac:dyDescent="0.25">
      <c r="A515" s="262"/>
      <c r="B515" s="262"/>
      <c r="C515" s="260"/>
      <c r="D515" s="259"/>
      <c r="E515" s="259"/>
      <c r="F515" s="259"/>
    </row>
    <row r="516" spans="1:6" x14ac:dyDescent="0.25">
      <c r="A516" s="262"/>
      <c r="B516" s="262"/>
      <c r="C516" s="260"/>
      <c r="D516" s="259"/>
      <c r="E516" s="259"/>
      <c r="F516" s="259"/>
    </row>
    <row r="517" spans="1:6" x14ac:dyDescent="0.25">
      <c r="A517" s="262"/>
      <c r="B517" s="262"/>
      <c r="C517" s="260"/>
      <c r="D517" s="259"/>
      <c r="E517" s="259"/>
      <c r="F517" s="259"/>
    </row>
    <row r="518" spans="1:6" x14ac:dyDescent="0.25">
      <c r="A518" s="262"/>
      <c r="B518" s="262"/>
      <c r="C518" s="260"/>
      <c r="D518" s="259"/>
      <c r="E518" s="259"/>
      <c r="F518" s="259"/>
    </row>
    <row r="519" spans="1:6" x14ac:dyDescent="0.25">
      <c r="A519" s="262"/>
      <c r="B519" s="262"/>
      <c r="C519" s="260"/>
      <c r="D519" s="259"/>
      <c r="E519" s="259"/>
      <c r="F519" s="259"/>
    </row>
    <row r="520" spans="1:6" x14ac:dyDescent="0.25">
      <c r="A520" s="262"/>
      <c r="B520" s="262"/>
      <c r="C520" s="260"/>
      <c r="D520" s="259"/>
      <c r="E520" s="259"/>
      <c r="F520" s="259"/>
    </row>
    <row r="521" spans="1:6" x14ac:dyDescent="0.25">
      <c r="A521" s="262"/>
      <c r="B521" s="262"/>
      <c r="C521" s="260"/>
      <c r="D521" s="259"/>
      <c r="E521" s="259"/>
      <c r="F521" s="259"/>
    </row>
    <row r="522" spans="1:6" x14ac:dyDescent="0.25">
      <c r="A522" s="262"/>
      <c r="B522" s="262"/>
      <c r="C522" s="260"/>
      <c r="D522" s="259"/>
      <c r="E522" s="259"/>
      <c r="F522" s="259"/>
    </row>
    <row r="523" spans="1:6" x14ac:dyDescent="0.25">
      <c r="A523" s="262"/>
      <c r="B523" s="262"/>
      <c r="C523" s="260"/>
      <c r="D523" s="259"/>
      <c r="E523" s="259"/>
      <c r="F523" s="259"/>
    </row>
    <row r="524" spans="1:6" x14ac:dyDescent="0.25">
      <c r="A524" s="262"/>
      <c r="B524" s="262"/>
      <c r="C524" s="260"/>
      <c r="D524" s="259"/>
      <c r="E524" s="259"/>
      <c r="F524" s="259"/>
    </row>
    <row r="525" spans="1:6" x14ac:dyDescent="0.25">
      <c r="A525" s="262"/>
      <c r="B525" s="262"/>
      <c r="C525" s="260"/>
      <c r="D525" s="259"/>
      <c r="E525" s="259"/>
      <c r="F525" s="259"/>
    </row>
    <row r="526" spans="1:6" x14ac:dyDescent="0.25">
      <c r="A526" s="262"/>
      <c r="B526" s="262"/>
      <c r="C526" s="260"/>
      <c r="D526" s="259"/>
      <c r="E526" s="259"/>
      <c r="F526" s="259"/>
    </row>
    <row r="527" spans="1:6" x14ac:dyDescent="0.25">
      <c r="A527" s="262"/>
      <c r="B527" s="262"/>
      <c r="C527" s="260"/>
      <c r="D527" s="259"/>
      <c r="E527" s="259"/>
      <c r="F527" s="259"/>
    </row>
    <row r="528" spans="1:6" x14ac:dyDescent="0.25">
      <c r="A528" s="262"/>
      <c r="B528" s="262"/>
      <c r="C528" s="260"/>
      <c r="D528" s="259"/>
      <c r="E528" s="259"/>
      <c r="F528" s="259"/>
    </row>
    <row r="529" spans="1:6" x14ac:dyDescent="0.25">
      <c r="A529" s="262"/>
      <c r="B529" s="262"/>
      <c r="C529" s="260"/>
      <c r="D529" s="259"/>
      <c r="E529" s="259"/>
      <c r="F529" s="259"/>
    </row>
    <row r="530" spans="1:6" x14ac:dyDescent="0.25">
      <c r="A530" s="262"/>
      <c r="B530" s="262"/>
      <c r="C530" s="260"/>
      <c r="D530" s="259"/>
      <c r="E530" s="259"/>
      <c r="F530" s="259"/>
    </row>
    <row r="531" spans="1:6" x14ac:dyDescent="0.25">
      <c r="A531" s="262"/>
      <c r="B531" s="262"/>
      <c r="C531" s="260"/>
      <c r="D531" s="259"/>
      <c r="E531" s="259"/>
      <c r="F531" s="259"/>
    </row>
    <row r="532" spans="1:6" x14ac:dyDescent="0.25">
      <c r="A532" s="262"/>
      <c r="B532" s="262"/>
      <c r="C532" s="260"/>
      <c r="D532" s="259"/>
      <c r="E532" s="259"/>
      <c r="F532" s="259"/>
    </row>
    <row r="533" spans="1:6" x14ac:dyDescent="0.25">
      <c r="A533" s="262"/>
      <c r="B533" s="262"/>
      <c r="C533" s="260"/>
      <c r="D533" s="259"/>
      <c r="E533" s="259"/>
      <c r="F533" s="259"/>
    </row>
    <row r="534" spans="1:6" x14ac:dyDescent="0.25">
      <c r="A534" s="262"/>
      <c r="B534" s="262"/>
      <c r="C534" s="260"/>
      <c r="D534" s="259"/>
      <c r="E534" s="259"/>
      <c r="F534" s="259"/>
    </row>
    <row r="535" spans="1:6" x14ac:dyDescent="0.25">
      <c r="A535" s="262"/>
      <c r="B535" s="262"/>
      <c r="C535" s="260"/>
      <c r="D535" s="259"/>
      <c r="E535" s="259"/>
      <c r="F535" s="259"/>
    </row>
    <row r="536" spans="1:6" x14ac:dyDescent="0.25">
      <c r="A536" s="262"/>
      <c r="B536" s="262"/>
      <c r="C536" s="260"/>
      <c r="D536" s="259"/>
      <c r="E536" s="259"/>
      <c r="F536" s="259"/>
    </row>
    <row r="537" spans="1:6" x14ac:dyDescent="0.25">
      <c r="A537" s="262"/>
      <c r="B537" s="262"/>
      <c r="C537" s="260"/>
      <c r="D537" s="259"/>
      <c r="E537" s="259"/>
      <c r="F537" s="259"/>
    </row>
    <row r="538" spans="1:6" x14ac:dyDescent="0.25">
      <c r="A538" s="262"/>
      <c r="B538" s="262"/>
      <c r="C538" s="260"/>
      <c r="D538" s="259"/>
      <c r="E538" s="259"/>
      <c r="F538" s="259"/>
    </row>
    <row r="539" spans="1:6" x14ac:dyDescent="0.25">
      <c r="A539" s="262"/>
      <c r="B539" s="262"/>
      <c r="C539" s="260"/>
      <c r="D539" s="259"/>
      <c r="E539" s="259"/>
      <c r="F539" s="259"/>
    </row>
    <row r="540" spans="1:6" x14ac:dyDescent="0.25">
      <c r="A540" s="262"/>
      <c r="B540" s="262"/>
      <c r="C540" s="260"/>
      <c r="D540" s="259"/>
      <c r="E540" s="259"/>
      <c r="F540" s="259"/>
    </row>
    <row r="541" spans="1:6" x14ac:dyDescent="0.25">
      <c r="A541" s="262"/>
      <c r="B541" s="262"/>
      <c r="C541" s="260"/>
      <c r="D541" s="259"/>
      <c r="E541" s="259"/>
      <c r="F541" s="259"/>
    </row>
    <row r="542" spans="1:6" x14ac:dyDescent="0.25">
      <c r="A542" s="262"/>
      <c r="B542" s="262"/>
      <c r="C542" s="260"/>
      <c r="D542" s="259"/>
      <c r="E542" s="259"/>
      <c r="F542" s="259"/>
    </row>
    <row r="543" spans="1:6" x14ac:dyDescent="0.25">
      <c r="A543" s="262"/>
      <c r="B543" s="262"/>
      <c r="C543" s="260"/>
      <c r="D543" s="259"/>
      <c r="E543" s="259"/>
      <c r="F543" s="259"/>
    </row>
    <row r="544" spans="1:6" x14ac:dyDescent="0.25">
      <c r="A544" s="262"/>
      <c r="B544" s="262"/>
      <c r="C544" s="260"/>
      <c r="D544" s="259"/>
      <c r="E544" s="259"/>
      <c r="F544" s="259"/>
    </row>
    <row r="545" spans="1:6" x14ac:dyDescent="0.25">
      <c r="A545" s="262"/>
      <c r="B545" s="262"/>
      <c r="C545" s="260"/>
      <c r="D545" s="259"/>
      <c r="E545" s="259"/>
      <c r="F545" s="259"/>
    </row>
    <row r="546" spans="1:6" x14ac:dyDescent="0.25">
      <c r="A546" s="262"/>
      <c r="B546" s="262"/>
      <c r="C546" s="260"/>
      <c r="D546" s="259"/>
      <c r="E546" s="259"/>
      <c r="F546" s="259"/>
    </row>
    <row r="547" spans="1:6" x14ac:dyDescent="0.25">
      <c r="A547" s="262"/>
      <c r="B547" s="262"/>
      <c r="C547" s="260"/>
      <c r="D547" s="259"/>
      <c r="E547" s="259"/>
      <c r="F547" s="259"/>
    </row>
    <row r="548" spans="1:6" x14ac:dyDescent="0.25">
      <c r="A548" s="262"/>
      <c r="B548" s="262"/>
      <c r="C548" s="260"/>
      <c r="D548" s="259"/>
      <c r="E548" s="259"/>
      <c r="F548" s="259"/>
    </row>
    <row r="549" spans="1:6" x14ac:dyDescent="0.25">
      <c r="A549" s="262"/>
      <c r="B549" s="262"/>
      <c r="C549" s="260"/>
      <c r="D549" s="259"/>
      <c r="E549" s="259"/>
      <c r="F549" s="259"/>
    </row>
    <row r="550" spans="1:6" x14ac:dyDescent="0.25">
      <c r="A550" s="262"/>
      <c r="B550" s="262"/>
      <c r="C550" s="260"/>
      <c r="D550" s="259"/>
      <c r="E550" s="259"/>
      <c r="F550" s="259"/>
    </row>
    <row r="551" spans="1:6" x14ac:dyDescent="0.25">
      <c r="A551" s="262"/>
      <c r="B551" s="262"/>
      <c r="C551" s="260"/>
      <c r="D551" s="259"/>
      <c r="E551" s="259"/>
      <c r="F551" s="259"/>
    </row>
    <row r="552" spans="1:6" x14ac:dyDescent="0.25">
      <c r="A552" s="262"/>
      <c r="B552" s="262"/>
      <c r="C552" s="260"/>
      <c r="D552" s="259"/>
      <c r="E552" s="259"/>
      <c r="F552" s="259"/>
    </row>
    <row r="553" spans="1:6" x14ac:dyDescent="0.25">
      <c r="A553" s="262"/>
      <c r="B553" s="262"/>
      <c r="C553" s="260"/>
      <c r="D553" s="259"/>
      <c r="E553" s="259"/>
      <c r="F553" s="259"/>
    </row>
    <row r="554" spans="1:6" x14ac:dyDescent="0.25">
      <c r="A554" s="262"/>
      <c r="B554" s="262"/>
      <c r="C554" s="260"/>
      <c r="D554" s="259"/>
      <c r="E554" s="259"/>
      <c r="F554" s="259"/>
    </row>
    <row r="555" spans="1:6" x14ac:dyDescent="0.25">
      <c r="A555" s="262"/>
      <c r="B555" s="262"/>
      <c r="C555" s="260"/>
      <c r="D555" s="259"/>
      <c r="E555" s="259"/>
      <c r="F555" s="259"/>
    </row>
    <row r="556" spans="1:6" x14ac:dyDescent="0.25">
      <c r="A556" s="262"/>
      <c r="B556" s="262"/>
      <c r="C556" s="260"/>
      <c r="D556" s="259"/>
      <c r="E556" s="259"/>
      <c r="F556" s="259"/>
    </row>
    <row r="557" spans="1:6" x14ac:dyDescent="0.25">
      <c r="A557" s="262"/>
      <c r="B557" s="262"/>
      <c r="C557" s="260"/>
      <c r="D557" s="259"/>
      <c r="E557" s="259"/>
      <c r="F557" s="259"/>
    </row>
    <row r="558" spans="1:6" x14ac:dyDescent="0.25">
      <c r="A558" s="262"/>
      <c r="B558" s="262"/>
      <c r="C558" s="260"/>
      <c r="D558" s="259"/>
      <c r="E558" s="259"/>
      <c r="F558" s="259"/>
    </row>
    <row r="559" spans="1:6" x14ac:dyDescent="0.25">
      <c r="A559" s="262"/>
      <c r="B559" s="262"/>
      <c r="C559" s="260"/>
      <c r="D559" s="259"/>
      <c r="E559" s="259"/>
      <c r="F559" s="259"/>
    </row>
    <row r="560" spans="1:6" x14ac:dyDescent="0.25">
      <c r="A560" s="262"/>
      <c r="B560" s="262"/>
      <c r="C560" s="260"/>
      <c r="D560" s="259"/>
      <c r="E560" s="259"/>
      <c r="F560" s="259"/>
    </row>
    <row r="561" spans="1:6" x14ac:dyDescent="0.25">
      <c r="A561" s="262"/>
      <c r="B561" s="262"/>
      <c r="C561" s="260"/>
      <c r="D561" s="259"/>
      <c r="E561" s="259"/>
      <c r="F561" s="259"/>
    </row>
    <row r="562" spans="1:6" x14ac:dyDescent="0.25">
      <c r="A562" s="262"/>
      <c r="B562" s="262"/>
      <c r="C562" s="260"/>
      <c r="D562" s="259"/>
      <c r="E562" s="259"/>
      <c r="F562" s="259"/>
    </row>
    <row r="563" spans="1:6" x14ac:dyDescent="0.25">
      <c r="A563" s="262"/>
      <c r="B563" s="262"/>
      <c r="C563" s="260"/>
      <c r="D563" s="259"/>
      <c r="E563" s="259"/>
      <c r="F563" s="259"/>
    </row>
    <row r="564" spans="1:6" x14ac:dyDescent="0.25">
      <c r="A564" s="262"/>
      <c r="B564" s="262"/>
      <c r="C564" s="260"/>
      <c r="D564" s="259"/>
      <c r="E564" s="259"/>
      <c r="F564" s="259"/>
    </row>
    <row r="565" spans="1:6" x14ac:dyDescent="0.25">
      <c r="A565" s="262"/>
      <c r="B565" s="262"/>
      <c r="C565" s="260"/>
      <c r="D565" s="259"/>
      <c r="E565" s="259"/>
      <c r="F565" s="259"/>
    </row>
    <row r="566" spans="1:6" x14ac:dyDescent="0.25">
      <c r="A566" s="262"/>
      <c r="B566" s="262"/>
      <c r="C566" s="260"/>
      <c r="D566" s="259"/>
      <c r="E566" s="259"/>
      <c r="F566" s="259"/>
    </row>
    <row r="567" spans="1:6" x14ac:dyDescent="0.25">
      <c r="A567" s="262"/>
      <c r="B567" s="262"/>
      <c r="C567" s="260"/>
      <c r="D567" s="259"/>
      <c r="E567" s="259"/>
      <c r="F567" s="259"/>
    </row>
    <row r="568" spans="1:6" x14ac:dyDescent="0.25">
      <c r="A568" s="262"/>
      <c r="B568" s="262"/>
      <c r="C568" s="260"/>
      <c r="D568" s="259"/>
      <c r="E568" s="259"/>
      <c r="F568" s="259"/>
    </row>
    <row r="569" spans="1:6" x14ac:dyDescent="0.25">
      <c r="A569" s="262"/>
      <c r="B569" s="262"/>
      <c r="C569" s="260"/>
      <c r="D569" s="259"/>
      <c r="E569" s="259"/>
      <c r="F569" s="259"/>
    </row>
    <row r="570" spans="1:6" x14ac:dyDescent="0.25">
      <c r="A570" s="262"/>
      <c r="B570" s="262"/>
      <c r="C570" s="260"/>
      <c r="D570" s="259"/>
      <c r="E570" s="259"/>
      <c r="F570" s="259"/>
    </row>
    <row r="571" spans="1:6" x14ac:dyDescent="0.25">
      <c r="A571" s="262"/>
      <c r="B571" s="262"/>
      <c r="C571" s="260"/>
      <c r="D571" s="259"/>
      <c r="E571" s="259"/>
      <c r="F571" s="259"/>
    </row>
    <row r="572" spans="1:6" x14ac:dyDescent="0.25">
      <c r="A572" s="262"/>
      <c r="B572" s="262"/>
      <c r="C572" s="260"/>
      <c r="D572" s="259"/>
      <c r="E572" s="259"/>
      <c r="F572" s="259"/>
    </row>
    <row r="573" spans="1:6" x14ac:dyDescent="0.25">
      <c r="A573" s="262"/>
      <c r="B573" s="262"/>
      <c r="C573" s="260"/>
      <c r="D573" s="259"/>
      <c r="E573" s="259"/>
      <c r="F573" s="259"/>
    </row>
    <row r="574" spans="1:6" x14ac:dyDescent="0.25">
      <c r="A574" s="262"/>
      <c r="B574" s="262"/>
      <c r="C574" s="260"/>
      <c r="D574" s="259"/>
      <c r="E574" s="259"/>
      <c r="F574" s="259"/>
    </row>
    <row r="575" spans="1:6" x14ac:dyDescent="0.25">
      <c r="A575" s="262"/>
      <c r="B575" s="262"/>
      <c r="C575" s="260"/>
      <c r="D575" s="259"/>
      <c r="E575" s="259"/>
      <c r="F575" s="259"/>
    </row>
    <row r="576" spans="1:6" x14ac:dyDescent="0.25">
      <c r="A576" s="262"/>
      <c r="B576" s="262"/>
      <c r="C576" s="260"/>
      <c r="D576" s="259"/>
      <c r="E576" s="259"/>
      <c r="F576" s="259"/>
    </row>
    <row r="577" spans="1:6" x14ac:dyDescent="0.25">
      <c r="A577" s="262"/>
      <c r="B577" s="262"/>
      <c r="C577" s="260"/>
      <c r="D577" s="259"/>
      <c r="E577" s="259"/>
      <c r="F577" s="259"/>
    </row>
    <row r="578" spans="1:6" x14ac:dyDescent="0.25">
      <c r="A578" s="262"/>
      <c r="B578" s="262"/>
      <c r="C578" s="260"/>
      <c r="D578" s="259"/>
      <c r="E578" s="259"/>
      <c r="F578" s="259"/>
    </row>
    <row r="579" spans="1:6" x14ac:dyDescent="0.25">
      <c r="A579" s="262"/>
      <c r="B579" s="262"/>
      <c r="C579" s="260"/>
      <c r="D579" s="259"/>
      <c r="E579" s="259"/>
      <c r="F579" s="259"/>
    </row>
    <row r="580" spans="1:6" x14ac:dyDescent="0.25">
      <c r="A580" s="262"/>
      <c r="B580" s="262"/>
      <c r="C580" s="260"/>
      <c r="D580" s="259"/>
      <c r="E580" s="259"/>
      <c r="F580" s="259"/>
    </row>
    <row r="581" spans="1:6" x14ac:dyDescent="0.25">
      <c r="A581" s="262"/>
      <c r="B581" s="262"/>
      <c r="C581" s="260"/>
      <c r="D581" s="259"/>
      <c r="E581" s="259"/>
      <c r="F581" s="259"/>
    </row>
    <row r="582" spans="1:6" x14ac:dyDescent="0.25">
      <c r="A582" s="262"/>
      <c r="B582" s="262"/>
      <c r="C582" s="260"/>
      <c r="D582" s="259"/>
      <c r="E582" s="259"/>
      <c r="F582" s="259"/>
    </row>
    <row r="583" spans="1:6" x14ac:dyDescent="0.25">
      <c r="A583" s="262"/>
      <c r="B583" s="262"/>
      <c r="C583" s="260"/>
      <c r="D583" s="259"/>
      <c r="E583" s="259"/>
      <c r="F583" s="259"/>
    </row>
    <row r="584" spans="1:6" x14ac:dyDescent="0.25">
      <c r="A584" s="262"/>
      <c r="B584" s="262"/>
      <c r="C584" s="260"/>
      <c r="D584" s="259"/>
      <c r="E584" s="259"/>
      <c r="F584" s="259"/>
    </row>
    <row r="585" spans="1:6" x14ac:dyDescent="0.25">
      <c r="A585" s="262"/>
      <c r="B585" s="262"/>
      <c r="C585" s="260"/>
      <c r="D585" s="259"/>
      <c r="E585" s="259"/>
      <c r="F585" s="259"/>
    </row>
    <row r="586" spans="1:6" x14ac:dyDescent="0.25">
      <c r="A586" s="262"/>
      <c r="B586" s="262"/>
      <c r="C586" s="260"/>
      <c r="D586" s="259"/>
      <c r="E586" s="259"/>
      <c r="F586" s="259"/>
    </row>
    <row r="587" spans="1:6" x14ac:dyDescent="0.25">
      <c r="A587" s="262"/>
      <c r="B587" s="262"/>
      <c r="C587" s="260"/>
      <c r="D587" s="259"/>
      <c r="E587" s="259"/>
      <c r="F587" s="259"/>
    </row>
    <row r="588" spans="1:6" x14ac:dyDescent="0.25">
      <c r="A588" s="262"/>
      <c r="B588" s="262"/>
      <c r="C588" s="260"/>
      <c r="D588" s="259"/>
      <c r="E588" s="259"/>
      <c r="F588" s="259"/>
    </row>
    <row r="589" spans="1:6" x14ac:dyDescent="0.25">
      <c r="A589" s="262"/>
      <c r="B589" s="262"/>
      <c r="C589" s="260"/>
      <c r="D589" s="259"/>
      <c r="E589" s="259"/>
      <c r="F589" s="259"/>
    </row>
    <row r="590" spans="1:6" x14ac:dyDescent="0.25">
      <c r="A590" s="262"/>
      <c r="B590" s="262"/>
      <c r="C590" s="260"/>
      <c r="D590" s="259"/>
      <c r="E590" s="259"/>
      <c r="F590" s="259"/>
    </row>
    <row r="591" spans="1:6" x14ac:dyDescent="0.25">
      <c r="A591" s="262"/>
      <c r="B591" s="262"/>
      <c r="C591" s="260"/>
      <c r="D591" s="259"/>
      <c r="E591" s="259"/>
      <c r="F591" s="259"/>
    </row>
    <row r="592" spans="1:6" x14ac:dyDescent="0.25">
      <c r="A592" s="262"/>
      <c r="B592" s="262"/>
      <c r="C592" s="260"/>
      <c r="D592" s="259"/>
      <c r="E592" s="259"/>
      <c r="F592" s="259"/>
    </row>
    <row r="593" spans="1:6" x14ac:dyDescent="0.25">
      <c r="A593" s="262"/>
      <c r="B593" s="262"/>
      <c r="C593" s="260"/>
      <c r="D593" s="259"/>
      <c r="E593" s="259"/>
      <c r="F593" s="259"/>
    </row>
    <row r="594" spans="1:6" x14ac:dyDescent="0.25">
      <c r="A594" s="262"/>
      <c r="B594" s="262"/>
      <c r="C594" s="260"/>
      <c r="D594" s="259"/>
      <c r="E594" s="259"/>
      <c r="F594" s="259"/>
    </row>
    <row r="595" spans="1:6" x14ac:dyDescent="0.25">
      <c r="A595" s="262"/>
      <c r="B595" s="262"/>
      <c r="C595" s="260"/>
      <c r="D595" s="259"/>
      <c r="E595" s="259"/>
      <c r="F595" s="259"/>
    </row>
    <row r="596" spans="1:6" x14ac:dyDescent="0.25">
      <c r="A596" s="262"/>
      <c r="B596" s="262"/>
      <c r="C596" s="260"/>
      <c r="D596" s="259"/>
      <c r="E596" s="259"/>
      <c r="F596" s="259"/>
    </row>
    <row r="597" spans="1:6" x14ac:dyDescent="0.25">
      <c r="A597" s="262"/>
      <c r="B597" s="262"/>
      <c r="C597" s="260"/>
      <c r="D597" s="259"/>
      <c r="E597" s="259"/>
      <c r="F597" s="259"/>
    </row>
    <row r="598" spans="1:6" x14ac:dyDescent="0.25">
      <c r="A598" s="262"/>
      <c r="B598" s="262"/>
      <c r="C598" s="260"/>
      <c r="D598" s="259"/>
      <c r="E598" s="259"/>
      <c r="F598" s="259"/>
    </row>
    <row r="599" spans="1:6" x14ac:dyDescent="0.25">
      <c r="A599" s="262"/>
      <c r="B599" s="262"/>
      <c r="C599" s="260"/>
      <c r="D599" s="259"/>
      <c r="E599" s="259"/>
      <c r="F599" s="259"/>
    </row>
    <row r="600" spans="1:6" x14ac:dyDescent="0.25">
      <c r="A600" s="262"/>
      <c r="B600" s="262"/>
      <c r="C600" s="260"/>
      <c r="D600" s="259"/>
      <c r="E600" s="259"/>
      <c r="F600" s="259"/>
    </row>
    <row r="601" spans="1:6" x14ac:dyDescent="0.25">
      <c r="A601" s="262"/>
      <c r="B601" s="262"/>
      <c r="C601" s="260"/>
      <c r="D601" s="259"/>
      <c r="E601" s="259"/>
      <c r="F601" s="259"/>
    </row>
    <row r="602" spans="1:6" x14ac:dyDescent="0.25">
      <c r="A602" s="262"/>
      <c r="B602" s="262"/>
      <c r="C602" s="260"/>
      <c r="D602" s="259"/>
      <c r="E602" s="259"/>
      <c r="F602" s="259"/>
    </row>
    <row r="603" spans="1:6" x14ac:dyDescent="0.25">
      <c r="A603" s="262"/>
      <c r="B603" s="262"/>
      <c r="C603" s="260"/>
      <c r="D603" s="259"/>
      <c r="E603" s="259"/>
      <c r="F603" s="259"/>
    </row>
    <row r="604" spans="1:6" x14ac:dyDescent="0.25">
      <c r="A604" s="262"/>
      <c r="B604" s="262"/>
      <c r="C604" s="260"/>
      <c r="D604" s="259"/>
      <c r="E604" s="259"/>
      <c r="F604" s="259"/>
    </row>
    <row r="605" spans="1:6" x14ac:dyDescent="0.25">
      <c r="A605" s="262"/>
      <c r="B605" s="262"/>
      <c r="C605" s="260"/>
      <c r="D605" s="259"/>
      <c r="E605" s="259"/>
      <c r="F605" s="259"/>
    </row>
    <row r="606" spans="1:6" x14ac:dyDescent="0.25">
      <c r="A606" s="262"/>
      <c r="B606" s="262"/>
      <c r="C606" s="260"/>
      <c r="D606" s="259"/>
      <c r="E606" s="259"/>
      <c r="F606" s="259"/>
    </row>
    <row r="607" spans="1:6" x14ac:dyDescent="0.25">
      <c r="A607" s="262"/>
      <c r="B607" s="262"/>
      <c r="C607" s="260"/>
      <c r="D607" s="259"/>
      <c r="E607" s="259"/>
      <c r="F607" s="259"/>
    </row>
    <row r="608" spans="1:6" x14ac:dyDescent="0.25">
      <c r="A608" s="262"/>
      <c r="B608" s="262"/>
      <c r="C608" s="260"/>
      <c r="D608" s="259"/>
      <c r="E608" s="259"/>
      <c r="F608" s="259"/>
    </row>
    <row r="609" spans="1:6" x14ac:dyDescent="0.25">
      <c r="A609" s="262"/>
      <c r="B609" s="262"/>
      <c r="C609" s="260"/>
      <c r="D609" s="259"/>
      <c r="E609" s="259"/>
      <c r="F609" s="259"/>
    </row>
    <row r="610" spans="1:6" x14ac:dyDescent="0.25">
      <c r="A610" s="262"/>
      <c r="B610" s="262"/>
      <c r="C610" s="260"/>
      <c r="D610" s="259"/>
      <c r="E610" s="259"/>
      <c r="F610" s="259"/>
    </row>
    <row r="611" spans="1:6" x14ac:dyDescent="0.25">
      <c r="A611" s="262"/>
      <c r="B611" s="262"/>
      <c r="C611" s="260"/>
      <c r="D611" s="259"/>
      <c r="E611" s="259"/>
      <c r="F611" s="259"/>
    </row>
    <row r="612" spans="1:6" x14ac:dyDescent="0.25">
      <c r="A612" s="262"/>
      <c r="B612" s="262"/>
      <c r="C612" s="260"/>
      <c r="D612" s="259"/>
      <c r="E612" s="259"/>
      <c r="F612" s="259"/>
    </row>
    <row r="613" spans="1:6" x14ac:dyDescent="0.25">
      <c r="A613" s="262"/>
      <c r="B613" s="262"/>
      <c r="C613" s="260"/>
      <c r="D613" s="259"/>
      <c r="E613" s="259"/>
      <c r="F613" s="259"/>
    </row>
  </sheetData>
  <mergeCells count="6">
    <mergeCell ref="A2:F2"/>
    <mergeCell ref="A8:A9"/>
    <mergeCell ref="B8:B9"/>
    <mergeCell ref="C8:C9"/>
    <mergeCell ref="D8:E8"/>
    <mergeCell ref="F8:F9"/>
  </mergeCells>
  <phoneticPr fontId="33" type="noConversion"/>
  <hyperlinks>
    <hyperlink ref="G1" location="'Tổng hợp'!A1" display="TH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1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5.5703125" customWidth="1"/>
    <col min="4" max="4" width="19.85546875" style="2" customWidth="1"/>
    <col min="5" max="5" width="13.85546875" style="2" customWidth="1"/>
    <col min="6" max="6" width="14.5703125" style="2" customWidth="1"/>
    <col min="9" max="9" width="12.5703125" bestFit="1" customWidth="1"/>
    <col min="10" max="10" width="10.5703125" bestFit="1" customWidth="1"/>
  </cols>
  <sheetData>
    <row r="1" spans="1:9" x14ac:dyDescent="0.25">
      <c r="A1" s="1"/>
      <c r="B1" s="252"/>
      <c r="G1" s="1" t="s">
        <v>16</v>
      </c>
    </row>
    <row r="2" spans="1:9" x14ac:dyDescent="0.25">
      <c r="A2" s="411" t="s">
        <v>3</v>
      </c>
      <c r="B2" s="411"/>
      <c r="C2" s="411"/>
      <c r="D2" s="411"/>
      <c r="E2" s="411"/>
      <c r="F2" s="411"/>
    </row>
    <row r="3" spans="1:9" x14ac:dyDescent="0.25">
      <c r="A3" t="s">
        <v>4</v>
      </c>
      <c r="D3" s="2" t="s">
        <v>18</v>
      </c>
    </row>
    <row r="4" spans="1:9" x14ac:dyDescent="0.25">
      <c r="E4" s="2" t="s">
        <v>9</v>
      </c>
      <c r="F4" s="2">
        <v>35553</v>
      </c>
    </row>
    <row r="5" spans="1:9" x14ac:dyDescent="0.25">
      <c r="A5" t="s">
        <v>13</v>
      </c>
      <c r="D5" s="3">
        <f ca="1">+'Tổng hợp'!$G$2</f>
        <v>45784</v>
      </c>
      <c r="E5" s="2" t="s">
        <v>10</v>
      </c>
      <c r="F5" s="2">
        <f>SUM(D10:D500)</f>
        <v>3402431793</v>
      </c>
    </row>
    <row r="6" spans="1:9" x14ac:dyDescent="0.25">
      <c r="E6" s="2" t="s">
        <v>11</v>
      </c>
      <c r="F6" s="2">
        <f>SUM(E10:E500)</f>
        <v>3162176226</v>
      </c>
    </row>
    <row r="7" spans="1:9" x14ac:dyDescent="0.25">
      <c r="E7" s="2" t="s">
        <v>12</v>
      </c>
      <c r="F7" s="2">
        <f>+F4+F5-F6</f>
        <v>240291120</v>
      </c>
    </row>
    <row r="8" spans="1:9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9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9" ht="20.100000000000001" customHeight="1" x14ac:dyDescent="0.25">
      <c r="A10" s="262">
        <v>1</v>
      </c>
      <c r="B10" s="261">
        <v>43629</v>
      </c>
      <c r="C10" s="260" t="s">
        <v>173</v>
      </c>
      <c r="D10" s="259">
        <v>36747315</v>
      </c>
      <c r="E10" s="259"/>
      <c r="F10" s="259"/>
      <c r="I10" s="242">
        <f>F4+D10-E10</f>
        <v>36782868</v>
      </c>
    </row>
    <row r="11" spans="1:9" ht="20.100000000000001" customHeight="1" x14ac:dyDescent="0.25">
      <c r="A11" s="262">
        <v>2</v>
      </c>
      <c r="B11" s="261">
        <v>43630</v>
      </c>
      <c r="C11" s="260" t="s">
        <v>172</v>
      </c>
      <c r="D11" s="259">
        <v>32957050</v>
      </c>
      <c r="E11" s="259"/>
      <c r="F11" s="259"/>
      <c r="I11" s="242">
        <f>I10+D11-E11</f>
        <v>69739918</v>
      </c>
    </row>
    <row r="12" spans="1:9" ht="20.100000000000001" customHeight="1" x14ac:dyDescent="0.25">
      <c r="A12" s="262">
        <v>3</v>
      </c>
      <c r="B12" s="261">
        <v>43643</v>
      </c>
      <c r="C12" s="260" t="s">
        <v>174</v>
      </c>
      <c r="D12" s="259"/>
      <c r="E12" s="259">
        <v>36747315</v>
      </c>
      <c r="F12" s="259"/>
      <c r="I12" s="242">
        <f t="shared" ref="I12:I75" si="0">I11+D12-E12</f>
        <v>32992603</v>
      </c>
    </row>
    <row r="13" spans="1:9" ht="20.100000000000001" customHeight="1" x14ac:dyDescent="0.25">
      <c r="A13" s="262">
        <v>4</v>
      </c>
      <c r="B13" s="261">
        <v>43670</v>
      </c>
      <c r="C13" s="260" t="s">
        <v>190</v>
      </c>
      <c r="D13" s="259"/>
      <c r="E13" s="259">
        <v>32957050</v>
      </c>
      <c r="F13" s="259"/>
      <c r="I13" s="242">
        <f t="shared" si="0"/>
        <v>35553</v>
      </c>
    </row>
    <row r="14" spans="1:9" ht="20.100000000000001" customHeight="1" x14ac:dyDescent="0.25">
      <c r="A14" s="262">
        <v>5</v>
      </c>
      <c r="B14" s="261">
        <v>43779</v>
      </c>
      <c r="C14" s="260" t="s">
        <v>293</v>
      </c>
      <c r="D14" s="259">
        <v>36356650</v>
      </c>
      <c r="E14" s="259"/>
      <c r="F14" s="259"/>
      <c r="I14" s="242">
        <f t="shared" si="0"/>
        <v>36392203</v>
      </c>
    </row>
    <row r="15" spans="1:9" ht="20.100000000000001" customHeight="1" x14ac:dyDescent="0.25">
      <c r="A15" s="262">
        <v>6</v>
      </c>
      <c r="B15" s="262" t="s">
        <v>300</v>
      </c>
      <c r="C15" s="260" t="s">
        <v>304</v>
      </c>
      <c r="D15" s="259">
        <v>36123150</v>
      </c>
      <c r="E15" s="259"/>
      <c r="F15" s="259"/>
      <c r="I15" s="242">
        <f t="shared" si="0"/>
        <v>72515353</v>
      </c>
    </row>
    <row r="16" spans="1:9" ht="20.100000000000001" customHeight="1" x14ac:dyDescent="0.25">
      <c r="A16" s="262">
        <v>7</v>
      </c>
      <c r="B16" s="261">
        <v>43536</v>
      </c>
      <c r="C16" s="260" t="s">
        <v>347</v>
      </c>
      <c r="D16" s="259"/>
      <c r="E16" s="259">
        <f>72479800+35553</f>
        <v>72515353</v>
      </c>
      <c r="F16" s="259"/>
      <c r="I16" s="242">
        <f t="shared" si="0"/>
        <v>0</v>
      </c>
    </row>
    <row r="17" spans="1:9" ht="20.100000000000001" customHeight="1" x14ac:dyDescent="0.25">
      <c r="A17" s="262">
        <v>8</v>
      </c>
      <c r="B17" s="262" t="s">
        <v>414</v>
      </c>
      <c r="C17" s="260" t="s">
        <v>415</v>
      </c>
      <c r="D17" s="259">
        <v>37930050</v>
      </c>
      <c r="E17" s="259"/>
      <c r="F17" s="259"/>
      <c r="I17" s="242">
        <f t="shared" si="0"/>
        <v>37930050</v>
      </c>
    </row>
    <row r="18" spans="1:9" ht="20.100000000000001" customHeight="1" x14ac:dyDescent="0.25">
      <c r="A18" s="262">
        <v>9</v>
      </c>
      <c r="B18" s="262" t="s">
        <v>442</v>
      </c>
      <c r="C18" s="260" t="s">
        <v>443</v>
      </c>
      <c r="D18" s="259">
        <v>36808240</v>
      </c>
      <c r="E18" s="259"/>
      <c r="F18" s="259"/>
      <c r="I18" s="242">
        <f t="shared" si="0"/>
        <v>74738290</v>
      </c>
    </row>
    <row r="19" spans="1:9" ht="20.100000000000001" customHeight="1" x14ac:dyDescent="0.25">
      <c r="A19" s="262">
        <v>10</v>
      </c>
      <c r="B19" s="262" t="s">
        <v>458</v>
      </c>
      <c r="C19" s="260" t="s">
        <v>459</v>
      </c>
      <c r="D19" s="259"/>
      <c r="E19" s="259">
        <v>74738290</v>
      </c>
      <c r="F19" s="259"/>
      <c r="I19" s="242">
        <f t="shared" si="0"/>
        <v>0</v>
      </c>
    </row>
    <row r="20" spans="1:9" ht="20.100000000000001" customHeight="1" x14ac:dyDescent="0.25">
      <c r="A20" s="262">
        <v>11</v>
      </c>
      <c r="B20" s="262" t="s">
        <v>471</v>
      </c>
      <c r="C20" s="260" t="s">
        <v>477</v>
      </c>
      <c r="D20" s="259">
        <v>64277600</v>
      </c>
      <c r="E20" s="259"/>
      <c r="F20" s="259"/>
      <c r="I20" s="242">
        <f t="shared" si="0"/>
        <v>64277600</v>
      </c>
    </row>
    <row r="21" spans="1:9" ht="20.100000000000001" customHeight="1" x14ac:dyDescent="0.25">
      <c r="A21" s="262">
        <v>12</v>
      </c>
      <c r="B21" s="261">
        <v>43963</v>
      </c>
      <c r="C21" s="260" t="s">
        <v>488</v>
      </c>
      <c r="D21" s="259">
        <v>36001250</v>
      </c>
      <c r="E21" s="259"/>
      <c r="F21" s="259"/>
      <c r="I21" s="242">
        <f t="shared" si="0"/>
        <v>100278850</v>
      </c>
    </row>
    <row r="22" spans="1:9" ht="20.100000000000001" customHeight="1" x14ac:dyDescent="0.25">
      <c r="A22" s="262">
        <v>13</v>
      </c>
      <c r="B22" s="262" t="s">
        <v>504</v>
      </c>
      <c r="C22" s="260" t="s">
        <v>459</v>
      </c>
      <c r="D22" s="259"/>
      <c r="E22" s="259">
        <v>100278850</v>
      </c>
      <c r="F22" s="259"/>
      <c r="I22" s="242">
        <f t="shared" si="0"/>
        <v>0</v>
      </c>
    </row>
    <row r="23" spans="1:9" ht="20.100000000000001" customHeight="1" x14ac:dyDescent="0.25">
      <c r="A23" s="262">
        <v>14</v>
      </c>
      <c r="B23" s="261">
        <v>43991</v>
      </c>
      <c r="C23" s="260" t="s">
        <v>517</v>
      </c>
      <c r="D23" s="259">
        <v>30500550</v>
      </c>
      <c r="E23" s="259"/>
      <c r="F23" s="259"/>
      <c r="I23" s="242">
        <f t="shared" si="0"/>
        <v>30500550</v>
      </c>
    </row>
    <row r="24" spans="1:9" ht="20.100000000000001" customHeight="1" x14ac:dyDescent="0.25">
      <c r="A24" s="262">
        <v>15</v>
      </c>
      <c r="B24" s="262" t="s">
        <v>532</v>
      </c>
      <c r="C24" s="260" t="s">
        <v>533</v>
      </c>
      <c r="D24" s="259">
        <v>15463950</v>
      </c>
      <c r="E24" s="259"/>
      <c r="F24" s="270" t="s">
        <v>534</v>
      </c>
      <c r="I24" s="242">
        <f>I23+29463950-E24</f>
        <v>59964500</v>
      </c>
    </row>
    <row r="25" spans="1:9" ht="20.100000000000001" customHeight="1" x14ac:dyDescent="0.25">
      <c r="A25" s="262">
        <v>16</v>
      </c>
      <c r="B25" s="261">
        <v>44049</v>
      </c>
      <c r="C25" s="260" t="s">
        <v>576</v>
      </c>
      <c r="D25" s="259">
        <v>36065880</v>
      </c>
      <c r="E25" s="259"/>
      <c r="F25" s="259"/>
      <c r="I25" s="242">
        <f t="shared" si="0"/>
        <v>96030380</v>
      </c>
    </row>
    <row r="26" spans="1:9" ht="20.100000000000001" customHeight="1" x14ac:dyDescent="0.25">
      <c r="A26" s="262">
        <v>17</v>
      </c>
      <c r="B26" s="261">
        <v>44054</v>
      </c>
      <c r="C26" s="260" t="s">
        <v>583</v>
      </c>
      <c r="D26" s="259">
        <v>14479150</v>
      </c>
      <c r="E26" s="259"/>
      <c r="F26" s="259"/>
      <c r="I26" s="242">
        <f t="shared" si="0"/>
        <v>110509530</v>
      </c>
    </row>
    <row r="27" spans="1:9" ht="21" customHeight="1" x14ac:dyDescent="0.25">
      <c r="A27" s="262">
        <v>18</v>
      </c>
      <c r="B27" s="261">
        <v>44068</v>
      </c>
      <c r="C27" s="260" t="s">
        <v>584</v>
      </c>
      <c r="D27" s="259">
        <v>31515350</v>
      </c>
      <c r="E27" s="259"/>
      <c r="F27" s="259"/>
      <c r="I27" s="242">
        <f t="shared" si="0"/>
        <v>142024880</v>
      </c>
    </row>
    <row r="28" spans="1:9" ht="21" customHeight="1" x14ac:dyDescent="0.25">
      <c r="A28" s="262">
        <v>19</v>
      </c>
      <c r="B28" s="261">
        <v>44078</v>
      </c>
      <c r="C28" s="260" t="s">
        <v>603</v>
      </c>
      <c r="D28" s="259"/>
      <c r="E28" s="259">
        <v>36065880</v>
      </c>
      <c r="F28" s="259"/>
      <c r="I28" s="242">
        <f t="shared" si="0"/>
        <v>105959000</v>
      </c>
    </row>
    <row r="29" spans="1:9" ht="21" customHeight="1" x14ac:dyDescent="0.25">
      <c r="A29" s="262">
        <v>20</v>
      </c>
      <c r="B29" s="261">
        <v>44081</v>
      </c>
      <c r="C29" s="260" t="s">
        <v>609</v>
      </c>
      <c r="D29" s="259">
        <v>14089150</v>
      </c>
      <c r="E29" s="259"/>
      <c r="F29" s="259"/>
      <c r="I29" s="242">
        <f t="shared" si="0"/>
        <v>120048150</v>
      </c>
    </row>
    <row r="30" spans="1:9" ht="21" customHeight="1" x14ac:dyDescent="0.25">
      <c r="A30" s="262">
        <v>21</v>
      </c>
      <c r="B30" s="261">
        <v>44089</v>
      </c>
      <c r="C30" s="260" t="s">
        <v>611</v>
      </c>
      <c r="D30" s="259">
        <v>14529150</v>
      </c>
      <c r="E30" s="259"/>
      <c r="F30" s="259"/>
      <c r="I30" s="242">
        <f t="shared" si="0"/>
        <v>134577300</v>
      </c>
    </row>
    <row r="31" spans="1:9" ht="21" customHeight="1" x14ac:dyDescent="0.25">
      <c r="A31" s="262">
        <v>22</v>
      </c>
      <c r="B31" s="261">
        <v>44095</v>
      </c>
      <c r="C31" s="260" t="s">
        <v>612</v>
      </c>
      <c r="D31" s="259">
        <v>31515350</v>
      </c>
      <c r="E31" s="259"/>
      <c r="F31" s="259"/>
      <c r="I31" s="242">
        <f t="shared" si="0"/>
        <v>166092650</v>
      </c>
    </row>
    <row r="32" spans="1:9" ht="21" customHeight="1" x14ac:dyDescent="0.25">
      <c r="A32" s="262">
        <v>23</v>
      </c>
      <c r="B32" s="261">
        <v>44102</v>
      </c>
      <c r="C32" s="260" t="s">
        <v>616</v>
      </c>
      <c r="D32" s="259"/>
      <c r="E32" s="259">
        <v>59964500</v>
      </c>
      <c r="F32" s="259"/>
      <c r="I32" s="242">
        <f t="shared" si="0"/>
        <v>106128150</v>
      </c>
    </row>
    <row r="33" spans="1:10" ht="21" customHeight="1" x14ac:dyDescent="0.25">
      <c r="A33" s="262">
        <v>24</v>
      </c>
      <c r="B33" s="261">
        <v>44124</v>
      </c>
      <c r="C33" s="260" t="s">
        <v>643</v>
      </c>
      <c r="D33" s="259">
        <v>40978300</v>
      </c>
      <c r="E33" s="259"/>
      <c r="F33" s="259"/>
      <c r="I33" s="242">
        <f t="shared" si="0"/>
        <v>147106450</v>
      </c>
    </row>
    <row r="34" spans="1:10" ht="21" customHeight="1" x14ac:dyDescent="0.25">
      <c r="A34" s="262">
        <v>25</v>
      </c>
      <c r="B34" s="261">
        <v>44130</v>
      </c>
      <c r="C34" s="260" t="s">
        <v>648</v>
      </c>
      <c r="D34" s="259">
        <v>14089150</v>
      </c>
      <c r="E34" s="259"/>
      <c r="F34" s="259"/>
      <c r="I34" s="242">
        <f t="shared" si="0"/>
        <v>161195600</v>
      </c>
    </row>
    <row r="35" spans="1:10" ht="21" customHeight="1" x14ac:dyDescent="0.25">
      <c r="A35" s="262">
        <v>26</v>
      </c>
      <c r="B35" s="261">
        <v>44141</v>
      </c>
      <c r="C35" s="260" t="s">
        <v>669</v>
      </c>
      <c r="D35" s="259">
        <v>10072950</v>
      </c>
      <c r="E35" s="259"/>
      <c r="F35" s="259"/>
      <c r="I35" s="242">
        <f t="shared" si="0"/>
        <v>171268550</v>
      </c>
    </row>
    <row r="36" spans="1:10" ht="21" customHeight="1" x14ac:dyDescent="0.25">
      <c r="A36" s="262">
        <v>27</v>
      </c>
      <c r="B36" s="261">
        <v>44148</v>
      </c>
      <c r="C36" s="260" t="s">
        <v>674</v>
      </c>
      <c r="D36" s="259">
        <v>32678850</v>
      </c>
      <c r="E36" s="259"/>
      <c r="F36" s="259"/>
      <c r="I36" s="242">
        <f t="shared" si="0"/>
        <v>203947400</v>
      </c>
    </row>
    <row r="37" spans="1:10" ht="21" customHeight="1" x14ac:dyDescent="0.25">
      <c r="A37" s="262">
        <v>28</v>
      </c>
      <c r="B37" s="261">
        <v>44176</v>
      </c>
      <c r="C37" s="260" t="s">
        <v>616</v>
      </c>
      <c r="D37" s="259"/>
      <c r="E37" s="259">
        <v>106128150</v>
      </c>
      <c r="F37" s="259"/>
      <c r="I37" s="242">
        <f t="shared" si="0"/>
        <v>97819250</v>
      </c>
    </row>
    <row r="38" spans="1:10" ht="21" customHeight="1" x14ac:dyDescent="0.25">
      <c r="A38" s="262">
        <v>29</v>
      </c>
      <c r="B38" s="261">
        <v>44179</v>
      </c>
      <c r="C38" s="260" t="s">
        <v>688</v>
      </c>
      <c r="D38" s="259">
        <v>38608100</v>
      </c>
      <c r="E38" s="259"/>
      <c r="F38" s="259" t="s">
        <v>617</v>
      </c>
      <c r="I38" s="242">
        <f t="shared" si="0"/>
        <v>136427350</v>
      </c>
      <c r="J38">
        <f>132252150</f>
        <v>132252150</v>
      </c>
    </row>
    <row r="39" spans="1:10" ht="21" customHeight="1" x14ac:dyDescent="0.25">
      <c r="A39" s="262">
        <v>30</v>
      </c>
      <c r="B39" s="261">
        <v>44221</v>
      </c>
      <c r="C39" s="260" t="s">
        <v>616</v>
      </c>
      <c r="D39" s="259"/>
      <c r="E39" s="259">
        <v>80000000</v>
      </c>
      <c r="F39" s="259"/>
      <c r="I39" s="242">
        <f t="shared" si="0"/>
        <v>56427350</v>
      </c>
      <c r="J39" s="242">
        <f>I38-J38</f>
        <v>4175200</v>
      </c>
    </row>
    <row r="40" spans="1:10" ht="21" customHeight="1" x14ac:dyDescent="0.25">
      <c r="A40" s="262">
        <v>31</v>
      </c>
      <c r="B40" s="261">
        <v>44222</v>
      </c>
      <c r="C40" s="260" t="s">
        <v>732</v>
      </c>
      <c r="D40" s="259">
        <v>44000300</v>
      </c>
      <c r="E40" s="259"/>
      <c r="F40" s="259"/>
      <c r="I40" s="242">
        <f t="shared" si="0"/>
        <v>100427650</v>
      </c>
    </row>
    <row r="41" spans="1:10" ht="21" customHeight="1" x14ac:dyDescent="0.25">
      <c r="A41" s="262">
        <v>32</v>
      </c>
      <c r="B41" s="261">
        <v>44246</v>
      </c>
      <c r="C41" s="260" t="s">
        <v>616</v>
      </c>
      <c r="D41" s="259"/>
      <c r="E41" s="259">
        <v>86427650</v>
      </c>
      <c r="F41" s="259" t="s">
        <v>740</v>
      </c>
      <c r="I41" s="242">
        <v>0</v>
      </c>
    </row>
    <row r="42" spans="1:10" x14ac:dyDescent="0.25">
      <c r="A42" s="262">
        <v>33</v>
      </c>
      <c r="B42" s="261">
        <v>44300</v>
      </c>
      <c r="C42" s="260" t="s">
        <v>777</v>
      </c>
      <c r="D42" s="259">
        <v>35530000</v>
      </c>
      <c r="E42" s="259"/>
      <c r="F42" s="259"/>
      <c r="I42" s="242">
        <f t="shared" si="0"/>
        <v>35530000</v>
      </c>
    </row>
    <row r="43" spans="1:10" ht="19.5" customHeight="1" x14ac:dyDescent="0.25">
      <c r="A43" s="262">
        <v>34</v>
      </c>
      <c r="B43" s="261">
        <v>44300</v>
      </c>
      <c r="C43" s="260" t="s">
        <v>776</v>
      </c>
      <c r="D43" s="259">
        <v>35618950</v>
      </c>
      <c r="E43" s="259"/>
      <c r="F43" s="259"/>
      <c r="I43" s="242">
        <f t="shared" si="0"/>
        <v>71148950</v>
      </c>
    </row>
    <row r="44" spans="1:10" ht="19.5" customHeight="1" x14ac:dyDescent="0.25">
      <c r="A44" s="262">
        <v>35</v>
      </c>
      <c r="B44" s="261">
        <v>44305</v>
      </c>
      <c r="C44" s="260" t="s">
        <v>781</v>
      </c>
      <c r="D44" s="259">
        <v>20720450</v>
      </c>
      <c r="E44" s="259"/>
      <c r="F44" s="259"/>
      <c r="I44" s="242">
        <f t="shared" si="0"/>
        <v>91869400</v>
      </c>
    </row>
    <row r="45" spans="1:10" ht="19.5" customHeight="1" x14ac:dyDescent="0.25">
      <c r="A45" s="262">
        <v>36</v>
      </c>
      <c r="B45" s="261">
        <v>44305</v>
      </c>
      <c r="C45" s="260" t="s">
        <v>782</v>
      </c>
      <c r="D45" s="259">
        <v>35920450</v>
      </c>
      <c r="E45" s="259"/>
      <c r="F45" s="259"/>
      <c r="I45" s="242">
        <f t="shared" si="0"/>
        <v>127789850</v>
      </c>
    </row>
    <row r="46" spans="1:10" ht="19.5" customHeight="1" x14ac:dyDescent="0.25">
      <c r="A46" s="262">
        <v>37</v>
      </c>
      <c r="B46" s="261">
        <v>44315</v>
      </c>
      <c r="C46" s="260" t="s">
        <v>787</v>
      </c>
      <c r="D46" s="285"/>
      <c r="E46" s="259">
        <v>71148950</v>
      </c>
      <c r="F46" s="259"/>
      <c r="I46" s="242">
        <f t="shared" si="0"/>
        <v>56640900</v>
      </c>
    </row>
    <row r="47" spans="1:10" ht="19.5" customHeight="1" x14ac:dyDescent="0.25">
      <c r="A47" s="262">
        <v>38</v>
      </c>
      <c r="B47" s="261">
        <v>44336</v>
      </c>
      <c r="C47" s="260" t="s">
        <v>831</v>
      </c>
      <c r="D47" s="259">
        <v>21042950</v>
      </c>
      <c r="E47" s="259"/>
      <c r="F47" s="259"/>
      <c r="I47" s="242">
        <f t="shared" si="0"/>
        <v>77683850</v>
      </c>
    </row>
    <row r="48" spans="1:10" ht="19.5" customHeight="1" x14ac:dyDescent="0.25">
      <c r="A48" s="262">
        <v>39</v>
      </c>
      <c r="B48" s="261">
        <v>44362</v>
      </c>
      <c r="C48" s="260" t="s">
        <v>850</v>
      </c>
      <c r="D48" s="259">
        <v>55171900</v>
      </c>
      <c r="E48" s="259"/>
      <c r="F48" s="259"/>
      <c r="I48" s="242">
        <f t="shared" si="0"/>
        <v>132855750</v>
      </c>
    </row>
    <row r="49" spans="1:9" x14ac:dyDescent="0.25">
      <c r="A49" s="262">
        <v>40</v>
      </c>
      <c r="B49" s="261">
        <v>44412</v>
      </c>
      <c r="C49" s="260" t="s">
        <v>890</v>
      </c>
      <c r="D49" s="259">
        <v>92288850</v>
      </c>
      <c r="E49" s="259"/>
      <c r="F49" s="259"/>
      <c r="I49" s="242">
        <f t="shared" si="0"/>
        <v>225144600</v>
      </c>
    </row>
    <row r="50" spans="1:9" x14ac:dyDescent="0.25">
      <c r="A50" s="262">
        <v>41</v>
      </c>
      <c r="B50" s="261">
        <v>44414</v>
      </c>
      <c r="C50" s="260" t="s">
        <v>459</v>
      </c>
      <c r="D50" s="259"/>
      <c r="E50" s="259">
        <v>100000000</v>
      </c>
      <c r="F50" s="259"/>
      <c r="I50" s="242">
        <f t="shared" si="0"/>
        <v>125144600</v>
      </c>
    </row>
    <row r="51" spans="1:9" x14ac:dyDescent="0.25">
      <c r="A51" s="262">
        <v>42</v>
      </c>
      <c r="B51" s="261">
        <v>44428</v>
      </c>
      <c r="C51" s="260" t="s">
        <v>898</v>
      </c>
      <c r="D51" s="259">
        <v>99508800</v>
      </c>
      <c r="E51" s="259"/>
      <c r="F51" s="259"/>
      <c r="I51" s="242">
        <f t="shared" si="0"/>
        <v>224653400</v>
      </c>
    </row>
    <row r="52" spans="1:9" x14ac:dyDescent="0.25">
      <c r="A52" s="262">
        <v>43</v>
      </c>
      <c r="B52" s="261">
        <v>44438</v>
      </c>
      <c r="C52" s="260" t="s">
        <v>459</v>
      </c>
      <c r="D52" s="259"/>
      <c r="E52" s="259">
        <v>100000000</v>
      </c>
      <c r="F52" s="259"/>
      <c r="I52" s="242">
        <f t="shared" si="0"/>
        <v>124653400</v>
      </c>
    </row>
    <row r="53" spans="1:9" x14ac:dyDescent="0.25">
      <c r="A53" s="262">
        <v>44</v>
      </c>
      <c r="B53" s="261">
        <v>44446</v>
      </c>
      <c r="C53" s="260" t="s">
        <v>931</v>
      </c>
      <c r="D53" s="259">
        <v>84593900</v>
      </c>
      <c r="E53" s="259"/>
      <c r="F53" s="259"/>
      <c r="I53" s="242">
        <f t="shared" si="0"/>
        <v>209247300</v>
      </c>
    </row>
    <row r="54" spans="1:9" x14ac:dyDescent="0.25">
      <c r="A54" s="262">
        <v>45</v>
      </c>
      <c r="B54" s="261">
        <v>44459</v>
      </c>
      <c r="C54" s="260" t="s">
        <v>938</v>
      </c>
      <c r="D54" s="259">
        <v>37767850</v>
      </c>
      <c r="E54" s="259"/>
      <c r="F54" s="259"/>
      <c r="I54" s="242">
        <f t="shared" si="0"/>
        <v>247015150</v>
      </c>
    </row>
    <row r="55" spans="1:9" x14ac:dyDescent="0.25">
      <c r="A55" s="262">
        <v>46</v>
      </c>
      <c r="B55" s="261">
        <v>44487</v>
      </c>
      <c r="C55" s="260" t="s">
        <v>616</v>
      </c>
      <c r="D55" s="259"/>
      <c r="E55" s="259">
        <v>100000000</v>
      </c>
      <c r="F55" s="259"/>
      <c r="I55" s="242">
        <f t="shared" si="0"/>
        <v>147015150</v>
      </c>
    </row>
    <row r="56" spans="1:9" x14ac:dyDescent="0.25">
      <c r="A56" s="262">
        <v>47</v>
      </c>
      <c r="B56" s="261">
        <v>44495</v>
      </c>
      <c r="C56" s="260" t="s">
        <v>985</v>
      </c>
      <c r="D56" s="259">
        <v>39133600</v>
      </c>
      <c r="E56" s="259"/>
      <c r="F56" s="259"/>
      <c r="I56" s="242">
        <f t="shared" si="0"/>
        <v>186148750</v>
      </c>
    </row>
    <row r="57" spans="1:9" x14ac:dyDescent="0.25">
      <c r="A57" s="262">
        <v>48</v>
      </c>
      <c r="B57" s="261">
        <v>44502</v>
      </c>
      <c r="C57" s="260" t="s">
        <v>991</v>
      </c>
      <c r="D57" s="259">
        <v>61227900</v>
      </c>
      <c r="E57" s="259"/>
      <c r="F57" s="259"/>
      <c r="I57" s="242">
        <f t="shared" si="0"/>
        <v>247376650</v>
      </c>
    </row>
    <row r="58" spans="1:9" x14ac:dyDescent="0.25">
      <c r="A58" s="262">
        <v>49</v>
      </c>
      <c r="B58" s="261">
        <v>44523</v>
      </c>
      <c r="C58" s="260" t="s">
        <v>998</v>
      </c>
      <c r="D58" s="259">
        <v>55497550</v>
      </c>
      <c r="E58" s="259"/>
      <c r="F58" s="259"/>
      <c r="I58" s="242">
        <f t="shared" si="0"/>
        <v>302874200</v>
      </c>
    </row>
    <row r="59" spans="1:9" x14ac:dyDescent="0.25">
      <c r="A59" s="262">
        <v>50</v>
      </c>
      <c r="B59" s="261">
        <v>44530</v>
      </c>
      <c r="C59" s="260" t="s">
        <v>1003</v>
      </c>
      <c r="D59" s="259">
        <v>55527950</v>
      </c>
      <c r="E59" s="259"/>
      <c r="F59" s="259"/>
      <c r="I59" s="242">
        <f t="shared" si="0"/>
        <v>358402150</v>
      </c>
    </row>
    <row r="60" spans="1:9" x14ac:dyDescent="0.25">
      <c r="A60" s="262">
        <v>51</v>
      </c>
      <c r="B60" s="261">
        <v>44547</v>
      </c>
      <c r="C60" s="260" t="s">
        <v>459</v>
      </c>
      <c r="D60" s="259"/>
      <c r="E60" s="259">
        <v>200000000</v>
      </c>
      <c r="F60" s="259"/>
      <c r="I60" s="242">
        <f t="shared" si="0"/>
        <v>158402150</v>
      </c>
    </row>
    <row r="61" spans="1:9" x14ac:dyDescent="0.25">
      <c r="A61" s="262">
        <v>52</v>
      </c>
      <c r="B61" s="261">
        <v>44560</v>
      </c>
      <c r="C61" s="260" t="s">
        <v>616</v>
      </c>
      <c r="D61" s="279"/>
      <c r="E61" s="259">
        <v>158402150</v>
      </c>
      <c r="F61" s="259"/>
      <c r="I61" s="242">
        <f t="shared" si="0"/>
        <v>0</v>
      </c>
    </row>
    <row r="62" spans="1:9" x14ac:dyDescent="0.25">
      <c r="A62" s="262">
        <v>53</v>
      </c>
      <c r="B62" s="261">
        <v>44579</v>
      </c>
      <c r="C62" s="260" t="s">
        <v>1280</v>
      </c>
      <c r="D62" s="287">
        <v>64905950</v>
      </c>
      <c r="E62" s="259"/>
      <c r="F62" s="259"/>
      <c r="I62" s="242">
        <f t="shared" si="0"/>
        <v>64905950</v>
      </c>
    </row>
    <row r="63" spans="1:9" x14ac:dyDescent="0.25">
      <c r="A63" s="262">
        <v>54</v>
      </c>
      <c r="B63" s="261">
        <v>44615</v>
      </c>
      <c r="C63" s="260" t="s">
        <v>1068</v>
      </c>
      <c r="D63" s="287">
        <v>48118950</v>
      </c>
      <c r="E63" s="259"/>
      <c r="F63" s="259"/>
      <c r="I63" s="242">
        <f t="shared" si="0"/>
        <v>113024900</v>
      </c>
    </row>
    <row r="64" spans="1:9" x14ac:dyDescent="0.25">
      <c r="A64" s="262">
        <v>55</v>
      </c>
      <c r="B64" s="261">
        <v>44651</v>
      </c>
      <c r="C64" s="260" t="s">
        <v>1090</v>
      </c>
      <c r="D64" s="279">
        <v>68623586</v>
      </c>
      <c r="E64" s="259"/>
      <c r="F64" s="259"/>
      <c r="I64" s="242">
        <f t="shared" si="0"/>
        <v>181648486</v>
      </c>
    </row>
    <row r="65" spans="1:9" x14ac:dyDescent="0.25">
      <c r="A65" s="262">
        <v>56</v>
      </c>
      <c r="B65" s="261">
        <v>44656</v>
      </c>
      <c r="C65" s="260" t="s">
        <v>1094</v>
      </c>
      <c r="D65" s="287">
        <v>112121400</v>
      </c>
      <c r="E65" s="259"/>
      <c r="F65" s="259"/>
      <c r="I65" s="242">
        <f t="shared" si="0"/>
        <v>293769886</v>
      </c>
    </row>
    <row r="66" spans="1:9" x14ac:dyDescent="0.25">
      <c r="A66" s="262">
        <v>57</v>
      </c>
      <c r="B66" s="261">
        <v>44672</v>
      </c>
      <c r="C66" s="260" t="s">
        <v>616</v>
      </c>
      <c r="D66" s="279"/>
      <c r="E66" s="259">
        <v>150000000</v>
      </c>
      <c r="F66" s="259"/>
      <c r="I66" s="242">
        <f t="shared" si="0"/>
        <v>143769886</v>
      </c>
    </row>
    <row r="67" spans="1:9" x14ac:dyDescent="0.25">
      <c r="A67" s="262">
        <v>58</v>
      </c>
      <c r="B67" s="261">
        <v>44679</v>
      </c>
      <c r="C67" s="260" t="s">
        <v>1109</v>
      </c>
      <c r="D67" s="287">
        <v>59943450</v>
      </c>
      <c r="E67" s="259"/>
      <c r="F67" s="259"/>
      <c r="I67" s="242">
        <f t="shared" si="0"/>
        <v>203713336</v>
      </c>
    </row>
    <row r="68" spans="1:9" x14ac:dyDescent="0.25">
      <c r="A68" s="262">
        <v>59</v>
      </c>
      <c r="B68" s="261">
        <v>44686</v>
      </c>
      <c r="C68" s="260" t="s">
        <v>1123</v>
      </c>
      <c r="D68" s="287">
        <v>60291950</v>
      </c>
      <c r="E68" s="259"/>
      <c r="F68" s="259"/>
      <c r="I68" s="242">
        <f t="shared" si="0"/>
        <v>264005286</v>
      </c>
    </row>
    <row r="69" spans="1:9" x14ac:dyDescent="0.25">
      <c r="A69" s="262">
        <v>60</v>
      </c>
      <c r="B69" s="261">
        <v>44686</v>
      </c>
      <c r="C69" s="260" t="s">
        <v>1129</v>
      </c>
      <c r="D69" s="287">
        <v>45374950</v>
      </c>
      <c r="E69" s="259"/>
      <c r="F69" s="259"/>
      <c r="I69" s="242">
        <f t="shared" si="0"/>
        <v>309380236</v>
      </c>
    </row>
    <row r="70" spans="1:9" x14ac:dyDescent="0.25">
      <c r="A70" s="262">
        <v>61</v>
      </c>
      <c r="B70" s="261">
        <v>44691</v>
      </c>
      <c r="C70" s="260" t="s">
        <v>459</v>
      </c>
      <c r="D70" s="279"/>
      <c r="E70" s="259">
        <v>150000000</v>
      </c>
      <c r="F70" s="259"/>
      <c r="I70" s="242">
        <f t="shared" si="0"/>
        <v>159380236</v>
      </c>
    </row>
    <row r="71" spans="1:9" x14ac:dyDescent="0.25">
      <c r="A71" s="262">
        <v>63</v>
      </c>
      <c r="B71" s="261">
        <v>44701</v>
      </c>
      <c r="C71" s="260" t="s">
        <v>1128</v>
      </c>
      <c r="D71" s="279">
        <v>48187950</v>
      </c>
      <c r="E71" s="259"/>
      <c r="F71" s="259"/>
      <c r="I71" s="242">
        <f t="shared" si="0"/>
        <v>207568186</v>
      </c>
    </row>
    <row r="72" spans="1:9" x14ac:dyDescent="0.25">
      <c r="A72" s="262">
        <v>64</v>
      </c>
      <c r="B72" s="261">
        <v>44711</v>
      </c>
      <c r="C72" s="260" t="s">
        <v>1138</v>
      </c>
      <c r="D72" s="279">
        <v>46853572</v>
      </c>
      <c r="E72" s="259"/>
      <c r="F72" s="259"/>
      <c r="I72" s="242">
        <f t="shared" si="0"/>
        <v>254421758</v>
      </c>
    </row>
    <row r="73" spans="1:9" x14ac:dyDescent="0.25">
      <c r="A73" s="262">
        <v>65</v>
      </c>
      <c r="B73" s="261">
        <v>44726</v>
      </c>
      <c r="C73" s="260" t="s">
        <v>1141</v>
      </c>
      <c r="D73" s="279">
        <v>45542950</v>
      </c>
      <c r="E73" s="259"/>
      <c r="F73" s="259"/>
      <c r="I73" s="242">
        <f t="shared" si="0"/>
        <v>299964708</v>
      </c>
    </row>
    <row r="74" spans="1:9" x14ac:dyDescent="0.25">
      <c r="A74" s="262">
        <v>66</v>
      </c>
      <c r="B74" s="261">
        <v>44726</v>
      </c>
      <c r="C74" s="260" t="s">
        <v>1142</v>
      </c>
      <c r="D74" s="279">
        <v>60949950</v>
      </c>
      <c r="E74" s="259"/>
      <c r="F74" s="259"/>
      <c r="I74" s="242">
        <f t="shared" si="0"/>
        <v>360914658</v>
      </c>
    </row>
    <row r="75" spans="1:9" x14ac:dyDescent="0.25">
      <c r="A75" s="262">
        <v>67</v>
      </c>
      <c r="B75" s="261">
        <v>44728</v>
      </c>
      <c r="C75" s="260" t="s">
        <v>616</v>
      </c>
      <c r="D75" s="279"/>
      <c r="E75" s="259">
        <v>100000000</v>
      </c>
      <c r="F75" s="259"/>
      <c r="I75" s="242">
        <f t="shared" si="0"/>
        <v>260914658</v>
      </c>
    </row>
    <row r="76" spans="1:9" x14ac:dyDescent="0.25">
      <c r="A76" s="262">
        <v>68</v>
      </c>
      <c r="B76" s="261">
        <v>44775</v>
      </c>
      <c r="C76" s="260" t="s">
        <v>1192</v>
      </c>
      <c r="D76" s="279">
        <v>32859600</v>
      </c>
      <c r="E76" s="259"/>
      <c r="F76" s="259"/>
      <c r="I76" s="242">
        <f t="shared" ref="I76" si="1">I75+D76-E76</f>
        <v>293774258</v>
      </c>
    </row>
    <row r="77" spans="1:9" ht="16.5" customHeight="1" x14ac:dyDescent="0.25">
      <c r="A77" s="262">
        <v>69</v>
      </c>
      <c r="B77" s="261">
        <v>44791</v>
      </c>
      <c r="C77" s="260" t="s">
        <v>1210</v>
      </c>
      <c r="D77" s="279">
        <v>46075200</v>
      </c>
      <c r="E77" s="259"/>
      <c r="F77" s="259"/>
      <c r="I77" s="242">
        <f t="shared" ref="I77:I140" si="2">I76+D77-E77</f>
        <v>339849458</v>
      </c>
    </row>
    <row r="78" spans="1:9" ht="16.5" customHeight="1" x14ac:dyDescent="0.25">
      <c r="A78" s="262">
        <v>70</v>
      </c>
      <c r="B78" s="261">
        <v>44795</v>
      </c>
      <c r="C78" s="260" t="s">
        <v>1213</v>
      </c>
      <c r="D78" s="279"/>
      <c r="E78" s="259">
        <v>100000000</v>
      </c>
      <c r="F78" s="259"/>
      <c r="I78" s="242">
        <f t="shared" si="2"/>
        <v>239849458</v>
      </c>
    </row>
    <row r="79" spans="1:9" ht="16.5" customHeight="1" x14ac:dyDescent="0.25">
      <c r="A79" s="262">
        <v>71</v>
      </c>
      <c r="B79" s="261">
        <v>44820</v>
      </c>
      <c r="C79" s="260" t="s">
        <v>1213</v>
      </c>
      <c r="D79" s="279"/>
      <c r="E79" s="259">
        <v>100000000</v>
      </c>
      <c r="F79" s="259"/>
      <c r="I79" s="242">
        <f t="shared" si="2"/>
        <v>139849458</v>
      </c>
    </row>
    <row r="80" spans="1:9" ht="16.5" customHeight="1" x14ac:dyDescent="0.25">
      <c r="A80" s="262">
        <v>72</v>
      </c>
      <c r="B80" s="261">
        <v>44848</v>
      </c>
      <c r="C80" s="260" t="s">
        <v>1252</v>
      </c>
      <c r="D80" s="279">
        <v>43137450</v>
      </c>
      <c r="E80" s="259"/>
      <c r="F80" s="259"/>
      <c r="I80" s="242">
        <f t="shared" si="2"/>
        <v>182986908</v>
      </c>
    </row>
    <row r="81" spans="1:9" ht="16.5" customHeight="1" x14ac:dyDescent="0.25">
      <c r="A81" s="262">
        <v>73</v>
      </c>
      <c r="B81" s="261">
        <v>44879</v>
      </c>
      <c r="C81" s="260" t="s">
        <v>1278</v>
      </c>
      <c r="D81" s="279">
        <v>40923500</v>
      </c>
      <c r="E81" s="259"/>
      <c r="F81" s="259"/>
      <c r="I81" s="242">
        <f t="shared" si="2"/>
        <v>223910408</v>
      </c>
    </row>
    <row r="82" spans="1:9" x14ac:dyDescent="0.25">
      <c r="A82" s="262">
        <v>74</v>
      </c>
      <c r="B82" s="261">
        <v>44886</v>
      </c>
      <c r="C82" s="260" t="s">
        <v>1279</v>
      </c>
      <c r="D82" s="279">
        <v>39870950</v>
      </c>
      <c r="E82" s="259"/>
      <c r="F82" s="259"/>
      <c r="I82" s="242">
        <f t="shared" si="2"/>
        <v>263781358</v>
      </c>
    </row>
    <row r="83" spans="1:9" x14ac:dyDescent="0.25">
      <c r="A83" s="15">
        <v>75</v>
      </c>
      <c r="B83" s="261">
        <v>44895</v>
      </c>
      <c r="C83" s="260" t="s">
        <v>616</v>
      </c>
      <c r="D83" s="259"/>
      <c r="E83" s="259">
        <v>100000000</v>
      </c>
      <c r="F83" s="259"/>
      <c r="I83" s="242">
        <f t="shared" si="2"/>
        <v>163781358</v>
      </c>
    </row>
    <row r="84" spans="1:9" x14ac:dyDescent="0.25">
      <c r="A84" s="15">
        <v>76</v>
      </c>
      <c r="B84" s="261">
        <v>44915</v>
      </c>
      <c r="C84" s="260" t="s">
        <v>1330</v>
      </c>
      <c r="D84" s="259">
        <v>34582000</v>
      </c>
      <c r="E84" s="259"/>
      <c r="F84" s="259"/>
      <c r="I84" s="242">
        <f t="shared" si="2"/>
        <v>198363358</v>
      </c>
    </row>
    <row r="85" spans="1:9" x14ac:dyDescent="0.25">
      <c r="A85" s="15">
        <v>77</v>
      </c>
      <c r="B85" s="261">
        <v>44942</v>
      </c>
      <c r="C85" s="260" t="s">
        <v>616</v>
      </c>
      <c r="D85" s="259"/>
      <c r="E85" s="259">
        <v>198360358</v>
      </c>
      <c r="F85" s="259"/>
      <c r="I85" s="242">
        <f t="shared" si="2"/>
        <v>3000</v>
      </c>
    </row>
    <row r="86" spans="1:9" x14ac:dyDescent="0.25">
      <c r="A86" s="15">
        <v>78</v>
      </c>
      <c r="B86" s="261">
        <v>44964</v>
      </c>
      <c r="C86" s="260" t="s">
        <v>1376</v>
      </c>
      <c r="D86" s="259">
        <v>38720950</v>
      </c>
      <c r="E86" s="259"/>
      <c r="F86" s="259"/>
      <c r="I86" s="242">
        <f t="shared" si="2"/>
        <v>38723950</v>
      </c>
    </row>
    <row r="87" spans="1:9" x14ac:dyDescent="0.25">
      <c r="A87" s="15">
        <v>79</v>
      </c>
      <c r="B87" s="261">
        <v>45037</v>
      </c>
      <c r="C87" s="260" t="s">
        <v>1429</v>
      </c>
      <c r="D87" s="259">
        <v>21161400</v>
      </c>
      <c r="E87" s="259"/>
      <c r="F87" s="259"/>
      <c r="I87" s="242">
        <f t="shared" si="2"/>
        <v>59885350</v>
      </c>
    </row>
    <row r="88" spans="1:9" x14ac:dyDescent="0.25">
      <c r="A88" s="15">
        <v>80</v>
      </c>
      <c r="B88" s="261">
        <v>45037</v>
      </c>
      <c r="C88" s="260" t="s">
        <v>1430</v>
      </c>
      <c r="D88" s="259">
        <v>29296950</v>
      </c>
      <c r="E88" s="259"/>
      <c r="F88" s="259"/>
      <c r="I88" s="242">
        <f t="shared" si="2"/>
        <v>89182300</v>
      </c>
    </row>
    <row r="89" spans="1:9" x14ac:dyDescent="0.25">
      <c r="A89" s="15">
        <v>81</v>
      </c>
      <c r="B89" s="261">
        <v>45040</v>
      </c>
      <c r="C89" s="260" t="s">
        <v>1433</v>
      </c>
      <c r="D89" s="259">
        <v>44667950</v>
      </c>
      <c r="E89" s="259"/>
      <c r="F89" s="259"/>
      <c r="I89" s="242">
        <f t="shared" si="2"/>
        <v>133850250</v>
      </c>
    </row>
    <row r="90" spans="1:9" x14ac:dyDescent="0.25">
      <c r="A90" s="15">
        <v>82</v>
      </c>
      <c r="B90" s="261">
        <v>45043</v>
      </c>
      <c r="C90" s="260" t="s">
        <v>459</v>
      </c>
      <c r="D90" s="259"/>
      <c r="E90" s="259">
        <v>100000000</v>
      </c>
      <c r="F90" s="259"/>
      <c r="I90" s="242">
        <f t="shared" si="2"/>
        <v>33850250</v>
      </c>
    </row>
    <row r="91" spans="1:9" x14ac:dyDescent="0.25">
      <c r="A91" s="15">
        <v>83</v>
      </c>
      <c r="B91" s="261">
        <v>45044</v>
      </c>
      <c r="C91" s="260" t="s">
        <v>1443</v>
      </c>
      <c r="D91" s="259">
        <v>29362200</v>
      </c>
      <c r="E91" s="259"/>
      <c r="F91" s="259"/>
      <c r="I91" s="242">
        <f t="shared" si="2"/>
        <v>63212450</v>
      </c>
    </row>
    <row r="92" spans="1:9" x14ac:dyDescent="0.25">
      <c r="A92" s="15">
        <v>84</v>
      </c>
      <c r="B92" s="261">
        <v>45061</v>
      </c>
      <c r="C92" s="260" t="s">
        <v>1467</v>
      </c>
      <c r="D92" s="259">
        <v>28510800</v>
      </c>
      <c r="E92" s="259"/>
      <c r="F92" s="259"/>
      <c r="I92" s="242">
        <f t="shared" si="2"/>
        <v>91723250</v>
      </c>
    </row>
    <row r="93" spans="1:9" x14ac:dyDescent="0.25">
      <c r="A93" s="15">
        <v>85</v>
      </c>
      <c r="B93" s="261">
        <v>45072</v>
      </c>
      <c r="C93" s="260" t="s">
        <v>616</v>
      </c>
      <c r="D93" s="259"/>
      <c r="E93" s="259">
        <v>50000000</v>
      </c>
      <c r="F93" s="259"/>
      <c r="I93" s="242">
        <f t="shared" si="2"/>
        <v>41723250</v>
      </c>
    </row>
    <row r="94" spans="1:9" x14ac:dyDescent="0.25">
      <c r="A94" s="15">
        <v>86</v>
      </c>
      <c r="B94" s="261">
        <v>45097</v>
      </c>
      <c r="C94" s="260" t="s">
        <v>1510</v>
      </c>
      <c r="D94" s="259">
        <v>28483000</v>
      </c>
      <c r="E94" s="259"/>
      <c r="F94" s="259"/>
      <c r="I94" s="242">
        <f t="shared" si="2"/>
        <v>70206250</v>
      </c>
    </row>
    <row r="95" spans="1:9" x14ac:dyDescent="0.25">
      <c r="A95" s="262">
        <v>87</v>
      </c>
      <c r="B95" s="261">
        <v>45104</v>
      </c>
      <c r="C95" s="260" t="s">
        <v>1511</v>
      </c>
      <c r="D95" s="259">
        <v>28884400</v>
      </c>
      <c r="E95" s="259"/>
      <c r="F95" s="259"/>
      <c r="I95" s="242">
        <f t="shared" si="2"/>
        <v>99090650</v>
      </c>
    </row>
    <row r="96" spans="1:9" x14ac:dyDescent="0.25">
      <c r="A96" s="262">
        <v>88</v>
      </c>
      <c r="B96" s="261">
        <v>45118</v>
      </c>
      <c r="C96" s="260" t="s">
        <v>616</v>
      </c>
      <c r="D96" s="259"/>
      <c r="E96" s="259">
        <v>20000000</v>
      </c>
      <c r="F96" s="259"/>
      <c r="I96" s="242">
        <f t="shared" si="2"/>
        <v>79090650</v>
      </c>
    </row>
    <row r="97" spans="1:9" x14ac:dyDescent="0.25">
      <c r="A97" s="262">
        <v>89</v>
      </c>
      <c r="B97" s="261">
        <v>45147</v>
      </c>
      <c r="C97" s="260" t="s">
        <v>616</v>
      </c>
      <c r="D97" s="259"/>
      <c r="E97" s="259">
        <v>30000000</v>
      </c>
      <c r="F97" s="259"/>
      <c r="I97" s="242">
        <f t="shared" si="2"/>
        <v>49090650</v>
      </c>
    </row>
    <row r="98" spans="1:9" x14ac:dyDescent="0.25">
      <c r="A98" s="262">
        <v>90</v>
      </c>
      <c r="B98" s="261">
        <v>45149</v>
      </c>
      <c r="C98" s="260" t="s">
        <v>1558</v>
      </c>
      <c r="D98" s="259">
        <v>28616000</v>
      </c>
      <c r="E98" s="259"/>
      <c r="F98" s="259"/>
      <c r="I98" s="242">
        <f t="shared" si="2"/>
        <v>77706650</v>
      </c>
    </row>
    <row r="99" spans="1:9" x14ac:dyDescent="0.25">
      <c r="A99" s="262">
        <v>91</v>
      </c>
      <c r="B99" s="261">
        <v>45159</v>
      </c>
      <c r="C99" s="260" t="s">
        <v>1562</v>
      </c>
      <c r="D99" s="259">
        <v>22492800</v>
      </c>
      <c r="E99" s="259"/>
      <c r="F99" s="259"/>
      <c r="I99" s="242">
        <f t="shared" si="2"/>
        <v>100199450</v>
      </c>
    </row>
    <row r="100" spans="1:9" x14ac:dyDescent="0.25">
      <c r="A100" s="262">
        <v>92</v>
      </c>
      <c r="B100" s="261">
        <v>45169</v>
      </c>
      <c r="C100" s="260" t="s">
        <v>1578</v>
      </c>
      <c r="D100" s="259">
        <v>28653000</v>
      </c>
      <c r="E100" s="259"/>
      <c r="F100" s="259"/>
      <c r="I100" s="242">
        <f t="shared" si="2"/>
        <v>128852450</v>
      </c>
    </row>
    <row r="101" spans="1:9" x14ac:dyDescent="0.25">
      <c r="A101" s="262">
        <v>93</v>
      </c>
      <c r="B101" s="261">
        <v>45176</v>
      </c>
      <c r="C101" s="260" t="s">
        <v>616</v>
      </c>
      <c r="D101" s="259"/>
      <c r="E101" s="259">
        <v>100000000</v>
      </c>
      <c r="F101" s="259"/>
      <c r="I101" s="242">
        <f t="shared" si="2"/>
        <v>28852450</v>
      </c>
    </row>
    <row r="102" spans="1:9" x14ac:dyDescent="0.25">
      <c r="A102" s="262">
        <v>94</v>
      </c>
      <c r="B102" s="261">
        <v>45182</v>
      </c>
      <c r="C102" s="260" t="s">
        <v>1582</v>
      </c>
      <c r="D102" s="259">
        <v>34372800</v>
      </c>
      <c r="E102" s="259"/>
      <c r="F102" s="259"/>
      <c r="I102" s="242">
        <f t="shared" si="2"/>
        <v>63225250</v>
      </c>
    </row>
    <row r="103" spans="1:9" x14ac:dyDescent="0.25">
      <c r="A103" s="262">
        <v>95</v>
      </c>
      <c r="B103" s="261">
        <v>45183</v>
      </c>
      <c r="C103" s="260" t="s">
        <v>1591</v>
      </c>
      <c r="D103" s="259">
        <v>28660000</v>
      </c>
      <c r="E103" s="259"/>
      <c r="F103" s="259"/>
      <c r="I103" s="242">
        <f t="shared" si="2"/>
        <v>91885250</v>
      </c>
    </row>
    <row r="104" spans="1:9" x14ac:dyDescent="0.25">
      <c r="A104" s="262">
        <v>96</v>
      </c>
      <c r="B104" s="261">
        <v>45194</v>
      </c>
      <c r="C104" s="260" t="s">
        <v>1598</v>
      </c>
      <c r="D104" s="259">
        <v>28971000</v>
      </c>
      <c r="E104" s="259"/>
      <c r="F104" s="259"/>
      <c r="I104" s="242">
        <f>I103+D104-E104</f>
        <v>120856250</v>
      </c>
    </row>
    <row r="105" spans="1:9" x14ac:dyDescent="0.25">
      <c r="A105" s="262">
        <v>97</v>
      </c>
      <c r="B105" s="261">
        <v>45222</v>
      </c>
      <c r="C105" s="260" t="s">
        <v>1637</v>
      </c>
      <c r="D105" s="259">
        <v>34772800</v>
      </c>
      <c r="E105" s="259"/>
      <c r="F105" s="259"/>
      <c r="I105" s="242">
        <f t="shared" si="2"/>
        <v>155629050</v>
      </c>
    </row>
    <row r="106" spans="1:9" x14ac:dyDescent="0.25">
      <c r="A106" s="262">
        <v>98</v>
      </c>
      <c r="B106" s="261">
        <v>45227</v>
      </c>
      <c r="C106" s="260" t="s">
        <v>616</v>
      </c>
      <c r="D106" s="259"/>
      <c r="E106" s="259">
        <v>100000000</v>
      </c>
      <c r="F106" s="259"/>
      <c r="I106" s="242">
        <f t="shared" si="2"/>
        <v>55629050</v>
      </c>
    </row>
    <row r="107" spans="1:9" x14ac:dyDescent="0.25">
      <c r="A107" s="262">
        <v>99</v>
      </c>
      <c r="B107" s="261">
        <v>45229</v>
      </c>
      <c r="C107" s="260" t="s">
        <v>1643</v>
      </c>
      <c r="D107" s="259">
        <v>34565800</v>
      </c>
      <c r="E107" s="259"/>
      <c r="F107" s="259"/>
      <c r="I107" s="242">
        <f t="shared" si="2"/>
        <v>90194850</v>
      </c>
    </row>
    <row r="108" spans="1:9" x14ac:dyDescent="0.25">
      <c r="A108" s="262">
        <v>100</v>
      </c>
      <c r="B108" s="261">
        <v>45288</v>
      </c>
      <c r="C108" s="260" t="s">
        <v>1688</v>
      </c>
      <c r="D108" s="259">
        <v>28361000</v>
      </c>
      <c r="E108" s="259"/>
      <c r="F108" s="259"/>
      <c r="I108" s="242">
        <f t="shared" si="2"/>
        <v>118555850</v>
      </c>
    </row>
    <row r="109" spans="1:9" x14ac:dyDescent="0.25">
      <c r="A109" s="262">
        <v>101</v>
      </c>
      <c r="B109" s="261">
        <v>45295</v>
      </c>
      <c r="C109" s="260" t="s">
        <v>1687</v>
      </c>
      <c r="D109" s="259">
        <v>28171000</v>
      </c>
      <c r="E109" s="259"/>
      <c r="F109" s="259"/>
      <c r="I109" s="242">
        <f t="shared" si="2"/>
        <v>146726850</v>
      </c>
    </row>
    <row r="110" spans="1:9" x14ac:dyDescent="0.25">
      <c r="A110" s="262">
        <v>102</v>
      </c>
      <c r="B110" s="261">
        <v>45308</v>
      </c>
      <c r="C110" s="260" t="s">
        <v>1702</v>
      </c>
      <c r="D110" s="259">
        <v>51714880</v>
      </c>
      <c r="E110" s="259"/>
      <c r="F110" s="259"/>
      <c r="I110" s="242">
        <f t="shared" si="2"/>
        <v>198441730</v>
      </c>
    </row>
    <row r="111" spans="1:9" x14ac:dyDescent="0.25">
      <c r="A111" s="262">
        <v>103</v>
      </c>
      <c r="B111" s="261">
        <v>45317</v>
      </c>
      <c r="C111" s="260" t="s">
        <v>616</v>
      </c>
      <c r="D111" s="259"/>
      <c r="E111" s="259">
        <v>198441730</v>
      </c>
      <c r="F111" s="259"/>
      <c r="I111" s="242">
        <f t="shared" si="2"/>
        <v>0</v>
      </c>
    </row>
    <row r="112" spans="1:9" x14ac:dyDescent="0.25">
      <c r="A112" s="262">
        <v>104</v>
      </c>
      <c r="B112" s="261">
        <v>45434</v>
      </c>
      <c r="C112" s="260" t="s">
        <v>1783</v>
      </c>
      <c r="D112" s="259">
        <v>27046300</v>
      </c>
      <c r="E112" s="259"/>
      <c r="F112" s="259"/>
      <c r="I112" s="242">
        <f t="shared" si="2"/>
        <v>27046300</v>
      </c>
    </row>
    <row r="113" spans="1:9" x14ac:dyDescent="0.25">
      <c r="A113" s="262">
        <v>105</v>
      </c>
      <c r="B113" s="261">
        <v>45460</v>
      </c>
      <c r="C113" s="260" t="s">
        <v>1807</v>
      </c>
      <c r="D113" s="259">
        <v>33673450</v>
      </c>
      <c r="E113" s="259"/>
      <c r="F113" s="259"/>
      <c r="I113" s="242">
        <f t="shared" si="2"/>
        <v>60719750</v>
      </c>
    </row>
    <row r="114" spans="1:9" x14ac:dyDescent="0.25">
      <c r="A114" s="262">
        <v>106</v>
      </c>
      <c r="B114" s="261">
        <v>45476</v>
      </c>
      <c r="C114" s="260" t="s">
        <v>1816</v>
      </c>
      <c r="D114" s="259">
        <v>26763500</v>
      </c>
      <c r="E114" s="259"/>
      <c r="F114" s="259"/>
      <c r="I114" s="242">
        <f t="shared" si="2"/>
        <v>87483250</v>
      </c>
    </row>
    <row r="115" spans="1:9" x14ac:dyDescent="0.25">
      <c r="A115" s="262">
        <v>107</v>
      </c>
      <c r="B115" s="261">
        <v>45493</v>
      </c>
      <c r="C115" s="260" t="s">
        <v>1829</v>
      </c>
      <c r="D115" s="259">
        <v>21060240</v>
      </c>
      <c r="E115" s="259"/>
      <c r="F115" s="259"/>
      <c r="I115" s="242">
        <f t="shared" si="2"/>
        <v>108543490</v>
      </c>
    </row>
    <row r="116" spans="1:9" x14ac:dyDescent="0.25">
      <c r="A116" s="262">
        <v>108</v>
      </c>
      <c r="B116" s="261">
        <v>45510</v>
      </c>
      <c r="C116" s="260" t="s">
        <v>459</v>
      </c>
      <c r="D116" s="259"/>
      <c r="E116" s="259">
        <v>50000000</v>
      </c>
      <c r="F116" s="259"/>
      <c r="I116" s="242">
        <f t="shared" si="2"/>
        <v>58543490</v>
      </c>
    </row>
    <row r="117" spans="1:9" x14ac:dyDescent="0.25">
      <c r="A117" s="262">
        <v>109</v>
      </c>
      <c r="B117" s="261">
        <v>45541</v>
      </c>
      <c r="C117" s="260" t="s">
        <v>1861</v>
      </c>
      <c r="D117" s="259">
        <v>32237700</v>
      </c>
      <c r="E117" s="259"/>
      <c r="F117" s="259"/>
      <c r="I117" s="242">
        <f t="shared" si="2"/>
        <v>90781190</v>
      </c>
    </row>
    <row r="118" spans="1:9" x14ac:dyDescent="0.25">
      <c r="A118" s="262">
        <v>110</v>
      </c>
      <c r="B118" s="261">
        <v>45583</v>
      </c>
      <c r="C118" s="260" t="s">
        <v>1898</v>
      </c>
      <c r="D118" s="259">
        <v>17972800</v>
      </c>
      <c r="E118" s="259"/>
      <c r="F118" s="259"/>
      <c r="I118" s="242">
        <f t="shared" si="2"/>
        <v>108753990</v>
      </c>
    </row>
    <row r="119" spans="1:9" x14ac:dyDescent="0.25">
      <c r="A119" s="262">
        <v>111</v>
      </c>
      <c r="B119" s="261">
        <v>45583</v>
      </c>
      <c r="C119" s="260" t="s">
        <v>1899</v>
      </c>
      <c r="D119" s="259">
        <v>27248000</v>
      </c>
      <c r="E119" s="259"/>
      <c r="F119" s="259"/>
      <c r="I119" s="242">
        <f t="shared" si="2"/>
        <v>136001990</v>
      </c>
    </row>
    <row r="120" spans="1:9" x14ac:dyDescent="0.25">
      <c r="A120" s="262">
        <v>112</v>
      </c>
      <c r="B120" s="261"/>
      <c r="C120" s="260" t="s">
        <v>1900</v>
      </c>
      <c r="D120" s="259">
        <v>35248000</v>
      </c>
      <c r="E120" s="259"/>
      <c r="F120" s="259"/>
      <c r="I120" s="242">
        <f t="shared" si="2"/>
        <v>171249990</v>
      </c>
    </row>
    <row r="121" spans="1:9" x14ac:dyDescent="0.25">
      <c r="A121" s="262">
        <v>113</v>
      </c>
      <c r="B121" s="261">
        <v>45614</v>
      </c>
      <c r="C121" s="260" t="s">
        <v>616</v>
      </c>
      <c r="D121" s="259"/>
      <c r="E121" s="259">
        <v>50000000</v>
      </c>
      <c r="F121" s="259"/>
      <c r="I121" s="242">
        <f t="shared" si="2"/>
        <v>121249990</v>
      </c>
    </row>
    <row r="122" spans="1:9" x14ac:dyDescent="0.25">
      <c r="A122" s="262">
        <v>114</v>
      </c>
      <c r="B122" s="261">
        <v>45617</v>
      </c>
      <c r="C122" s="260" t="s">
        <v>1916</v>
      </c>
      <c r="D122" s="259">
        <v>26432200</v>
      </c>
      <c r="E122" s="259"/>
      <c r="F122" s="259"/>
      <c r="I122" s="242">
        <f t="shared" si="2"/>
        <v>147682190</v>
      </c>
    </row>
    <row r="123" spans="1:9" x14ac:dyDescent="0.25">
      <c r="A123" s="262">
        <v>115</v>
      </c>
      <c r="B123" s="261">
        <v>45623</v>
      </c>
      <c r="C123" s="260" t="s">
        <v>1917</v>
      </c>
      <c r="D123" s="259">
        <v>35201780</v>
      </c>
      <c r="E123" s="259"/>
      <c r="F123" s="259"/>
      <c r="I123" s="242">
        <f t="shared" si="2"/>
        <v>182883970</v>
      </c>
    </row>
    <row r="124" spans="1:9" x14ac:dyDescent="0.25">
      <c r="A124" s="262">
        <v>116</v>
      </c>
      <c r="B124" s="261">
        <v>45661</v>
      </c>
      <c r="C124" s="260" t="s">
        <v>1942</v>
      </c>
      <c r="D124" s="259">
        <v>28525600</v>
      </c>
      <c r="E124" s="259"/>
      <c r="F124" s="259"/>
      <c r="I124" s="242">
        <f t="shared" si="2"/>
        <v>211409570</v>
      </c>
    </row>
    <row r="125" spans="1:9" x14ac:dyDescent="0.25">
      <c r="A125" s="262">
        <v>117</v>
      </c>
      <c r="B125" s="261">
        <v>45664</v>
      </c>
      <c r="C125" s="260" t="s">
        <v>1959</v>
      </c>
      <c r="D125" s="259">
        <v>26484400</v>
      </c>
      <c r="E125" s="259"/>
      <c r="F125" s="259"/>
      <c r="I125" s="242">
        <f t="shared" si="2"/>
        <v>237893970</v>
      </c>
    </row>
    <row r="126" spans="1:9" x14ac:dyDescent="0.25">
      <c r="A126" s="262">
        <v>118</v>
      </c>
      <c r="B126" s="261">
        <v>45701</v>
      </c>
      <c r="C126" s="260" t="s">
        <v>616</v>
      </c>
      <c r="D126" s="259"/>
      <c r="E126" s="259">
        <v>50000000</v>
      </c>
      <c r="F126" s="259"/>
      <c r="I126" s="242">
        <f t="shared" si="2"/>
        <v>187893970</v>
      </c>
    </row>
    <row r="127" spans="1:9" x14ac:dyDescent="0.25">
      <c r="A127" s="262">
        <v>119</v>
      </c>
      <c r="B127" s="261">
        <v>45712</v>
      </c>
      <c r="C127" s="260" t="s">
        <v>1972</v>
      </c>
      <c r="D127" s="259">
        <v>35883250</v>
      </c>
      <c r="E127" s="259"/>
      <c r="F127" s="259"/>
      <c r="I127" s="242">
        <f t="shared" si="2"/>
        <v>223777220</v>
      </c>
    </row>
    <row r="128" spans="1:9" x14ac:dyDescent="0.25">
      <c r="A128" s="262">
        <v>120</v>
      </c>
      <c r="B128" s="261">
        <v>45736</v>
      </c>
      <c r="C128" s="260" t="s">
        <v>1985</v>
      </c>
      <c r="D128" s="259">
        <v>26665800</v>
      </c>
      <c r="E128" s="259"/>
      <c r="F128" s="259"/>
      <c r="I128" s="242">
        <f t="shared" si="2"/>
        <v>250443020</v>
      </c>
    </row>
    <row r="129" spans="1:9" x14ac:dyDescent="0.25">
      <c r="A129" s="262">
        <v>121</v>
      </c>
      <c r="B129" s="261">
        <v>45736</v>
      </c>
      <c r="C129" s="260" t="s">
        <v>1986</v>
      </c>
      <c r="D129" s="259">
        <v>26012000</v>
      </c>
      <c r="E129" s="259"/>
      <c r="F129" s="259"/>
      <c r="I129" s="242">
        <f t="shared" si="2"/>
        <v>276455020</v>
      </c>
    </row>
    <row r="130" spans="1:9" x14ac:dyDescent="0.25">
      <c r="A130" s="262">
        <v>122</v>
      </c>
      <c r="B130" s="261">
        <v>45741</v>
      </c>
      <c r="C130" s="260" t="s">
        <v>616</v>
      </c>
      <c r="D130" s="259"/>
      <c r="E130" s="259">
        <v>100000000</v>
      </c>
      <c r="F130" s="259"/>
      <c r="I130" s="242">
        <f t="shared" si="2"/>
        <v>176455020</v>
      </c>
    </row>
    <row r="131" spans="1:9" x14ac:dyDescent="0.25">
      <c r="A131" s="262">
        <v>123</v>
      </c>
      <c r="B131" s="261">
        <v>45742</v>
      </c>
      <c r="C131" s="260" t="s">
        <v>1991</v>
      </c>
      <c r="D131" s="259">
        <v>26668800</v>
      </c>
      <c r="E131" s="259"/>
      <c r="F131" s="259"/>
      <c r="I131" s="242">
        <f t="shared" si="2"/>
        <v>203123820</v>
      </c>
    </row>
    <row r="132" spans="1:9" x14ac:dyDescent="0.25">
      <c r="A132" s="262">
        <v>124</v>
      </c>
      <c r="B132" s="261">
        <v>45751</v>
      </c>
      <c r="C132" s="260" t="s">
        <v>1997</v>
      </c>
      <c r="D132" s="259">
        <v>18676800</v>
      </c>
      <c r="E132" s="259"/>
      <c r="F132" s="259"/>
      <c r="I132" s="242">
        <f t="shared" si="2"/>
        <v>221800620</v>
      </c>
    </row>
    <row r="133" spans="1:9" x14ac:dyDescent="0.25">
      <c r="A133" s="262">
        <v>125</v>
      </c>
      <c r="B133" s="261">
        <v>45756</v>
      </c>
      <c r="C133" s="260" t="s">
        <v>1998</v>
      </c>
      <c r="D133" s="259">
        <v>18490500</v>
      </c>
      <c r="E133" s="259"/>
      <c r="F133" s="259"/>
      <c r="I133" s="242">
        <f t="shared" si="2"/>
        <v>240291120</v>
      </c>
    </row>
    <row r="134" spans="1:9" x14ac:dyDescent="0.25">
      <c r="A134" s="262">
        <v>126</v>
      </c>
      <c r="B134" s="261"/>
      <c r="C134" s="260"/>
      <c r="D134" s="259"/>
      <c r="E134" s="259"/>
      <c r="F134" s="259"/>
      <c r="I134" s="242">
        <f t="shared" si="2"/>
        <v>240291120</v>
      </c>
    </row>
    <row r="135" spans="1:9" x14ac:dyDescent="0.25">
      <c r="A135" s="262">
        <v>127</v>
      </c>
      <c r="B135" s="261"/>
      <c r="C135" s="260"/>
      <c r="D135" s="259"/>
      <c r="E135" s="259"/>
      <c r="F135" s="259"/>
      <c r="I135" s="242">
        <f t="shared" si="2"/>
        <v>240291120</v>
      </c>
    </row>
    <row r="136" spans="1:9" x14ac:dyDescent="0.25">
      <c r="A136" s="262">
        <v>128</v>
      </c>
      <c r="B136" s="262"/>
      <c r="C136" s="260"/>
      <c r="D136" s="259"/>
      <c r="E136" s="259"/>
      <c r="F136" s="259"/>
      <c r="I136" s="242">
        <f t="shared" si="2"/>
        <v>240291120</v>
      </c>
    </row>
    <row r="137" spans="1:9" x14ac:dyDescent="0.25">
      <c r="A137" s="262">
        <v>129</v>
      </c>
      <c r="B137" s="262"/>
      <c r="C137" s="260"/>
      <c r="D137" s="259"/>
      <c r="E137" s="259"/>
      <c r="F137" s="259"/>
      <c r="I137" s="242">
        <f t="shared" si="2"/>
        <v>240291120</v>
      </c>
    </row>
    <row r="138" spans="1:9" x14ac:dyDescent="0.25">
      <c r="A138" s="262">
        <v>130</v>
      </c>
      <c r="B138" s="262"/>
      <c r="C138" s="260"/>
      <c r="D138" s="259"/>
      <c r="E138" s="259"/>
      <c r="F138" s="259"/>
      <c r="I138" s="242">
        <f t="shared" si="2"/>
        <v>240291120</v>
      </c>
    </row>
    <row r="139" spans="1:9" x14ac:dyDescent="0.25">
      <c r="A139" s="262">
        <v>131</v>
      </c>
      <c r="B139" s="262"/>
      <c r="C139" s="260"/>
      <c r="D139" s="259"/>
      <c r="E139" s="259"/>
      <c r="F139" s="259"/>
      <c r="I139" s="242">
        <f t="shared" si="2"/>
        <v>240291120</v>
      </c>
    </row>
    <row r="140" spans="1:9" x14ac:dyDescent="0.25">
      <c r="A140" s="262">
        <v>132</v>
      </c>
      <c r="B140" s="262"/>
      <c r="C140" s="260"/>
      <c r="D140" s="259"/>
      <c r="E140" s="259"/>
      <c r="F140" s="259"/>
      <c r="I140" s="242">
        <f t="shared" si="2"/>
        <v>240291120</v>
      </c>
    </row>
    <row r="141" spans="1:9" x14ac:dyDescent="0.25">
      <c r="A141" s="262">
        <v>133</v>
      </c>
      <c r="B141" s="262"/>
      <c r="C141" s="260"/>
      <c r="D141" s="259"/>
      <c r="E141" s="259"/>
      <c r="F141" s="259"/>
      <c r="I141" s="242">
        <f t="shared" ref="I141:I202" si="3">I140+D141-E141</f>
        <v>240291120</v>
      </c>
    </row>
    <row r="142" spans="1:9" x14ac:dyDescent="0.25">
      <c r="A142" s="262">
        <v>134</v>
      </c>
      <c r="B142" s="262"/>
      <c r="C142" s="260"/>
      <c r="D142" s="259"/>
      <c r="E142" s="259"/>
      <c r="F142" s="259"/>
      <c r="I142" s="242">
        <f t="shared" si="3"/>
        <v>240291120</v>
      </c>
    </row>
    <row r="143" spans="1:9" x14ac:dyDescent="0.25">
      <c r="A143" s="262">
        <v>135</v>
      </c>
      <c r="B143" s="262"/>
      <c r="C143" s="260"/>
      <c r="D143" s="259"/>
      <c r="E143" s="259"/>
      <c r="F143" s="259"/>
      <c r="I143" s="242">
        <f t="shared" si="3"/>
        <v>240291120</v>
      </c>
    </row>
    <row r="144" spans="1:9" x14ac:dyDescent="0.25">
      <c r="A144" s="262">
        <v>136</v>
      </c>
      <c r="B144" s="262"/>
      <c r="C144" s="260"/>
      <c r="D144" s="259"/>
      <c r="E144" s="259"/>
      <c r="F144" s="259"/>
      <c r="I144" s="242">
        <f t="shared" si="3"/>
        <v>240291120</v>
      </c>
    </row>
    <row r="145" spans="1:9" x14ac:dyDescent="0.25">
      <c r="A145" s="262">
        <v>137</v>
      </c>
      <c r="B145" s="262"/>
      <c r="C145" s="260"/>
      <c r="D145" s="259"/>
      <c r="E145" s="259"/>
      <c r="F145" s="259"/>
      <c r="I145" s="242">
        <f t="shared" si="3"/>
        <v>240291120</v>
      </c>
    </row>
    <row r="146" spans="1:9" x14ac:dyDescent="0.25">
      <c r="A146" s="262">
        <v>138</v>
      </c>
      <c r="B146" s="262"/>
      <c r="C146" s="260"/>
      <c r="D146" s="259"/>
      <c r="E146" s="259"/>
      <c r="F146" s="259"/>
      <c r="I146" s="242">
        <f t="shared" si="3"/>
        <v>240291120</v>
      </c>
    </row>
    <row r="147" spans="1:9" x14ac:dyDescent="0.25">
      <c r="A147" s="262">
        <v>139</v>
      </c>
      <c r="B147" s="262"/>
      <c r="C147" s="260"/>
      <c r="D147" s="259"/>
      <c r="E147" s="259"/>
      <c r="F147" s="259"/>
      <c r="I147" s="242">
        <f t="shared" si="3"/>
        <v>240291120</v>
      </c>
    </row>
    <row r="148" spans="1:9" x14ac:dyDescent="0.25">
      <c r="A148" s="262">
        <v>140</v>
      </c>
      <c r="B148" s="262"/>
      <c r="C148" s="260"/>
      <c r="D148" s="259"/>
      <c r="E148" s="259"/>
      <c r="F148" s="259"/>
      <c r="I148" s="242">
        <f t="shared" si="3"/>
        <v>240291120</v>
      </c>
    </row>
    <row r="149" spans="1:9" x14ac:dyDescent="0.25">
      <c r="A149" s="262">
        <v>141</v>
      </c>
      <c r="B149" s="262"/>
      <c r="C149" s="260"/>
      <c r="D149" s="259"/>
      <c r="E149" s="259"/>
      <c r="F149" s="259"/>
      <c r="I149" s="242">
        <f t="shared" si="3"/>
        <v>240291120</v>
      </c>
    </row>
    <row r="150" spans="1:9" x14ac:dyDescent="0.25">
      <c r="A150" s="262">
        <v>142</v>
      </c>
      <c r="B150" s="262"/>
      <c r="C150" s="260"/>
      <c r="D150" s="259"/>
      <c r="E150" s="259"/>
      <c r="F150" s="259"/>
      <c r="I150" s="242">
        <f t="shared" si="3"/>
        <v>240291120</v>
      </c>
    </row>
    <row r="151" spans="1:9" x14ac:dyDescent="0.25">
      <c r="A151" s="262">
        <v>143</v>
      </c>
      <c r="B151" s="262"/>
      <c r="C151" s="260"/>
      <c r="D151" s="259"/>
      <c r="E151" s="259"/>
      <c r="F151" s="259"/>
      <c r="I151" s="242">
        <f t="shared" si="3"/>
        <v>240291120</v>
      </c>
    </row>
    <row r="152" spans="1:9" x14ac:dyDescent="0.25">
      <c r="A152" s="262">
        <v>144</v>
      </c>
      <c r="B152" s="262"/>
      <c r="C152" s="260"/>
      <c r="D152" s="259"/>
      <c r="E152" s="259"/>
      <c r="F152" s="259"/>
      <c r="I152" s="242">
        <f t="shared" si="3"/>
        <v>240291120</v>
      </c>
    </row>
    <row r="153" spans="1:9" x14ac:dyDescent="0.25">
      <c r="A153" s="262">
        <v>145</v>
      </c>
      <c r="B153" s="262"/>
      <c r="C153" s="260"/>
      <c r="D153" s="259"/>
      <c r="E153" s="259"/>
      <c r="F153" s="259"/>
      <c r="I153" s="242">
        <f t="shared" si="3"/>
        <v>240291120</v>
      </c>
    </row>
    <row r="154" spans="1:9" x14ac:dyDescent="0.25">
      <c r="A154" s="262">
        <v>146</v>
      </c>
      <c r="B154" s="262"/>
      <c r="C154" s="260"/>
      <c r="D154" s="259"/>
      <c r="E154" s="259"/>
      <c r="F154" s="259"/>
      <c r="I154" s="242">
        <f t="shared" si="3"/>
        <v>240291120</v>
      </c>
    </row>
    <row r="155" spans="1:9" x14ac:dyDescent="0.25">
      <c r="A155" s="262">
        <v>147</v>
      </c>
      <c r="B155" s="262"/>
      <c r="C155" s="260"/>
      <c r="D155" s="259"/>
      <c r="E155" s="259"/>
      <c r="F155" s="259"/>
      <c r="I155" s="242">
        <f t="shared" si="3"/>
        <v>240291120</v>
      </c>
    </row>
    <row r="156" spans="1:9" x14ac:dyDescent="0.25">
      <c r="A156" s="262">
        <v>148</v>
      </c>
      <c r="B156" s="262"/>
      <c r="C156" s="260"/>
      <c r="D156" s="259"/>
      <c r="E156" s="259"/>
      <c r="F156" s="259"/>
      <c r="I156" s="242">
        <f t="shared" si="3"/>
        <v>240291120</v>
      </c>
    </row>
    <row r="157" spans="1:9" x14ac:dyDescent="0.25">
      <c r="A157" s="262">
        <v>149</v>
      </c>
      <c r="B157" s="262"/>
      <c r="C157" s="260"/>
      <c r="D157" s="259"/>
      <c r="E157" s="259"/>
      <c r="F157" s="259"/>
      <c r="I157" s="242">
        <f t="shared" si="3"/>
        <v>240291120</v>
      </c>
    </row>
    <row r="158" spans="1:9" x14ac:dyDescent="0.25">
      <c r="A158" s="262">
        <v>150</v>
      </c>
      <c r="B158" s="262"/>
      <c r="C158" s="260"/>
      <c r="D158" s="259"/>
      <c r="E158" s="259"/>
      <c r="F158" s="259"/>
      <c r="I158" s="242">
        <f t="shared" si="3"/>
        <v>240291120</v>
      </c>
    </row>
    <row r="159" spans="1:9" x14ac:dyDescent="0.25">
      <c r="A159" s="262">
        <v>151</v>
      </c>
      <c r="B159" s="262"/>
      <c r="C159" s="260"/>
      <c r="D159" s="259"/>
      <c r="E159" s="259"/>
      <c r="F159" s="259"/>
      <c r="I159" s="242">
        <f t="shared" si="3"/>
        <v>240291120</v>
      </c>
    </row>
    <row r="160" spans="1:9" x14ac:dyDescent="0.25">
      <c r="A160" s="262">
        <v>152</v>
      </c>
      <c r="B160" s="262"/>
      <c r="C160" s="260"/>
      <c r="D160" s="259"/>
      <c r="E160" s="259"/>
      <c r="F160" s="259"/>
      <c r="I160" s="242">
        <f t="shared" si="3"/>
        <v>240291120</v>
      </c>
    </row>
    <row r="161" spans="1:9" x14ac:dyDescent="0.25">
      <c r="A161" s="262">
        <v>153</v>
      </c>
      <c r="B161" s="262"/>
      <c r="C161" s="260"/>
      <c r="D161" s="259"/>
      <c r="E161" s="259"/>
      <c r="F161" s="259"/>
      <c r="I161" s="242">
        <f t="shared" si="3"/>
        <v>240291120</v>
      </c>
    </row>
    <row r="162" spans="1:9" x14ac:dyDescent="0.25">
      <c r="A162" s="262">
        <v>154</v>
      </c>
      <c r="B162" s="262"/>
      <c r="C162" s="260"/>
      <c r="D162" s="259"/>
      <c r="E162" s="259"/>
      <c r="F162" s="259"/>
      <c r="I162" s="242">
        <f t="shared" si="3"/>
        <v>240291120</v>
      </c>
    </row>
    <row r="163" spans="1:9" x14ac:dyDescent="0.25">
      <c r="A163" s="262">
        <v>155</v>
      </c>
      <c r="B163" s="262"/>
      <c r="C163" s="260"/>
      <c r="D163" s="259"/>
      <c r="E163" s="259"/>
      <c r="F163" s="259"/>
      <c r="I163" s="242">
        <f t="shared" si="3"/>
        <v>240291120</v>
      </c>
    </row>
    <row r="164" spans="1:9" x14ac:dyDescent="0.25">
      <c r="A164" s="262">
        <v>156</v>
      </c>
      <c r="B164" s="262"/>
      <c r="C164" s="260"/>
      <c r="D164" s="259"/>
      <c r="E164" s="259"/>
      <c r="F164" s="259"/>
      <c r="I164" s="242">
        <f t="shared" si="3"/>
        <v>240291120</v>
      </c>
    </row>
    <row r="165" spans="1:9" x14ac:dyDescent="0.25">
      <c r="A165" s="262">
        <v>157</v>
      </c>
      <c r="B165" s="262"/>
      <c r="C165" s="260"/>
      <c r="D165" s="259"/>
      <c r="E165" s="259"/>
      <c r="F165" s="259"/>
      <c r="I165" s="242">
        <f t="shared" si="3"/>
        <v>240291120</v>
      </c>
    </row>
    <row r="166" spans="1:9" x14ac:dyDescent="0.25">
      <c r="A166" s="262">
        <v>158</v>
      </c>
      <c r="B166" s="262"/>
      <c r="C166" s="260"/>
      <c r="D166" s="259"/>
      <c r="E166" s="259"/>
      <c r="F166" s="259"/>
      <c r="I166" s="242">
        <f t="shared" si="3"/>
        <v>240291120</v>
      </c>
    </row>
    <row r="167" spans="1:9" x14ac:dyDescent="0.25">
      <c r="A167" s="262">
        <v>159</v>
      </c>
      <c r="B167" s="262"/>
      <c r="C167" s="260"/>
      <c r="D167" s="259"/>
      <c r="E167" s="259"/>
      <c r="F167" s="259"/>
      <c r="I167" s="242">
        <f t="shared" si="3"/>
        <v>240291120</v>
      </c>
    </row>
    <row r="168" spans="1:9" x14ac:dyDescent="0.25">
      <c r="A168" s="262">
        <v>160</v>
      </c>
      <c r="B168" s="262"/>
      <c r="C168" s="260"/>
      <c r="D168" s="259"/>
      <c r="E168" s="259"/>
      <c r="F168" s="259"/>
      <c r="I168" s="242">
        <f t="shared" si="3"/>
        <v>240291120</v>
      </c>
    </row>
    <row r="169" spans="1:9" x14ac:dyDescent="0.25">
      <c r="A169" s="262">
        <v>161</v>
      </c>
      <c r="B169" s="262"/>
      <c r="C169" s="260"/>
      <c r="D169" s="259"/>
      <c r="E169" s="259"/>
      <c r="F169" s="259"/>
      <c r="I169" s="242">
        <f t="shared" si="3"/>
        <v>240291120</v>
      </c>
    </row>
    <row r="170" spans="1:9" x14ac:dyDescent="0.25">
      <c r="A170" s="262">
        <v>162</v>
      </c>
      <c r="B170" s="262"/>
      <c r="C170" s="260"/>
      <c r="D170" s="259"/>
      <c r="E170" s="259"/>
      <c r="F170" s="259"/>
      <c r="I170" s="242">
        <f t="shared" si="3"/>
        <v>240291120</v>
      </c>
    </row>
    <row r="171" spans="1:9" x14ac:dyDescent="0.25">
      <c r="A171" s="262">
        <v>163</v>
      </c>
      <c r="B171" s="262"/>
      <c r="C171" s="260"/>
      <c r="D171" s="259"/>
      <c r="E171" s="259"/>
      <c r="F171" s="259"/>
      <c r="I171" s="242">
        <f t="shared" si="3"/>
        <v>240291120</v>
      </c>
    </row>
    <row r="172" spans="1:9" x14ac:dyDescent="0.25">
      <c r="A172" s="262">
        <v>164</v>
      </c>
      <c r="B172" s="262"/>
      <c r="C172" s="260"/>
      <c r="D172" s="259"/>
      <c r="E172" s="259"/>
      <c r="F172" s="259"/>
      <c r="I172" s="242">
        <f t="shared" si="3"/>
        <v>240291120</v>
      </c>
    </row>
    <row r="173" spans="1:9" x14ac:dyDescent="0.25">
      <c r="A173" s="262">
        <v>165</v>
      </c>
      <c r="B173" s="262"/>
      <c r="C173" s="260"/>
      <c r="D173" s="259"/>
      <c r="E173" s="259"/>
      <c r="F173" s="259"/>
      <c r="I173" s="242">
        <f t="shared" si="3"/>
        <v>240291120</v>
      </c>
    </row>
    <row r="174" spans="1:9" x14ac:dyDescent="0.25">
      <c r="A174" s="262">
        <v>166</v>
      </c>
      <c r="B174" s="262"/>
      <c r="C174" s="260"/>
      <c r="D174" s="259"/>
      <c r="E174" s="259"/>
      <c r="F174" s="259"/>
      <c r="I174" s="242">
        <f t="shared" si="3"/>
        <v>240291120</v>
      </c>
    </row>
    <row r="175" spans="1:9" x14ac:dyDescent="0.25">
      <c r="A175" s="262">
        <v>167</v>
      </c>
      <c r="B175" s="262"/>
      <c r="C175" s="260"/>
      <c r="D175" s="259"/>
      <c r="E175" s="259"/>
      <c r="F175" s="259"/>
      <c r="I175" s="242">
        <f t="shared" si="3"/>
        <v>240291120</v>
      </c>
    </row>
    <row r="176" spans="1:9" x14ac:dyDescent="0.25">
      <c r="A176" s="262">
        <v>168</v>
      </c>
      <c r="B176" s="262"/>
      <c r="C176" s="260"/>
      <c r="D176" s="259"/>
      <c r="E176" s="259"/>
      <c r="F176" s="259"/>
      <c r="I176" s="242">
        <f t="shared" si="3"/>
        <v>240291120</v>
      </c>
    </row>
    <row r="177" spans="1:9" x14ac:dyDescent="0.25">
      <c r="A177" s="262">
        <v>169</v>
      </c>
      <c r="B177" s="262"/>
      <c r="C177" s="260"/>
      <c r="D177" s="259"/>
      <c r="E177" s="259"/>
      <c r="F177" s="259"/>
      <c r="I177" s="242">
        <f t="shared" si="3"/>
        <v>240291120</v>
      </c>
    </row>
    <row r="178" spans="1:9" x14ac:dyDescent="0.25">
      <c r="A178" s="262">
        <v>170</v>
      </c>
      <c r="B178" s="262"/>
      <c r="C178" s="260"/>
      <c r="D178" s="259"/>
      <c r="E178" s="259"/>
      <c r="F178" s="259"/>
      <c r="I178" s="242">
        <f t="shared" si="3"/>
        <v>240291120</v>
      </c>
    </row>
    <row r="179" spans="1:9" x14ac:dyDescent="0.25">
      <c r="A179" s="262">
        <v>171</v>
      </c>
      <c r="B179" s="262"/>
      <c r="C179" s="260"/>
      <c r="D179" s="259"/>
      <c r="E179" s="259"/>
      <c r="F179" s="259"/>
      <c r="I179" s="242">
        <f t="shared" si="3"/>
        <v>240291120</v>
      </c>
    </row>
    <row r="180" spans="1:9" x14ac:dyDescent="0.25">
      <c r="A180" s="262">
        <v>172</v>
      </c>
      <c r="B180" s="262"/>
      <c r="C180" s="260"/>
      <c r="D180" s="259"/>
      <c r="E180" s="259"/>
      <c r="F180" s="259"/>
      <c r="I180" s="242">
        <f t="shared" si="3"/>
        <v>240291120</v>
      </c>
    </row>
    <row r="181" spans="1:9" x14ac:dyDescent="0.25">
      <c r="A181" s="262">
        <v>173</v>
      </c>
      <c r="B181" s="262"/>
      <c r="C181" s="260"/>
      <c r="D181" s="259"/>
      <c r="E181" s="259"/>
      <c r="F181" s="259"/>
      <c r="I181" s="242">
        <f t="shared" si="3"/>
        <v>240291120</v>
      </c>
    </row>
    <row r="182" spans="1:9" x14ac:dyDescent="0.25">
      <c r="A182" s="262">
        <v>174</v>
      </c>
      <c r="B182" s="262"/>
      <c r="C182" s="260"/>
      <c r="D182" s="259"/>
      <c r="E182" s="259"/>
      <c r="F182" s="259"/>
      <c r="I182" s="242">
        <f t="shared" si="3"/>
        <v>240291120</v>
      </c>
    </row>
    <row r="183" spans="1:9" x14ac:dyDescent="0.25">
      <c r="A183" s="262">
        <v>175</v>
      </c>
      <c r="B183" s="262"/>
      <c r="C183" s="260"/>
      <c r="D183" s="259"/>
      <c r="E183" s="259"/>
      <c r="F183" s="259"/>
      <c r="I183" s="242">
        <f t="shared" si="3"/>
        <v>240291120</v>
      </c>
    </row>
    <row r="184" spans="1:9" x14ac:dyDescent="0.25">
      <c r="A184" s="262">
        <v>176</v>
      </c>
      <c r="B184" s="262"/>
      <c r="C184" s="260"/>
      <c r="D184" s="259"/>
      <c r="E184" s="259"/>
      <c r="F184" s="259"/>
      <c r="I184" s="242">
        <f t="shared" si="3"/>
        <v>240291120</v>
      </c>
    </row>
    <row r="185" spans="1:9" x14ac:dyDescent="0.25">
      <c r="A185" s="262">
        <v>177</v>
      </c>
      <c r="B185" s="262"/>
      <c r="C185" s="260"/>
      <c r="D185" s="259"/>
      <c r="E185" s="259"/>
      <c r="F185" s="259"/>
      <c r="I185" s="242">
        <f t="shared" si="3"/>
        <v>240291120</v>
      </c>
    </row>
    <row r="186" spans="1:9" x14ac:dyDescent="0.25">
      <c r="A186" s="262">
        <v>178</v>
      </c>
      <c r="B186" s="262"/>
      <c r="C186" s="260"/>
      <c r="D186" s="259"/>
      <c r="E186" s="259"/>
      <c r="F186" s="259"/>
      <c r="I186" s="242">
        <f t="shared" si="3"/>
        <v>240291120</v>
      </c>
    </row>
    <row r="187" spans="1:9" x14ac:dyDescent="0.25">
      <c r="A187" s="262">
        <v>179</v>
      </c>
      <c r="B187" s="262"/>
      <c r="C187" s="260"/>
      <c r="D187" s="259"/>
      <c r="E187" s="259"/>
      <c r="F187" s="259"/>
      <c r="I187" s="242">
        <f t="shared" si="3"/>
        <v>240291120</v>
      </c>
    </row>
    <row r="188" spans="1:9" x14ac:dyDescent="0.25">
      <c r="A188" s="262">
        <v>180</v>
      </c>
      <c r="B188" s="262"/>
      <c r="C188" s="260"/>
      <c r="D188" s="259"/>
      <c r="E188" s="259"/>
      <c r="F188" s="259"/>
      <c r="I188" s="242">
        <f t="shared" si="3"/>
        <v>240291120</v>
      </c>
    </row>
    <row r="189" spans="1:9" x14ac:dyDescent="0.25">
      <c r="A189" s="262">
        <v>181</v>
      </c>
      <c r="B189" s="262"/>
      <c r="C189" s="260"/>
      <c r="D189" s="259"/>
      <c r="E189" s="259"/>
      <c r="F189" s="259"/>
      <c r="I189" s="242">
        <f t="shared" si="3"/>
        <v>240291120</v>
      </c>
    </row>
    <row r="190" spans="1:9" x14ac:dyDescent="0.25">
      <c r="A190" s="262">
        <v>182</v>
      </c>
      <c r="B190" s="262"/>
      <c r="C190" s="260"/>
      <c r="D190" s="259"/>
      <c r="E190" s="259"/>
      <c r="F190" s="259"/>
      <c r="I190" s="242">
        <f t="shared" si="3"/>
        <v>240291120</v>
      </c>
    </row>
    <row r="191" spans="1:9" x14ac:dyDescent="0.25">
      <c r="A191" s="262">
        <v>183</v>
      </c>
      <c r="B191" s="262"/>
      <c r="C191" s="260"/>
      <c r="D191" s="259"/>
      <c r="E191" s="259"/>
      <c r="F191" s="259"/>
      <c r="I191" s="242">
        <f t="shared" si="3"/>
        <v>240291120</v>
      </c>
    </row>
    <row r="192" spans="1:9" x14ac:dyDescent="0.25">
      <c r="A192" s="262">
        <v>184</v>
      </c>
      <c r="B192" s="262"/>
      <c r="C192" s="260"/>
      <c r="D192" s="259"/>
      <c r="E192" s="259"/>
      <c r="F192" s="259"/>
      <c r="I192" s="242">
        <f t="shared" si="3"/>
        <v>240291120</v>
      </c>
    </row>
    <row r="193" spans="1:9" x14ac:dyDescent="0.25">
      <c r="A193" s="262">
        <v>185</v>
      </c>
      <c r="B193" s="262"/>
      <c r="C193" s="260"/>
      <c r="D193" s="259"/>
      <c r="E193" s="259"/>
      <c r="F193" s="259"/>
      <c r="I193" s="242">
        <f t="shared" si="3"/>
        <v>240291120</v>
      </c>
    </row>
    <row r="194" spans="1:9" x14ac:dyDescent="0.25">
      <c r="A194" s="262">
        <v>186</v>
      </c>
      <c r="B194" s="262"/>
      <c r="C194" s="260"/>
      <c r="D194" s="259"/>
      <c r="E194" s="259"/>
      <c r="F194" s="259"/>
      <c r="I194" s="242">
        <f t="shared" si="3"/>
        <v>240291120</v>
      </c>
    </row>
    <row r="195" spans="1:9" x14ac:dyDescent="0.25">
      <c r="A195" s="262">
        <v>187</v>
      </c>
      <c r="B195" s="262"/>
      <c r="C195" s="260"/>
      <c r="D195" s="259"/>
      <c r="E195" s="259"/>
      <c r="F195" s="259"/>
      <c r="I195" s="242">
        <f t="shared" si="3"/>
        <v>240291120</v>
      </c>
    </row>
    <row r="196" spans="1:9" x14ac:dyDescent="0.25">
      <c r="A196" s="262">
        <v>188</v>
      </c>
      <c r="B196" s="262"/>
      <c r="C196" s="260"/>
      <c r="D196" s="259"/>
      <c r="E196" s="259"/>
      <c r="F196" s="259"/>
      <c r="I196" s="242">
        <f t="shared" si="3"/>
        <v>240291120</v>
      </c>
    </row>
    <row r="197" spans="1:9" x14ac:dyDescent="0.25">
      <c r="A197" s="262">
        <v>189</v>
      </c>
      <c r="B197" s="262"/>
      <c r="C197" s="260"/>
      <c r="D197" s="259"/>
      <c r="E197" s="259"/>
      <c r="F197" s="259"/>
      <c r="I197" s="242">
        <f t="shared" si="3"/>
        <v>240291120</v>
      </c>
    </row>
    <row r="198" spans="1:9" x14ac:dyDescent="0.25">
      <c r="A198" s="262">
        <v>190</v>
      </c>
      <c r="B198" s="262"/>
      <c r="C198" s="260"/>
      <c r="D198" s="259"/>
      <c r="E198" s="259"/>
      <c r="F198" s="259"/>
      <c r="I198" s="242">
        <f t="shared" si="3"/>
        <v>240291120</v>
      </c>
    </row>
    <row r="199" spans="1:9" x14ac:dyDescent="0.25">
      <c r="A199" s="262">
        <v>191</v>
      </c>
      <c r="B199" s="262"/>
      <c r="C199" s="260"/>
      <c r="D199" s="259"/>
      <c r="E199" s="259"/>
      <c r="F199" s="259"/>
      <c r="I199" s="242">
        <f t="shared" si="3"/>
        <v>240291120</v>
      </c>
    </row>
    <row r="200" spans="1:9" x14ac:dyDescent="0.25">
      <c r="A200" s="262">
        <v>192</v>
      </c>
      <c r="B200" s="262"/>
      <c r="C200" s="260"/>
      <c r="D200" s="259"/>
      <c r="E200" s="259"/>
      <c r="F200" s="259"/>
      <c r="I200" s="242">
        <f t="shared" si="3"/>
        <v>240291120</v>
      </c>
    </row>
    <row r="201" spans="1:9" x14ac:dyDescent="0.25">
      <c r="A201" s="262">
        <v>193</v>
      </c>
      <c r="B201" s="262"/>
      <c r="C201" s="260"/>
      <c r="D201" s="259"/>
      <c r="E201" s="259"/>
      <c r="F201" s="259"/>
      <c r="I201" s="242">
        <f t="shared" si="3"/>
        <v>240291120</v>
      </c>
    </row>
    <row r="202" spans="1:9" x14ac:dyDescent="0.25">
      <c r="A202" s="260"/>
      <c r="B202" s="262"/>
      <c r="C202" s="260"/>
      <c r="D202" s="259"/>
      <c r="E202" s="259"/>
      <c r="F202" s="259"/>
      <c r="I202" s="242">
        <f t="shared" si="3"/>
        <v>240291120</v>
      </c>
    </row>
    <row r="203" spans="1:9" x14ac:dyDescent="0.25">
      <c r="A203" s="260"/>
      <c r="B203" s="262"/>
      <c r="C203" s="260"/>
      <c r="D203" s="259"/>
      <c r="E203" s="259"/>
      <c r="F203" s="259"/>
    </row>
    <row r="204" spans="1:9" x14ac:dyDescent="0.25">
      <c r="A204" s="260"/>
      <c r="B204" s="262"/>
      <c r="C204" s="260"/>
      <c r="D204" s="259"/>
      <c r="E204" s="259"/>
      <c r="F204" s="259"/>
    </row>
    <row r="205" spans="1:9" x14ac:dyDescent="0.25">
      <c r="A205" s="260"/>
      <c r="B205" s="262"/>
      <c r="C205" s="260"/>
      <c r="D205" s="259"/>
      <c r="E205" s="259"/>
      <c r="F205" s="259"/>
    </row>
    <row r="206" spans="1:9" x14ac:dyDescent="0.25">
      <c r="A206" s="260"/>
      <c r="B206" s="262"/>
      <c r="C206" s="260"/>
      <c r="D206" s="259"/>
      <c r="E206" s="259"/>
      <c r="F206" s="259"/>
    </row>
    <row r="207" spans="1:9" x14ac:dyDescent="0.25">
      <c r="A207" s="260"/>
      <c r="B207" s="262"/>
      <c r="C207" s="260"/>
      <c r="D207" s="259"/>
      <c r="E207" s="259"/>
      <c r="F207" s="259"/>
    </row>
    <row r="208" spans="1:9" x14ac:dyDescent="0.25">
      <c r="A208" s="260"/>
      <c r="B208" s="262"/>
      <c r="C208" s="260"/>
      <c r="D208" s="259"/>
      <c r="E208" s="259"/>
      <c r="F208" s="259"/>
    </row>
    <row r="209" spans="1:6" x14ac:dyDescent="0.25">
      <c r="A209" s="260"/>
      <c r="B209" s="262"/>
      <c r="C209" s="260"/>
      <c r="D209" s="259"/>
      <c r="E209" s="259"/>
      <c r="F209" s="259"/>
    </row>
    <row r="210" spans="1:6" x14ac:dyDescent="0.25">
      <c r="A210" s="260"/>
      <c r="B210" s="262"/>
      <c r="C210" s="260"/>
      <c r="D210" s="259"/>
      <c r="E210" s="259"/>
      <c r="F210" s="259"/>
    </row>
    <row r="211" spans="1:6" x14ac:dyDescent="0.25">
      <c r="A211" s="260"/>
      <c r="B211" s="262"/>
      <c r="C211" s="260"/>
      <c r="D211" s="259"/>
      <c r="E211" s="259"/>
      <c r="F211" s="259"/>
    </row>
  </sheetData>
  <mergeCells count="6">
    <mergeCell ref="A2:F2"/>
    <mergeCell ref="A8:A9"/>
    <mergeCell ref="B8:B9"/>
    <mergeCell ref="C8:C9"/>
    <mergeCell ref="D8:E8"/>
    <mergeCell ref="F8:F9"/>
  </mergeCells>
  <phoneticPr fontId="33" type="noConversion"/>
  <hyperlinks>
    <hyperlink ref="G1" location="'Tổng hợp'!A1" display="TH" xr:uid="{00000000-0004-0000-0700-000000000000}"/>
  </hyperlinks>
  <pageMargins left="0.7" right="0.7" top="0.75" bottom="0.75" header="0.3" footer="0.3"/>
  <pageSetup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85"/>
  <sheetViews>
    <sheetView workbookViewId="0">
      <pane ySplit="1" topLeftCell="A131" activePane="bottomLeft" state="frozen"/>
      <selection pane="bottomLeft"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6" width="13.85546875" style="2" customWidth="1"/>
    <col min="8" max="8" width="12.5703125" customWidth="1"/>
  </cols>
  <sheetData>
    <row r="1" spans="1:11" x14ac:dyDescent="0.25">
      <c r="A1" s="1"/>
      <c r="B1" s="252"/>
      <c r="G1" s="1" t="s">
        <v>16</v>
      </c>
    </row>
    <row r="2" spans="1:11" x14ac:dyDescent="0.25">
      <c r="A2" s="411" t="s">
        <v>3</v>
      </c>
      <c r="B2" s="411"/>
      <c r="C2" s="411"/>
      <c r="D2" s="411"/>
      <c r="E2" s="411"/>
      <c r="F2" s="411"/>
    </row>
    <row r="3" spans="1:11" x14ac:dyDescent="0.25">
      <c r="A3" t="s">
        <v>4</v>
      </c>
      <c r="D3" s="2" t="s">
        <v>19</v>
      </c>
    </row>
    <row r="4" spans="1:11" x14ac:dyDescent="0.25">
      <c r="E4" s="2" t="s">
        <v>9</v>
      </c>
      <c r="F4" s="2">
        <v>2958200</v>
      </c>
      <c r="K4" t="s">
        <v>224</v>
      </c>
    </row>
    <row r="5" spans="1:11" x14ac:dyDescent="0.25">
      <c r="A5" t="s">
        <v>13</v>
      </c>
      <c r="D5" s="3">
        <f ca="1">+'Tổng hợp'!$G$2</f>
        <v>45784</v>
      </c>
      <c r="E5" s="2" t="s">
        <v>10</v>
      </c>
      <c r="F5" s="2">
        <f>SUM(D10:D200)</f>
        <v>1228709441</v>
      </c>
    </row>
    <row r="6" spans="1:11" x14ac:dyDescent="0.25">
      <c r="E6" s="2" t="s">
        <v>11</v>
      </c>
      <c r="F6" s="2">
        <f>SUM(E10:E200)</f>
        <v>1231666841</v>
      </c>
    </row>
    <row r="7" spans="1:11" x14ac:dyDescent="0.25">
      <c r="E7" s="2" t="s">
        <v>12</v>
      </c>
      <c r="F7" s="2">
        <f>+F4+F5-F6</f>
        <v>800</v>
      </c>
    </row>
    <row r="8" spans="1:11" x14ac:dyDescent="0.25">
      <c r="A8" s="416" t="s">
        <v>0</v>
      </c>
      <c r="B8" s="416" t="s">
        <v>13</v>
      </c>
      <c r="C8" s="416" t="s">
        <v>5</v>
      </c>
      <c r="D8" s="417" t="s">
        <v>8</v>
      </c>
      <c r="E8" s="417"/>
      <c r="F8" s="417" t="s">
        <v>2</v>
      </c>
    </row>
    <row r="9" spans="1:11" x14ac:dyDescent="0.25">
      <c r="A9" s="416"/>
      <c r="B9" s="416"/>
      <c r="C9" s="416"/>
      <c r="D9" s="259" t="s">
        <v>6</v>
      </c>
      <c r="E9" s="259" t="s">
        <v>7</v>
      </c>
      <c r="F9" s="417"/>
    </row>
    <row r="10" spans="1:11" x14ac:dyDescent="0.25">
      <c r="A10" s="262">
        <v>1</v>
      </c>
      <c r="B10" s="261">
        <v>43634</v>
      </c>
      <c r="C10" s="260" t="s">
        <v>20</v>
      </c>
      <c r="D10" s="259"/>
      <c r="E10" s="259">
        <v>2958200</v>
      </c>
      <c r="F10" s="259"/>
    </row>
    <row r="11" spans="1:11" x14ac:dyDescent="0.25">
      <c r="A11" s="262">
        <v>2</v>
      </c>
      <c r="B11" s="261">
        <v>43645</v>
      </c>
      <c r="C11" s="260" t="s">
        <v>176</v>
      </c>
      <c r="D11" s="259">
        <v>7377000</v>
      </c>
      <c r="E11" s="259"/>
      <c r="F11" s="259"/>
      <c r="H11" s="242">
        <f>D11-E11</f>
        <v>7377000</v>
      </c>
    </row>
    <row r="12" spans="1:11" x14ac:dyDescent="0.25">
      <c r="A12" s="262">
        <v>3</v>
      </c>
      <c r="B12" s="261">
        <v>43656</v>
      </c>
      <c r="C12" s="260" t="s">
        <v>20</v>
      </c>
      <c r="D12" s="259"/>
      <c r="E12" s="259">
        <v>7377000</v>
      </c>
      <c r="F12" s="259"/>
      <c r="H12" s="242">
        <f>H11+D12-E12</f>
        <v>0</v>
      </c>
    </row>
    <row r="13" spans="1:11" x14ac:dyDescent="0.25">
      <c r="A13" s="262">
        <v>4</v>
      </c>
      <c r="B13" s="261">
        <v>43677</v>
      </c>
      <c r="C13" s="260" t="s">
        <v>203</v>
      </c>
      <c r="D13" s="259">
        <v>3940000</v>
      </c>
      <c r="E13" s="259"/>
      <c r="F13" s="259"/>
      <c r="H13" s="242">
        <f t="shared" ref="H13:H76" si="0">H12+D13-E13</f>
        <v>3940000</v>
      </c>
      <c r="K13" s="242"/>
    </row>
    <row r="14" spans="1:11" x14ac:dyDescent="0.25">
      <c r="A14" s="262">
        <v>5</v>
      </c>
      <c r="B14" s="261">
        <v>43689</v>
      </c>
      <c r="C14" s="260" t="s">
        <v>20</v>
      </c>
      <c r="D14" s="259"/>
      <c r="E14" s="259">
        <v>3940000</v>
      </c>
      <c r="F14" s="259"/>
      <c r="H14" s="242">
        <f t="shared" si="0"/>
        <v>0</v>
      </c>
    </row>
    <row r="15" spans="1:11" x14ac:dyDescent="0.25">
      <c r="A15" s="262">
        <v>6</v>
      </c>
      <c r="B15" s="261">
        <v>43701</v>
      </c>
      <c r="C15" s="260" t="s">
        <v>236</v>
      </c>
      <c r="D15" s="259">
        <v>15705278</v>
      </c>
      <c r="E15" s="259"/>
      <c r="F15" s="259"/>
      <c r="H15" s="242">
        <f t="shared" si="0"/>
        <v>15705278</v>
      </c>
    </row>
    <row r="16" spans="1:11" x14ac:dyDescent="0.25">
      <c r="A16" s="262">
        <v>7</v>
      </c>
      <c r="B16" s="261">
        <v>43708</v>
      </c>
      <c r="C16" s="260" t="s">
        <v>237</v>
      </c>
      <c r="D16" s="259">
        <v>1800000</v>
      </c>
      <c r="E16" s="259"/>
      <c r="F16" s="259"/>
      <c r="H16" s="242">
        <f t="shared" si="0"/>
        <v>17505278</v>
      </c>
    </row>
    <row r="17" spans="1:8" x14ac:dyDescent="0.25">
      <c r="A17" s="262">
        <v>8</v>
      </c>
      <c r="B17" s="261">
        <v>43625</v>
      </c>
      <c r="C17" s="260" t="s">
        <v>20</v>
      </c>
      <c r="D17" s="259"/>
      <c r="E17" s="259">
        <v>15705278</v>
      </c>
      <c r="F17" s="259"/>
      <c r="H17" s="242">
        <f t="shared" si="0"/>
        <v>1800000</v>
      </c>
    </row>
    <row r="18" spans="1:8" x14ac:dyDescent="0.25">
      <c r="A18" s="262">
        <v>9</v>
      </c>
      <c r="B18" s="261">
        <v>43778</v>
      </c>
      <c r="C18" s="260" t="s">
        <v>20</v>
      </c>
      <c r="D18" s="259"/>
      <c r="E18" s="259">
        <v>1800000</v>
      </c>
      <c r="F18" s="259"/>
      <c r="H18" s="242">
        <f t="shared" si="0"/>
        <v>0</v>
      </c>
    </row>
    <row r="19" spans="1:8" x14ac:dyDescent="0.25">
      <c r="A19" s="262">
        <v>10</v>
      </c>
      <c r="B19" s="262" t="s">
        <v>262</v>
      </c>
      <c r="C19" s="260" t="s">
        <v>269</v>
      </c>
      <c r="D19" s="259">
        <v>23226820</v>
      </c>
      <c r="E19" s="259"/>
      <c r="F19" s="259"/>
      <c r="H19" s="242">
        <f t="shared" si="0"/>
        <v>23226820</v>
      </c>
    </row>
    <row r="20" spans="1:8" x14ac:dyDescent="0.25">
      <c r="A20" s="262">
        <v>11</v>
      </c>
      <c r="B20" s="262" t="s">
        <v>271</v>
      </c>
      <c r="C20" s="260" t="s">
        <v>20</v>
      </c>
      <c r="D20" s="259"/>
      <c r="E20" s="259">
        <v>23226820</v>
      </c>
      <c r="F20" s="259"/>
      <c r="H20" s="242">
        <f t="shared" si="0"/>
        <v>0</v>
      </c>
    </row>
    <row r="21" spans="1:8" x14ac:dyDescent="0.25">
      <c r="A21" s="262">
        <v>12</v>
      </c>
      <c r="B21" s="262" t="s">
        <v>277</v>
      </c>
      <c r="C21" s="260" t="s">
        <v>279</v>
      </c>
      <c r="D21" s="259">
        <v>10160000</v>
      </c>
      <c r="E21" s="259"/>
      <c r="F21" s="259"/>
      <c r="H21" s="242">
        <f t="shared" si="0"/>
        <v>10160000</v>
      </c>
    </row>
    <row r="22" spans="1:8" x14ac:dyDescent="0.25">
      <c r="A22" s="262">
        <v>13</v>
      </c>
      <c r="B22" s="262" t="s">
        <v>296</v>
      </c>
      <c r="C22" s="260" t="s">
        <v>20</v>
      </c>
      <c r="D22" s="259"/>
      <c r="E22" s="259">
        <v>10160000</v>
      </c>
      <c r="F22" s="259"/>
      <c r="H22" s="242">
        <f t="shared" si="0"/>
        <v>0</v>
      </c>
    </row>
    <row r="23" spans="1:8" x14ac:dyDescent="0.25">
      <c r="A23" s="262">
        <v>14</v>
      </c>
      <c r="B23" s="262" t="s">
        <v>309</v>
      </c>
      <c r="C23" s="260" t="s">
        <v>310</v>
      </c>
      <c r="D23" s="259">
        <v>18720000</v>
      </c>
      <c r="E23" s="259"/>
      <c r="F23" s="259"/>
      <c r="H23" s="242">
        <f t="shared" si="0"/>
        <v>18720000</v>
      </c>
    </row>
    <row r="24" spans="1:8" x14ac:dyDescent="0.25">
      <c r="A24" s="262">
        <v>15</v>
      </c>
      <c r="B24" s="261">
        <v>43780</v>
      </c>
      <c r="C24" s="260" t="s">
        <v>20</v>
      </c>
      <c r="D24" s="259"/>
      <c r="E24" s="259">
        <v>18720000</v>
      </c>
      <c r="F24" s="259"/>
      <c r="H24" s="242">
        <f t="shared" si="0"/>
        <v>0</v>
      </c>
    </row>
    <row r="25" spans="1:8" x14ac:dyDescent="0.25">
      <c r="A25" s="262">
        <v>16</v>
      </c>
      <c r="B25" s="262" t="s">
        <v>342</v>
      </c>
      <c r="C25" s="260" t="s">
        <v>343</v>
      </c>
      <c r="D25" s="259">
        <v>5750000</v>
      </c>
      <c r="E25" s="259"/>
      <c r="F25" s="259"/>
      <c r="H25" s="242">
        <f t="shared" si="0"/>
        <v>5750000</v>
      </c>
    </row>
    <row r="26" spans="1:8" x14ac:dyDescent="0.25">
      <c r="A26" s="262">
        <v>17</v>
      </c>
      <c r="B26" s="261">
        <v>43750</v>
      </c>
      <c r="C26" s="260" t="s">
        <v>20</v>
      </c>
      <c r="D26" s="259"/>
      <c r="E26" s="259">
        <v>5750000</v>
      </c>
      <c r="F26" s="259"/>
      <c r="H26" s="242">
        <f t="shared" si="0"/>
        <v>0</v>
      </c>
    </row>
    <row r="27" spans="1:8" x14ac:dyDescent="0.25">
      <c r="A27" s="262">
        <v>18</v>
      </c>
      <c r="B27" s="262" t="s">
        <v>376</v>
      </c>
      <c r="C27" s="260" t="s">
        <v>379</v>
      </c>
      <c r="D27" s="259">
        <v>57980000</v>
      </c>
      <c r="E27" s="259"/>
      <c r="F27" s="259"/>
      <c r="H27" s="242">
        <f t="shared" si="0"/>
        <v>57980000</v>
      </c>
    </row>
    <row r="28" spans="1:8" x14ac:dyDescent="0.25">
      <c r="A28" s="262">
        <v>19</v>
      </c>
      <c r="B28" s="261">
        <v>44044</v>
      </c>
      <c r="C28" s="260" t="s">
        <v>20</v>
      </c>
      <c r="D28" s="259"/>
      <c r="E28" s="259">
        <v>57980000</v>
      </c>
      <c r="F28" s="259"/>
      <c r="H28" s="242">
        <f t="shared" si="0"/>
        <v>0</v>
      </c>
    </row>
    <row r="29" spans="1:8" x14ac:dyDescent="0.25">
      <c r="A29" s="262">
        <v>20</v>
      </c>
      <c r="B29" s="262" t="s">
        <v>400</v>
      </c>
      <c r="C29" s="260" t="s">
        <v>402</v>
      </c>
      <c r="D29" s="259">
        <v>2815000</v>
      </c>
      <c r="E29" s="259"/>
      <c r="F29" s="259"/>
      <c r="H29" s="242">
        <f t="shared" si="0"/>
        <v>2815000</v>
      </c>
    </row>
    <row r="30" spans="1:8" x14ac:dyDescent="0.25">
      <c r="A30" s="262">
        <v>21</v>
      </c>
      <c r="B30" s="261">
        <v>43984</v>
      </c>
      <c r="C30" s="260" t="s">
        <v>20</v>
      </c>
      <c r="D30" s="259"/>
      <c r="E30" s="259">
        <v>2815000</v>
      </c>
      <c r="F30" s="259"/>
      <c r="H30" s="242">
        <f t="shared" si="0"/>
        <v>0</v>
      </c>
    </row>
    <row r="31" spans="1:8" x14ac:dyDescent="0.25">
      <c r="A31" s="262">
        <v>22</v>
      </c>
      <c r="B31" s="262" t="s">
        <v>420</v>
      </c>
      <c r="C31" s="260" t="s">
        <v>429</v>
      </c>
      <c r="D31" s="259">
        <v>5510000</v>
      </c>
      <c r="E31" s="259"/>
      <c r="F31" s="259"/>
      <c r="H31" s="242">
        <f t="shared" si="0"/>
        <v>5510000</v>
      </c>
    </row>
    <row r="32" spans="1:8" x14ac:dyDescent="0.25">
      <c r="A32" s="262">
        <v>23</v>
      </c>
      <c r="B32" s="261">
        <v>43954</v>
      </c>
      <c r="C32" s="260" t="s">
        <v>20</v>
      </c>
      <c r="D32" s="259"/>
      <c r="E32" s="259">
        <v>5510000</v>
      </c>
      <c r="F32" s="259"/>
      <c r="H32" s="242">
        <f t="shared" si="0"/>
        <v>0</v>
      </c>
    </row>
    <row r="33" spans="1:8" x14ac:dyDescent="0.25">
      <c r="A33" s="262">
        <v>24</v>
      </c>
      <c r="B33" s="262" t="s">
        <v>449</v>
      </c>
      <c r="C33" s="260" t="s">
        <v>452</v>
      </c>
      <c r="D33" s="259">
        <v>24990000</v>
      </c>
      <c r="E33" s="259"/>
      <c r="F33" s="259"/>
      <c r="H33" s="242">
        <f t="shared" si="0"/>
        <v>24990000</v>
      </c>
    </row>
    <row r="34" spans="1:8" x14ac:dyDescent="0.25">
      <c r="A34" s="262">
        <v>25</v>
      </c>
      <c r="B34" s="262" t="s">
        <v>449</v>
      </c>
      <c r="C34" s="260" t="s">
        <v>453</v>
      </c>
      <c r="D34" s="259">
        <v>750000</v>
      </c>
      <c r="E34" s="259"/>
      <c r="F34" s="259"/>
      <c r="H34" s="242">
        <f t="shared" si="0"/>
        <v>25740000</v>
      </c>
    </row>
    <row r="35" spans="1:8" x14ac:dyDescent="0.25">
      <c r="A35" s="262">
        <v>26</v>
      </c>
      <c r="B35" s="261">
        <v>44016</v>
      </c>
      <c r="C35" s="260" t="s">
        <v>454</v>
      </c>
      <c r="D35" s="259"/>
      <c r="E35" s="259">
        <v>24990000</v>
      </c>
      <c r="F35" s="259"/>
      <c r="H35" s="242">
        <f t="shared" si="0"/>
        <v>750000</v>
      </c>
    </row>
    <row r="36" spans="1:8" x14ac:dyDescent="0.25">
      <c r="A36" s="262">
        <v>27</v>
      </c>
      <c r="B36" s="262" t="s">
        <v>471</v>
      </c>
      <c r="C36" s="260" t="s">
        <v>454</v>
      </c>
      <c r="D36" s="259"/>
      <c r="E36" s="259">
        <v>750000</v>
      </c>
      <c r="F36" s="259"/>
      <c r="H36" s="242">
        <f t="shared" si="0"/>
        <v>0</v>
      </c>
    </row>
    <row r="37" spans="1:8" x14ac:dyDescent="0.25">
      <c r="A37" s="262">
        <v>28</v>
      </c>
      <c r="B37" s="262" t="s">
        <v>485</v>
      </c>
      <c r="C37" s="260" t="s">
        <v>495</v>
      </c>
      <c r="D37" s="259">
        <v>16800000</v>
      </c>
      <c r="E37" s="259"/>
      <c r="F37" s="259"/>
      <c r="H37" s="242">
        <f t="shared" si="0"/>
        <v>16800000</v>
      </c>
    </row>
    <row r="38" spans="1:8" x14ac:dyDescent="0.25">
      <c r="A38" s="262">
        <v>29</v>
      </c>
      <c r="B38" s="262" t="s">
        <v>485</v>
      </c>
      <c r="C38" s="260" t="s">
        <v>496</v>
      </c>
      <c r="D38" s="259">
        <v>2150000</v>
      </c>
      <c r="E38" s="259"/>
      <c r="F38" s="259"/>
      <c r="H38" s="242">
        <f t="shared" si="0"/>
        <v>18950000</v>
      </c>
    </row>
    <row r="39" spans="1:8" x14ac:dyDescent="0.25">
      <c r="A39" s="262">
        <v>30</v>
      </c>
      <c r="B39" s="261">
        <v>44140</v>
      </c>
      <c r="C39" s="260" t="s">
        <v>454</v>
      </c>
      <c r="D39" s="259"/>
      <c r="E39" s="259">
        <v>18950000</v>
      </c>
      <c r="F39" s="259"/>
      <c r="H39" s="242">
        <f t="shared" si="0"/>
        <v>0</v>
      </c>
    </row>
    <row r="40" spans="1:8" x14ac:dyDescent="0.25">
      <c r="A40" s="262">
        <v>31</v>
      </c>
      <c r="B40" s="262" t="s">
        <v>505</v>
      </c>
      <c r="C40" s="260" t="s">
        <v>508</v>
      </c>
      <c r="D40" s="259">
        <v>5710000</v>
      </c>
      <c r="E40" s="259"/>
      <c r="F40" s="259"/>
      <c r="H40" s="242">
        <f t="shared" si="0"/>
        <v>5710000</v>
      </c>
    </row>
    <row r="41" spans="1:8" x14ac:dyDescent="0.25">
      <c r="A41" s="262">
        <v>32</v>
      </c>
      <c r="B41" s="261">
        <v>43957</v>
      </c>
      <c r="C41" s="260" t="s">
        <v>454</v>
      </c>
      <c r="D41" s="259"/>
      <c r="E41" s="259">
        <v>5710000</v>
      </c>
      <c r="F41" s="259"/>
      <c r="H41" s="242">
        <f t="shared" si="0"/>
        <v>0</v>
      </c>
    </row>
    <row r="42" spans="1:8" x14ac:dyDescent="0.25">
      <c r="A42" s="262">
        <v>33</v>
      </c>
      <c r="B42" s="262" t="s">
        <v>542</v>
      </c>
      <c r="C42" s="260" t="s">
        <v>543</v>
      </c>
      <c r="D42" s="259">
        <v>3930000</v>
      </c>
      <c r="E42" s="259"/>
      <c r="F42" s="259"/>
      <c r="H42" s="242">
        <f t="shared" si="0"/>
        <v>3930000</v>
      </c>
    </row>
    <row r="43" spans="1:8" x14ac:dyDescent="0.25">
      <c r="A43" s="262">
        <v>34</v>
      </c>
      <c r="B43" s="261">
        <v>44021</v>
      </c>
      <c r="C43" s="260" t="s">
        <v>454</v>
      </c>
      <c r="D43" s="259"/>
      <c r="E43" s="259">
        <v>3930000</v>
      </c>
      <c r="F43" s="259"/>
      <c r="H43" s="242">
        <f t="shared" si="0"/>
        <v>0</v>
      </c>
    </row>
    <row r="44" spans="1:8" x14ac:dyDescent="0.25">
      <c r="A44" s="262">
        <v>35</v>
      </c>
      <c r="B44" s="261">
        <v>44043</v>
      </c>
      <c r="C44" s="260" t="s">
        <v>565</v>
      </c>
      <c r="D44" s="259">
        <v>34496000</v>
      </c>
      <c r="E44" s="259"/>
      <c r="F44" s="259"/>
      <c r="H44" s="242">
        <f t="shared" si="0"/>
        <v>34496000</v>
      </c>
    </row>
    <row r="45" spans="1:8" x14ac:dyDescent="0.25">
      <c r="A45" s="262">
        <v>36</v>
      </c>
      <c r="B45" s="261">
        <v>44053</v>
      </c>
      <c r="C45" s="260" t="s">
        <v>454</v>
      </c>
      <c r="D45" s="259"/>
      <c r="E45" s="259">
        <v>34496000</v>
      </c>
      <c r="F45" s="259"/>
      <c r="H45" s="242">
        <f t="shared" si="0"/>
        <v>0</v>
      </c>
    </row>
    <row r="46" spans="1:8" x14ac:dyDescent="0.25">
      <c r="A46" s="262">
        <v>37</v>
      </c>
      <c r="B46" s="261">
        <v>44074</v>
      </c>
      <c r="C46" s="260" t="s">
        <v>565</v>
      </c>
      <c r="D46" s="259">
        <v>3825000</v>
      </c>
      <c r="E46" s="259"/>
      <c r="F46" s="259"/>
      <c r="H46" s="242">
        <f t="shared" si="0"/>
        <v>3825000</v>
      </c>
    </row>
    <row r="47" spans="1:8" x14ac:dyDescent="0.25">
      <c r="A47" s="262">
        <v>38</v>
      </c>
      <c r="B47" s="261">
        <v>44090</v>
      </c>
      <c r="C47" s="260" t="s">
        <v>614</v>
      </c>
      <c r="D47" s="259">
        <v>17445120</v>
      </c>
      <c r="E47" s="259"/>
      <c r="F47" s="259"/>
      <c r="H47" s="242">
        <f t="shared" si="0"/>
        <v>21270120</v>
      </c>
    </row>
    <row r="48" spans="1:8" x14ac:dyDescent="0.25">
      <c r="A48" s="262">
        <v>39</v>
      </c>
      <c r="B48" s="261">
        <v>44097</v>
      </c>
      <c r="C48" s="260" t="s">
        <v>454</v>
      </c>
      <c r="D48" s="259"/>
      <c r="E48" s="259">
        <v>21270120</v>
      </c>
      <c r="F48" s="259"/>
      <c r="H48" s="242">
        <f t="shared" si="0"/>
        <v>0</v>
      </c>
    </row>
    <row r="49" spans="1:8" x14ac:dyDescent="0.25">
      <c r="A49" s="262">
        <v>40</v>
      </c>
      <c r="B49" s="261">
        <v>44104</v>
      </c>
      <c r="C49" s="260" t="s">
        <v>630</v>
      </c>
      <c r="D49" s="259">
        <v>6920000</v>
      </c>
      <c r="E49" s="259"/>
      <c r="F49" s="259"/>
      <c r="H49" s="242">
        <f t="shared" si="0"/>
        <v>6920000</v>
      </c>
    </row>
    <row r="50" spans="1:8" x14ac:dyDescent="0.25">
      <c r="A50" s="262">
        <v>41</v>
      </c>
      <c r="B50" s="261">
        <v>44116</v>
      </c>
      <c r="C50" s="260" t="s">
        <v>454</v>
      </c>
      <c r="D50" s="259"/>
      <c r="E50" s="259">
        <v>6920000</v>
      </c>
      <c r="F50" s="259"/>
      <c r="H50" s="242">
        <f t="shared" si="0"/>
        <v>0</v>
      </c>
    </row>
    <row r="51" spans="1:8" x14ac:dyDescent="0.25">
      <c r="A51" s="262">
        <v>42</v>
      </c>
      <c r="B51" s="261">
        <v>44116</v>
      </c>
      <c r="C51" s="260" t="s">
        <v>642</v>
      </c>
      <c r="D51" s="259">
        <v>18000000</v>
      </c>
      <c r="E51" s="259"/>
      <c r="F51" s="259"/>
      <c r="H51" s="242">
        <f t="shared" si="0"/>
        <v>18000000</v>
      </c>
    </row>
    <row r="52" spans="1:8" x14ac:dyDescent="0.25">
      <c r="A52" s="262">
        <v>43</v>
      </c>
      <c r="B52" s="261">
        <v>44120</v>
      </c>
      <c r="C52" s="260" t="s">
        <v>454</v>
      </c>
      <c r="D52" s="259"/>
      <c r="E52" s="259">
        <v>18000000</v>
      </c>
      <c r="F52" s="259"/>
      <c r="H52" s="242">
        <f t="shared" si="0"/>
        <v>0</v>
      </c>
    </row>
    <row r="53" spans="1:8" x14ac:dyDescent="0.25">
      <c r="A53" s="262">
        <v>44</v>
      </c>
      <c r="B53" s="261">
        <v>44130</v>
      </c>
      <c r="C53" s="260" t="s">
        <v>655</v>
      </c>
      <c r="D53" s="259">
        <v>9200000</v>
      </c>
      <c r="E53" s="259"/>
      <c r="F53" s="259"/>
      <c r="H53" s="242">
        <f t="shared" si="0"/>
        <v>9200000</v>
      </c>
    </row>
    <row r="54" spans="1:8" x14ac:dyDescent="0.25">
      <c r="A54" s="262">
        <v>45</v>
      </c>
      <c r="B54" s="261">
        <v>44135</v>
      </c>
      <c r="C54" s="260" t="s">
        <v>660</v>
      </c>
      <c r="D54" s="259">
        <v>7940000</v>
      </c>
      <c r="E54" s="259"/>
      <c r="F54" s="259"/>
      <c r="H54" s="242">
        <f t="shared" si="0"/>
        <v>17140000</v>
      </c>
    </row>
    <row r="55" spans="1:8" x14ac:dyDescent="0.25">
      <c r="A55" s="262">
        <v>46</v>
      </c>
      <c r="B55" s="261">
        <v>44141</v>
      </c>
      <c r="C55" s="260" t="s">
        <v>454</v>
      </c>
      <c r="D55" s="259"/>
      <c r="E55" s="259">
        <v>17140000</v>
      </c>
      <c r="F55" s="259"/>
      <c r="H55" s="242">
        <f t="shared" si="0"/>
        <v>0</v>
      </c>
    </row>
    <row r="56" spans="1:8" x14ac:dyDescent="0.25">
      <c r="A56" s="262">
        <v>47</v>
      </c>
      <c r="B56" s="261">
        <v>44156</v>
      </c>
      <c r="C56" s="260" t="s">
        <v>675</v>
      </c>
      <c r="D56" s="259">
        <v>19000000</v>
      </c>
      <c r="E56" s="259"/>
      <c r="F56" s="259"/>
      <c r="H56" s="242">
        <f t="shared" si="0"/>
        <v>19000000</v>
      </c>
    </row>
    <row r="57" spans="1:8" x14ac:dyDescent="0.25">
      <c r="A57" s="262">
        <v>48</v>
      </c>
      <c r="B57" s="261">
        <v>44166</v>
      </c>
      <c r="C57" s="260" t="s">
        <v>454</v>
      </c>
      <c r="D57" s="259"/>
      <c r="E57" s="259">
        <v>19000000</v>
      </c>
      <c r="F57" s="259"/>
      <c r="H57" s="242">
        <f t="shared" si="0"/>
        <v>0</v>
      </c>
    </row>
    <row r="58" spans="1:8" x14ac:dyDescent="0.25">
      <c r="A58" s="262">
        <v>49</v>
      </c>
      <c r="B58" s="261">
        <v>44166</v>
      </c>
      <c r="C58" s="260" t="s">
        <v>454</v>
      </c>
      <c r="D58" s="259"/>
      <c r="E58" s="259">
        <v>19000000</v>
      </c>
      <c r="F58" s="259"/>
      <c r="H58" s="242">
        <f t="shared" si="0"/>
        <v>-19000000</v>
      </c>
    </row>
    <row r="59" spans="1:8" x14ac:dyDescent="0.25">
      <c r="A59" s="262">
        <v>50</v>
      </c>
      <c r="B59" s="261">
        <v>44165</v>
      </c>
      <c r="C59" s="260" t="s">
        <v>683</v>
      </c>
      <c r="D59" s="259">
        <v>36285000</v>
      </c>
      <c r="E59" s="259"/>
      <c r="F59" s="259"/>
      <c r="H59" s="242">
        <f t="shared" si="0"/>
        <v>17285000</v>
      </c>
    </row>
    <row r="60" spans="1:8" x14ac:dyDescent="0.25">
      <c r="A60" s="262">
        <v>51</v>
      </c>
      <c r="B60" s="261">
        <v>44179</v>
      </c>
      <c r="C60" s="260" t="s">
        <v>454</v>
      </c>
      <c r="D60" s="259"/>
      <c r="E60" s="259">
        <v>36285000</v>
      </c>
      <c r="F60" s="259"/>
      <c r="H60" s="242">
        <f t="shared" si="0"/>
        <v>-19000000</v>
      </c>
    </row>
    <row r="61" spans="1:8" x14ac:dyDescent="0.25">
      <c r="A61" s="262">
        <v>52</v>
      </c>
      <c r="B61" s="261">
        <v>44196</v>
      </c>
      <c r="C61" s="260" t="s">
        <v>710</v>
      </c>
      <c r="D61" s="259">
        <v>45020000</v>
      </c>
      <c r="E61" s="259"/>
      <c r="F61" s="259"/>
      <c r="H61" s="242">
        <f t="shared" si="0"/>
        <v>26020000</v>
      </c>
    </row>
    <row r="62" spans="1:8" x14ac:dyDescent="0.25">
      <c r="A62" s="262">
        <v>53</v>
      </c>
      <c r="B62" s="261">
        <v>44210</v>
      </c>
      <c r="C62" s="260" t="s">
        <v>454</v>
      </c>
      <c r="D62" s="259"/>
      <c r="E62" s="259">
        <v>26020000</v>
      </c>
      <c r="F62" s="259"/>
      <c r="H62" s="242">
        <f t="shared" si="0"/>
        <v>0</v>
      </c>
    </row>
    <row r="63" spans="1:8" x14ac:dyDescent="0.25">
      <c r="A63" s="262">
        <v>54</v>
      </c>
      <c r="B63" s="261">
        <v>44227</v>
      </c>
      <c r="C63" s="260" t="s">
        <v>729</v>
      </c>
      <c r="D63" s="259">
        <v>6870000</v>
      </c>
      <c r="E63" s="259"/>
      <c r="F63" s="259"/>
      <c r="H63" s="242">
        <f t="shared" si="0"/>
        <v>6870000</v>
      </c>
    </row>
    <row r="64" spans="1:8" x14ac:dyDescent="0.25">
      <c r="A64" s="262">
        <v>55</v>
      </c>
      <c r="B64" s="261">
        <v>44232</v>
      </c>
      <c r="C64" s="260" t="s">
        <v>454</v>
      </c>
      <c r="D64" s="259"/>
      <c r="E64" s="259">
        <v>6870000</v>
      </c>
      <c r="F64" s="259"/>
      <c r="H64" s="242">
        <f t="shared" si="0"/>
        <v>0</v>
      </c>
    </row>
    <row r="65" spans="1:8" x14ac:dyDescent="0.25">
      <c r="A65" s="262">
        <v>56</v>
      </c>
      <c r="B65" s="261">
        <v>44255</v>
      </c>
      <c r="C65" s="260" t="s">
        <v>745</v>
      </c>
      <c r="D65" s="259">
        <v>6910000</v>
      </c>
      <c r="E65" s="259"/>
      <c r="F65" s="259"/>
      <c r="H65" s="242">
        <f t="shared" si="0"/>
        <v>6910000</v>
      </c>
    </row>
    <row r="66" spans="1:8" x14ac:dyDescent="0.25">
      <c r="A66" s="262">
        <v>57</v>
      </c>
      <c r="B66" s="261">
        <v>44274</v>
      </c>
      <c r="C66" s="260" t="s">
        <v>454</v>
      </c>
      <c r="D66" s="259"/>
      <c r="E66" s="259">
        <v>6910000</v>
      </c>
      <c r="F66" s="259"/>
      <c r="H66" s="242">
        <f t="shared" si="0"/>
        <v>0</v>
      </c>
    </row>
    <row r="67" spans="1:8" x14ac:dyDescent="0.25">
      <c r="A67" s="262">
        <v>58</v>
      </c>
      <c r="B67" s="261">
        <v>44286</v>
      </c>
      <c r="C67" s="260" t="s">
        <v>757</v>
      </c>
      <c r="D67" s="259">
        <v>42020000</v>
      </c>
      <c r="E67" s="259"/>
      <c r="F67" s="259"/>
      <c r="H67" s="242">
        <f t="shared" si="0"/>
        <v>42020000</v>
      </c>
    </row>
    <row r="68" spans="1:8" x14ac:dyDescent="0.25">
      <c r="A68" s="262">
        <v>59</v>
      </c>
      <c r="B68" s="261">
        <v>44288</v>
      </c>
      <c r="C68" s="260" t="s">
        <v>454</v>
      </c>
      <c r="D68" s="259"/>
      <c r="E68" s="259">
        <v>42020000</v>
      </c>
      <c r="F68" s="259"/>
      <c r="H68" s="242">
        <f t="shared" si="0"/>
        <v>0</v>
      </c>
    </row>
    <row r="69" spans="1:8" x14ac:dyDescent="0.25">
      <c r="A69" s="262">
        <v>60</v>
      </c>
      <c r="B69" s="261">
        <v>44315</v>
      </c>
      <c r="C69" s="260" t="s">
        <v>793</v>
      </c>
      <c r="D69" s="259">
        <v>6570000</v>
      </c>
      <c r="E69" s="259"/>
      <c r="F69" s="259"/>
      <c r="H69" s="242">
        <f t="shared" si="0"/>
        <v>6570000</v>
      </c>
    </row>
    <row r="70" spans="1:8" x14ac:dyDescent="0.25">
      <c r="A70" s="262">
        <v>61</v>
      </c>
      <c r="B70" s="261">
        <v>44329</v>
      </c>
      <c r="C70" s="260" t="s">
        <v>454</v>
      </c>
      <c r="D70" s="259"/>
      <c r="E70" s="259">
        <v>6570000</v>
      </c>
      <c r="F70" s="259"/>
      <c r="H70" s="242">
        <f t="shared" si="0"/>
        <v>0</v>
      </c>
    </row>
    <row r="71" spans="1:8" x14ac:dyDescent="0.25">
      <c r="A71" s="262">
        <v>62</v>
      </c>
      <c r="B71" s="261">
        <v>44331</v>
      </c>
      <c r="C71" s="260" t="s">
        <v>825</v>
      </c>
      <c r="D71" s="259">
        <v>11500000</v>
      </c>
      <c r="E71" s="259"/>
      <c r="F71" s="259"/>
      <c r="H71" s="242">
        <f t="shared" si="0"/>
        <v>11500000</v>
      </c>
    </row>
    <row r="72" spans="1:8" x14ac:dyDescent="0.25">
      <c r="A72" s="262">
        <v>63</v>
      </c>
      <c r="B72" s="261">
        <v>44340</v>
      </c>
      <c r="C72" s="260" t="s">
        <v>454</v>
      </c>
      <c r="D72" s="259"/>
      <c r="E72" s="259">
        <v>11500000</v>
      </c>
      <c r="F72" s="259"/>
      <c r="H72" s="242">
        <f t="shared" si="0"/>
        <v>0</v>
      </c>
    </row>
    <row r="73" spans="1:8" x14ac:dyDescent="0.25">
      <c r="A73" s="262">
        <v>64</v>
      </c>
      <c r="B73" s="261">
        <v>44345</v>
      </c>
      <c r="C73" s="260" t="s">
        <v>833</v>
      </c>
      <c r="D73" s="259">
        <v>43903680</v>
      </c>
      <c r="E73" s="259"/>
      <c r="F73" s="259"/>
      <c r="H73" s="242">
        <f t="shared" si="0"/>
        <v>43903680</v>
      </c>
    </row>
    <row r="74" spans="1:8" x14ac:dyDescent="0.25">
      <c r="A74" s="262">
        <v>65</v>
      </c>
      <c r="B74" s="261">
        <v>44347</v>
      </c>
      <c r="C74" s="260" t="s">
        <v>834</v>
      </c>
      <c r="D74" s="259">
        <v>11270000</v>
      </c>
      <c r="E74" s="259"/>
      <c r="F74" s="259"/>
      <c r="H74" s="242">
        <f t="shared" si="0"/>
        <v>55173680</v>
      </c>
    </row>
    <row r="75" spans="1:8" x14ac:dyDescent="0.25">
      <c r="A75" s="262">
        <v>66</v>
      </c>
      <c r="B75" s="261">
        <v>44357</v>
      </c>
      <c r="C75" s="260" t="s">
        <v>454</v>
      </c>
      <c r="D75" s="259"/>
      <c r="E75" s="259">
        <v>55173680</v>
      </c>
      <c r="F75" s="259"/>
      <c r="H75" s="242">
        <f t="shared" si="0"/>
        <v>0</v>
      </c>
    </row>
    <row r="76" spans="1:8" x14ac:dyDescent="0.25">
      <c r="A76" s="262">
        <v>67</v>
      </c>
      <c r="B76" s="261">
        <v>44377</v>
      </c>
      <c r="C76" s="260" t="s">
        <v>862</v>
      </c>
      <c r="D76" s="259">
        <v>5350000</v>
      </c>
      <c r="E76" s="259"/>
      <c r="F76" s="259"/>
      <c r="H76" s="242">
        <f t="shared" si="0"/>
        <v>5350000</v>
      </c>
    </row>
    <row r="77" spans="1:8" x14ac:dyDescent="0.25">
      <c r="A77" s="262">
        <v>68</v>
      </c>
      <c r="B77" s="261">
        <v>44390</v>
      </c>
      <c r="C77" s="260" t="s">
        <v>454</v>
      </c>
      <c r="D77" s="259"/>
      <c r="E77" s="259">
        <v>5350000</v>
      </c>
      <c r="F77" s="259"/>
      <c r="H77" s="242">
        <f t="shared" ref="H77:H140" si="1">H76+D77-E77</f>
        <v>0</v>
      </c>
    </row>
    <row r="78" spans="1:8" x14ac:dyDescent="0.25">
      <c r="A78" s="262">
        <v>69</v>
      </c>
      <c r="B78" s="261">
        <v>44408</v>
      </c>
      <c r="C78" s="260" t="s">
        <v>891</v>
      </c>
      <c r="D78" s="259">
        <v>6705000</v>
      </c>
      <c r="E78" s="259"/>
      <c r="F78" s="259"/>
      <c r="H78" s="242">
        <f t="shared" si="1"/>
        <v>6705000</v>
      </c>
    </row>
    <row r="79" spans="1:8" x14ac:dyDescent="0.25">
      <c r="A79" s="262">
        <v>70</v>
      </c>
      <c r="B79" s="261">
        <v>44421</v>
      </c>
      <c r="C79" s="260" t="s">
        <v>454</v>
      </c>
      <c r="D79" s="259"/>
      <c r="E79" s="259">
        <v>6705000</v>
      </c>
      <c r="F79" s="259"/>
      <c r="H79" s="242">
        <f t="shared" si="1"/>
        <v>0</v>
      </c>
    </row>
    <row r="80" spans="1:8" x14ac:dyDescent="0.25">
      <c r="A80" s="262">
        <v>71</v>
      </c>
      <c r="B80" s="261">
        <v>44439</v>
      </c>
      <c r="C80" s="260" t="s">
        <v>939</v>
      </c>
      <c r="D80" s="259">
        <v>7175000</v>
      </c>
      <c r="E80" s="259"/>
      <c r="F80" s="259"/>
      <c r="H80" s="242">
        <f t="shared" si="1"/>
        <v>7175000</v>
      </c>
    </row>
    <row r="81" spans="1:8" x14ac:dyDescent="0.25">
      <c r="A81" s="262">
        <v>72</v>
      </c>
      <c r="B81" s="261">
        <v>44469</v>
      </c>
      <c r="C81" s="260" t="s">
        <v>940</v>
      </c>
      <c r="D81" s="259">
        <v>7155000</v>
      </c>
      <c r="E81" s="259"/>
      <c r="F81" s="259"/>
      <c r="H81" s="242">
        <f t="shared" si="1"/>
        <v>14330000</v>
      </c>
    </row>
    <row r="82" spans="1:8" x14ac:dyDescent="0.25">
      <c r="A82" s="262">
        <v>73</v>
      </c>
      <c r="B82" s="261">
        <v>44480</v>
      </c>
      <c r="C82" s="260" t="s">
        <v>454</v>
      </c>
      <c r="D82" s="259"/>
      <c r="E82" s="259">
        <v>14330000</v>
      </c>
      <c r="F82" s="259"/>
      <c r="H82" s="242">
        <f t="shared" si="1"/>
        <v>0</v>
      </c>
    </row>
    <row r="83" spans="1:8" x14ac:dyDescent="0.25">
      <c r="A83" s="262">
        <v>74</v>
      </c>
      <c r="B83" s="261">
        <v>44499</v>
      </c>
      <c r="C83" s="260" t="s">
        <v>1008</v>
      </c>
      <c r="D83" s="259">
        <v>3000000</v>
      </c>
      <c r="E83" s="259"/>
      <c r="F83" s="259"/>
      <c r="H83" s="242">
        <f t="shared" si="1"/>
        <v>3000000</v>
      </c>
    </row>
    <row r="84" spans="1:8" x14ac:dyDescent="0.25">
      <c r="A84" s="262">
        <v>75</v>
      </c>
      <c r="B84" s="261">
        <v>44530</v>
      </c>
      <c r="C84" s="260" t="s">
        <v>1009</v>
      </c>
      <c r="D84" s="259">
        <v>4890000</v>
      </c>
      <c r="E84" s="259"/>
      <c r="F84" s="259"/>
      <c r="H84" s="242">
        <f t="shared" si="1"/>
        <v>7890000</v>
      </c>
    </row>
    <row r="85" spans="1:8" x14ac:dyDescent="0.25">
      <c r="A85" s="262">
        <v>76</v>
      </c>
      <c r="B85" s="261">
        <v>44533</v>
      </c>
      <c r="C85" s="260" t="s">
        <v>454</v>
      </c>
      <c r="D85" s="259"/>
      <c r="E85" s="259">
        <v>3000000</v>
      </c>
      <c r="F85" s="259"/>
      <c r="H85" s="242">
        <f t="shared" si="1"/>
        <v>4890000</v>
      </c>
    </row>
    <row r="86" spans="1:8" x14ac:dyDescent="0.25">
      <c r="A86" s="262">
        <v>77</v>
      </c>
      <c r="B86" s="261">
        <v>44536</v>
      </c>
      <c r="C86" s="260" t="s">
        <v>454</v>
      </c>
      <c r="D86" s="259"/>
      <c r="E86" s="259">
        <v>4120000</v>
      </c>
      <c r="F86" s="259"/>
      <c r="H86" s="242">
        <f t="shared" si="1"/>
        <v>770000</v>
      </c>
    </row>
    <row r="87" spans="1:8" x14ac:dyDescent="0.25">
      <c r="A87" s="262">
        <v>78</v>
      </c>
      <c r="B87" s="261">
        <v>44560</v>
      </c>
      <c r="C87" s="260" t="s">
        <v>1021</v>
      </c>
      <c r="D87" s="259">
        <v>9435000</v>
      </c>
      <c r="E87" s="259"/>
      <c r="F87" s="259"/>
      <c r="H87" s="242">
        <f t="shared" si="1"/>
        <v>10205000</v>
      </c>
    </row>
    <row r="88" spans="1:8" x14ac:dyDescent="0.25">
      <c r="A88" s="262">
        <v>79</v>
      </c>
      <c r="B88" s="261">
        <v>44561</v>
      </c>
      <c r="C88" s="260" t="s">
        <v>454</v>
      </c>
      <c r="D88" s="259"/>
      <c r="E88" s="259">
        <v>9435000</v>
      </c>
      <c r="F88" s="259"/>
      <c r="H88" s="242">
        <f t="shared" si="1"/>
        <v>770000</v>
      </c>
    </row>
    <row r="89" spans="1:8" x14ac:dyDescent="0.25">
      <c r="A89" s="262">
        <v>80</v>
      </c>
      <c r="B89" s="261">
        <v>44581</v>
      </c>
      <c r="C89" s="260" t="s">
        <v>454</v>
      </c>
      <c r="D89" s="259"/>
      <c r="E89" s="259">
        <v>770000</v>
      </c>
      <c r="F89" s="259"/>
      <c r="H89" s="242">
        <f t="shared" si="1"/>
        <v>0</v>
      </c>
    </row>
    <row r="90" spans="1:8" x14ac:dyDescent="0.25">
      <c r="A90" s="262">
        <v>81</v>
      </c>
      <c r="B90" s="261">
        <v>44588</v>
      </c>
      <c r="C90" s="260" t="s">
        <v>1055</v>
      </c>
      <c r="D90" s="259">
        <v>7010000</v>
      </c>
      <c r="E90" s="259"/>
      <c r="F90" s="259"/>
      <c r="H90" s="242">
        <f t="shared" si="1"/>
        <v>7010000</v>
      </c>
    </row>
    <row r="91" spans="1:8" x14ac:dyDescent="0.25">
      <c r="A91" s="262">
        <v>82</v>
      </c>
      <c r="B91" s="261">
        <v>44620</v>
      </c>
      <c r="C91" s="260" t="s">
        <v>1069</v>
      </c>
      <c r="D91" s="259">
        <v>6060000</v>
      </c>
      <c r="E91" s="259"/>
      <c r="F91" s="259"/>
      <c r="H91" s="242">
        <f t="shared" si="1"/>
        <v>13070000</v>
      </c>
    </row>
    <row r="92" spans="1:8" x14ac:dyDescent="0.25">
      <c r="A92" s="262">
        <v>83</v>
      </c>
      <c r="B92" s="261">
        <v>44615</v>
      </c>
      <c r="C92" s="260" t="s">
        <v>454</v>
      </c>
      <c r="D92" s="259"/>
      <c r="E92" s="259">
        <v>7010000</v>
      </c>
      <c r="F92" s="259"/>
      <c r="H92" s="242">
        <f t="shared" si="1"/>
        <v>6060000</v>
      </c>
    </row>
    <row r="93" spans="1:8" x14ac:dyDescent="0.25">
      <c r="A93" s="262">
        <v>84</v>
      </c>
      <c r="B93" s="261">
        <v>44624</v>
      </c>
      <c r="C93" s="260" t="s">
        <v>454</v>
      </c>
      <c r="D93" s="259"/>
      <c r="E93" s="259">
        <v>6060000</v>
      </c>
      <c r="F93" s="259"/>
      <c r="H93" s="242">
        <f t="shared" si="1"/>
        <v>0</v>
      </c>
    </row>
    <row r="94" spans="1:8" x14ac:dyDescent="0.25">
      <c r="A94" s="262">
        <v>85</v>
      </c>
      <c r="B94" s="261">
        <v>44651</v>
      </c>
      <c r="C94" s="260" t="s">
        <v>1087</v>
      </c>
      <c r="D94" s="259">
        <v>-54545</v>
      </c>
      <c r="E94" s="259"/>
      <c r="F94" s="259"/>
      <c r="H94" s="242">
        <f t="shared" si="1"/>
        <v>-54545</v>
      </c>
    </row>
    <row r="95" spans="1:8" x14ac:dyDescent="0.25">
      <c r="A95" s="262">
        <v>86</v>
      </c>
      <c r="B95" s="261">
        <v>44651</v>
      </c>
      <c r="C95" s="260" t="s">
        <v>1088</v>
      </c>
      <c r="D95" s="259">
        <v>10686455</v>
      </c>
      <c r="E95" s="259"/>
      <c r="F95" s="259"/>
      <c r="H95" s="242">
        <f t="shared" si="1"/>
        <v>10631910</v>
      </c>
    </row>
    <row r="96" spans="1:8" x14ac:dyDescent="0.25">
      <c r="A96" s="262">
        <v>87</v>
      </c>
      <c r="B96" s="261">
        <v>44658</v>
      </c>
      <c r="C96" s="260" t="s">
        <v>454</v>
      </c>
      <c r="D96" s="259"/>
      <c r="E96" s="259">
        <v>10631910</v>
      </c>
      <c r="F96" s="259"/>
      <c r="H96" s="242">
        <f t="shared" si="1"/>
        <v>0</v>
      </c>
    </row>
    <row r="97" spans="1:8" x14ac:dyDescent="0.25">
      <c r="A97" s="262">
        <v>88</v>
      </c>
      <c r="B97" s="261">
        <v>44679</v>
      </c>
      <c r="C97" s="260" t="s">
        <v>1110</v>
      </c>
      <c r="D97" s="259">
        <v>5255455</v>
      </c>
      <c r="E97" s="259"/>
      <c r="F97" s="259"/>
      <c r="H97" s="242">
        <f t="shared" si="1"/>
        <v>5255455</v>
      </c>
    </row>
    <row r="98" spans="1:8" x14ac:dyDescent="0.25">
      <c r="A98" s="262">
        <v>89</v>
      </c>
      <c r="B98" s="261">
        <v>44699</v>
      </c>
      <c r="C98" s="260" t="s">
        <v>454</v>
      </c>
      <c r="D98" s="259"/>
      <c r="E98" s="259">
        <v>5255455</v>
      </c>
      <c r="F98" s="259"/>
      <c r="H98" s="242">
        <f t="shared" si="1"/>
        <v>0</v>
      </c>
    </row>
    <row r="99" spans="1:8" x14ac:dyDescent="0.25">
      <c r="A99" s="262">
        <v>90</v>
      </c>
      <c r="B99" s="261">
        <v>44712</v>
      </c>
      <c r="C99" s="260" t="s">
        <v>1140</v>
      </c>
      <c r="D99" s="259">
        <v>9177455</v>
      </c>
      <c r="E99" s="259"/>
      <c r="F99" s="259"/>
      <c r="H99" s="242">
        <f t="shared" si="1"/>
        <v>9177455</v>
      </c>
    </row>
    <row r="100" spans="1:8" x14ac:dyDescent="0.25">
      <c r="A100" s="262">
        <v>91</v>
      </c>
      <c r="B100" s="261">
        <v>44715</v>
      </c>
      <c r="C100" s="260" t="s">
        <v>454</v>
      </c>
      <c r="D100" s="259"/>
      <c r="E100" s="259">
        <v>9177455</v>
      </c>
      <c r="F100" s="259"/>
      <c r="H100" s="242">
        <f t="shared" si="1"/>
        <v>0</v>
      </c>
    </row>
    <row r="101" spans="1:8" x14ac:dyDescent="0.25">
      <c r="A101" s="262">
        <v>92</v>
      </c>
      <c r="B101" s="261">
        <v>44742</v>
      </c>
      <c r="C101" s="260" t="s">
        <v>1164</v>
      </c>
      <c r="D101" s="259">
        <v>7860455</v>
      </c>
      <c r="E101" s="259"/>
      <c r="F101" s="259"/>
      <c r="H101" s="242">
        <f t="shared" si="1"/>
        <v>7860455</v>
      </c>
    </row>
    <row r="102" spans="1:8" x14ac:dyDescent="0.25">
      <c r="A102" s="262">
        <v>93</v>
      </c>
      <c r="B102" s="261">
        <v>44749</v>
      </c>
      <c r="C102" s="260" t="s">
        <v>454</v>
      </c>
      <c r="D102" s="259"/>
      <c r="E102" s="259">
        <v>7860455</v>
      </c>
      <c r="F102" s="259"/>
      <c r="H102" s="242">
        <f t="shared" si="1"/>
        <v>0</v>
      </c>
    </row>
    <row r="103" spans="1:8" x14ac:dyDescent="0.25">
      <c r="A103" s="262">
        <v>94</v>
      </c>
      <c r="B103" s="261">
        <v>44772</v>
      </c>
      <c r="C103" s="260" t="s">
        <v>1186</v>
      </c>
      <c r="D103" s="259">
        <v>29580455</v>
      </c>
      <c r="E103" s="259"/>
      <c r="F103" s="259"/>
      <c r="H103" s="242">
        <f t="shared" si="1"/>
        <v>29580455</v>
      </c>
    </row>
    <row r="104" spans="1:8" x14ac:dyDescent="0.25">
      <c r="A104" s="262">
        <v>95</v>
      </c>
      <c r="B104" s="261">
        <v>44792</v>
      </c>
      <c r="C104" s="260" t="s">
        <v>454</v>
      </c>
      <c r="D104" s="259"/>
      <c r="E104" s="259">
        <v>29580455</v>
      </c>
      <c r="F104" s="259"/>
      <c r="H104" s="242">
        <f t="shared" si="1"/>
        <v>0</v>
      </c>
    </row>
    <row r="105" spans="1:8" x14ac:dyDescent="0.25">
      <c r="A105" s="262">
        <v>96</v>
      </c>
      <c r="B105" s="261">
        <v>44793</v>
      </c>
      <c r="C105" s="260" t="s">
        <v>1207</v>
      </c>
      <c r="D105" s="259">
        <v>5649313</v>
      </c>
      <c r="E105" s="259"/>
      <c r="F105" s="259"/>
      <c r="H105" s="242">
        <f t="shared" si="1"/>
        <v>5649313</v>
      </c>
    </row>
    <row r="106" spans="1:8" x14ac:dyDescent="0.25">
      <c r="A106" s="262">
        <v>97</v>
      </c>
      <c r="B106" s="261">
        <v>44802</v>
      </c>
      <c r="C106" s="260" t="s">
        <v>454</v>
      </c>
      <c r="D106" s="259"/>
      <c r="E106" s="259">
        <v>5649313</v>
      </c>
      <c r="F106" s="259"/>
      <c r="H106" s="242">
        <f t="shared" si="1"/>
        <v>0</v>
      </c>
    </row>
    <row r="107" spans="1:8" x14ac:dyDescent="0.25">
      <c r="A107" s="262">
        <v>98</v>
      </c>
      <c r="B107" s="261">
        <v>44803</v>
      </c>
      <c r="C107" s="260" t="s">
        <v>1247</v>
      </c>
      <c r="D107" s="259">
        <v>5983200</v>
      </c>
      <c r="E107" s="259"/>
      <c r="F107" s="259"/>
      <c r="H107" s="242">
        <f t="shared" si="1"/>
        <v>5983200</v>
      </c>
    </row>
    <row r="108" spans="1:8" x14ac:dyDescent="0.25">
      <c r="A108" s="262">
        <v>99</v>
      </c>
      <c r="B108" s="261">
        <v>44816</v>
      </c>
      <c r="C108" s="260" t="s">
        <v>454</v>
      </c>
      <c r="D108" s="259"/>
      <c r="E108" s="259">
        <v>5983200</v>
      </c>
      <c r="F108" s="259"/>
      <c r="H108" s="242">
        <f t="shared" si="1"/>
        <v>0</v>
      </c>
    </row>
    <row r="109" spans="1:8" x14ac:dyDescent="0.25">
      <c r="A109" s="262">
        <v>100</v>
      </c>
      <c r="B109" s="261">
        <v>44832</v>
      </c>
      <c r="C109" s="260" t="s">
        <v>1248</v>
      </c>
      <c r="D109" s="259">
        <v>29145600</v>
      </c>
      <c r="E109" s="259"/>
      <c r="F109" s="259"/>
      <c r="H109" s="242">
        <f t="shared" si="1"/>
        <v>29145600</v>
      </c>
    </row>
    <row r="110" spans="1:8" x14ac:dyDescent="0.25">
      <c r="A110" s="262">
        <v>101</v>
      </c>
      <c r="B110" s="261">
        <v>44841</v>
      </c>
      <c r="C110" s="260" t="s">
        <v>454</v>
      </c>
      <c r="D110" s="259"/>
      <c r="E110" s="259">
        <v>29145600</v>
      </c>
      <c r="F110" s="259"/>
      <c r="H110" s="242">
        <f t="shared" si="1"/>
        <v>0</v>
      </c>
    </row>
    <row r="111" spans="1:8" x14ac:dyDescent="0.25">
      <c r="A111" s="262">
        <v>102</v>
      </c>
      <c r="B111" s="261">
        <v>44865</v>
      </c>
      <c r="C111" s="260" t="s">
        <v>1271</v>
      </c>
      <c r="D111" s="259">
        <v>31733000</v>
      </c>
      <c r="E111" s="259"/>
      <c r="F111" s="259"/>
      <c r="H111" s="242">
        <f t="shared" si="1"/>
        <v>31733000</v>
      </c>
    </row>
    <row r="112" spans="1:8" x14ac:dyDescent="0.25">
      <c r="A112" s="262">
        <v>103</v>
      </c>
      <c r="B112" s="261">
        <v>44876</v>
      </c>
      <c r="C112" s="260" t="s">
        <v>454</v>
      </c>
      <c r="D112" s="259"/>
      <c r="E112" s="259">
        <v>31733000</v>
      </c>
      <c r="F112" s="259"/>
      <c r="H112" s="242">
        <f t="shared" si="1"/>
        <v>0</v>
      </c>
    </row>
    <row r="113" spans="1:8" x14ac:dyDescent="0.25">
      <c r="A113" s="262">
        <v>104</v>
      </c>
      <c r="B113" s="261">
        <v>44895</v>
      </c>
      <c r="C113" s="260" t="s">
        <v>1299</v>
      </c>
      <c r="D113" s="259">
        <v>33735600</v>
      </c>
      <c r="E113" s="259"/>
      <c r="F113" s="259"/>
      <c r="H113" s="242">
        <f t="shared" si="1"/>
        <v>33735600</v>
      </c>
    </row>
    <row r="114" spans="1:8" x14ac:dyDescent="0.25">
      <c r="A114" s="262">
        <v>105</v>
      </c>
      <c r="B114" s="261">
        <v>44900</v>
      </c>
      <c r="C114" s="260" t="s">
        <v>454</v>
      </c>
      <c r="D114" s="259"/>
      <c r="E114" s="259">
        <v>33735600</v>
      </c>
      <c r="F114" s="259"/>
      <c r="H114" s="242">
        <f t="shared" si="1"/>
        <v>0</v>
      </c>
    </row>
    <row r="115" spans="1:8" x14ac:dyDescent="0.25">
      <c r="A115" s="262">
        <v>106</v>
      </c>
      <c r="B115" s="261">
        <v>45290</v>
      </c>
      <c r="C115" s="260" t="s">
        <v>1346</v>
      </c>
      <c r="D115" s="259">
        <v>12266400</v>
      </c>
      <c r="E115" s="259"/>
      <c r="F115" s="259"/>
      <c r="H115" s="242">
        <f t="shared" si="1"/>
        <v>12266400</v>
      </c>
    </row>
    <row r="116" spans="1:8" x14ac:dyDescent="0.25">
      <c r="A116" s="262">
        <v>107</v>
      </c>
      <c r="B116" s="261">
        <v>44936</v>
      </c>
      <c r="C116" s="260" t="s">
        <v>454</v>
      </c>
      <c r="D116" s="259"/>
      <c r="E116" s="259">
        <v>12266400</v>
      </c>
      <c r="F116" s="259"/>
      <c r="H116" s="242">
        <f t="shared" si="1"/>
        <v>0</v>
      </c>
    </row>
    <row r="117" spans="1:8" x14ac:dyDescent="0.25">
      <c r="A117" s="262">
        <v>108</v>
      </c>
      <c r="B117" s="261">
        <v>44956</v>
      </c>
      <c r="C117" s="260" t="s">
        <v>1366</v>
      </c>
      <c r="D117" s="259">
        <v>6028000</v>
      </c>
      <c r="E117" s="259"/>
      <c r="F117" s="259"/>
      <c r="H117" s="242">
        <f t="shared" si="1"/>
        <v>6028000</v>
      </c>
    </row>
    <row r="118" spans="1:8" x14ac:dyDescent="0.25">
      <c r="A118" s="262">
        <v>109</v>
      </c>
      <c r="B118" s="261">
        <v>44960</v>
      </c>
      <c r="C118" s="260" t="s">
        <v>454</v>
      </c>
      <c r="D118" s="259"/>
      <c r="E118" s="259">
        <v>6028000</v>
      </c>
      <c r="F118" s="259"/>
      <c r="H118" s="242">
        <f t="shared" si="1"/>
        <v>0</v>
      </c>
    </row>
    <row r="119" spans="1:8" x14ac:dyDescent="0.25">
      <c r="A119" s="262">
        <v>110</v>
      </c>
      <c r="B119" s="261">
        <v>44985</v>
      </c>
      <c r="C119" s="260" t="s">
        <v>1389</v>
      </c>
      <c r="D119" s="259">
        <v>28482500</v>
      </c>
      <c r="E119" s="259"/>
      <c r="F119" s="259"/>
      <c r="H119" s="242">
        <f t="shared" si="1"/>
        <v>28482500</v>
      </c>
    </row>
    <row r="120" spans="1:8" x14ac:dyDescent="0.25">
      <c r="A120" s="262">
        <v>111</v>
      </c>
      <c r="B120" s="261">
        <v>44987</v>
      </c>
      <c r="C120" s="260" t="s">
        <v>454</v>
      </c>
      <c r="D120" s="259"/>
      <c r="E120" s="259">
        <v>28482500</v>
      </c>
      <c r="F120" s="259"/>
      <c r="H120" s="242">
        <f t="shared" si="1"/>
        <v>0</v>
      </c>
    </row>
    <row r="121" spans="1:8" x14ac:dyDescent="0.25">
      <c r="A121" s="262">
        <v>112</v>
      </c>
      <c r="B121" s="261">
        <v>45016</v>
      </c>
      <c r="C121" s="260" t="s">
        <v>1418</v>
      </c>
      <c r="D121" s="259">
        <v>5659500</v>
      </c>
      <c r="E121" s="259"/>
      <c r="F121" s="259"/>
      <c r="H121" s="242">
        <f t="shared" si="1"/>
        <v>5659500</v>
      </c>
    </row>
    <row r="122" spans="1:8" x14ac:dyDescent="0.25">
      <c r="A122" s="262">
        <v>113</v>
      </c>
      <c r="B122" s="261">
        <v>45016</v>
      </c>
      <c r="C122" s="260" t="s">
        <v>1419</v>
      </c>
      <c r="D122" s="259">
        <v>20210100</v>
      </c>
      <c r="E122" s="259"/>
      <c r="F122" s="259"/>
      <c r="H122" s="242">
        <f t="shared" si="1"/>
        <v>25869600</v>
      </c>
    </row>
    <row r="123" spans="1:8" x14ac:dyDescent="0.25">
      <c r="A123" s="262">
        <v>114</v>
      </c>
      <c r="B123" s="261">
        <v>45021</v>
      </c>
      <c r="C123" s="260" t="s">
        <v>454</v>
      </c>
      <c r="D123" s="259"/>
      <c r="E123" s="259">
        <v>25869600</v>
      </c>
      <c r="F123" s="259"/>
      <c r="H123" s="242">
        <f t="shared" si="1"/>
        <v>0</v>
      </c>
    </row>
    <row r="124" spans="1:8" x14ac:dyDescent="0.25">
      <c r="A124" s="262">
        <v>115</v>
      </c>
      <c r="B124" s="261">
        <v>45044</v>
      </c>
      <c r="C124" s="260" t="s">
        <v>1442</v>
      </c>
      <c r="D124" s="259">
        <v>4400000</v>
      </c>
      <c r="E124" s="259"/>
      <c r="F124" s="259"/>
      <c r="H124" s="242">
        <f t="shared" si="1"/>
        <v>4400000</v>
      </c>
    </row>
    <row r="125" spans="1:8" x14ac:dyDescent="0.25">
      <c r="A125" s="262">
        <v>116</v>
      </c>
      <c r="B125" s="261">
        <v>45058</v>
      </c>
      <c r="C125" s="260" t="s">
        <v>454</v>
      </c>
      <c r="D125" s="259"/>
      <c r="E125" s="259">
        <v>4400000</v>
      </c>
      <c r="F125" s="259"/>
      <c r="H125" s="242">
        <f t="shared" si="1"/>
        <v>0</v>
      </c>
    </row>
    <row r="126" spans="1:8" x14ac:dyDescent="0.25">
      <c r="A126" s="262">
        <v>117</v>
      </c>
      <c r="B126" s="261">
        <v>45077</v>
      </c>
      <c r="C126" s="260" t="s">
        <v>1483</v>
      </c>
      <c r="D126" s="259">
        <v>23532500</v>
      </c>
      <c r="E126" s="259"/>
      <c r="F126" s="259"/>
      <c r="H126" s="242">
        <f t="shared" si="1"/>
        <v>23532500</v>
      </c>
    </row>
    <row r="127" spans="1:8" x14ac:dyDescent="0.25">
      <c r="A127" s="262">
        <v>118</v>
      </c>
      <c r="B127" s="261">
        <v>45083</v>
      </c>
      <c r="C127" s="260" t="s">
        <v>454</v>
      </c>
      <c r="D127" s="259"/>
      <c r="E127" s="259">
        <v>23532500</v>
      </c>
      <c r="F127" s="259"/>
      <c r="H127" s="242">
        <f t="shared" si="1"/>
        <v>0</v>
      </c>
    </row>
    <row r="128" spans="1:8" x14ac:dyDescent="0.25">
      <c r="A128" s="262">
        <v>119</v>
      </c>
      <c r="B128" s="261">
        <v>45107</v>
      </c>
      <c r="C128" s="260" t="s">
        <v>1513</v>
      </c>
      <c r="D128" s="259">
        <v>7133500</v>
      </c>
      <c r="E128" s="259"/>
      <c r="F128" s="259"/>
      <c r="H128" s="242">
        <f t="shared" si="1"/>
        <v>7133500</v>
      </c>
    </row>
    <row r="129" spans="1:8" x14ac:dyDescent="0.25">
      <c r="A129" s="262">
        <v>120</v>
      </c>
      <c r="B129" s="261">
        <v>45110</v>
      </c>
      <c r="C129" s="260" t="s">
        <v>454</v>
      </c>
      <c r="D129" s="259"/>
      <c r="E129" s="259">
        <v>7133500</v>
      </c>
      <c r="F129" s="259"/>
      <c r="H129" s="242">
        <f t="shared" si="1"/>
        <v>0</v>
      </c>
    </row>
    <row r="130" spans="1:8" x14ac:dyDescent="0.25">
      <c r="A130" s="262">
        <v>121</v>
      </c>
      <c r="B130" s="261">
        <v>45138</v>
      </c>
      <c r="C130" s="260" t="s">
        <v>1547</v>
      </c>
      <c r="D130" s="259">
        <v>21361000</v>
      </c>
      <c r="E130" s="259"/>
      <c r="F130" s="259"/>
      <c r="H130" s="242">
        <f t="shared" si="1"/>
        <v>21361000</v>
      </c>
    </row>
    <row r="131" spans="1:8" x14ac:dyDescent="0.25">
      <c r="A131" s="262">
        <v>122</v>
      </c>
      <c r="B131" s="261">
        <v>45147</v>
      </c>
      <c r="C131" s="260" t="s">
        <v>454</v>
      </c>
      <c r="D131" s="259"/>
      <c r="E131" s="259">
        <v>21361000</v>
      </c>
      <c r="F131" s="259"/>
      <c r="H131" s="242">
        <f t="shared" si="1"/>
        <v>0</v>
      </c>
    </row>
    <row r="132" spans="1:8" x14ac:dyDescent="0.25">
      <c r="A132" s="262">
        <v>123</v>
      </c>
      <c r="B132" s="261">
        <v>45169</v>
      </c>
      <c r="C132" s="260" t="s">
        <v>1579</v>
      </c>
      <c r="D132" s="259">
        <v>5902200</v>
      </c>
      <c r="E132" s="259"/>
      <c r="F132" s="259"/>
      <c r="H132" s="242">
        <f t="shared" si="1"/>
        <v>5902200</v>
      </c>
    </row>
    <row r="133" spans="1:8" x14ac:dyDescent="0.25">
      <c r="A133" s="262">
        <v>124</v>
      </c>
      <c r="B133" s="261">
        <v>45181</v>
      </c>
      <c r="C133" s="260" t="s">
        <v>454</v>
      </c>
      <c r="D133" s="259"/>
      <c r="E133" s="259">
        <v>5902200</v>
      </c>
      <c r="F133" s="259"/>
      <c r="H133" s="242">
        <f t="shared" si="1"/>
        <v>0</v>
      </c>
    </row>
    <row r="134" spans="1:8" x14ac:dyDescent="0.25">
      <c r="A134" s="262">
        <v>125</v>
      </c>
      <c r="B134" s="261">
        <v>45199</v>
      </c>
      <c r="C134" s="260" t="s">
        <v>1601</v>
      </c>
      <c r="D134" s="259">
        <v>23595800</v>
      </c>
      <c r="E134" s="259"/>
      <c r="F134" s="259"/>
      <c r="H134" s="242">
        <f t="shared" si="1"/>
        <v>23595800</v>
      </c>
    </row>
    <row r="135" spans="1:8" x14ac:dyDescent="0.25">
      <c r="A135" s="262">
        <v>126</v>
      </c>
      <c r="B135" s="261">
        <v>45203</v>
      </c>
      <c r="C135" s="260" t="s">
        <v>454</v>
      </c>
      <c r="D135" s="259"/>
      <c r="E135" s="259">
        <v>23595800</v>
      </c>
      <c r="F135" s="259"/>
      <c r="H135" s="242">
        <f t="shared" si="1"/>
        <v>0</v>
      </c>
    </row>
    <row r="136" spans="1:8" x14ac:dyDescent="0.25">
      <c r="A136" s="262">
        <v>127</v>
      </c>
      <c r="B136" s="261">
        <v>45230</v>
      </c>
      <c r="C136" s="260" t="s">
        <v>1644</v>
      </c>
      <c r="D136" s="259">
        <v>21683400</v>
      </c>
      <c r="E136" s="259"/>
      <c r="F136" s="259"/>
      <c r="H136" s="242">
        <f t="shared" si="1"/>
        <v>21683400</v>
      </c>
    </row>
    <row r="137" spans="1:8" x14ac:dyDescent="0.25">
      <c r="A137" s="262">
        <v>128</v>
      </c>
      <c r="B137" s="261">
        <v>45236</v>
      </c>
      <c r="C137" s="260" t="s">
        <v>454</v>
      </c>
      <c r="D137" s="259"/>
      <c r="E137" s="259">
        <v>21683400</v>
      </c>
      <c r="F137" s="259"/>
      <c r="H137" s="242">
        <f t="shared" si="1"/>
        <v>0</v>
      </c>
    </row>
    <row r="138" spans="1:8" x14ac:dyDescent="0.25">
      <c r="A138" s="262">
        <v>129</v>
      </c>
      <c r="B138" s="261">
        <v>45260</v>
      </c>
      <c r="C138" s="260" t="s">
        <v>1664</v>
      </c>
      <c r="D138" s="259">
        <v>4692600</v>
      </c>
      <c r="E138" s="259"/>
      <c r="F138" s="259"/>
      <c r="H138" s="242">
        <f t="shared" si="1"/>
        <v>4692600</v>
      </c>
    </row>
    <row r="139" spans="1:8" x14ac:dyDescent="0.25">
      <c r="A139" s="262">
        <v>130</v>
      </c>
      <c r="B139" s="261">
        <v>45272</v>
      </c>
      <c r="C139" s="260" t="s">
        <v>454</v>
      </c>
      <c r="D139" s="259"/>
      <c r="E139" s="259">
        <v>4692600</v>
      </c>
      <c r="F139" s="259"/>
      <c r="H139" s="242">
        <f t="shared" si="1"/>
        <v>0</v>
      </c>
    </row>
    <row r="140" spans="1:8" x14ac:dyDescent="0.25">
      <c r="A140" s="262">
        <v>131</v>
      </c>
      <c r="B140" s="261">
        <v>45289</v>
      </c>
      <c r="C140" s="260" t="s">
        <v>1682</v>
      </c>
      <c r="D140" s="259">
        <v>5362200</v>
      </c>
      <c r="E140" s="259"/>
      <c r="F140" s="259"/>
      <c r="H140" s="242">
        <f t="shared" si="1"/>
        <v>5362200</v>
      </c>
    </row>
    <row r="141" spans="1:8" x14ac:dyDescent="0.25">
      <c r="A141" s="262">
        <v>132</v>
      </c>
      <c r="B141" s="261">
        <v>45295</v>
      </c>
      <c r="C141" s="260" t="s">
        <v>454</v>
      </c>
      <c r="D141" s="259"/>
      <c r="E141" s="259">
        <v>5362200</v>
      </c>
      <c r="F141" s="259"/>
      <c r="H141" s="242">
        <f t="shared" ref="H141:H165" si="2">H140+D141-E141</f>
        <v>0</v>
      </c>
    </row>
    <row r="142" spans="1:8" x14ac:dyDescent="0.25">
      <c r="A142" s="262">
        <v>133</v>
      </c>
      <c r="B142" s="261">
        <v>45322</v>
      </c>
      <c r="C142" s="260" t="s">
        <v>1713</v>
      </c>
      <c r="D142" s="259">
        <v>4860000</v>
      </c>
      <c r="E142" s="259"/>
      <c r="F142" s="259"/>
      <c r="H142" s="242">
        <f t="shared" si="2"/>
        <v>4860000</v>
      </c>
    </row>
    <row r="143" spans="1:8" x14ac:dyDescent="0.25">
      <c r="A143" s="262">
        <v>134</v>
      </c>
      <c r="B143" s="261">
        <v>45324</v>
      </c>
      <c r="C143" s="260" t="s">
        <v>454</v>
      </c>
      <c r="D143" s="259"/>
      <c r="E143" s="259">
        <v>4860000</v>
      </c>
      <c r="F143" s="259"/>
      <c r="H143" s="242">
        <f t="shared" si="2"/>
        <v>0</v>
      </c>
    </row>
    <row r="144" spans="1:8" x14ac:dyDescent="0.25">
      <c r="A144" s="262">
        <v>135</v>
      </c>
      <c r="B144" s="261">
        <v>45350</v>
      </c>
      <c r="C144" s="260" t="s">
        <v>1724</v>
      </c>
      <c r="D144" s="259">
        <v>4860000</v>
      </c>
      <c r="E144" s="259"/>
      <c r="F144" s="259"/>
      <c r="H144" s="242">
        <f t="shared" si="2"/>
        <v>4860000</v>
      </c>
    </row>
    <row r="145" spans="1:8" x14ac:dyDescent="0.25">
      <c r="A145" s="262">
        <v>136</v>
      </c>
      <c r="B145" s="261">
        <v>45355</v>
      </c>
      <c r="C145" s="260" t="s">
        <v>454</v>
      </c>
      <c r="D145" s="259"/>
      <c r="E145" s="259">
        <v>4860000</v>
      </c>
      <c r="F145" s="259"/>
      <c r="H145" s="242">
        <f t="shared" si="2"/>
        <v>0</v>
      </c>
    </row>
    <row r="146" spans="1:8" x14ac:dyDescent="0.25">
      <c r="A146" s="262">
        <v>137</v>
      </c>
      <c r="B146" s="261">
        <v>45380</v>
      </c>
      <c r="C146" s="260" t="s">
        <v>1747</v>
      </c>
      <c r="D146" s="259">
        <v>6912000</v>
      </c>
      <c r="E146" s="259"/>
      <c r="F146" s="259"/>
      <c r="H146" s="242">
        <f t="shared" si="2"/>
        <v>6912000</v>
      </c>
    </row>
    <row r="147" spans="1:8" x14ac:dyDescent="0.25">
      <c r="A147" s="262">
        <v>137</v>
      </c>
      <c r="B147" s="261">
        <v>45385</v>
      </c>
      <c r="C147" s="260" t="s">
        <v>454</v>
      </c>
      <c r="D147" s="259"/>
      <c r="E147" s="259">
        <v>6912000</v>
      </c>
      <c r="F147" s="259"/>
      <c r="H147" s="242">
        <f t="shared" si="2"/>
        <v>0</v>
      </c>
    </row>
    <row r="148" spans="1:8" x14ac:dyDescent="0.25">
      <c r="A148" s="262">
        <v>138</v>
      </c>
      <c r="B148" s="261">
        <v>45412</v>
      </c>
      <c r="C148" s="260" t="s">
        <v>1756</v>
      </c>
      <c r="D148" s="259">
        <v>4860000</v>
      </c>
      <c r="E148" s="259"/>
      <c r="F148" s="259"/>
      <c r="H148" s="242">
        <f t="shared" si="2"/>
        <v>4860000</v>
      </c>
    </row>
    <row r="149" spans="1:8" x14ac:dyDescent="0.25">
      <c r="A149" s="262">
        <v>139</v>
      </c>
      <c r="B149" s="261">
        <v>45415</v>
      </c>
      <c r="C149" s="260" t="s">
        <v>454</v>
      </c>
      <c r="D149" s="259"/>
      <c r="E149" s="259">
        <v>4860000</v>
      </c>
      <c r="F149" s="259"/>
      <c r="H149" s="242">
        <f t="shared" si="2"/>
        <v>0</v>
      </c>
    </row>
    <row r="150" spans="1:8" x14ac:dyDescent="0.25">
      <c r="A150" s="262">
        <v>140</v>
      </c>
      <c r="B150" s="261">
        <v>45442</v>
      </c>
      <c r="C150" s="260" t="s">
        <v>1795</v>
      </c>
      <c r="D150" s="259">
        <v>6604200</v>
      </c>
      <c r="E150" s="259"/>
      <c r="F150" s="259"/>
      <c r="H150" s="242">
        <f t="shared" si="2"/>
        <v>6604200</v>
      </c>
    </row>
    <row r="151" spans="1:8" x14ac:dyDescent="0.25">
      <c r="A151" s="262">
        <v>141</v>
      </c>
      <c r="B151" s="261">
        <v>45446</v>
      </c>
      <c r="C151" s="260" t="s">
        <v>454</v>
      </c>
      <c r="D151" s="259"/>
      <c r="E151" s="259">
        <v>6604200</v>
      </c>
      <c r="F151" s="259"/>
      <c r="H151" s="242">
        <f t="shared" si="2"/>
        <v>0</v>
      </c>
    </row>
    <row r="152" spans="1:8" x14ac:dyDescent="0.25">
      <c r="A152" s="262">
        <v>142</v>
      </c>
      <c r="B152" s="261">
        <v>45473</v>
      </c>
      <c r="C152" s="260" t="s">
        <v>1813</v>
      </c>
      <c r="D152" s="259">
        <v>6069600</v>
      </c>
      <c r="E152" s="259"/>
      <c r="F152" s="259"/>
      <c r="H152" s="242">
        <f t="shared" si="2"/>
        <v>6069600</v>
      </c>
    </row>
    <row r="153" spans="1:8" x14ac:dyDescent="0.25">
      <c r="A153" s="262">
        <v>143</v>
      </c>
      <c r="B153" s="261">
        <v>45481</v>
      </c>
      <c r="C153" s="260" t="s">
        <v>454</v>
      </c>
      <c r="D153" s="259"/>
      <c r="E153" s="259">
        <v>6069600</v>
      </c>
      <c r="F153" s="259"/>
      <c r="H153" s="242">
        <f t="shared" si="2"/>
        <v>0</v>
      </c>
    </row>
    <row r="154" spans="1:8" x14ac:dyDescent="0.25">
      <c r="A154" s="262">
        <v>144</v>
      </c>
      <c r="B154" s="261">
        <v>45503</v>
      </c>
      <c r="C154" s="260" t="s">
        <v>1836</v>
      </c>
      <c r="D154" s="259">
        <v>22532000</v>
      </c>
      <c r="E154" s="259"/>
      <c r="F154" s="259"/>
      <c r="H154" s="242">
        <f t="shared" si="2"/>
        <v>22532000</v>
      </c>
    </row>
    <row r="155" spans="1:8" x14ac:dyDescent="0.25">
      <c r="A155" s="262">
        <v>145</v>
      </c>
      <c r="B155" s="261">
        <v>45512</v>
      </c>
      <c r="C155" s="260" t="s">
        <v>454</v>
      </c>
      <c r="D155" s="259"/>
      <c r="E155" s="259">
        <v>22532000</v>
      </c>
      <c r="F155" s="259"/>
      <c r="H155" s="242">
        <f t="shared" si="2"/>
        <v>0</v>
      </c>
    </row>
    <row r="156" spans="1:8" x14ac:dyDescent="0.25">
      <c r="A156" s="262">
        <v>146</v>
      </c>
      <c r="B156" s="261">
        <v>45534</v>
      </c>
      <c r="C156" s="260" t="s">
        <v>1878</v>
      </c>
      <c r="D156" s="259">
        <v>32778800</v>
      </c>
      <c r="E156" s="259"/>
      <c r="F156" s="259"/>
      <c r="H156" s="242">
        <f t="shared" si="2"/>
        <v>32778800</v>
      </c>
    </row>
    <row r="157" spans="1:8" x14ac:dyDescent="0.25">
      <c r="A157" s="262">
        <v>147</v>
      </c>
      <c r="B157" s="261">
        <v>45547</v>
      </c>
      <c r="C157" s="260" t="s">
        <v>454</v>
      </c>
      <c r="D157" s="259"/>
      <c r="E157" s="259">
        <v>32778000</v>
      </c>
      <c r="F157" s="259"/>
      <c r="H157" s="242">
        <f t="shared" si="2"/>
        <v>800</v>
      </c>
    </row>
    <row r="158" spans="1:8" x14ac:dyDescent="0.25">
      <c r="A158" s="262">
        <v>148</v>
      </c>
      <c r="B158" s="261">
        <v>45565</v>
      </c>
      <c r="C158" s="260" t="s">
        <v>1877</v>
      </c>
      <c r="D158" s="259">
        <v>7392600</v>
      </c>
      <c r="E158" s="259"/>
      <c r="F158" s="259"/>
      <c r="H158" s="242">
        <f t="shared" si="2"/>
        <v>7393400</v>
      </c>
    </row>
    <row r="159" spans="1:8" x14ac:dyDescent="0.25">
      <c r="A159" s="262">
        <v>149</v>
      </c>
      <c r="B159" s="261">
        <v>45568</v>
      </c>
      <c r="C159" s="260" t="s">
        <v>454</v>
      </c>
      <c r="D159" s="259"/>
      <c r="E159" s="259">
        <v>7392600</v>
      </c>
      <c r="F159" s="259"/>
      <c r="H159" s="242">
        <f t="shared" si="2"/>
        <v>800</v>
      </c>
    </row>
    <row r="160" spans="1:8" x14ac:dyDescent="0.25">
      <c r="A160" s="262">
        <v>150</v>
      </c>
      <c r="B160" s="261">
        <v>45596</v>
      </c>
      <c r="C160" s="260" t="s">
        <v>1901</v>
      </c>
      <c r="D160" s="259">
        <v>6624000</v>
      </c>
      <c r="E160" s="259"/>
      <c r="F160" s="259"/>
      <c r="H160" s="242">
        <f t="shared" si="2"/>
        <v>6624800</v>
      </c>
    </row>
    <row r="161" spans="1:8" x14ac:dyDescent="0.25">
      <c r="A161" s="262">
        <v>151</v>
      </c>
      <c r="B161" s="261">
        <v>45603</v>
      </c>
      <c r="C161" s="260" t="s">
        <v>454</v>
      </c>
      <c r="D161" s="259"/>
      <c r="E161" s="259">
        <v>6624000</v>
      </c>
      <c r="F161" s="259"/>
      <c r="H161" s="242">
        <f t="shared" si="2"/>
        <v>800</v>
      </c>
    </row>
    <row r="162" spans="1:8" x14ac:dyDescent="0.25">
      <c r="A162" s="262">
        <v>152</v>
      </c>
      <c r="B162" s="261">
        <v>45626</v>
      </c>
      <c r="C162" s="260" t="s">
        <v>1927</v>
      </c>
      <c r="D162" s="259">
        <v>35162600</v>
      </c>
      <c r="E162" s="259"/>
      <c r="F162" s="259"/>
      <c r="H162" s="242">
        <f t="shared" si="2"/>
        <v>35163400</v>
      </c>
    </row>
    <row r="163" spans="1:8" x14ac:dyDescent="0.25">
      <c r="A163" s="262">
        <v>153</v>
      </c>
      <c r="B163" s="261">
        <v>45630</v>
      </c>
      <c r="C163" s="260" t="s">
        <v>454</v>
      </c>
      <c r="D163" s="259"/>
      <c r="E163" s="259">
        <v>35162600</v>
      </c>
      <c r="F163" s="259"/>
      <c r="H163" s="242">
        <f t="shared" si="2"/>
        <v>800</v>
      </c>
    </row>
    <row r="164" spans="1:8" x14ac:dyDescent="0.25">
      <c r="A164" s="262">
        <v>154</v>
      </c>
      <c r="B164" s="261">
        <v>45656</v>
      </c>
      <c r="C164" s="260" t="s">
        <v>1947</v>
      </c>
      <c r="D164" s="259">
        <v>11485200</v>
      </c>
      <c r="E164" s="259"/>
      <c r="F164" s="259"/>
      <c r="H164" s="242">
        <f t="shared" si="2"/>
        <v>11486000</v>
      </c>
    </row>
    <row r="165" spans="1:8" x14ac:dyDescent="0.25">
      <c r="A165" s="262">
        <v>155</v>
      </c>
      <c r="B165" s="261">
        <v>45664</v>
      </c>
      <c r="C165" s="260" t="s">
        <v>454</v>
      </c>
      <c r="D165" s="259"/>
      <c r="E165" s="259">
        <v>11485200</v>
      </c>
      <c r="F165" s="259"/>
      <c r="H165" s="242">
        <f t="shared" si="2"/>
        <v>800</v>
      </c>
    </row>
    <row r="166" spans="1:8" x14ac:dyDescent="0.25">
      <c r="A166" s="262">
        <v>156</v>
      </c>
      <c r="B166" s="261">
        <v>45680</v>
      </c>
      <c r="C166" s="260" t="s">
        <v>1964</v>
      </c>
      <c r="D166" s="259">
        <v>28586800</v>
      </c>
      <c r="E166" s="259"/>
      <c r="F166" s="259"/>
    </row>
    <row r="167" spans="1:8" x14ac:dyDescent="0.25">
      <c r="A167" s="262">
        <v>157</v>
      </c>
      <c r="B167" s="261">
        <v>45695</v>
      </c>
      <c r="C167" s="260" t="s">
        <v>454</v>
      </c>
      <c r="D167" s="259"/>
      <c r="E167" s="259">
        <v>28586800</v>
      </c>
      <c r="F167" s="259"/>
    </row>
    <row r="168" spans="1:8" x14ac:dyDescent="0.25">
      <c r="A168" s="262">
        <v>158</v>
      </c>
      <c r="B168" s="261">
        <v>45716</v>
      </c>
      <c r="C168" s="260" t="s">
        <v>1979</v>
      </c>
      <c r="D168" s="259">
        <v>35462200</v>
      </c>
      <c r="E168" s="259"/>
      <c r="F168" s="259"/>
    </row>
    <row r="169" spans="1:8" x14ac:dyDescent="0.25">
      <c r="A169" s="262">
        <v>159</v>
      </c>
      <c r="B169" s="261">
        <v>45721</v>
      </c>
      <c r="C169" s="260" t="s">
        <v>454</v>
      </c>
      <c r="D169" s="259"/>
      <c r="E169" s="259">
        <v>35462200</v>
      </c>
      <c r="F169" s="259"/>
    </row>
    <row r="170" spans="1:8" x14ac:dyDescent="0.25">
      <c r="A170" s="262">
        <v>160</v>
      </c>
      <c r="B170" s="261">
        <v>45747</v>
      </c>
      <c r="C170" s="260" t="s">
        <v>1995</v>
      </c>
      <c r="D170" s="259">
        <v>8449800</v>
      </c>
      <c r="E170" s="259"/>
      <c r="F170" s="259"/>
    </row>
    <row r="171" spans="1:8" x14ac:dyDescent="0.25">
      <c r="A171" s="262">
        <v>161</v>
      </c>
      <c r="B171" s="261">
        <v>45750</v>
      </c>
      <c r="C171" s="260" t="s">
        <v>454</v>
      </c>
      <c r="D171" s="259"/>
      <c r="E171" s="259">
        <v>8449800</v>
      </c>
      <c r="F171" s="259"/>
    </row>
    <row r="172" spans="1:8" x14ac:dyDescent="0.25">
      <c r="A172" s="262">
        <v>162</v>
      </c>
      <c r="B172" s="261">
        <v>45776</v>
      </c>
      <c r="C172" s="260" t="s">
        <v>2018</v>
      </c>
      <c r="D172" s="259">
        <v>55738600</v>
      </c>
      <c r="E172" s="259"/>
      <c r="F172" s="259"/>
    </row>
    <row r="173" spans="1:8" x14ac:dyDescent="0.25">
      <c r="A173" s="262">
        <v>163</v>
      </c>
      <c r="B173" s="261">
        <v>45784</v>
      </c>
      <c r="C173" s="260" t="s">
        <v>454</v>
      </c>
      <c r="D173" s="259"/>
      <c r="E173" s="259">
        <v>55738600</v>
      </c>
      <c r="F173" s="259"/>
    </row>
    <row r="174" spans="1:8" x14ac:dyDescent="0.25">
      <c r="A174" s="262">
        <v>164</v>
      </c>
      <c r="B174" s="261"/>
      <c r="C174" s="260"/>
      <c r="D174" s="259"/>
      <c r="E174" s="259"/>
      <c r="F174" s="259"/>
    </row>
    <row r="175" spans="1:8" x14ac:dyDescent="0.25">
      <c r="A175" s="262">
        <v>165</v>
      </c>
      <c r="B175" s="261"/>
      <c r="C175" s="260"/>
      <c r="D175" s="259"/>
      <c r="E175" s="259"/>
      <c r="F175" s="259"/>
    </row>
    <row r="176" spans="1:8" x14ac:dyDescent="0.25">
      <c r="A176" s="262">
        <v>166</v>
      </c>
      <c r="B176" s="261"/>
      <c r="C176" s="260"/>
      <c r="D176" s="259"/>
      <c r="E176" s="259"/>
      <c r="F176" s="259"/>
    </row>
    <row r="177" spans="1:6" x14ac:dyDescent="0.25">
      <c r="A177" s="262">
        <v>167</v>
      </c>
      <c r="B177" s="261"/>
      <c r="C177" s="260"/>
      <c r="D177" s="259"/>
      <c r="E177" s="259"/>
      <c r="F177" s="259"/>
    </row>
    <row r="178" spans="1:6" x14ac:dyDescent="0.25">
      <c r="A178" s="262">
        <v>168</v>
      </c>
      <c r="B178" s="261"/>
      <c r="C178" s="260"/>
      <c r="D178" s="259"/>
      <c r="E178" s="259"/>
      <c r="F178" s="259"/>
    </row>
    <row r="179" spans="1:6" x14ac:dyDescent="0.25">
      <c r="A179" s="262">
        <v>169</v>
      </c>
      <c r="B179" s="261"/>
      <c r="C179" s="260"/>
      <c r="D179" s="259"/>
      <c r="E179" s="259"/>
      <c r="F179" s="259"/>
    </row>
    <row r="180" spans="1:6" x14ac:dyDescent="0.25">
      <c r="A180" s="262">
        <v>170</v>
      </c>
      <c r="B180" s="261"/>
      <c r="C180" s="260"/>
      <c r="D180" s="259"/>
      <c r="E180" s="259"/>
      <c r="F180" s="259"/>
    </row>
    <row r="181" spans="1:6" x14ac:dyDescent="0.25">
      <c r="A181" s="262">
        <v>171</v>
      </c>
      <c r="B181" s="261"/>
      <c r="C181" s="260"/>
      <c r="D181" s="259"/>
      <c r="E181" s="259"/>
      <c r="F181" s="259"/>
    </row>
    <row r="182" spans="1:6" x14ac:dyDescent="0.25">
      <c r="A182" s="262">
        <v>172</v>
      </c>
      <c r="B182" s="261"/>
      <c r="C182" s="260"/>
      <c r="D182" s="259"/>
      <c r="E182" s="259"/>
      <c r="F182" s="259"/>
    </row>
    <row r="183" spans="1:6" x14ac:dyDescent="0.25">
      <c r="A183" s="262">
        <v>173</v>
      </c>
      <c r="B183" s="261"/>
      <c r="C183" s="260"/>
      <c r="D183" s="259"/>
      <c r="E183" s="259"/>
      <c r="F183" s="259"/>
    </row>
    <row r="184" spans="1:6" x14ac:dyDescent="0.25">
      <c r="A184" s="262">
        <v>174</v>
      </c>
      <c r="B184" s="261"/>
      <c r="C184" s="260"/>
      <c r="D184" s="259"/>
      <c r="E184" s="259"/>
      <c r="F184" s="259"/>
    </row>
    <row r="185" spans="1:6" x14ac:dyDescent="0.25">
      <c r="A185" s="262">
        <v>175</v>
      </c>
      <c r="B185" s="261"/>
      <c r="C185" s="260"/>
      <c r="D185" s="259"/>
      <c r="E185" s="259"/>
      <c r="F185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93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2.85546875" style="2" customWidth="1"/>
    <col min="10" max="16" width="22.140625" customWidth="1"/>
  </cols>
  <sheetData>
    <row r="1" spans="1:12" x14ac:dyDescent="0.25">
      <c r="A1" s="1"/>
      <c r="B1" s="252"/>
      <c r="G1" s="1" t="s">
        <v>16</v>
      </c>
    </row>
    <row r="2" spans="1:12" x14ac:dyDescent="0.25">
      <c r="A2" s="411" t="s">
        <v>3</v>
      </c>
      <c r="B2" s="411"/>
      <c r="C2" s="411"/>
      <c r="D2" s="411"/>
      <c r="E2" s="411"/>
      <c r="F2" s="411"/>
    </row>
    <row r="3" spans="1:12" x14ac:dyDescent="0.25">
      <c r="A3" t="s">
        <v>4</v>
      </c>
      <c r="D3" s="2" t="s">
        <v>24</v>
      </c>
      <c r="L3" s="245" t="s">
        <v>221</v>
      </c>
    </row>
    <row r="4" spans="1:12" x14ac:dyDescent="0.25">
      <c r="E4" s="255" t="s">
        <v>9</v>
      </c>
      <c r="F4" s="255">
        <v>26586000</v>
      </c>
    </row>
    <row r="5" spans="1:12" x14ac:dyDescent="0.25">
      <c r="A5" t="s">
        <v>13</v>
      </c>
      <c r="D5" s="3">
        <f ca="1">+'Tổng hợp'!$G$2</f>
        <v>45784</v>
      </c>
      <c r="E5" s="2" t="s">
        <v>10</v>
      </c>
      <c r="F5" s="2">
        <f>SUM(D10:D69)</f>
        <v>580039130</v>
      </c>
    </row>
    <row r="6" spans="1:12" x14ac:dyDescent="0.25">
      <c r="E6" s="2" t="s">
        <v>11</v>
      </c>
      <c r="F6" s="2">
        <f>SUM(E10:E69)</f>
        <v>606625130</v>
      </c>
    </row>
    <row r="7" spans="1:12" x14ac:dyDescent="0.25">
      <c r="E7" s="255" t="s">
        <v>12</v>
      </c>
      <c r="F7" s="255">
        <f>+F4+F5-F6</f>
        <v>0</v>
      </c>
    </row>
    <row r="8" spans="1:12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555</v>
      </c>
      <c r="G8" s="413" t="s">
        <v>2</v>
      </c>
    </row>
    <row r="9" spans="1:12" x14ac:dyDescent="0.25">
      <c r="A9" s="412"/>
      <c r="B9" s="412"/>
      <c r="C9" s="412"/>
      <c r="D9" s="263" t="s">
        <v>6</v>
      </c>
      <c r="E9" s="263" t="s">
        <v>7</v>
      </c>
      <c r="F9" s="415"/>
      <c r="G9" s="414"/>
    </row>
    <row r="10" spans="1:12" x14ac:dyDescent="0.25">
      <c r="A10" s="15">
        <v>1</v>
      </c>
      <c r="B10" s="261">
        <v>43626</v>
      </c>
      <c r="C10" s="260" t="s">
        <v>25</v>
      </c>
      <c r="D10" s="259"/>
      <c r="E10" s="259">
        <v>26586000</v>
      </c>
      <c r="F10" s="259">
        <f>F4+D10-E10</f>
        <v>0</v>
      </c>
      <c r="G10" s="260"/>
    </row>
    <row r="11" spans="1:12" x14ac:dyDescent="0.25">
      <c r="A11" s="15">
        <v>2</v>
      </c>
      <c r="B11" s="261">
        <v>43645</v>
      </c>
      <c r="C11" s="260" t="s">
        <v>182</v>
      </c>
      <c r="D11" s="259">
        <v>15309000</v>
      </c>
      <c r="E11" s="259"/>
      <c r="F11" s="259">
        <f>F10+D11-E11</f>
        <v>15309000</v>
      </c>
      <c r="G11" s="260"/>
    </row>
    <row r="12" spans="1:12" x14ac:dyDescent="0.25">
      <c r="A12" s="15">
        <v>3</v>
      </c>
      <c r="B12" s="261">
        <v>43677</v>
      </c>
      <c r="C12" s="260" t="s">
        <v>204</v>
      </c>
      <c r="D12" s="259">
        <v>14461000</v>
      </c>
      <c r="E12" s="259"/>
      <c r="F12" s="259">
        <f t="shared" ref="F12:F58" si="0">F11+D12-E12</f>
        <v>29770000</v>
      </c>
      <c r="G12" s="260"/>
    </row>
    <row r="13" spans="1:12" x14ac:dyDescent="0.25">
      <c r="A13" s="15">
        <v>4</v>
      </c>
      <c r="B13" s="261">
        <v>43708</v>
      </c>
      <c r="C13" s="260" t="s">
        <v>235</v>
      </c>
      <c r="D13" s="259">
        <v>15309000</v>
      </c>
      <c r="E13" s="259"/>
      <c r="F13" s="259">
        <f t="shared" si="0"/>
        <v>45079000</v>
      </c>
      <c r="G13" s="260"/>
    </row>
    <row r="14" spans="1:12" x14ac:dyDescent="0.25">
      <c r="A14" s="15">
        <v>5</v>
      </c>
      <c r="B14" s="261">
        <v>43747</v>
      </c>
      <c r="C14" s="260" t="s">
        <v>251</v>
      </c>
      <c r="D14" s="259"/>
      <c r="E14" s="259">
        <v>29770000</v>
      </c>
      <c r="F14" s="259">
        <f t="shared" si="0"/>
        <v>15309000</v>
      </c>
      <c r="G14" s="260"/>
    </row>
    <row r="15" spans="1:12" x14ac:dyDescent="0.25">
      <c r="A15" s="15">
        <v>6</v>
      </c>
      <c r="B15" s="262" t="s">
        <v>277</v>
      </c>
      <c r="C15" s="260" t="s">
        <v>278</v>
      </c>
      <c r="D15" s="259">
        <v>15309000</v>
      </c>
      <c r="E15" s="259"/>
      <c r="F15" s="259">
        <f t="shared" si="0"/>
        <v>30618000</v>
      </c>
      <c r="G15" s="260"/>
    </row>
    <row r="16" spans="1:12" x14ac:dyDescent="0.25">
      <c r="A16" s="15">
        <v>7</v>
      </c>
      <c r="B16" s="262" t="s">
        <v>309</v>
      </c>
      <c r="C16" s="260" t="s">
        <v>313</v>
      </c>
      <c r="D16" s="259">
        <v>15309000</v>
      </c>
      <c r="E16" s="259"/>
      <c r="F16" s="259">
        <f t="shared" si="0"/>
        <v>45927000</v>
      </c>
      <c r="G16" s="260"/>
    </row>
    <row r="17" spans="1:17" x14ac:dyDescent="0.25">
      <c r="A17" s="15">
        <v>8</v>
      </c>
      <c r="B17" s="261">
        <v>43628</v>
      </c>
      <c r="C17" s="260" t="s">
        <v>354</v>
      </c>
      <c r="D17" s="259"/>
      <c r="E17" s="259">
        <v>23927000</v>
      </c>
      <c r="F17" s="259">
        <f t="shared" si="0"/>
        <v>22000000</v>
      </c>
      <c r="G17" s="260"/>
    </row>
    <row r="18" spans="1:17" x14ac:dyDescent="0.25">
      <c r="A18" s="15">
        <v>9</v>
      </c>
      <c r="B18" s="274">
        <v>43808</v>
      </c>
      <c r="C18" s="260" t="s">
        <v>359</v>
      </c>
      <c r="D18" s="259">
        <v>6159000</v>
      </c>
      <c r="E18" s="259"/>
      <c r="F18" s="259">
        <f t="shared" si="0"/>
        <v>28159000</v>
      </c>
      <c r="G18" s="260"/>
    </row>
    <row r="19" spans="1:17" x14ac:dyDescent="0.25">
      <c r="A19" s="15">
        <v>10</v>
      </c>
      <c r="B19" s="262" t="s">
        <v>369</v>
      </c>
      <c r="C19" s="260" t="s">
        <v>370</v>
      </c>
      <c r="D19" s="259"/>
      <c r="E19" s="259">
        <v>28159000</v>
      </c>
      <c r="F19" s="259">
        <f t="shared" si="0"/>
        <v>0</v>
      </c>
      <c r="G19" s="260"/>
    </row>
    <row r="20" spans="1:17" x14ac:dyDescent="0.25">
      <c r="A20" s="15">
        <v>11</v>
      </c>
      <c r="B20" s="262" t="s">
        <v>400</v>
      </c>
      <c r="C20" s="260" t="s">
        <v>407</v>
      </c>
      <c r="D20" s="259">
        <v>15386000</v>
      </c>
      <c r="E20" s="259"/>
      <c r="F20" s="259">
        <f t="shared" si="0"/>
        <v>15386000</v>
      </c>
      <c r="G20" s="260"/>
    </row>
    <row r="21" spans="1:17" x14ac:dyDescent="0.25">
      <c r="A21" s="15">
        <v>12</v>
      </c>
      <c r="B21" s="262" t="s">
        <v>505</v>
      </c>
      <c r="C21" s="260" t="s">
        <v>509</v>
      </c>
      <c r="D21" s="259">
        <v>28832000</v>
      </c>
      <c r="E21" s="259"/>
      <c r="F21" s="259">
        <f t="shared" si="0"/>
        <v>44218000</v>
      </c>
      <c r="G21" s="260"/>
      <c r="J21" s="2"/>
      <c r="K21" s="2"/>
      <c r="L21" s="2"/>
    </row>
    <row r="22" spans="1:17" x14ac:dyDescent="0.25">
      <c r="A22" s="15">
        <v>13</v>
      </c>
      <c r="B22" s="261">
        <v>43957</v>
      </c>
      <c r="C22" s="260" t="s">
        <v>370</v>
      </c>
      <c r="D22" s="259"/>
      <c r="E22" s="259">
        <v>15386000</v>
      </c>
      <c r="F22" s="259">
        <f t="shared" si="0"/>
        <v>28832000</v>
      </c>
      <c r="G22" s="260"/>
      <c r="J22" s="2"/>
      <c r="K22" s="2"/>
      <c r="L22" s="2"/>
    </row>
    <row r="23" spans="1:17" x14ac:dyDescent="0.25">
      <c r="A23" s="15">
        <v>14</v>
      </c>
      <c r="B23" s="261">
        <v>44025</v>
      </c>
      <c r="C23" s="260" t="s">
        <v>370</v>
      </c>
      <c r="D23" s="259"/>
      <c r="E23" s="259">
        <v>28832000</v>
      </c>
      <c r="F23" s="259">
        <f t="shared" si="0"/>
        <v>0</v>
      </c>
      <c r="G23" s="260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15">
        <v>15</v>
      </c>
      <c r="B24" s="261">
        <v>44043</v>
      </c>
      <c r="C24" s="260" t="s">
        <v>575</v>
      </c>
      <c r="D24" s="259">
        <v>14416000</v>
      </c>
      <c r="E24" s="259"/>
      <c r="F24" s="259">
        <f t="shared" si="0"/>
        <v>14416000</v>
      </c>
      <c r="G24" s="260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15">
        <v>16</v>
      </c>
      <c r="B25" s="261">
        <v>44074</v>
      </c>
      <c r="C25" s="260" t="s">
        <v>601</v>
      </c>
      <c r="D25" s="259">
        <v>14416000</v>
      </c>
      <c r="E25" s="259"/>
      <c r="F25" s="259">
        <f t="shared" si="0"/>
        <v>28832000</v>
      </c>
      <c r="G25" s="260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15">
        <v>17</v>
      </c>
      <c r="B26" s="261">
        <v>44104</v>
      </c>
      <c r="C26" s="260" t="s">
        <v>627</v>
      </c>
      <c r="D26" s="259">
        <v>14464400</v>
      </c>
      <c r="E26" s="259"/>
      <c r="F26" s="259">
        <f t="shared" si="0"/>
        <v>43296400</v>
      </c>
      <c r="G26" s="260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15">
        <v>18</v>
      </c>
      <c r="B27" s="261">
        <v>44134</v>
      </c>
      <c r="C27" s="260" t="s">
        <v>370</v>
      </c>
      <c r="D27" s="259"/>
      <c r="E27" s="259">
        <v>14464400</v>
      </c>
      <c r="F27" s="259">
        <f t="shared" si="0"/>
        <v>28832000</v>
      </c>
      <c r="G27" s="260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15">
        <v>19</v>
      </c>
      <c r="B28" s="261">
        <v>44135</v>
      </c>
      <c r="C28" s="260" t="s">
        <v>662</v>
      </c>
      <c r="D28" s="259">
        <v>14484400</v>
      </c>
      <c r="E28" s="259"/>
      <c r="F28" s="259">
        <f t="shared" si="0"/>
        <v>43316400</v>
      </c>
      <c r="G28" s="260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15">
        <v>20</v>
      </c>
      <c r="B29" s="261">
        <v>44165</v>
      </c>
      <c r="C29" s="260" t="s">
        <v>679</v>
      </c>
      <c r="D29" s="259">
        <v>14484400</v>
      </c>
      <c r="E29" s="259"/>
      <c r="F29" s="259">
        <f t="shared" si="0"/>
        <v>57800800</v>
      </c>
      <c r="G29" s="260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15">
        <v>21</v>
      </c>
      <c r="B30" s="261">
        <v>44190</v>
      </c>
      <c r="C30" s="260" t="s">
        <v>370</v>
      </c>
      <c r="D30" s="259"/>
      <c r="E30" s="259">
        <v>28968800</v>
      </c>
      <c r="F30" s="259">
        <f t="shared" si="0"/>
        <v>28832000</v>
      </c>
      <c r="G30" s="260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15">
        <v>22</v>
      </c>
      <c r="B31" s="261">
        <v>44196</v>
      </c>
      <c r="C31" s="260" t="s">
        <v>698</v>
      </c>
      <c r="D31" s="259">
        <v>14484400</v>
      </c>
      <c r="E31" s="259"/>
      <c r="F31" s="259">
        <f t="shared" si="0"/>
        <v>43316400</v>
      </c>
      <c r="G31" s="260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15">
        <v>23</v>
      </c>
      <c r="B32" s="261">
        <v>44230</v>
      </c>
      <c r="C32" s="260" t="s">
        <v>370</v>
      </c>
      <c r="D32" s="259"/>
      <c r="E32" s="259">
        <v>43316400</v>
      </c>
      <c r="F32" s="259">
        <f t="shared" si="0"/>
        <v>0</v>
      </c>
      <c r="G32" s="260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15">
        <v>24</v>
      </c>
      <c r="B33" s="261">
        <v>44255</v>
      </c>
      <c r="C33" s="260" t="s">
        <v>748</v>
      </c>
      <c r="D33" s="259">
        <v>14900000</v>
      </c>
      <c r="E33" s="259"/>
      <c r="F33" s="259">
        <f t="shared" si="0"/>
        <v>14900000</v>
      </c>
      <c r="G33" s="260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15">
        <v>25</v>
      </c>
      <c r="B34" s="261">
        <v>44313</v>
      </c>
      <c r="C34" s="260" t="s">
        <v>786</v>
      </c>
      <c r="D34" s="259"/>
      <c r="E34" s="259">
        <v>14900000</v>
      </c>
      <c r="F34" s="259">
        <f t="shared" si="0"/>
        <v>0</v>
      </c>
      <c r="G34" s="260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15">
        <v>26</v>
      </c>
      <c r="B35" s="261">
        <v>44315</v>
      </c>
      <c r="C35" s="260" t="s">
        <v>792</v>
      </c>
      <c r="D35" s="259">
        <v>15140000</v>
      </c>
      <c r="E35" s="259"/>
      <c r="F35" s="259">
        <f t="shared" si="0"/>
        <v>15140000</v>
      </c>
      <c r="G35" s="260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15">
        <v>27</v>
      </c>
      <c r="B36" s="261">
        <v>44377</v>
      </c>
      <c r="C36" s="260" t="s">
        <v>860</v>
      </c>
      <c r="D36" s="259">
        <v>45672000</v>
      </c>
      <c r="E36" s="259"/>
      <c r="F36" s="259">
        <f t="shared" si="0"/>
        <v>60812000</v>
      </c>
      <c r="G36" s="260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15">
        <v>28</v>
      </c>
      <c r="B37" s="261">
        <v>44354</v>
      </c>
      <c r="C37" s="260" t="s">
        <v>786</v>
      </c>
      <c r="D37" s="259"/>
      <c r="E37" s="259">
        <v>15140000</v>
      </c>
      <c r="F37" s="259">
        <f t="shared" si="0"/>
        <v>45672000</v>
      </c>
      <c r="G37" s="260"/>
    </row>
    <row r="38" spans="1:17" x14ac:dyDescent="0.25">
      <c r="A38" s="15">
        <v>29</v>
      </c>
      <c r="B38" s="261">
        <v>44410</v>
      </c>
      <c r="C38" s="260" t="s">
        <v>786</v>
      </c>
      <c r="D38" s="259"/>
      <c r="E38" s="259">
        <v>45672000</v>
      </c>
      <c r="F38" s="259">
        <f t="shared" si="0"/>
        <v>0</v>
      </c>
      <c r="G38" s="260"/>
    </row>
    <row r="39" spans="1:17" x14ac:dyDescent="0.25">
      <c r="A39" s="15">
        <v>30</v>
      </c>
      <c r="B39" s="261">
        <v>44439</v>
      </c>
      <c r="C39" s="260" t="s">
        <v>921</v>
      </c>
      <c r="D39" s="259">
        <v>30864000</v>
      </c>
      <c r="E39" s="259"/>
      <c r="F39" s="259">
        <f t="shared" si="0"/>
        <v>30864000</v>
      </c>
      <c r="G39" s="260"/>
    </row>
    <row r="40" spans="1:17" x14ac:dyDescent="0.25">
      <c r="A40" s="15">
        <v>31</v>
      </c>
      <c r="B40" s="261">
        <v>44456</v>
      </c>
      <c r="C40" s="260" t="s">
        <v>786</v>
      </c>
      <c r="D40" s="259"/>
      <c r="E40" s="259">
        <v>30864000</v>
      </c>
      <c r="F40" s="259">
        <f t="shared" si="0"/>
        <v>0</v>
      </c>
      <c r="G40" s="260"/>
    </row>
    <row r="41" spans="1:17" x14ac:dyDescent="0.25">
      <c r="A41" s="15">
        <v>32</v>
      </c>
      <c r="B41" s="261">
        <v>44469</v>
      </c>
      <c r="C41" s="260" t="s">
        <v>959</v>
      </c>
      <c r="D41" s="259">
        <v>15410000</v>
      </c>
      <c r="E41" s="259"/>
      <c r="F41" s="259">
        <f t="shared" si="0"/>
        <v>15410000</v>
      </c>
      <c r="G41" s="260"/>
    </row>
    <row r="42" spans="1:17" x14ac:dyDescent="0.25">
      <c r="A42" s="15">
        <v>33</v>
      </c>
      <c r="B42" s="261">
        <v>44499</v>
      </c>
      <c r="C42" s="260" t="s">
        <v>981</v>
      </c>
      <c r="D42" s="259">
        <v>16154000</v>
      </c>
      <c r="E42" s="259"/>
      <c r="F42" s="259">
        <f t="shared" si="0"/>
        <v>31564000</v>
      </c>
      <c r="G42" s="260"/>
    </row>
    <row r="43" spans="1:17" x14ac:dyDescent="0.25">
      <c r="A43" s="15">
        <v>34</v>
      </c>
      <c r="B43" s="261">
        <v>44505</v>
      </c>
      <c r="C43" s="260" t="s">
        <v>786</v>
      </c>
      <c r="D43" s="259"/>
      <c r="E43" s="259">
        <v>31564000</v>
      </c>
      <c r="F43" s="259">
        <f t="shared" si="0"/>
        <v>0</v>
      </c>
      <c r="G43" s="260"/>
    </row>
    <row r="44" spans="1:17" x14ac:dyDescent="0.25">
      <c r="A44" s="15">
        <v>35</v>
      </c>
      <c r="B44" s="261">
        <v>44561</v>
      </c>
      <c r="C44" s="260" t="s">
        <v>1028</v>
      </c>
      <c r="D44" s="259">
        <v>16224000</v>
      </c>
      <c r="E44" s="259"/>
      <c r="F44" s="259">
        <f t="shared" si="0"/>
        <v>16224000</v>
      </c>
      <c r="G44" s="260"/>
    </row>
    <row r="45" spans="1:17" x14ac:dyDescent="0.25">
      <c r="A45" s="15">
        <v>36</v>
      </c>
      <c r="B45" s="261">
        <v>44561</v>
      </c>
      <c r="C45" s="260" t="s">
        <v>786</v>
      </c>
      <c r="D45" s="259"/>
      <c r="E45" s="259">
        <v>16224000</v>
      </c>
      <c r="F45" s="259">
        <f t="shared" si="0"/>
        <v>0</v>
      </c>
      <c r="G45" s="260"/>
    </row>
    <row r="46" spans="1:17" x14ac:dyDescent="0.25">
      <c r="A46" s="15">
        <v>37</v>
      </c>
      <c r="B46" s="261">
        <v>44679</v>
      </c>
      <c r="C46" s="260" t="s">
        <v>1105</v>
      </c>
      <c r="D46" s="259">
        <v>18172000</v>
      </c>
      <c r="E46" s="259"/>
      <c r="F46" s="259">
        <f t="shared" si="0"/>
        <v>18172000</v>
      </c>
      <c r="G46" s="260"/>
    </row>
    <row r="47" spans="1:17" x14ac:dyDescent="0.25">
      <c r="A47" s="15">
        <v>38</v>
      </c>
      <c r="B47" s="261">
        <v>44712</v>
      </c>
      <c r="C47" s="260" t="s">
        <v>786</v>
      </c>
      <c r="D47" s="259"/>
      <c r="E47" s="259">
        <v>18172000</v>
      </c>
      <c r="F47" s="259">
        <f t="shared" si="0"/>
        <v>0</v>
      </c>
      <c r="G47" s="260"/>
    </row>
    <row r="48" spans="1:17" x14ac:dyDescent="0.25">
      <c r="A48" s="15">
        <v>39</v>
      </c>
      <c r="B48" s="261">
        <v>44737</v>
      </c>
      <c r="C48" s="260" t="s">
        <v>1149</v>
      </c>
      <c r="D48" s="259">
        <v>38138000</v>
      </c>
      <c r="E48" s="259"/>
      <c r="F48" s="259">
        <f t="shared" si="0"/>
        <v>38138000</v>
      </c>
      <c r="G48" s="260"/>
    </row>
    <row r="49" spans="1:7" x14ac:dyDescent="0.25">
      <c r="A49" s="15">
        <v>40</v>
      </c>
      <c r="B49" s="261">
        <v>44748</v>
      </c>
      <c r="C49" s="260" t="s">
        <v>786</v>
      </c>
      <c r="D49" s="259"/>
      <c r="E49" s="259">
        <v>38138000</v>
      </c>
      <c r="F49" s="259">
        <f t="shared" si="0"/>
        <v>0</v>
      </c>
      <c r="G49" s="260"/>
    </row>
    <row r="50" spans="1:7" x14ac:dyDescent="0.25">
      <c r="A50" s="15">
        <v>41</v>
      </c>
      <c r="B50" s="261">
        <v>45307</v>
      </c>
      <c r="C50" s="260" t="s">
        <v>1698</v>
      </c>
      <c r="D50" s="259">
        <v>27399000</v>
      </c>
      <c r="E50" s="259"/>
      <c r="F50" s="259">
        <f t="shared" si="0"/>
        <v>27399000</v>
      </c>
      <c r="G50" s="260"/>
    </row>
    <row r="51" spans="1:7" x14ac:dyDescent="0.25">
      <c r="A51" s="15">
        <v>42</v>
      </c>
      <c r="B51" s="261">
        <v>45316</v>
      </c>
      <c r="C51" s="260" t="s">
        <v>786</v>
      </c>
      <c r="D51" s="259"/>
      <c r="E51" s="259">
        <v>27399000</v>
      </c>
      <c r="F51" s="259">
        <f t="shared" si="0"/>
        <v>0</v>
      </c>
      <c r="G51" s="260"/>
    </row>
    <row r="52" spans="1:7" x14ac:dyDescent="0.25">
      <c r="A52" s="15">
        <v>43</v>
      </c>
      <c r="B52" s="261">
        <v>45479</v>
      </c>
      <c r="C52" s="260" t="s">
        <v>1819</v>
      </c>
      <c r="D52" s="259">
        <v>28285360</v>
      </c>
      <c r="E52" s="259"/>
      <c r="F52" s="259">
        <f t="shared" si="0"/>
        <v>28285360</v>
      </c>
      <c r="G52" s="260"/>
    </row>
    <row r="53" spans="1:7" x14ac:dyDescent="0.25">
      <c r="A53" s="15">
        <v>44</v>
      </c>
      <c r="B53" s="261">
        <v>45484</v>
      </c>
      <c r="C53" s="260" t="s">
        <v>786</v>
      </c>
      <c r="D53" s="259"/>
      <c r="E53" s="259">
        <v>28285360</v>
      </c>
      <c r="F53" s="259">
        <f t="shared" si="0"/>
        <v>0</v>
      </c>
      <c r="G53" s="260"/>
    </row>
    <row r="54" spans="1:7" x14ac:dyDescent="0.25">
      <c r="A54" s="15">
        <v>45</v>
      </c>
      <c r="B54" s="261">
        <v>45496</v>
      </c>
      <c r="C54" s="260" t="s">
        <v>1824</v>
      </c>
      <c r="D54" s="259">
        <v>36055920</v>
      </c>
      <c r="E54" s="259"/>
      <c r="F54" s="259">
        <f t="shared" si="0"/>
        <v>36055920</v>
      </c>
      <c r="G54" s="260"/>
    </row>
    <row r="55" spans="1:7" x14ac:dyDescent="0.25">
      <c r="A55" s="15">
        <v>46</v>
      </c>
      <c r="B55" s="261">
        <v>45503</v>
      </c>
      <c r="C55" s="260" t="s">
        <v>786</v>
      </c>
      <c r="D55" s="259"/>
      <c r="E55" s="259">
        <v>36055920</v>
      </c>
      <c r="F55" s="259">
        <f t="shared" si="0"/>
        <v>0</v>
      </c>
      <c r="G55" s="260"/>
    </row>
    <row r="56" spans="1:7" x14ac:dyDescent="0.25">
      <c r="A56" s="15">
        <v>47</v>
      </c>
      <c r="B56" s="261">
        <v>45552</v>
      </c>
      <c r="C56" s="260" t="s">
        <v>1872</v>
      </c>
      <c r="D56" s="259">
        <v>32960300</v>
      </c>
      <c r="E56" s="259"/>
      <c r="F56" s="259">
        <f t="shared" si="0"/>
        <v>32960300</v>
      </c>
      <c r="G56" s="260"/>
    </row>
    <row r="57" spans="1:7" x14ac:dyDescent="0.25">
      <c r="A57" s="15">
        <v>48</v>
      </c>
      <c r="B57" s="261">
        <v>45560</v>
      </c>
      <c r="C57" s="260" t="s">
        <v>786</v>
      </c>
      <c r="D57" s="259"/>
      <c r="E57" s="259">
        <v>32960300</v>
      </c>
      <c r="F57" s="259">
        <f t="shared" si="0"/>
        <v>0</v>
      </c>
      <c r="G57" s="260"/>
    </row>
    <row r="58" spans="1:7" x14ac:dyDescent="0.25">
      <c r="A58" s="15">
        <v>49</v>
      </c>
      <c r="B58" s="261">
        <v>45643</v>
      </c>
      <c r="C58" s="260" t="s">
        <v>1937</v>
      </c>
      <c r="D58" s="259">
        <v>31840950</v>
      </c>
      <c r="E58" s="259"/>
      <c r="F58" s="259">
        <f t="shared" si="0"/>
        <v>31840950</v>
      </c>
      <c r="G58" s="260"/>
    </row>
    <row r="59" spans="1:7" x14ac:dyDescent="0.25">
      <c r="A59" s="15">
        <v>50</v>
      </c>
      <c r="B59" s="261">
        <v>45644</v>
      </c>
      <c r="C59" s="260" t="s">
        <v>786</v>
      </c>
      <c r="D59" s="259"/>
      <c r="E59" s="259">
        <v>31840950</v>
      </c>
      <c r="F59" s="259"/>
      <c r="G59" s="260"/>
    </row>
    <row r="60" spans="1:7" x14ac:dyDescent="0.25">
      <c r="A60" s="15">
        <v>51</v>
      </c>
      <c r="B60" s="261"/>
      <c r="C60" s="260"/>
      <c r="D60" s="259"/>
      <c r="E60" s="259"/>
      <c r="F60" s="259"/>
      <c r="G60" s="260"/>
    </row>
    <row r="61" spans="1:7" x14ac:dyDescent="0.25">
      <c r="A61" s="15">
        <v>52</v>
      </c>
      <c r="B61" s="261"/>
      <c r="C61" s="260"/>
      <c r="D61" s="259"/>
      <c r="E61" s="259"/>
      <c r="F61" s="259"/>
      <c r="G61" s="260"/>
    </row>
    <row r="62" spans="1:7" x14ac:dyDescent="0.25">
      <c r="A62" s="15">
        <v>53</v>
      </c>
      <c r="B62" s="261"/>
      <c r="C62" s="260"/>
      <c r="D62" s="259"/>
      <c r="E62" s="259"/>
      <c r="F62" s="259"/>
      <c r="G62" s="260"/>
    </row>
    <row r="63" spans="1:7" x14ac:dyDescent="0.25">
      <c r="A63" s="15">
        <v>54</v>
      </c>
      <c r="B63" s="261"/>
      <c r="C63" s="260"/>
      <c r="D63" s="259"/>
      <c r="E63" s="259"/>
      <c r="F63" s="259"/>
      <c r="G63" s="260"/>
    </row>
    <row r="64" spans="1:7" x14ac:dyDescent="0.25">
      <c r="A64" s="15">
        <v>55</v>
      </c>
      <c r="B64" s="261"/>
      <c r="C64" s="260"/>
      <c r="D64" s="259"/>
      <c r="E64" s="259"/>
      <c r="F64" s="259"/>
      <c r="G64" s="260"/>
    </row>
    <row r="65" spans="1:7" x14ac:dyDescent="0.25">
      <c r="A65" s="260"/>
      <c r="B65" s="261"/>
      <c r="C65" s="260"/>
      <c r="D65" s="259"/>
      <c r="E65" s="259"/>
      <c r="F65" s="259"/>
      <c r="G65" s="260"/>
    </row>
    <row r="66" spans="1:7" x14ac:dyDescent="0.25">
      <c r="A66" s="260"/>
      <c r="B66" s="261"/>
      <c r="C66" s="260"/>
      <c r="D66" s="259"/>
      <c r="E66" s="259"/>
      <c r="F66" s="259"/>
      <c r="G66" s="260"/>
    </row>
    <row r="67" spans="1:7" x14ac:dyDescent="0.25">
      <c r="A67" s="260"/>
      <c r="B67" s="261"/>
      <c r="C67" s="260"/>
      <c r="D67" s="259"/>
      <c r="E67" s="259"/>
      <c r="F67" s="259"/>
      <c r="G67" s="260"/>
    </row>
    <row r="68" spans="1:7" x14ac:dyDescent="0.25">
      <c r="A68" s="260"/>
      <c r="B68" s="261"/>
      <c r="C68" s="260"/>
      <c r="D68" s="259"/>
      <c r="E68" s="259"/>
      <c r="F68" s="259"/>
      <c r="G68" s="260"/>
    </row>
    <row r="69" spans="1:7" x14ac:dyDescent="0.25">
      <c r="A69" s="260"/>
      <c r="B69" s="261"/>
      <c r="C69" s="260"/>
      <c r="D69" s="259"/>
      <c r="E69" s="259"/>
      <c r="F69" s="259"/>
      <c r="G69" s="260"/>
    </row>
    <row r="70" spans="1:7" x14ac:dyDescent="0.25">
      <c r="A70" s="260"/>
      <c r="B70" s="261"/>
      <c r="C70" s="260"/>
      <c r="D70" s="259"/>
      <c r="E70" s="259"/>
      <c r="F70" s="259"/>
      <c r="G70" s="260"/>
    </row>
    <row r="71" spans="1:7" x14ac:dyDescent="0.25">
      <c r="A71" s="260"/>
      <c r="B71" s="261"/>
      <c r="C71" s="260"/>
      <c r="D71" s="259"/>
      <c r="E71" s="259"/>
      <c r="F71" s="259"/>
      <c r="G71" s="260"/>
    </row>
    <row r="72" spans="1:7" x14ac:dyDescent="0.25">
      <c r="A72" s="260"/>
      <c r="B72" s="261"/>
      <c r="C72" s="260"/>
      <c r="D72" s="259"/>
      <c r="E72" s="259"/>
      <c r="F72" s="259"/>
      <c r="G72" s="260"/>
    </row>
    <row r="73" spans="1:7" x14ac:dyDescent="0.25">
      <c r="A73" s="260"/>
      <c r="B73" s="261"/>
      <c r="C73" s="260"/>
      <c r="D73" s="259"/>
      <c r="E73" s="259"/>
      <c r="F73" s="259"/>
      <c r="G73" s="260"/>
    </row>
    <row r="74" spans="1:7" x14ac:dyDescent="0.25">
      <c r="A74" s="260"/>
      <c r="B74" s="261"/>
      <c r="C74" s="260"/>
      <c r="D74" s="259"/>
      <c r="E74" s="259"/>
      <c r="F74" s="259"/>
      <c r="G74" s="260"/>
    </row>
    <row r="75" spans="1:7" x14ac:dyDescent="0.25">
      <c r="A75" s="260"/>
      <c r="B75" s="261"/>
      <c r="C75" s="260"/>
      <c r="D75" s="259"/>
      <c r="E75" s="259"/>
      <c r="F75" s="259"/>
      <c r="G75" s="260"/>
    </row>
    <row r="76" spans="1:7" x14ac:dyDescent="0.25">
      <c r="A76" s="260"/>
      <c r="B76" s="261"/>
      <c r="C76" s="260"/>
      <c r="D76" s="259"/>
      <c r="E76" s="259"/>
      <c r="F76" s="259"/>
      <c r="G76" s="260"/>
    </row>
    <row r="77" spans="1:7" x14ac:dyDescent="0.25">
      <c r="A77" s="260"/>
      <c r="B77" s="261"/>
      <c r="C77" s="260"/>
      <c r="D77" s="259"/>
      <c r="E77" s="259"/>
      <c r="F77" s="259"/>
      <c r="G77" s="260"/>
    </row>
    <row r="78" spans="1:7" x14ac:dyDescent="0.25">
      <c r="A78" s="260"/>
      <c r="B78" s="261"/>
      <c r="C78" s="260"/>
      <c r="D78" s="259"/>
      <c r="E78" s="259"/>
      <c r="F78" s="259"/>
      <c r="G78" s="260"/>
    </row>
    <row r="79" spans="1:7" x14ac:dyDescent="0.25">
      <c r="A79" s="260"/>
      <c r="B79" s="261"/>
      <c r="C79" s="260"/>
      <c r="D79" s="259"/>
      <c r="E79" s="259"/>
      <c r="F79" s="259"/>
      <c r="G79" s="260"/>
    </row>
    <row r="80" spans="1:7" x14ac:dyDescent="0.25">
      <c r="A80" s="260"/>
      <c r="B80" s="261"/>
      <c r="C80" s="260"/>
      <c r="D80" s="259"/>
      <c r="E80" s="259"/>
      <c r="F80" s="259"/>
      <c r="G80" s="260"/>
    </row>
    <row r="81" spans="1:7" x14ac:dyDescent="0.25">
      <c r="A81" s="260"/>
      <c r="B81" s="261"/>
      <c r="C81" s="260"/>
      <c r="D81" s="259"/>
      <c r="E81" s="259"/>
      <c r="F81" s="259"/>
      <c r="G81" s="260"/>
    </row>
    <row r="82" spans="1:7" x14ac:dyDescent="0.25">
      <c r="A82" s="260"/>
      <c r="B82" s="261"/>
      <c r="C82" s="260"/>
      <c r="D82" s="259"/>
      <c r="E82" s="259"/>
      <c r="F82" s="259"/>
      <c r="G82" s="260"/>
    </row>
    <row r="83" spans="1:7" x14ac:dyDescent="0.25">
      <c r="A83" s="260"/>
      <c r="B83" s="261"/>
      <c r="C83" s="260"/>
      <c r="D83" s="259"/>
      <c r="E83" s="259"/>
      <c r="F83" s="259"/>
      <c r="G83" s="260"/>
    </row>
    <row r="84" spans="1:7" x14ac:dyDescent="0.25">
      <c r="A84" s="260"/>
      <c r="B84" s="261"/>
      <c r="C84" s="260"/>
      <c r="D84" s="259"/>
      <c r="E84" s="259"/>
      <c r="F84" s="259"/>
      <c r="G84" s="260"/>
    </row>
    <row r="85" spans="1:7" x14ac:dyDescent="0.25">
      <c r="A85" s="260"/>
      <c r="B85" s="261"/>
      <c r="C85" s="260"/>
      <c r="D85" s="259"/>
      <c r="E85" s="259"/>
      <c r="F85" s="259"/>
      <c r="G85" s="260"/>
    </row>
    <row r="86" spans="1:7" x14ac:dyDescent="0.25">
      <c r="A86" s="260"/>
      <c r="B86" s="261"/>
      <c r="C86" s="260"/>
      <c r="D86" s="259"/>
      <c r="E86" s="259"/>
      <c r="F86" s="259"/>
      <c r="G86" s="260"/>
    </row>
    <row r="87" spans="1:7" x14ac:dyDescent="0.25">
      <c r="A87" s="260"/>
      <c r="B87" s="261"/>
      <c r="C87" s="260"/>
      <c r="D87" s="259"/>
      <c r="E87" s="259"/>
      <c r="F87" s="259"/>
      <c r="G87" s="260"/>
    </row>
    <row r="88" spans="1:7" x14ac:dyDescent="0.25">
      <c r="A88" s="260"/>
      <c r="B88" s="261"/>
      <c r="C88" s="260"/>
      <c r="D88" s="259"/>
      <c r="E88" s="259"/>
      <c r="F88" s="259"/>
      <c r="G88" s="260"/>
    </row>
    <row r="89" spans="1:7" x14ac:dyDescent="0.25">
      <c r="A89" s="260"/>
      <c r="B89" s="262"/>
      <c r="C89" s="260"/>
      <c r="D89" s="259"/>
      <c r="E89" s="259"/>
      <c r="F89" s="259"/>
      <c r="G89" s="260"/>
    </row>
    <row r="90" spans="1:7" x14ac:dyDescent="0.25">
      <c r="A90" s="260"/>
      <c r="B90" s="262"/>
      <c r="C90" s="260"/>
      <c r="D90" s="259"/>
      <c r="E90" s="259"/>
      <c r="F90" s="259"/>
      <c r="G90" s="260"/>
    </row>
    <row r="91" spans="1:7" x14ac:dyDescent="0.25">
      <c r="A91" s="260"/>
      <c r="B91" s="262"/>
      <c r="C91" s="260"/>
      <c r="D91" s="259"/>
      <c r="E91" s="259"/>
      <c r="F91" s="259"/>
      <c r="G91" s="260"/>
    </row>
    <row r="92" spans="1:7" x14ac:dyDescent="0.25">
      <c r="A92" s="260"/>
      <c r="B92" s="262"/>
      <c r="C92" s="260"/>
      <c r="D92" s="259"/>
      <c r="E92" s="259"/>
      <c r="F92" s="259"/>
      <c r="G92" s="260"/>
    </row>
    <row r="93" spans="1:7" x14ac:dyDescent="0.25">
      <c r="A93" s="260"/>
      <c r="B93" s="262"/>
      <c r="C93" s="260"/>
      <c r="D93" s="259"/>
      <c r="E93" s="259"/>
      <c r="F93" s="259"/>
      <c r="G93" s="260"/>
    </row>
    <row r="94" spans="1:7" x14ac:dyDescent="0.25">
      <c r="A94" s="260"/>
      <c r="B94" s="262"/>
      <c r="C94" s="260"/>
      <c r="D94" s="259"/>
      <c r="E94" s="259"/>
      <c r="F94" s="259"/>
      <c r="G94" s="260"/>
    </row>
    <row r="95" spans="1:7" x14ac:dyDescent="0.25">
      <c r="A95" s="260"/>
      <c r="B95" s="262"/>
      <c r="C95" s="260"/>
      <c r="D95" s="259"/>
      <c r="E95" s="259"/>
      <c r="F95" s="259"/>
      <c r="G95" s="260"/>
    </row>
    <row r="96" spans="1:7" x14ac:dyDescent="0.25">
      <c r="A96" s="260"/>
      <c r="B96" s="262"/>
      <c r="C96" s="260"/>
      <c r="D96" s="259"/>
      <c r="E96" s="259"/>
      <c r="F96" s="259"/>
      <c r="G96" s="260"/>
    </row>
    <row r="97" spans="1:7" x14ac:dyDescent="0.25">
      <c r="A97" s="260"/>
      <c r="B97" s="262"/>
      <c r="C97" s="260"/>
      <c r="D97" s="259"/>
      <c r="E97" s="259"/>
      <c r="F97" s="259"/>
      <c r="G97" s="260"/>
    </row>
    <row r="98" spans="1:7" x14ac:dyDescent="0.25">
      <c r="A98" s="260"/>
      <c r="B98" s="262"/>
      <c r="C98" s="260"/>
      <c r="D98" s="259"/>
      <c r="E98" s="259"/>
      <c r="F98" s="259"/>
      <c r="G98" s="260"/>
    </row>
    <row r="99" spans="1:7" x14ac:dyDescent="0.25">
      <c r="A99" s="260"/>
      <c r="B99" s="262"/>
      <c r="C99" s="260"/>
      <c r="D99" s="259"/>
      <c r="E99" s="259"/>
      <c r="F99" s="259"/>
      <c r="G99" s="260"/>
    </row>
    <row r="100" spans="1:7" x14ac:dyDescent="0.25">
      <c r="A100" s="260"/>
      <c r="B100" s="262"/>
      <c r="C100" s="260"/>
      <c r="D100" s="259"/>
      <c r="E100" s="259"/>
      <c r="F100" s="259"/>
      <c r="G100" s="260"/>
    </row>
    <row r="101" spans="1:7" x14ac:dyDescent="0.25">
      <c r="A101" s="260"/>
      <c r="B101" s="262"/>
      <c r="C101" s="260"/>
      <c r="D101" s="259"/>
      <c r="E101" s="259"/>
      <c r="F101" s="259"/>
      <c r="G101" s="260"/>
    </row>
    <row r="102" spans="1:7" x14ac:dyDescent="0.25">
      <c r="A102" s="260"/>
      <c r="B102" s="262"/>
      <c r="C102" s="260"/>
      <c r="D102" s="259"/>
      <c r="E102" s="259"/>
      <c r="F102" s="259"/>
      <c r="G102" s="260"/>
    </row>
    <row r="103" spans="1:7" x14ac:dyDescent="0.25">
      <c r="A103" s="260"/>
      <c r="B103" s="262"/>
      <c r="C103" s="260"/>
      <c r="D103" s="259"/>
      <c r="E103" s="259"/>
      <c r="F103" s="259"/>
      <c r="G103" s="260"/>
    </row>
    <row r="104" spans="1:7" x14ac:dyDescent="0.25">
      <c r="A104" s="260"/>
      <c r="B104" s="262"/>
      <c r="C104" s="260"/>
      <c r="D104" s="259"/>
      <c r="E104" s="259"/>
      <c r="F104" s="259"/>
      <c r="G104" s="260"/>
    </row>
    <row r="105" spans="1:7" x14ac:dyDescent="0.25">
      <c r="A105" s="260"/>
      <c r="B105" s="262"/>
      <c r="C105" s="260"/>
      <c r="D105" s="259"/>
      <c r="E105" s="259"/>
      <c r="F105" s="259"/>
      <c r="G105" s="260"/>
    </row>
    <row r="106" spans="1:7" x14ac:dyDescent="0.25">
      <c r="A106" s="260"/>
      <c r="B106" s="262"/>
      <c r="C106" s="260"/>
      <c r="D106" s="259"/>
      <c r="E106" s="259"/>
      <c r="F106" s="259"/>
      <c r="G106" s="260"/>
    </row>
    <row r="107" spans="1:7" x14ac:dyDescent="0.25">
      <c r="A107" s="260"/>
      <c r="B107" s="262"/>
      <c r="C107" s="260"/>
      <c r="D107" s="259"/>
      <c r="E107" s="259"/>
      <c r="F107" s="259"/>
      <c r="G107" s="260"/>
    </row>
    <row r="108" spans="1:7" x14ac:dyDescent="0.25">
      <c r="A108" s="260"/>
      <c r="B108" s="262"/>
      <c r="C108" s="260"/>
      <c r="D108" s="259"/>
      <c r="E108" s="259"/>
      <c r="F108" s="259"/>
      <c r="G108" s="260"/>
    </row>
    <row r="109" spans="1:7" x14ac:dyDescent="0.25">
      <c r="A109" s="260"/>
      <c r="B109" s="262"/>
      <c r="C109" s="260"/>
      <c r="D109" s="259"/>
      <c r="E109" s="259"/>
      <c r="F109" s="259"/>
      <c r="G109" s="260"/>
    </row>
    <row r="110" spans="1:7" x14ac:dyDescent="0.25">
      <c r="A110" s="260"/>
      <c r="B110" s="262"/>
      <c r="C110" s="260"/>
      <c r="D110" s="259"/>
      <c r="E110" s="259"/>
      <c r="F110" s="259"/>
      <c r="G110" s="260"/>
    </row>
    <row r="111" spans="1:7" x14ac:dyDescent="0.25">
      <c r="A111" s="260"/>
      <c r="B111" s="262"/>
      <c r="C111" s="260"/>
      <c r="D111" s="259"/>
      <c r="E111" s="259"/>
      <c r="F111" s="259"/>
      <c r="G111" s="260"/>
    </row>
    <row r="112" spans="1:7" x14ac:dyDescent="0.25">
      <c r="A112" s="260"/>
      <c r="B112" s="262"/>
      <c r="C112" s="260"/>
      <c r="D112" s="259"/>
      <c r="E112" s="259"/>
      <c r="F112" s="259"/>
      <c r="G112" s="260"/>
    </row>
    <row r="113" spans="1:7" x14ac:dyDescent="0.25">
      <c r="A113" s="260"/>
      <c r="B113" s="262"/>
      <c r="C113" s="260"/>
      <c r="D113" s="259"/>
      <c r="E113" s="259"/>
      <c r="F113" s="259"/>
      <c r="G113" s="260"/>
    </row>
    <row r="114" spans="1:7" x14ac:dyDescent="0.25">
      <c r="A114" s="260"/>
      <c r="B114" s="262"/>
      <c r="C114" s="260"/>
      <c r="D114" s="259"/>
      <c r="E114" s="259"/>
      <c r="F114" s="259"/>
      <c r="G114" s="260"/>
    </row>
    <row r="115" spans="1:7" x14ac:dyDescent="0.25">
      <c r="A115" s="260"/>
      <c r="B115" s="262"/>
      <c r="C115" s="260"/>
      <c r="D115" s="259"/>
      <c r="E115" s="259"/>
      <c r="F115" s="259"/>
      <c r="G115" s="260"/>
    </row>
    <row r="116" spans="1:7" x14ac:dyDescent="0.25">
      <c r="A116" s="260"/>
      <c r="B116" s="262"/>
      <c r="C116" s="260"/>
      <c r="D116" s="259"/>
      <c r="E116" s="259"/>
      <c r="F116" s="259"/>
      <c r="G116" s="260"/>
    </row>
    <row r="117" spans="1:7" x14ac:dyDescent="0.25">
      <c r="A117" s="260"/>
      <c r="B117" s="262"/>
      <c r="C117" s="260"/>
      <c r="D117" s="259"/>
      <c r="E117" s="259"/>
      <c r="F117" s="259"/>
      <c r="G117" s="260"/>
    </row>
    <row r="118" spans="1:7" x14ac:dyDescent="0.25">
      <c r="A118" s="260"/>
      <c r="B118" s="262"/>
      <c r="C118" s="260"/>
      <c r="D118" s="259"/>
      <c r="E118" s="259"/>
      <c r="F118" s="259"/>
      <c r="G118" s="260"/>
    </row>
    <row r="119" spans="1:7" x14ac:dyDescent="0.25">
      <c r="A119" s="260"/>
      <c r="B119" s="262"/>
      <c r="C119" s="260"/>
      <c r="D119" s="259"/>
      <c r="E119" s="259"/>
      <c r="F119" s="259"/>
      <c r="G119" s="260"/>
    </row>
    <row r="120" spans="1:7" x14ac:dyDescent="0.25">
      <c r="A120" s="260"/>
      <c r="B120" s="262"/>
      <c r="C120" s="260"/>
      <c r="D120" s="259"/>
      <c r="E120" s="259"/>
      <c r="F120" s="259"/>
      <c r="G120" s="260"/>
    </row>
    <row r="121" spans="1:7" x14ac:dyDescent="0.25">
      <c r="A121" s="260"/>
      <c r="B121" s="262"/>
      <c r="C121" s="260"/>
      <c r="D121" s="259"/>
      <c r="E121" s="259"/>
      <c r="F121" s="259"/>
      <c r="G121" s="260"/>
    </row>
    <row r="122" spans="1:7" x14ac:dyDescent="0.25">
      <c r="A122" s="260"/>
      <c r="B122" s="262"/>
      <c r="C122" s="260"/>
      <c r="D122" s="259"/>
      <c r="E122" s="259"/>
      <c r="F122" s="259"/>
      <c r="G122" s="260"/>
    </row>
    <row r="123" spans="1:7" x14ac:dyDescent="0.25">
      <c r="A123" s="260"/>
      <c r="B123" s="262"/>
      <c r="C123" s="260"/>
      <c r="D123" s="259"/>
      <c r="E123" s="259"/>
      <c r="F123" s="259"/>
      <c r="G123" s="260"/>
    </row>
    <row r="124" spans="1:7" x14ac:dyDescent="0.25">
      <c r="A124" s="260"/>
      <c r="B124" s="262"/>
      <c r="C124" s="260"/>
      <c r="D124" s="259"/>
      <c r="E124" s="259"/>
      <c r="F124" s="259"/>
      <c r="G124" s="260"/>
    </row>
    <row r="125" spans="1:7" x14ac:dyDescent="0.25">
      <c r="A125" s="260"/>
      <c r="B125" s="262"/>
      <c r="C125" s="260"/>
      <c r="D125" s="259"/>
      <c r="E125" s="259"/>
      <c r="F125" s="259"/>
      <c r="G125" s="260"/>
    </row>
    <row r="126" spans="1:7" x14ac:dyDescent="0.25">
      <c r="A126" s="260"/>
      <c r="B126" s="262"/>
      <c r="C126" s="260"/>
      <c r="D126" s="259"/>
      <c r="E126" s="259"/>
      <c r="F126" s="259"/>
      <c r="G126" s="260"/>
    </row>
    <row r="127" spans="1:7" x14ac:dyDescent="0.25">
      <c r="A127" s="260"/>
      <c r="B127" s="262"/>
      <c r="C127" s="260"/>
      <c r="D127" s="259"/>
      <c r="E127" s="259"/>
      <c r="F127" s="259"/>
      <c r="G127" s="260"/>
    </row>
    <row r="128" spans="1:7" x14ac:dyDescent="0.25">
      <c r="A128" s="260"/>
      <c r="B128" s="262"/>
      <c r="C128" s="260"/>
      <c r="D128" s="259"/>
      <c r="E128" s="259"/>
      <c r="F128" s="259"/>
      <c r="G128" s="260"/>
    </row>
    <row r="129" spans="1:7" x14ac:dyDescent="0.25">
      <c r="A129" s="260"/>
      <c r="B129" s="262"/>
      <c r="C129" s="260"/>
      <c r="D129" s="259"/>
      <c r="E129" s="259"/>
      <c r="F129" s="259"/>
      <c r="G129" s="260"/>
    </row>
    <row r="130" spans="1:7" x14ac:dyDescent="0.25">
      <c r="A130" s="260"/>
      <c r="B130" s="262"/>
      <c r="C130" s="260"/>
      <c r="D130" s="259"/>
      <c r="E130" s="259"/>
      <c r="F130" s="259"/>
      <c r="G130" s="260"/>
    </row>
    <row r="131" spans="1:7" x14ac:dyDescent="0.25">
      <c r="A131" s="260"/>
      <c r="B131" s="262"/>
      <c r="C131" s="260"/>
      <c r="D131" s="259"/>
      <c r="E131" s="259"/>
      <c r="F131" s="259"/>
      <c r="G131" s="260"/>
    </row>
    <row r="132" spans="1:7" x14ac:dyDescent="0.25">
      <c r="A132" s="260"/>
      <c r="B132" s="262"/>
      <c r="C132" s="260"/>
      <c r="D132" s="259"/>
      <c r="E132" s="259"/>
      <c r="F132" s="259"/>
      <c r="G132" s="260"/>
    </row>
    <row r="133" spans="1:7" x14ac:dyDescent="0.25">
      <c r="A133" s="260"/>
      <c r="B133" s="262"/>
      <c r="C133" s="260"/>
      <c r="D133" s="259"/>
      <c r="E133" s="259"/>
      <c r="F133" s="259"/>
      <c r="G133" s="260"/>
    </row>
    <row r="134" spans="1:7" x14ac:dyDescent="0.25">
      <c r="A134" s="260"/>
      <c r="B134" s="262"/>
      <c r="C134" s="260"/>
      <c r="D134" s="259"/>
      <c r="E134" s="259"/>
      <c r="F134" s="259"/>
      <c r="G134" s="260"/>
    </row>
    <row r="135" spans="1:7" x14ac:dyDescent="0.25">
      <c r="A135" s="260"/>
      <c r="B135" s="262"/>
      <c r="C135" s="260"/>
      <c r="D135" s="259"/>
      <c r="E135" s="259"/>
      <c r="F135" s="259"/>
      <c r="G135" s="260"/>
    </row>
    <row r="136" spans="1:7" x14ac:dyDescent="0.25">
      <c r="A136" s="260"/>
      <c r="B136" s="262"/>
      <c r="C136" s="260"/>
      <c r="D136" s="259"/>
      <c r="E136" s="259"/>
      <c r="F136" s="259"/>
      <c r="G136" s="260"/>
    </row>
    <row r="137" spans="1:7" x14ac:dyDescent="0.25">
      <c r="A137" s="260"/>
      <c r="B137" s="262"/>
      <c r="C137" s="260"/>
      <c r="D137" s="259"/>
      <c r="E137" s="259"/>
      <c r="F137" s="259"/>
      <c r="G137" s="260"/>
    </row>
    <row r="138" spans="1:7" x14ac:dyDescent="0.25">
      <c r="A138" s="260"/>
      <c r="B138" s="262"/>
      <c r="C138" s="260"/>
      <c r="D138" s="259"/>
      <c r="E138" s="259"/>
      <c r="F138" s="259"/>
      <c r="G138" s="260"/>
    </row>
    <row r="139" spans="1:7" x14ac:dyDescent="0.25">
      <c r="A139" s="260"/>
      <c r="B139" s="262"/>
      <c r="C139" s="260"/>
      <c r="D139" s="259"/>
      <c r="E139" s="259"/>
      <c r="F139" s="259"/>
      <c r="G139" s="260"/>
    </row>
    <row r="140" spans="1:7" x14ac:dyDescent="0.25">
      <c r="A140" s="260"/>
      <c r="B140" s="262"/>
      <c r="C140" s="260"/>
      <c r="D140" s="259"/>
      <c r="E140" s="259"/>
      <c r="F140" s="259"/>
      <c r="G140" s="260"/>
    </row>
    <row r="141" spans="1:7" x14ac:dyDescent="0.25">
      <c r="A141" s="260"/>
      <c r="B141" s="262"/>
      <c r="C141" s="260"/>
      <c r="D141" s="259"/>
      <c r="E141" s="259"/>
      <c r="F141" s="259"/>
      <c r="G141" s="260"/>
    </row>
    <row r="142" spans="1:7" x14ac:dyDescent="0.25">
      <c r="A142" s="260"/>
      <c r="B142" s="262"/>
      <c r="C142" s="260"/>
      <c r="D142" s="259"/>
      <c r="E142" s="259"/>
      <c r="F142" s="259"/>
      <c r="G142" s="260"/>
    </row>
    <row r="143" spans="1:7" x14ac:dyDescent="0.25">
      <c r="A143" s="260"/>
      <c r="B143" s="262"/>
      <c r="C143" s="260"/>
      <c r="D143" s="259"/>
      <c r="E143" s="259"/>
      <c r="F143" s="259"/>
      <c r="G143" s="260"/>
    </row>
    <row r="144" spans="1:7" x14ac:dyDescent="0.25">
      <c r="A144" s="260"/>
      <c r="B144" s="262"/>
      <c r="C144" s="260"/>
      <c r="D144" s="259"/>
      <c r="E144" s="259"/>
      <c r="F144" s="259"/>
      <c r="G144" s="260"/>
    </row>
    <row r="145" spans="1:7" x14ac:dyDescent="0.25">
      <c r="A145" s="260"/>
      <c r="B145" s="262"/>
      <c r="C145" s="260"/>
      <c r="D145" s="259"/>
      <c r="E145" s="259"/>
      <c r="F145" s="259"/>
      <c r="G145" s="260"/>
    </row>
    <row r="146" spans="1:7" x14ac:dyDescent="0.25">
      <c r="A146" s="260"/>
      <c r="B146" s="262"/>
      <c r="C146" s="260"/>
      <c r="D146" s="259"/>
      <c r="E146" s="259"/>
      <c r="F146" s="259"/>
      <c r="G146" s="260"/>
    </row>
    <row r="147" spans="1:7" x14ac:dyDescent="0.25">
      <c r="A147" s="260"/>
      <c r="B147" s="262"/>
      <c r="C147" s="260"/>
      <c r="D147" s="259"/>
      <c r="E147" s="259"/>
      <c r="F147" s="259"/>
      <c r="G147" s="260"/>
    </row>
    <row r="148" spans="1:7" x14ac:dyDescent="0.25">
      <c r="A148" s="260"/>
      <c r="B148" s="262"/>
      <c r="C148" s="260"/>
      <c r="D148" s="259"/>
      <c r="E148" s="259"/>
      <c r="F148" s="259"/>
      <c r="G148" s="260"/>
    </row>
    <row r="149" spans="1:7" x14ac:dyDescent="0.25">
      <c r="A149" s="260"/>
      <c r="B149" s="262"/>
      <c r="C149" s="260"/>
      <c r="D149" s="259"/>
      <c r="E149" s="259"/>
      <c r="F149" s="259"/>
      <c r="G149" s="260"/>
    </row>
    <row r="150" spans="1:7" x14ac:dyDescent="0.25">
      <c r="A150" s="260"/>
      <c r="B150" s="262"/>
      <c r="C150" s="260"/>
      <c r="D150" s="259"/>
      <c r="E150" s="259"/>
      <c r="F150" s="259"/>
      <c r="G150" s="260"/>
    </row>
    <row r="151" spans="1:7" x14ac:dyDescent="0.25">
      <c r="A151" s="260"/>
      <c r="B151" s="262"/>
      <c r="C151" s="260"/>
      <c r="D151" s="259"/>
      <c r="E151" s="259"/>
      <c r="F151" s="259"/>
      <c r="G151" s="260"/>
    </row>
    <row r="152" spans="1:7" x14ac:dyDescent="0.25">
      <c r="A152" s="260"/>
      <c r="B152" s="262"/>
      <c r="C152" s="260"/>
      <c r="D152" s="259"/>
      <c r="E152" s="259"/>
      <c r="F152" s="259"/>
      <c r="G152" s="260"/>
    </row>
    <row r="153" spans="1:7" x14ac:dyDescent="0.25">
      <c r="A153" s="260"/>
      <c r="B153" s="262"/>
      <c r="C153" s="260"/>
      <c r="D153" s="259"/>
      <c r="E153" s="259"/>
      <c r="F153" s="259"/>
      <c r="G153" s="260"/>
    </row>
    <row r="154" spans="1:7" x14ac:dyDescent="0.25">
      <c r="A154" s="260"/>
      <c r="B154" s="262"/>
      <c r="C154" s="260"/>
      <c r="D154" s="259"/>
      <c r="E154" s="259"/>
      <c r="F154" s="259"/>
      <c r="G154" s="260"/>
    </row>
    <row r="155" spans="1:7" x14ac:dyDescent="0.25">
      <c r="A155" s="260"/>
      <c r="B155" s="262"/>
      <c r="C155" s="260"/>
      <c r="D155" s="259"/>
      <c r="E155" s="259"/>
      <c r="F155" s="259"/>
      <c r="G155" s="260"/>
    </row>
    <row r="156" spans="1:7" x14ac:dyDescent="0.25">
      <c r="A156" s="260"/>
      <c r="B156" s="262"/>
      <c r="C156" s="260"/>
      <c r="D156" s="259"/>
      <c r="E156" s="259"/>
      <c r="F156" s="259"/>
      <c r="G156" s="260"/>
    </row>
    <row r="157" spans="1:7" x14ac:dyDescent="0.25">
      <c r="A157" s="260"/>
      <c r="B157" s="262"/>
      <c r="C157" s="260"/>
      <c r="D157" s="259"/>
      <c r="E157" s="259"/>
      <c r="F157" s="259"/>
      <c r="G157" s="260"/>
    </row>
    <row r="158" spans="1:7" x14ac:dyDescent="0.25">
      <c r="A158" s="260"/>
      <c r="B158" s="262"/>
      <c r="C158" s="260"/>
      <c r="D158" s="259"/>
      <c r="E158" s="259"/>
      <c r="F158" s="259"/>
      <c r="G158" s="260"/>
    </row>
    <row r="159" spans="1:7" x14ac:dyDescent="0.25">
      <c r="A159" s="260"/>
      <c r="B159" s="262"/>
      <c r="C159" s="260"/>
      <c r="D159" s="259"/>
      <c r="E159" s="259"/>
      <c r="F159" s="259"/>
      <c r="G159" s="260"/>
    </row>
    <row r="160" spans="1:7" x14ac:dyDescent="0.25">
      <c r="A160" s="260"/>
      <c r="B160" s="262"/>
      <c r="C160" s="260"/>
      <c r="D160" s="259"/>
      <c r="E160" s="259"/>
      <c r="F160" s="259"/>
      <c r="G160" s="260"/>
    </row>
    <row r="161" spans="1:7" x14ac:dyDescent="0.25">
      <c r="A161" s="260"/>
      <c r="B161" s="262"/>
      <c r="C161" s="260"/>
      <c r="D161" s="259"/>
      <c r="E161" s="259"/>
      <c r="F161" s="259"/>
      <c r="G161" s="260"/>
    </row>
    <row r="162" spans="1:7" x14ac:dyDescent="0.25">
      <c r="A162" s="260"/>
      <c r="B162" s="262"/>
      <c r="C162" s="260"/>
      <c r="D162" s="259"/>
      <c r="E162" s="259"/>
      <c r="F162" s="259"/>
      <c r="G162" s="260"/>
    </row>
    <row r="163" spans="1:7" x14ac:dyDescent="0.25">
      <c r="A163" s="260"/>
      <c r="B163" s="262"/>
      <c r="C163" s="260"/>
      <c r="D163" s="259"/>
      <c r="E163" s="259"/>
      <c r="F163" s="259"/>
      <c r="G163" s="260"/>
    </row>
    <row r="164" spans="1:7" x14ac:dyDescent="0.25">
      <c r="A164" s="260"/>
      <c r="B164" s="262"/>
      <c r="C164" s="260"/>
      <c r="D164" s="259"/>
      <c r="E164" s="259"/>
      <c r="F164" s="259"/>
      <c r="G164" s="260"/>
    </row>
    <row r="165" spans="1:7" x14ac:dyDescent="0.25">
      <c r="A165" s="260"/>
      <c r="B165" s="262"/>
      <c r="C165" s="260"/>
      <c r="D165" s="259"/>
      <c r="E165" s="259"/>
      <c r="F165" s="259"/>
      <c r="G165" s="260"/>
    </row>
    <row r="166" spans="1:7" x14ac:dyDescent="0.25">
      <c r="A166" s="260"/>
      <c r="B166" s="262"/>
      <c r="C166" s="260"/>
      <c r="D166" s="259"/>
      <c r="E166" s="259"/>
      <c r="F166" s="259"/>
      <c r="G166" s="260"/>
    </row>
    <row r="167" spans="1:7" x14ac:dyDescent="0.25">
      <c r="A167" s="260"/>
      <c r="B167" s="262"/>
      <c r="C167" s="260"/>
      <c r="D167" s="259"/>
      <c r="E167" s="259"/>
      <c r="F167" s="259"/>
      <c r="G167" s="260"/>
    </row>
    <row r="168" spans="1:7" x14ac:dyDescent="0.25">
      <c r="A168" s="260"/>
      <c r="B168" s="262"/>
      <c r="C168" s="260"/>
      <c r="D168" s="259"/>
      <c r="E168" s="259"/>
      <c r="F168" s="259"/>
      <c r="G168" s="260"/>
    </row>
    <row r="169" spans="1:7" x14ac:dyDescent="0.25">
      <c r="A169" s="260"/>
      <c r="B169" s="262"/>
      <c r="C169" s="260"/>
      <c r="D169" s="259"/>
      <c r="E169" s="259"/>
      <c r="F169" s="259"/>
      <c r="G169" s="260"/>
    </row>
    <row r="170" spans="1:7" x14ac:dyDescent="0.25">
      <c r="A170" s="260"/>
      <c r="B170" s="262"/>
      <c r="C170" s="260"/>
      <c r="D170" s="259"/>
      <c r="E170" s="259"/>
      <c r="F170" s="259"/>
      <c r="G170" s="260"/>
    </row>
    <row r="171" spans="1:7" x14ac:dyDescent="0.25">
      <c r="A171" s="260"/>
      <c r="B171" s="262"/>
      <c r="C171" s="260"/>
      <c r="D171" s="259"/>
      <c r="E171" s="259"/>
      <c r="F171" s="259"/>
      <c r="G171" s="260"/>
    </row>
    <row r="172" spans="1:7" x14ac:dyDescent="0.25">
      <c r="A172" s="260"/>
      <c r="B172" s="262"/>
      <c r="C172" s="260"/>
      <c r="D172" s="259"/>
      <c r="E172" s="259"/>
      <c r="F172" s="259"/>
      <c r="G172" s="260"/>
    </row>
    <row r="173" spans="1:7" x14ac:dyDescent="0.25">
      <c r="A173" s="260"/>
      <c r="B173" s="262"/>
      <c r="C173" s="260"/>
      <c r="D173" s="259"/>
      <c r="E173" s="259"/>
      <c r="F173" s="259"/>
      <c r="G173" s="260"/>
    </row>
    <row r="174" spans="1:7" x14ac:dyDescent="0.25">
      <c r="A174" s="260"/>
      <c r="B174" s="262"/>
      <c r="C174" s="260"/>
      <c r="D174" s="259"/>
      <c r="E174" s="259"/>
      <c r="F174" s="259"/>
      <c r="G174" s="260"/>
    </row>
    <row r="175" spans="1:7" x14ac:dyDescent="0.25">
      <c r="A175" s="260"/>
      <c r="B175" s="262"/>
      <c r="C175" s="260"/>
      <c r="D175" s="259"/>
      <c r="E175" s="259"/>
      <c r="F175" s="259"/>
      <c r="G175" s="260"/>
    </row>
    <row r="176" spans="1:7" x14ac:dyDescent="0.25">
      <c r="A176" s="260"/>
      <c r="B176" s="262"/>
      <c r="C176" s="260"/>
      <c r="D176" s="259"/>
      <c r="E176" s="259"/>
      <c r="F176" s="259"/>
      <c r="G176" s="260"/>
    </row>
    <row r="177" spans="1:7" x14ac:dyDescent="0.25">
      <c r="A177" s="260"/>
      <c r="B177" s="262"/>
      <c r="C177" s="260"/>
      <c r="D177" s="259"/>
      <c r="E177" s="259"/>
      <c r="F177" s="259"/>
      <c r="G177" s="260"/>
    </row>
    <row r="178" spans="1:7" x14ac:dyDescent="0.25">
      <c r="A178" s="260"/>
      <c r="B178" s="262"/>
      <c r="C178" s="260"/>
      <c r="D178" s="259"/>
      <c r="E178" s="259"/>
      <c r="F178" s="259"/>
      <c r="G178" s="260"/>
    </row>
    <row r="179" spans="1:7" x14ac:dyDescent="0.25">
      <c r="A179" s="260"/>
      <c r="B179" s="262"/>
      <c r="C179" s="260"/>
      <c r="D179" s="259"/>
      <c r="E179" s="259"/>
      <c r="F179" s="259"/>
      <c r="G179" s="260"/>
    </row>
    <row r="180" spans="1:7" x14ac:dyDescent="0.25">
      <c r="A180" s="260"/>
      <c r="B180" s="262"/>
      <c r="C180" s="260"/>
      <c r="D180" s="259"/>
      <c r="E180" s="259"/>
      <c r="F180" s="259"/>
      <c r="G180" s="260"/>
    </row>
    <row r="181" spans="1:7" x14ac:dyDescent="0.25">
      <c r="A181" s="260"/>
      <c r="B181" s="262"/>
      <c r="C181" s="260"/>
      <c r="D181" s="259"/>
      <c r="E181" s="259"/>
      <c r="F181" s="259"/>
      <c r="G181" s="260"/>
    </row>
    <row r="182" spans="1:7" x14ac:dyDescent="0.25">
      <c r="A182" s="260"/>
      <c r="B182" s="262"/>
      <c r="C182" s="260"/>
      <c r="D182" s="259"/>
      <c r="E182" s="259"/>
      <c r="F182" s="259"/>
      <c r="G182" s="260"/>
    </row>
    <row r="183" spans="1:7" x14ac:dyDescent="0.25">
      <c r="A183" s="260"/>
      <c r="B183" s="262"/>
      <c r="C183" s="260"/>
      <c r="D183" s="259"/>
      <c r="E183" s="259"/>
      <c r="F183" s="259"/>
      <c r="G183" s="260"/>
    </row>
    <row r="184" spans="1:7" x14ac:dyDescent="0.25">
      <c r="A184" s="260"/>
      <c r="B184" s="262"/>
      <c r="C184" s="260"/>
      <c r="D184" s="259"/>
      <c r="E184" s="259"/>
      <c r="F184" s="259"/>
      <c r="G184" s="260"/>
    </row>
    <row r="185" spans="1:7" x14ac:dyDescent="0.25">
      <c r="A185" s="260"/>
      <c r="B185" s="262"/>
      <c r="C185" s="260"/>
      <c r="D185" s="259"/>
      <c r="E185" s="259"/>
      <c r="F185" s="259"/>
      <c r="G185" s="260"/>
    </row>
    <row r="186" spans="1:7" x14ac:dyDescent="0.25">
      <c r="A186" s="260"/>
      <c r="B186" s="262"/>
      <c r="C186" s="260"/>
      <c r="D186" s="259"/>
      <c r="E186" s="259"/>
      <c r="F186" s="259"/>
      <c r="G186" s="260"/>
    </row>
    <row r="187" spans="1:7" x14ac:dyDescent="0.25">
      <c r="A187" s="260"/>
      <c r="B187" s="262"/>
      <c r="C187" s="260"/>
      <c r="D187" s="259"/>
      <c r="E187" s="259"/>
      <c r="F187" s="259"/>
      <c r="G187" s="260"/>
    </row>
    <row r="188" spans="1:7" x14ac:dyDescent="0.25">
      <c r="A188" s="260"/>
      <c r="B188" s="262"/>
      <c r="C188" s="260"/>
      <c r="D188" s="259"/>
      <c r="E188" s="259"/>
      <c r="F188" s="259"/>
      <c r="G188" s="260"/>
    </row>
    <row r="189" spans="1:7" x14ac:dyDescent="0.25">
      <c r="A189" s="260"/>
      <c r="B189" s="262"/>
      <c r="C189" s="260"/>
      <c r="D189" s="259"/>
      <c r="E189" s="259"/>
      <c r="F189" s="259"/>
      <c r="G189" s="260"/>
    </row>
    <row r="190" spans="1:7" x14ac:dyDescent="0.25">
      <c r="A190" s="260"/>
      <c r="B190" s="262"/>
      <c r="C190" s="260"/>
      <c r="D190" s="259"/>
      <c r="E190" s="259"/>
      <c r="F190" s="259"/>
      <c r="G190" s="260"/>
    </row>
    <row r="191" spans="1:7" x14ac:dyDescent="0.25">
      <c r="A191" s="260"/>
      <c r="B191" s="262"/>
      <c r="C191" s="260"/>
      <c r="D191" s="259"/>
      <c r="E191" s="259"/>
      <c r="F191" s="259"/>
      <c r="G191" s="260"/>
    </row>
    <row r="192" spans="1:7" x14ac:dyDescent="0.25">
      <c r="A192" s="260"/>
      <c r="B192" s="262"/>
      <c r="C192" s="260"/>
      <c r="D192" s="259"/>
      <c r="E192" s="259"/>
      <c r="F192" s="259"/>
      <c r="G192" s="260"/>
    </row>
    <row r="193" spans="1:7" x14ac:dyDescent="0.25">
      <c r="A193" s="260"/>
      <c r="B193" s="262"/>
      <c r="C193" s="260"/>
      <c r="D193" s="259"/>
      <c r="E193" s="259"/>
      <c r="F193" s="259"/>
      <c r="G193" s="260"/>
    </row>
    <row r="194" spans="1:7" x14ac:dyDescent="0.25">
      <c r="A194" s="260"/>
      <c r="B194" s="262"/>
      <c r="C194" s="260"/>
      <c r="D194" s="259"/>
      <c r="E194" s="259"/>
      <c r="F194" s="259"/>
      <c r="G194" s="260"/>
    </row>
    <row r="195" spans="1:7" x14ac:dyDescent="0.25">
      <c r="A195" s="260"/>
      <c r="B195" s="262"/>
      <c r="C195" s="260"/>
      <c r="D195" s="259"/>
      <c r="E195" s="259"/>
      <c r="F195" s="259"/>
      <c r="G195" s="260"/>
    </row>
    <row r="196" spans="1:7" x14ac:dyDescent="0.25">
      <c r="A196" s="260"/>
      <c r="B196" s="262"/>
      <c r="C196" s="260"/>
      <c r="D196" s="259"/>
      <c r="E196" s="259"/>
      <c r="F196" s="259"/>
      <c r="G196" s="260"/>
    </row>
    <row r="197" spans="1:7" x14ac:dyDescent="0.25">
      <c r="A197" s="260"/>
      <c r="B197" s="262"/>
      <c r="C197" s="260"/>
      <c r="D197" s="259"/>
      <c r="E197" s="259"/>
      <c r="F197" s="259"/>
      <c r="G197" s="260"/>
    </row>
    <row r="198" spans="1:7" x14ac:dyDescent="0.25">
      <c r="A198" s="260"/>
      <c r="B198" s="262"/>
      <c r="C198" s="260"/>
      <c r="D198" s="259"/>
      <c r="E198" s="259"/>
      <c r="F198" s="259"/>
      <c r="G198" s="260"/>
    </row>
    <row r="199" spans="1:7" x14ac:dyDescent="0.25">
      <c r="A199" s="260"/>
      <c r="B199" s="262"/>
      <c r="C199" s="260"/>
      <c r="D199" s="259"/>
      <c r="E199" s="259"/>
      <c r="F199" s="259"/>
      <c r="G199" s="260"/>
    </row>
    <row r="200" spans="1:7" x14ac:dyDescent="0.25">
      <c r="A200" s="260"/>
      <c r="B200" s="262"/>
      <c r="C200" s="260"/>
      <c r="D200" s="259"/>
      <c r="E200" s="259"/>
      <c r="F200" s="259"/>
      <c r="G200" s="260"/>
    </row>
    <row r="201" spans="1:7" x14ac:dyDescent="0.25">
      <c r="A201" s="260"/>
      <c r="B201" s="262"/>
      <c r="C201" s="260"/>
      <c r="D201" s="259"/>
      <c r="E201" s="259"/>
      <c r="F201" s="259"/>
      <c r="G201" s="260"/>
    </row>
    <row r="202" spans="1:7" x14ac:dyDescent="0.25">
      <c r="A202" s="260"/>
      <c r="B202" s="262"/>
      <c r="C202" s="260"/>
      <c r="D202" s="259"/>
      <c r="E202" s="259"/>
      <c r="F202" s="259"/>
      <c r="G202" s="260"/>
    </row>
    <row r="203" spans="1:7" x14ac:dyDescent="0.25">
      <c r="A203" s="260"/>
      <c r="B203" s="262"/>
      <c r="C203" s="260"/>
      <c r="D203" s="259"/>
      <c r="E203" s="259"/>
      <c r="F203" s="259"/>
      <c r="G203" s="260"/>
    </row>
    <row r="204" spans="1:7" x14ac:dyDescent="0.25">
      <c r="A204" s="260"/>
      <c r="B204" s="262"/>
      <c r="C204" s="260"/>
      <c r="D204" s="259"/>
      <c r="E204" s="259"/>
      <c r="F204" s="259"/>
      <c r="G204" s="260"/>
    </row>
    <row r="205" spans="1:7" x14ac:dyDescent="0.25">
      <c r="A205" s="260"/>
      <c r="B205" s="262"/>
      <c r="C205" s="260"/>
      <c r="D205" s="259"/>
      <c r="E205" s="259"/>
      <c r="F205" s="259"/>
      <c r="G205" s="260"/>
    </row>
    <row r="206" spans="1:7" x14ac:dyDescent="0.25">
      <c r="A206" s="260"/>
      <c r="B206" s="262"/>
      <c r="C206" s="260"/>
      <c r="D206" s="259"/>
      <c r="E206" s="259"/>
      <c r="F206" s="259"/>
      <c r="G206" s="260"/>
    </row>
    <row r="207" spans="1:7" x14ac:dyDescent="0.25">
      <c r="A207" s="260"/>
      <c r="B207" s="262"/>
      <c r="C207" s="260"/>
      <c r="D207" s="259"/>
      <c r="E207" s="259"/>
      <c r="F207" s="259"/>
      <c r="G207" s="260"/>
    </row>
    <row r="208" spans="1:7" x14ac:dyDescent="0.25">
      <c r="A208" s="260"/>
      <c r="B208" s="262"/>
      <c r="C208" s="260"/>
      <c r="D208" s="259"/>
      <c r="E208" s="259"/>
      <c r="F208" s="259"/>
      <c r="G208" s="260"/>
    </row>
    <row r="209" spans="1:7" x14ac:dyDescent="0.25">
      <c r="A209" s="260"/>
      <c r="B209" s="262"/>
      <c r="C209" s="260"/>
      <c r="D209" s="259"/>
      <c r="E209" s="259"/>
      <c r="F209" s="259"/>
      <c r="G209" s="260"/>
    </row>
    <row r="210" spans="1:7" x14ac:dyDescent="0.25">
      <c r="A210" s="260"/>
      <c r="B210" s="262"/>
      <c r="C210" s="260"/>
      <c r="D210" s="259"/>
      <c r="E210" s="259"/>
      <c r="F210" s="259"/>
      <c r="G210" s="260"/>
    </row>
    <row r="211" spans="1:7" x14ac:dyDescent="0.25">
      <c r="A211" s="260"/>
      <c r="B211" s="262"/>
      <c r="C211" s="260"/>
      <c r="D211" s="259"/>
      <c r="E211" s="259"/>
      <c r="F211" s="259"/>
      <c r="G211" s="260"/>
    </row>
    <row r="212" spans="1:7" x14ac:dyDescent="0.25">
      <c r="A212" s="260"/>
      <c r="B212" s="262"/>
      <c r="C212" s="260"/>
      <c r="D212" s="259"/>
      <c r="E212" s="259"/>
      <c r="F212" s="259"/>
      <c r="G212" s="260"/>
    </row>
    <row r="213" spans="1:7" x14ac:dyDescent="0.25">
      <c r="A213" s="260"/>
      <c r="B213" s="262"/>
      <c r="C213" s="260"/>
      <c r="D213" s="259"/>
      <c r="E213" s="259"/>
      <c r="F213" s="259"/>
      <c r="G213" s="260"/>
    </row>
    <row r="214" spans="1:7" x14ac:dyDescent="0.25">
      <c r="A214" s="260"/>
      <c r="B214" s="262"/>
      <c r="C214" s="260"/>
      <c r="D214" s="259"/>
      <c r="E214" s="259"/>
      <c r="F214" s="259"/>
      <c r="G214" s="260"/>
    </row>
    <row r="215" spans="1:7" x14ac:dyDescent="0.25">
      <c r="A215" s="260"/>
      <c r="B215" s="262"/>
      <c r="C215" s="260"/>
      <c r="D215" s="259"/>
      <c r="E215" s="259"/>
      <c r="F215" s="259"/>
      <c r="G215" s="260"/>
    </row>
    <row r="216" spans="1:7" x14ac:dyDescent="0.25">
      <c r="A216" s="260"/>
      <c r="B216" s="262"/>
      <c r="C216" s="260"/>
      <c r="D216" s="259"/>
      <c r="E216" s="259"/>
      <c r="F216" s="259"/>
      <c r="G216" s="260"/>
    </row>
    <row r="217" spans="1:7" x14ac:dyDescent="0.25">
      <c r="A217" s="260"/>
      <c r="B217" s="262"/>
      <c r="C217" s="260"/>
      <c r="D217" s="259"/>
      <c r="E217" s="259"/>
      <c r="F217" s="259"/>
      <c r="G217" s="260"/>
    </row>
    <row r="218" spans="1:7" x14ac:dyDescent="0.25">
      <c r="A218" s="260"/>
      <c r="B218" s="262"/>
      <c r="C218" s="260"/>
      <c r="D218" s="259"/>
      <c r="E218" s="259"/>
      <c r="F218" s="259"/>
      <c r="G218" s="260"/>
    </row>
    <row r="219" spans="1:7" x14ac:dyDescent="0.25">
      <c r="A219" s="260"/>
      <c r="B219" s="262"/>
      <c r="C219" s="260"/>
      <c r="D219" s="259"/>
      <c r="E219" s="259"/>
      <c r="F219" s="259"/>
      <c r="G219" s="260"/>
    </row>
    <row r="220" spans="1:7" x14ac:dyDescent="0.25">
      <c r="A220" s="260"/>
      <c r="B220" s="262"/>
      <c r="C220" s="260"/>
      <c r="D220" s="259"/>
      <c r="E220" s="259"/>
      <c r="F220" s="259"/>
      <c r="G220" s="260"/>
    </row>
    <row r="221" spans="1:7" x14ac:dyDescent="0.25">
      <c r="A221" s="260"/>
      <c r="B221" s="262"/>
      <c r="C221" s="260"/>
      <c r="D221" s="259"/>
      <c r="E221" s="259"/>
      <c r="F221" s="259"/>
      <c r="G221" s="260"/>
    </row>
    <row r="222" spans="1:7" x14ac:dyDescent="0.25">
      <c r="A222" s="260"/>
      <c r="B222" s="262"/>
      <c r="C222" s="260"/>
      <c r="D222" s="259"/>
      <c r="E222" s="259"/>
      <c r="F222" s="259"/>
      <c r="G222" s="260"/>
    </row>
    <row r="223" spans="1:7" x14ac:dyDescent="0.25">
      <c r="A223" s="260"/>
      <c r="B223" s="262"/>
      <c r="C223" s="260"/>
      <c r="D223" s="259"/>
      <c r="E223" s="259"/>
      <c r="F223" s="259"/>
      <c r="G223" s="260"/>
    </row>
    <row r="224" spans="1:7" x14ac:dyDescent="0.25">
      <c r="A224" s="260"/>
      <c r="B224" s="262"/>
      <c r="C224" s="260"/>
      <c r="D224" s="259"/>
      <c r="E224" s="259"/>
      <c r="F224" s="259"/>
      <c r="G224" s="260"/>
    </row>
    <row r="225" spans="1:7" x14ac:dyDescent="0.25">
      <c r="A225" s="260"/>
      <c r="B225" s="262"/>
      <c r="C225" s="260"/>
      <c r="D225" s="259"/>
      <c r="E225" s="259"/>
      <c r="F225" s="259"/>
      <c r="G225" s="260"/>
    </row>
    <row r="226" spans="1:7" x14ac:dyDescent="0.25">
      <c r="A226" s="260"/>
      <c r="B226" s="262"/>
      <c r="C226" s="260"/>
      <c r="D226" s="259"/>
      <c r="E226" s="259"/>
      <c r="F226" s="259"/>
      <c r="G226" s="260"/>
    </row>
    <row r="227" spans="1:7" x14ac:dyDescent="0.25">
      <c r="A227" s="260"/>
      <c r="B227" s="262"/>
      <c r="C227" s="260"/>
      <c r="D227" s="259"/>
      <c r="E227" s="259"/>
      <c r="F227" s="259"/>
      <c r="G227" s="260"/>
    </row>
    <row r="228" spans="1:7" x14ac:dyDescent="0.25">
      <c r="A228" s="260"/>
      <c r="B228" s="262"/>
      <c r="C228" s="260"/>
      <c r="D228" s="259"/>
      <c r="E228" s="259"/>
      <c r="F228" s="259"/>
      <c r="G228" s="260"/>
    </row>
    <row r="229" spans="1:7" x14ac:dyDescent="0.25">
      <c r="A229" s="260"/>
      <c r="B229" s="262"/>
      <c r="C229" s="260"/>
      <c r="D229" s="259"/>
      <c r="E229" s="259"/>
      <c r="F229" s="259"/>
      <c r="G229" s="260"/>
    </row>
    <row r="230" spans="1:7" x14ac:dyDescent="0.25">
      <c r="A230" s="260"/>
      <c r="B230" s="262"/>
      <c r="C230" s="260"/>
      <c r="D230" s="259"/>
      <c r="E230" s="259"/>
      <c r="F230" s="259"/>
      <c r="G230" s="260"/>
    </row>
    <row r="231" spans="1:7" x14ac:dyDescent="0.25">
      <c r="A231" s="260"/>
      <c r="B231" s="262"/>
      <c r="C231" s="260"/>
      <c r="D231" s="259"/>
      <c r="E231" s="259"/>
      <c r="F231" s="259"/>
      <c r="G231" s="260"/>
    </row>
    <row r="232" spans="1:7" x14ac:dyDescent="0.25">
      <c r="A232" s="260"/>
      <c r="B232" s="262"/>
      <c r="C232" s="260"/>
      <c r="D232" s="259"/>
      <c r="E232" s="259"/>
      <c r="F232" s="259"/>
      <c r="G232" s="260"/>
    </row>
    <row r="233" spans="1:7" x14ac:dyDescent="0.25">
      <c r="A233" s="260"/>
      <c r="B233" s="262"/>
      <c r="C233" s="260"/>
      <c r="D233" s="259"/>
      <c r="E233" s="259"/>
      <c r="F233" s="259"/>
      <c r="G233" s="260"/>
    </row>
    <row r="234" spans="1:7" x14ac:dyDescent="0.25">
      <c r="A234" s="260"/>
      <c r="B234" s="262"/>
      <c r="C234" s="260"/>
      <c r="D234" s="259"/>
      <c r="E234" s="259"/>
      <c r="F234" s="259"/>
      <c r="G234" s="260"/>
    </row>
    <row r="235" spans="1:7" x14ac:dyDescent="0.25">
      <c r="A235" s="260"/>
      <c r="B235" s="262"/>
      <c r="C235" s="260"/>
      <c r="D235" s="259"/>
      <c r="E235" s="259"/>
      <c r="F235" s="259"/>
      <c r="G235" s="260"/>
    </row>
    <row r="236" spans="1:7" x14ac:dyDescent="0.25">
      <c r="A236" s="260"/>
      <c r="B236" s="262"/>
      <c r="C236" s="260"/>
      <c r="D236" s="259"/>
      <c r="E236" s="259"/>
      <c r="F236" s="259"/>
      <c r="G236" s="260"/>
    </row>
    <row r="237" spans="1:7" x14ac:dyDescent="0.25">
      <c r="A237" s="260"/>
      <c r="B237" s="262"/>
      <c r="C237" s="260"/>
      <c r="D237" s="259"/>
      <c r="E237" s="259"/>
      <c r="F237" s="259"/>
      <c r="G237" s="260"/>
    </row>
    <row r="238" spans="1:7" x14ac:dyDescent="0.25">
      <c r="A238" s="260"/>
      <c r="B238" s="262"/>
      <c r="C238" s="260"/>
      <c r="D238" s="259"/>
      <c r="E238" s="259"/>
      <c r="F238" s="259"/>
      <c r="G238" s="260"/>
    </row>
    <row r="239" spans="1:7" x14ac:dyDescent="0.25">
      <c r="A239" s="260"/>
      <c r="B239" s="262"/>
      <c r="C239" s="260"/>
      <c r="D239" s="259"/>
      <c r="E239" s="259"/>
      <c r="F239" s="259"/>
      <c r="G239" s="260"/>
    </row>
    <row r="240" spans="1:7" x14ac:dyDescent="0.25">
      <c r="A240" s="260"/>
      <c r="B240" s="262"/>
      <c r="C240" s="260"/>
      <c r="D240" s="259"/>
      <c r="E240" s="259"/>
      <c r="F240" s="259"/>
      <c r="G240" s="260"/>
    </row>
    <row r="241" spans="1:7" x14ac:dyDescent="0.25">
      <c r="A241" s="260"/>
      <c r="B241" s="262"/>
      <c r="C241" s="260"/>
      <c r="D241" s="259"/>
      <c r="E241" s="259"/>
      <c r="F241" s="259"/>
      <c r="G241" s="260"/>
    </row>
    <row r="242" spans="1:7" x14ac:dyDescent="0.25">
      <c r="A242" s="260"/>
      <c r="B242" s="262"/>
      <c r="C242" s="260"/>
      <c r="D242" s="259"/>
      <c r="E242" s="259"/>
      <c r="F242" s="259"/>
      <c r="G242" s="260"/>
    </row>
    <row r="243" spans="1:7" x14ac:dyDescent="0.25">
      <c r="A243" s="260"/>
      <c r="B243" s="262"/>
      <c r="C243" s="260"/>
      <c r="D243" s="259"/>
      <c r="E243" s="259"/>
      <c r="F243" s="259"/>
      <c r="G243" s="260"/>
    </row>
    <row r="244" spans="1:7" x14ac:dyDescent="0.25">
      <c r="A244" s="260"/>
      <c r="B244" s="262"/>
      <c r="C244" s="260"/>
      <c r="D244" s="259"/>
      <c r="E244" s="259"/>
      <c r="F244" s="259"/>
      <c r="G244" s="260"/>
    </row>
    <row r="245" spans="1:7" x14ac:dyDescent="0.25">
      <c r="A245" s="260"/>
      <c r="B245" s="262"/>
      <c r="C245" s="260"/>
      <c r="D245" s="259"/>
      <c r="E245" s="259"/>
      <c r="F245" s="259"/>
      <c r="G245" s="260"/>
    </row>
    <row r="246" spans="1:7" x14ac:dyDescent="0.25">
      <c r="A246" s="260"/>
      <c r="B246" s="262"/>
      <c r="C246" s="260"/>
      <c r="D246" s="259"/>
      <c r="E246" s="259"/>
      <c r="F246" s="259"/>
      <c r="G246" s="260"/>
    </row>
    <row r="247" spans="1:7" x14ac:dyDescent="0.25">
      <c r="A247" s="260"/>
      <c r="B247" s="262"/>
      <c r="C247" s="260"/>
      <c r="D247" s="259"/>
      <c r="E247" s="259"/>
      <c r="F247" s="259"/>
      <c r="G247" s="260"/>
    </row>
    <row r="248" spans="1:7" x14ac:dyDescent="0.25">
      <c r="A248" s="260"/>
      <c r="B248" s="262"/>
      <c r="C248" s="260"/>
      <c r="D248" s="259"/>
      <c r="E248" s="259"/>
      <c r="F248" s="259"/>
      <c r="G248" s="260"/>
    </row>
    <row r="249" spans="1:7" x14ac:dyDescent="0.25">
      <c r="A249" s="260"/>
      <c r="B249" s="262"/>
      <c r="C249" s="260"/>
      <c r="D249" s="259"/>
      <c r="E249" s="259"/>
      <c r="F249" s="259"/>
      <c r="G249" s="260"/>
    </row>
    <row r="250" spans="1:7" x14ac:dyDescent="0.25">
      <c r="A250" s="260"/>
      <c r="B250" s="262"/>
      <c r="C250" s="260"/>
      <c r="D250" s="259"/>
      <c r="E250" s="259"/>
      <c r="F250" s="259"/>
      <c r="G250" s="260"/>
    </row>
    <row r="251" spans="1:7" x14ac:dyDescent="0.25">
      <c r="A251" s="260"/>
      <c r="B251" s="262"/>
      <c r="C251" s="260"/>
      <c r="D251" s="259"/>
      <c r="E251" s="259"/>
      <c r="F251" s="259"/>
      <c r="G251" s="260"/>
    </row>
    <row r="252" spans="1:7" x14ac:dyDescent="0.25">
      <c r="A252" s="260"/>
      <c r="B252" s="262"/>
      <c r="C252" s="260"/>
      <c r="D252" s="259"/>
      <c r="E252" s="259"/>
      <c r="F252" s="259"/>
      <c r="G252" s="260"/>
    </row>
    <row r="253" spans="1:7" x14ac:dyDescent="0.25">
      <c r="A253" s="260"/>
      <c r="B253" s="262"/>
      <c r="C253" s="260"/>
      <c r="D253" s="259"/>
      <c r="E253" s="259"/>
      <c r="F253" s="259"/>
      <c r="G253" s="260"/>
    </row>
    <row r="254" spans="1:7" x14ac:dyDescent="0.25">
      <c r="A254" s="260"/>
      <c r="B254" s="262"/>
      <c r="C254" s="260"/>
      <c r="D254" s="259"/>
      <c r="E254" s="259"/>
      <c r="F254" s="259"/>
      <c r="G254" s="260"/>
    </row>
    <row r="255" spans="1:7" x14ac:dyDescent="0.25">
      <c r="A255" s="260"/>
      <c r="B255" s="262"/>
      <c r="C255" s="260"/>
      <c r="D255" s="259"/>
      <c r="E255" s="259"/>
      <c r="F255" s="259"/>
      <c r="G255" s="260"/>
    </row>
    <row r="256" spans="1:7" x14ac:dyDescent="0.25">
      <c r="A256" s="260"/>
      <c r="B256" s="262"/>
      <c r="C256" s="260"/>
      <c r="D256" s="259"/>
      <c r="E256" s="259"/>
      <c r="F256" s="259"/>
      <c r="G256" s="260"/>
    </row>
    <row r="257" spans="1:7" x14ac:dyDescent="0.25">
      <c r="A257" s="260"/>
      <c r="B257" s="262"/>
      <c r="C257" s="260"/>
      <c r="D257" s="259"/>
      <c r="E257" s="259"/>
      <c r="F257" s="259"/>
      <c r="G257" s="260"/>
    </row>
    <row r="258" spans="1:7" x14ac:dyDescent="0.25">
      <c r="A258" s="260"/>
      <c r="B258" s="262"/>
      <c r="C258" s="260"/>
      <c r="D258" s="259"/>
      <c r="E258" s="259"/>
      <c r="F258" s="259"/>
      <c r="G258" s="260"/>
    </row>
    <row r="259" spans="1:7" x14ac:dyDescent="0.25">
      <c r="A259" s="260"/>
      <c r="B259" s="262"/>
      <c r="C259" s="260"/>
      <c r="D259" s="259"/>
      <c r="E259" s="259"/>
      <c r="F259" s="259"/>
      <c r="G259" s="260"/>
    </row>
    <row r="260" spans="1:7" x14ac:dyDescent="0.25">
      <c r="A260" s="260"/>
      <c r="B260" s="262"/>
      <c r="C260" s="260"/>
      <c r="D260" s="259"/>
      <c r="E260" s="259"/>
      <c r="F260" s="259"/>
      <c r="G260" s="260"/>
    </row>
    <row r="261" spans="1:7" x14ac:dyDescent="0.25">
      <c r="A261" s="260"/>
      <c r="B261" s="262"/>
      <c r="C261" s="260"/>
      <c r="D261" s="259"/>
      <c r="E261" s="259"/>
      <c r="F261" s="259"/>
      <c r="G261" s="260"/>
    </row>
    <row r="262" spans="1:7" x14ac:dyDescent="0.25">
      <c r="A262" s="260"/>
      <c r="B262" s="262"/>
      <c r="C262" s="260"/>
      <c r="D262" s="259"/>
      <c r="E262" s="259"/>
      <c r="F262" s="259"/>
      <c r="G262" s="260"/>
    </row>
    <row r="263" spans="1:7" x14ac:dyDescent="0.25">
      <c r="A263" s="260"/>
      <c r="B263" s="262"/>
      <c r="C263" s="260"/>
      <c r="D263" s="259"/>
      <c r="E263" s="259"/>
      <c r="F263" s="259"/>
      <c r="G263" s="260"/>
    </row>
    <row r="264" spans="1:7" x14ac:dyDescent="0.25">
      <c r="A264" s="260"/>
      <c r="B264" s="262"/>
      <c r="C264" s="260"/>
      <c r="D264" s="259"/>
      <c r="E264" s="259"/>
      <c r="F264" s="259"/>
      <c r="G264" s="260"/>
    </row>
    <row r="265" spans="1:7" x14ac:dyDescent="0.25">
      <c r="A265" s="260"/>
      <c r="B265" s="262"/>
      <c r="C265" s="260"/>
      <c r="D265" s="259"/>
      <c r="E265" s="259"/>
      <c r="F265" s="259"/>
      <c r="G265" s="260"/>
    </row>
    <row r="266" spans="1:7" x14ac:dyDescent="0.25">
      <c r="A266" s="260"/>
      <c r="B266" s="262"/>
      <c r="C266" s="260"/>
      <c r="D266" s="259"/>
      <c r="E266" s="259"/>
      <c r="F266" s="259"/>
      <c r="G266" s="260"/>
    </row>
    <row r="267" spans="1:7" x14ac:dyDescent="0.25">
      <c r="A267" s="260"/>
      <c r="B267" s="262"/>
      <c r="C267" s="260"/>
      <c r="D267" s="259"/>
      <c r="E267" s="259"/>
      <c r="F267" s="259"/>
      <c r="G267" s="260"/>
    </row>
    <row r="268" spans="1:7" x14ac:dyDescent="0.25">
      <c r="A268" s="260"/>
      <c r="B268" s="262"/>
      <c r="C268" s="260"/>
      <c r="D268" s="259"/>
      <c r="E268" s="259"/>
      <c r="F268" s="259"/>
      <c r="G268" s="260"/>
    </row>
    <row r="269" spans="1:7" x14ac:dyDescent="0.25">
      <c r="A269" s="260"/>
      <c r="B269" s="262"/>
      <c r="C269" s="260"/>
      <c r="D269" s="259"/>
      <c r="E269" s="259"/>
      <c r="F269" s="259"/>
      <c r="G269" s="260"/>
    </row>
    <row r="270" spans="1:7" x14ac:dyDescent="0.25">
      <c r="A270" s="260"/>
      <c r="B270" s="262"/>
      <c r="C270" s="260"/>
      <c r="D270" s="259"/>
      <c r="E270" s="259"/>
      <c r="F270" s="259"/>
      <c r="G270" s="260"/>
    </row>
    <row r="271" spans="1:7" x14ac:dyDescent="0.25">
      <c r="A271" s="260"/>
      <c r="B271" s="262"/>
      <c r="C271" s="260"/>
      <c r="D271" s="259"/>
      <c r="E271" s="259"/>
      <c r="F271" s="259"/>
      <c r="G271" s="260"/>
    </row>
    <row r="272" spans="1:7" x14ac:dyDescent="0.25">
      <c r="A272" s="260"/>
      <c r="B272" s="262"/>
      <c r="C272" s="260"/>
      <c r="D272" s="259"/>
      <c r="E272" s="259"/>
      <c r="F272" s="259"/>
      <c r="G272" s="260"/>
    </row>
    <row r="273" spans="1:7" x14ac:dyDescent="0.25">
      <c r="A273" s="260"/>
      <c r="B273" s="262"/>
      <c r="C273" s="260"/>
      <c r="D273" s="259"/>
      <c r="E273" s="259"/>
      <c r="F273" s="259"/>
      <c r="G273" s="260"/>
    </row>
    <row r="274" spans="1:7" x14ac:dyDescent="0.25">
      <c r="A274" s="260"/>
      <c r="B274" s="262"/>
      <c r="C274" s="260"/>
      <c r="D274" s="259"/>
      <c r="E274" s="259"/>
      <c r="F274" s="259"/>
      <c r="G274" s="260"/>
    </row>
    <row r="275" spans="1:7" x14ac:dyDescent="0.25">
      <c r="A275" s="260"/>
      <c r="B275" s="262"/>
      <c r="C275" s="260"/>
      <c r="D275" s="259"/>
      <c r="E275" s="259"/>
      <c r="F275" s="259"/>
      <c r="G275" s="260"/>
    </row>
    <row r="276" spans="1:7" x14ac:dyDescent="0.25">
      <c r="A276" s="260"/>
      <c r="B276" s="262"/>
      <c r="C276" s="260"/>
      <c r="D276" s="259"/>
      <c r="E276" s="259"/>
      <c r="F276" s="259"/>
      <c r="G276" s="260"/>
    </row>
    <row r="277" spans="1:7" x14ac:dyDescent="0.25">
      <c r="A277" s="260"/>
      <c r="B277" s="262"/>
      <c r="C277" s="260"/>
      <c r="D277" s="259"/>
      <c r="E277" s="259"/>
      <c r="F277" s="259"/>
      <c r="G277" s="260"/>
    </row>
    <row r="278" spans="1:7" x14ac:dyDescent="0.25">
      <c r="A278" s="260"/>
      <c r="B278" s="262"/>
      <c r="C278" s="260"/>
      <c r="D278" s="259"/>
      <c r="E278" s="259"/>
      <c r="F278" s="259"/>
      <c r="G278" s="260"/>
    </row>
    <row r="279" spans="1:7" x14ac:dyDescent="0.25">
      <c r="A279" s="260"/>
      <c r="B279" s="262"/>
      <c r="C279" s="260"/>
      <c r="D279" s="259"/>
      <c r="E279" s="259"/>
      <c r="F279" s="259"/>
      <c r="G279" s="260"/>
    </row>
    <row r="280" spans="1:7" x14ac:dyDescent="0.25">
      <c r="A280" s="260"/>
      <c r="B280" s="262"/>
      <c r="C280" s="260"/>
      <c r="D280" s="259"/>
      <c r="E280" s="259"/>
      <c r="F280" s="259"/>
      <c r="G280" s="260"/>
    </row>
    <row r="281" spans="1:7" x14ac:dyDescent="0.25">
      <c r="A281" s="260"/>
      <c r="B281" s="262"/>
      <c r="C281" s="260"/>
      <c r="D281" s="259"/>
      <c r="E281" s="259"/>
      <c r="F281" s="259"/>
      <c r="G281" s="260"/>
    </row>
    <row r="282" spans="1:7" x14ac:dyDescent="0.25">
      <c r="A282" s="260"/>
      <c r="B282" s="262"/>
      <c r="C282" s="260"/>
      <c r="D282" s="259"/>
      <c r="E282" s="259"/>
      <c r="F282" s="259"/>
      <c r="G282" s="260"/>
    </row>
    <row r="283" spans="1:7" x14ac:dyDescent="0.25">
      <c r="A283" s="260"/>
      <c r="B283" s="262"/>
      <c r="C283" s="260"/>
      <c r="D283" s="259"/>
      <c r="E283" s="259"/>
      <c r="F283" s="259"/>
      <c r="G283" s="260"/>
    </row>
    <row r="284" spans="1:7" x14ac:dyDescent="0.25">
      <c r="A284" s="260"/>
      <c r="B284" s="262"/>
      <c r="C284" s="260"/>
      <c r="D284" s="259"/>
      <c r="E284" s="259"/>
      <c r="F284" s="259"/>
      <c r="G284" s="260"/>
    </row>
    <row r="285" spans="1:7" x14ac:dyDescent="0.25">
      <c r="A285" s="260"/>
      <c r="B285" s="262"/>
      <c r="C285" s="260"/>
      <c r="D285" s="259"/>
      <c r="E285" s="259"/>
      <c r="F285" s="259"/>
      <c r="G285" s="260"/>
    </row>
    <row r="286" spans="1:7" x14ac:dyDescent="0.25">
      <c r="A286" s="260"/>
      <c r="B286" s="262"/>
      <c r="C286" s="260"/>
      <c r="D286" s="259"/>
      <c r="E286" s="259"/>
      <c r="F286" s="259"/>
      <c r="G286" s="260"/>
    </row>
    <row r="287" spans="1:7" x14ac:dyDescent="0.25">
      <c r="A287" s="260"/>
      <c r="B287" s="262"/>
      <c r="C287" s="260"/>
      <c r="D287" s="259"/>
      <c r="E287" s="259"/>
      <c r="F287" s="259"/>
      <c r="G287" s="260"/>
    </row>
    <row r="288" spans="1:7" x14ac:dyDescent="0.25">
      <c r="A288" s="260"/>
      <c r="B288" s="262"/>
      <c r="C288" s="260"/>
      <c r="D288" s="259"/>
      <c r="E288" s="259"/>
      <c r="F288" s="259"/>
      <c r="G288" s="260"/>
    </row>
    <row r="289" spans="1:7" x14ac:dyDescent="0.25">
      <c r="A289" s="260"/>
      <c r="B289" s="262"/>
      <c r="C289" s="260"/>
      <c r="D289" s="259"/>
      <c r="E289" s="259"/>
      <c r="F289" s="259"/>
      <c r="G289" s="260"/>
    </row>
    <row r="290" spans="1:7" x14ac:dyDescent="0.25">
      <c r="A290" s="260"/>
      <c r="B290" s="262"/>
      <c r="C290" s="260"/>
      <c r="D290" s="259"/>
      <c r="E290" s="259"/>
      <c r="F290" s="259"/>
      <c r="G290" s="260"/>
    </row>
    <row r="291" spans="1:7" x14ac:dyDescent="0.25">
      <c r="A291" s="260"/>
      <c r="B291" s="262"/>
      <c r="C291" s="260"/>
      <c r="D291" s="259"/>
      <c r="E291" s="259"/>
      <c r="F291" s="259"/>
      <c r="G291" s="260"/>
    </row>
    <row r="292" spans="1:7" x14ac:dyDescent="0.25">
      <c r="A292" s="260"/>
      <c r="B292" s="262"/>
      <c r="C292" s="260"/>
      <c r="D292" s="259"/>
      <c r="E292" s="259"/>
      <c r="F292" s="259"/>
      <c r="G292" s="260"/>
    </row>
    <row r="293" spans="1:7" x14ac:dyDescent="0.25">
      <c r="A293" s="260"/>
      <c r="B293" s="262"/>
      <c r="C293" s="260"/>
      <c r="D293" s="259"/>
      <c r="E293" s="259"/>
      <c r="F293" s="259"/>
      <c r="G293" s="260"/>
    </row>
  </sheetData>
  <mergeCells count="7">
    <mergeCell ref="G8:G9"/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2"/>
  <sheetViews>
    <sheetView workbookViewId="0">
      <selection activeCell="G1" sqref="G1"/>
    </sheetView>
  </sheetViews>
  <sheetFormatPr defaultRowHeight="15" x14ac:dyDescent="0.25"/>
  <cols>
    <col min="2" max="2" width="12.5703125" customWidth="1"/>
    <col min="3" max="3" width="35.5703125" customWidth="1"/>
    <col min="4" max="4" width="19.85546875" style="2" customWidth="1"/>
    <col min="5" max="5" width="13.85546875" style="2" customWidth="1"/>
    <col min="6" max="6" width="11.5703125" style="2" bestFit="1" customWidth="1"/>
    <col min="7" max="7" width="11.5703125" bestFit="1" customWidth="1"/>
  </cols>
  <sheetData>
    <row r="1" spans="1:7" x14ac:dyDescent="0.25">
      <c r="A1" s="1"/>
      <c r="B1" s="1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" t="s">
        <v>1453</v>
      </c>
    </row>
    <row r="4" spans="1:7" x14ac:dyDescent="0.25">
      <c r="E4" s="2" t="s">
        <v>9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42200000</v>
      </c>
    </row>
    <row r="6" spans="1:7" x14ac:dyDescent="0.25">
      <c r="E6" s="2" t="s">
        <v>11</v>
      </c>
      <c r="F6" s="2">
        <f>SUM(E10:E68)</f>
        <v>42200000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8" t="s">
        <v>0</v>
      </c>
      <c r="B8" s="418" t="s">
        <v>13</v>
      </c>
      <c r="C8" s="418" t="s">
        <v>5</v>
      </c>
      <c r="D8" s="419" t="s">
        <v>8</v>
      </c>
      <c r="E8" s="419"/>
      <c r="F8" s="419" t="s">
        <v>2</v>
      </c>
    </row>
    <row r="9" spans="1:7" x14ac:dyDescent="0.25">
      <c r="A9" s="418"/>
      <c r="B9" s="418"/>
      <c r="C9" s="418"/>
      <c r="D9" s="2" t="s">
        <v>6</v>
      </c>
      <c r="E9" s="2" t="s">
        <v>7</v>
      </c>
      <c r="F9" s="419"/>
    </row>
    <row r="10" spans="1:7" ht="32.25" customHeight="1" x14ac:dyDescent="0.25">
      <c r="A10" s="262">
        <v>1</v>
      </c>
      <c r="B10" s="264">
        <v>44803</v>
      </c>
      <c r="C10" s="260" t="s">
        <v>1454</v>
      </c>
      <c r="D10" s="287">
        <v>4400000</v>
      </c>
      <c r="E10" s="259"/>
      <c r="F10" s="259"/>
      <c r="G10" s="242">
        <f>D10-E10</f>
        <v>4400000</v>
      </c>
    </row>
    <row r="11" spans="1:7" ht="32.25" customHeight="1" x14ac:dyDescent="0.25">
      <c r="A11" s="262">
        <v>2</v>
      </c>
      <c r="B11" s="264">
        <v>44895</v>
      </c>
      <c r="C11" s="260" t="s">
        <v>1298</v>
      </c>
      <c r="D11" s="287">
        <v>8700000</v>
      </c>
      <c r="E11" s="259"/>
      <c r="F11" s="259"/>
      <c r="G11" s="242">
        <f>G10+D11-E11</f>
        <v>13100000</v>
      </c>
    </row>
    <row r="12" spans="1:7" ht="32.25" customHeight="1" x14ac:dyDescent="0.25">
      <c r="A12" s="262">
        <v>3</v>
      </c>
      <c r="B12" s="264">
        <v>44944</v>
      </c>
      <c r="C12" s="260" t="s">
        <v>1455</v>
      </c>
      <c r="D12" s="259"/>
      <c r="E12" s="287">
        <v>4400000</v>
      </c>
      <c r="F12" s="259"/>
      <c r="G12" s="242">
        <f t="shared" ref="G12:G16" si="0">G11+D12-E12</f>
        <v>8700000</v>
      </c>
    </row>
    <row r="13" spans="1:7" ht="32.25" customHeight="1" x14ac:dyDescent="0.25">
      <c r="A13" s="262">
        <v>4</v>
      </c>
      <c r="B13" s="264">
        <v>44985</v>
      </c>
      <c r="C13" s="260" t="s">
        <v>1385</v>
      </c>
      <c r="D13" s="259"/>
      <c r="E13" s="259">
        <v>12600000</v>
      </c>
      <c r="F13" s="259"/>
      <c r="G13" s="242">
        <f t="shared" si="0"/>
        <v>-3900000</v>
      </c>
    </row>
    <row r="14" spans="1:7" ht="32.25" customHeight="1" x14ac:dyDescent="0.25">
      <c r="A14" s="262">
        <v>5</v>
      </c>
      <c r="B14" s="264">
        <v>45015</v>
      </c>
      <c r="C14" s="260" t="s">
        <v>1415</v>
      </c>
      <c r="D14" s="259">
        <v>24950000</v>
      </c>
      <c r="E14" s="259"/>
      <c r="F14" s="259"/>
      <c r="G14" s="242">
        <f t="shared" si="0"/>
        <v>21050000</v>
      </c>
    </row>
    <row r="15" spans="1:7" ht="32.25" customHeight="1" x14ac:dyDescent="0.25">
      <c r="A15" s="262">
        <v>6</v>
      </c>
      <c r="B15" s="264">
        <v>45035</v>
      </c>
      <c r="C15" s="260" t="s">
        <v>1457</v>
      </c>
      <c r="D15" s="259"/>
      <c r="E15" s="287">
        <v>8700000</v>
      </c>
      <c r="F15" s="259"/>
      <c r="G15" s="242">
        <f t="shared" si="0"/>
        <v>12350000</v>
      </c>
    </row>
    <row r="16" spans="1:7" ht="32.25" customHeight="1" x14ac:dyDescent="0.25">
      <c r="A16" s="262">
        <v>7</v>
      </c>
      <c r="B16" s="264">
        <v>45046</v>
      </c>
      <c r="C16" s="260" t="s">
        <v>1437</v>
      </c>
      <c r="D16" s="259">
        <v>4150000</v>
      </c>
      <c r="E16" s="259"/>
      <c r="F16" s="259"/>
      <c r="G16" s="242">
        <f t="shared" si="0"/>
        <v>16500000</v>
      </c>
    </row>
    <row r="17" spans="1:6" ht="32.25" customHeight="1" x14ac:dyDescent="0.25">
      <c r="A17" s="262">
        <v>8</v>
      </c>
      <c r="B17" s="264">
        <v>45150</v>
      </c>
      <c r="C17" s="260" t="s">
        <v>1559</v>
      </c>
      <c r="D17" s="259"/>
      <c r="E17" s="259">
        <f>D14-E13</f>
        <v>12350000</v>
      </c>
      <c r="F17" s="259"/>
    </row>
    <row r="18" spans="1:6" ht="32.25" customHeight="1" x14ac:dyDescent="0.25">
      <c r="A18" s="262">
        <v>9</v>
      </c>
      <c r="B18" s="264">
        <v>45202</v>
      </c>
      <c r="C18" s="260" t="s">
        <v>1609</v>
      </c>
      <c r="D18" s="259"/>
      <c r="E18" s="259">
        <v>4150000</v>
      </c>
      <c r="F18" s="259"/>
    </row>
    <row r="19" spans="1:6" ht="32.25" customHeight="1" x14ac:dyDescent="0.25">
      <c r="A19" s="262">
        <v>10</v>
      </c>
      <c r="B19" s="264"/>
      <c r="C19" s="260"/>
      <c r="D19" s="259"/>
      <c r="E19" s="259"/>
      <c r="F19" s="259"/>
    </row>
    <row r="20" spans="1:6" ht="32.25" customHeight="1" x14ac:dyDescent="0.25">
      <c r="A20" s="262">
        <v>11</v>
      </c>
      <c r="B20" s="264"/>
      <c r="C20" s="260"/>
      <c r="D20" s="259"/>
      <c r="E20" s="259"/>
      <c r="F20" s="259"/>
    </row>
    <row r="21" spans="1:6" ht="32.25" customHeight="1" x14ac:dyDescent="0.25">
      <c r="A21" s="262">
        <v>12</v>
      </c>
      <c r="B21" s="264"/>
      <c r="C21" s="260"/>
      <c r="D21" s="259"/>
      <c r="E21" s="259"/>
      <c r="F21" s="259"/>
    </row>
    <row r="22" spans="1:6" ht="32.25" customHeight="1" x14ac:dyDescent="0.25">
      <c r="A22" s="262">
        <v>13</v>
      </c>
      <c r="B22" s="264"/>
      <c r="C22" s="260"/>
      <c r="D22" s="259"/>
      <c r="E22" s="259"/>
      <c r="F22" s="259"/>
    </row>
    <row r="23" spans="1:6" ht="32.25" customHeight="1" x14ac:dyDescent="0.25">
      <c r="A23" s="262">
        <v>14</v>
      </c>
      <c r="B23" s="264"/>
      <c r="C23" s="260"/>
      <c r="D23" s="259"/>
      <c r="E23" s="259"/>
      <c r="F23" s="259"/>
    </row>
    <row r="24" spans="1:6" ht="32.25" customHeight="1" x14ac:dyDescent="0.25">
      <c r="A24" s="262">
        <v>15</v>
      </c>
      <c r="B24" s="264"/>
      <c r="C24" s="260"/>
      <c r="D24" s="259"/>
      <c r="E24" s="259"/>
      <c r="F24" s="259"/>
    </row>
    <row r="25" spans="1:6" ht="32.25" customHeight="1" x14ac:dyDescent="0.25">
      <c r="A25" s="262">
        <v>16</v>
      </c>
      <c r="B25" s="264"/>
      <c r="C25" s="260"/>
      <c r="D25" s="259"/>
      <c r="E25" s="259"/>
      <c r="F25" s="259"/>
    </row>
    <row r="26" spans="1:6" ht="32.25" customHeight="1" x14ac:dyDescent="0.25">
      <c r="A26" s="262">
        <v>17</v>
      </c>
      <c r="B26" s="264"/>
      <c r="C26" s="260"/>
      <c r="D26" s="259"/>
      <c r="E26" s="259"/>
      <c r="F26" s="259"/>
    </row>
    <row r="27" spans="1:6" ht="32.25" customHeight="1" x14ac:dyDescent="0.25">
      <c r="A27" s="262">
        <v>18</v>
      </c>
      <c r="B27" s="264"/>
      <c r="C27" s="260"/>
      <c r="D27" s="259"/>
      <c r="E27" s="259"/>
      <c r="F27" s="259"/>
    </row>
    <row r="28" spans="1:6" ht="32.25" customHeight="1" x14ac:dyDescent="0.25">
      <c r="A28" s="262">
        <v>19</v>
      </c>
      <c r="B28" s="264"/>
      <c r="C28" s="260"/>
      <c r="D28" s="259"/>
      <c r="E28" s="259"/>
      <c r="F28" s="259"/>
    </row>
    <row r="29" spans="1:6" ht="32.25" customHeight="1" x14ac:dyDescent="0.25">
      <c r="A29" s="262">
        <v>20</v>
      </c>
      <c r="B29" s="264"/>
      <c r="C29" s="260"/>
      <c r="D29" s="259"/>
      <c r="E29" s="259"/>
      <c r="F29" s="259"/>
    </row>
    <row r="30" spans="1:6" ht="32.25" customHeight="1" x14ac:dyDescent="0.25">
      <c r="A30" s="262">
        <v>21</v>
      </c>
      <c r="B30" s="264"/>
      <c r="C30" s="260"/>
      <c r="D30" s="259"/>
      <c r="E30" s="259"/>
      <c r="F30" s="259"/>
    </row>
    <row r="31" spans="1:6" ht="32.25" customHeight="1" x14ac:dyDescent="0.25">
      <c r="A31" s="262">
        <v>22</v>
      </c>
      <c r="B31" s="264"/>
      <c r="C31" s="260"/>
      <c r="D31" s="259"/>
      <c r="E31" s="259"/>
      <c r="F31" s="259"/>
    </row>
    <row r="32" spans="1:6" ht="32.25" customHeight="1" x14ac:dyDescent="0.25">
      <c r="A32" s="262">
        <v>23</v>
      </c>
      <c r="B32" s="264"/>
      <c r="C32" s="260"/>
      <c r="D32" s="259"/>
      <c r="E32" s="259"/>
      <c r="F32" s="259"/>
    </row>
    <row r="33" spans="1:6" ht="32.25" customHeight="1" x14ac:dyDescent="0.25">
      <c r="A33" s="262">
        <v>24</v>
      </c>
      <c r="B33" s="264"/>
      <c r="C33" s="260"/>
      <c r="D33" s="259"/>
      <c r="E33" s="259"/>
      <c r="F33" s="259"/>
    </row>
    <row r="34" spans="1:6" ht="32.25" customHeight="1" x14ac:dyDescent="0.25">
      <c r="A34" s="262">
        <v>25</v>
      </c>
      <c r="B34" s="264"/>
      <c r="C34" s="260"/>
      <c r="D34" s="259"/>
      <c r="E34" s="259"/>
      <c r="F34" s="259"/>
    </row>
    <row r="35" spans="1:6" ht="32.25" customHeight="1" x14ac:dyDescent="0.25">
      <c r="A35" s="260"/>
      <c r="B35" s="264"/>
      <c r="C35" s="260"/>
      <c r="D35" s="259"/>
      <c r="E35" s="259"/>
      <c r="F35" s="259"/>
    </row>
    <row r="36" spans="1:6" ht="32.25" customHeight="1" x14ac:dyDescent="0.25">
      <c r="A36" s="260"/>
      <c r="B36" s="264"/>
      <c r="C36" s="260"/>
      <c r="D36" s="259"/>
      <c r="E36" s="259"/>
      <c r="F36" s="259"/>
    </row>
    <row r="37" spans="1:6" ht="32.25" customHeight="1" x14ac:dyDescent="0.25">
      <c r="A37" s="260"/>
      <c r="B37" s="264"/>
      <c r="C37" s="260"/>
      <c r="D37" s="259"/>
      <c r="E37" s="259"/>
      <c r="F37" s="259"/>
    </row>
    <row r="38" spans="1:6" ht="32.25" customHeight="1" x14ac:dyDescent="0.25">
      <c r="A38" s="260"/>
      <c r="B38" s="264"/>
      <c r="C38" s="260"/>
      <c r="D38" s="259"/>
      <c r="E38" s="259"/>
      <c r="F38" s="259"/>
    </row>
    <row r="39" spans="1:6" ht="32.25" customHeight="1" x14ac:dyDescent="0.25">
      <c r="A39" s="260"/>
      <c r="B39" s="264"/>
      <c r="C39" s="260"/>
      <c r="D39" s="259"/>
      <c r="E39" s="259"/>
      <c r="F39" s="259"/>
    </row>
    <row r="40" spans="1:6" ht="32.25" customHeight="1" x14ac:dyDescent="0.25">
      <c r="A40" s="260"/>
      <c r="B40" s="264"/>
      <c r="C40" s="260"/>
      <c r="D40" s="259"/>
      <c r="E40" s="259"/>
      <c r="F40" s="259"/>
    </row>
    <row r="41" spans="1:6" ht="32.25" customHeight="1" x14ac:dyDescent="0.25">
      <c r="A41" s="260"/>
      <c r="B41" s="264"/>
      <c r="C41" s="260"/>
      <c r="D41" s="259"/>
      <c r="E41" s="259"/>
      <c r="F41" s="259"/>
    </row>
    <row r="42" spans="1:6" ht="32.25" customHeight="1" x14ac:dyDescent="0.25">
      <c r="A42" s="260"/>
      <c r="B42" s="264"/>
      <c r="C42" s="260"/>
      <c r="D42" s="259"/>
      <c r="E42" s="259"/>
      <c r="F42" s="259"/>
    </row>
    <row r="43" spans="1:6" ht="32.25" customHeight="1" x14ac:dyDescent="0.25">
      <c r="A43" s="260"/>
      <c r="B43" s="264"/>
      <c r="C43" s="260"/>
      <c r="D43" s="259"/>
      <c r="E43" s="259"/>
      <c r="F43" s="259"/>
    </row>
    <row r="44" spans="1:6" ht="32.25" customHeight="1" x14ac:dyDescent="0.25">
      <c r="A44" s="260"/>
      <c r="B44" s="264"/>
      <c r="C44" s="260"/>
      <c r="D44" s="259"/>
      <c r="E44" s="259"/>
      <c r="F44" s="259"/>
    </row>
    <row r="45" spans="1:6" ht="32.25" customHeight="1" x14ac:dyDescent="0.25">
      <c r="A45" s="260"/>
      <c r="B45" s="264"/>
      <c r="C45" s="260"/>
      <c r="D45" s="259"/>
      <c r="E45" s="259"/>
      <c r="F45" s="259"/>
    </row>
    <row r="46" spans="1:6" ht="32.25" customHeight="1" x14ac:dyDescent="0.25">
      <c r="A46" s="260"/>
      <c r="B46" s="264"/>
      <c r="C46" s="260"/>
      <c r="D46" s="259"/>
      <c r="E46" s="259"/>
      <c r="F46" s="259"/>
    </row>
    <row r="47" spans="1:6" ht="32.25" customHeight="1" x14ac:dyDescent="0.25">
      <c r="A47" s="260"/>
      <c r="B47" s="264"/>
      <c r="C47" s="260"/>
      <c r="D47" s="259"/>
      <c r="E47" s="259"/>
      <c r="F47" s="259"/>
    </row>
    <row r="48" spans="1:6" ht="32.25" customHeight="1" x14ac:dyDescent="0.25">
      <c r="A48" s="260"/>
      <c r="B48" s="264"/>
      <c r="C48" s="260"/>
      <c r="D48" s="259"/>
      <c r="E48" s="259"/>
      <c r="F48" s="259"/>
    </row>
    <row r="49" spans="1:6" ht="32.25" customHeight="1" x14ac:dyDescent="0.25">
      <c r="A49" s="260"/>
      <c r="B49" s="264"/>
      <c r="C49" s="260"/>
      <c r="D49" s="259"/>
      <c r="E49" s="259"/>
      <c r="F49" s="259"/>
    </row>
    <row r="50" spans="1:6" ht="32.25" customHeight="1" x14ac:dyDescent="0.25">
      <c r="A50" s="260"/>
      <c r="B50" s="264"/>
      <c r="C50" s="260"/>
      <c r="D50" s="259"/>
      <c r="E50" s="259"/>
      <c r="F50" s="259"/>
    </row>
    <row r="51" spans="1:6" ht="32.25" customHeight="1" x14ac:dyDescent="0.25">
      <c r="A51" s="260"/>
      <c r="B51" s="264"/>
      <c r="C51" s="260"/>
      <c r="D51" s="259"/>
      <c r="E51" s="259"/>
      <c r="F51" s="259"/>
    </row>
    <row r="52" spans="1:6" ht="32.25" customHeight="1" x14ac:dyDescent="0.25">
      <c r="A52" s="260"/>
      <c r="B52" s="264"/>
      <c r="C52" s="260"/>
      <c r="D52" s="259"/>
      <c r="E52" s="259"/>
      <c r="F52" s="259"/>
    </row>
    <row r="53" spans="1:6" ht="32.25" customHeight="1" x14ac:dyDescent="0.25">
      <c r="A53" s="260"/>
      <c r="B53" s="264"/>
      <c r="C53" s="260"/>
      <c r="D53" s="259"/>
      <c r="E53" s="259"/>
      <c r="F53" s="259"/>
    </row>
    <row r="54" spans="1:6" ht="32.25" customHeight="1" x14ac:dyDescent="0.25">
      <c r="A54" s="260"/>
      <c r="B54" s="264"/>
      <c r="C54" s="260"/>
      <c r="D54" s="259"/>
      <c r="E54" s="259"/>
      <c r="F54" s="259"/>
    </row>
    <row r="55" spans="1:6" ht="32.25" customHeight="1" x14ac:dyDescent="0.25">
      <c r="A55" s="260"/>
      <c r="B55" s="264"/>
      <c r="C55" s="260"/>
      <c r="D55" s="259"/>
      <c r="E55" s="259"/>
      <c r="F55" s="259"/>
    </row>
    <row r="56" spans="1:6" ht="32.25" customHeight="1" x14ac:dyDescent="0.25">
      <c r="A56" s="260"/>
      <c r="B56" s="264"/>
      <c r="C56" s="260"/>
      <c r="D56" s="259"/>
      <c r="E56" s="259"/>
      <c r="F56" s="259"/>
    </row>
    <row r="57" spans="1:6" ht="32.25" customHeight="1" x14ac:dyDescent="0.25">
      <c r="A57" s="260"/>
      <c r="B57" s="264"/>
      <c r="C57" s="260"/>
      <c r="D57" s="259"/>
      <c r="E57" s="259"/>
      <c r="F57" s="259"/>
    </row>
    <row r="58" spans="1:6" ht="32.25" customHeight="1" x14ac:dyDescent="0.25">
      <c r="A58" s="260"/>
      <c r="B58" s="264"/>
      <c r="C58" s="260"/>
      <c r="D58" s="259"/>
      <c r="E58" s="259"/>
      <c r="F58" s="259"/>
    </row>
    <row r="59" spans="1:6" ht="32.25" customHeight="1" x14ac:dyDescent="0.25">
      <c r="A59" s="260"/>
      <c r="B59" s="260"/>
      <c r="C59" s="260"/>
      <c r="D59" s="259"/>
      <c r="E59" s="259"/>
      <c r="F59" s="259"/>
    </row>
    <row r="60" spans="1:6" ht="32.25" customHeight="1" x14ac:dyDescent="0.25">
      <c r="A60" s="260"/>
      <c r="B60" s="260"/>
      <c r="C60" s="260"/>
      <c r="D60" s="259"/>
      <c r="E60" s="259"/>
      <c r="F60" s="259"/>
    </row>
    <row r="61" spans="1:6" ht="32.25" customHeight="1" x14ac:dyDescent="0.25">
      <c r="A61" s="260"/>
      <c r="B61" s="260"/>
      <c r="C61" s="260"/>
      <c r="D61" s="259"/>
      <c r="E61" s="259"/>
      <c r="F61" s="259"/>
    </row>
    <row r="62" spans="1:6" ht="32.25" customHeight="1" x14ac:dyDescent="0.25">
      <c r="A62" s="260"/>
      <c r="B62" s="260"/>
      <c r="C62" s="260"/>
      <c r="D62" s="259"/>
      <c r="E62" s="259"/>
      <c r="F62" s="259"/>
    </row>
    <row r="63" spans="1:6" ht="32.25" customHeight="1" x14ac:dyDescent="0.25">
      <c r="A63" s="260"/>
      <c r="B63" s="260"/>
      <c r="C63" s="260"/>
      <c r="D63" s="259"/>
      <c r="E63" s="259"/>
      <c r="F63" s="259"/>
    </row>
    <row r="64" spans="1:6" ht="32.25" customHeight="1" x14ac:dyDescent="0.25">
      <c r="A64" s="260"/>
      <c r="B64" s="260"/>
      <c r="C64" s="260"/>
      <c r="D64" s="259"/>
      <c r="E64" s="259"/>
      <c r="F64" s="259"/>
    </row>
    <row r="65" spans="1:6" ht="32.25" customHeight="1" x14ac:dyDescent="0.25">
      <c r="A65" s="260"/>
      <c r="B65" s="260"/>
      <c r="C65" s="260"/>
      <c r="D65" s="259"/>
      <c r="E65" s="259"/>
      <c r="F65" s="259"/>
    </row>
    <row r="66" spans="1:6" ht="32.25" customHeight="1" x14ac:dyDescent="0.25">
      <c r="A66" s="260"/>
      <c r="B66" s="260"/>
      <c r="C66" s="260"/>
      <c r="D66" s="259"/>
      <c r="E66" s="259"/>
      <c r="F66" s="259"/>
    </row>
    <row r="67" spans="1:6" ht="32.25" customHeight="1" x14ac:dyDescent="0.25">
      <c r="A67" s="260"/>
      <c r="B67" s="260"/>
      <c r="C67" s="260"/>
      <c r="D67" s="259"/>
      <c r="E67" s="259"/>
      <c r="F67" s="259"/>
    </row>
    <row r="68" spans="1:6" ht="32.25" customHeight="1" x14ac:dyDescent="0.25">
      <c r="A68" s="260"/>
      <c r="B68" s="260"/>
      <c r="C68" s="260"/>
      <c r="D68" s="259"/>
      <c r="E68" s="259"/>
      <c r="F68" s="259"/>
    </row>
    <row r="69" spans="1:6" ht="32.25" customHeight="1" x14ac:dyDescent="0.25">
      <c r="A69" s="260"/>
      <c r="B69" s="260"/>
      <c r="C69" s="260"/>
      <c r="D69" s="259"/>
      <c r="E69" s="259"/>
      <c r="F69" s="259"/>
    </row>
    <row r="70" spans="1:6" ht="32.25" customHeight="1" x14ac:dyDescent="0.25">
      <c r="A70" s="260"/>
      <c r="B70" s="260"/>
      <c r="C70" s="260"/>
      <c r="D70" s="259"/>
      <c r="E70" s="259"/>
      <c r="F70" s="259"/>
    </row>
    <row r="71" spans="1:6" ht="32.25" customHeight="1" x14ac:dyDescent="0.25">
      <c r="A71" s="260"/>
      <c r="B71" s="260"/>
      <c r="C71" s="260"/>
      <c r="D71" s="259"/>
      <c r="E71" s="259"/>
      <c r="F71" s="259"/>
    </row>
    <row r="72" spans="1:6" ht="32.25" customHeight="1" x14ac:dyDescent="0.25">
      <c r="A72" s="260"/>
      <c r="B72" s="260"/>
      <c r="C72" s="260"/>
      <c r="D72" s="259"/>
      <c r="E72" s="259"/>
      <c r="F72" s="259"/>
    </row>
    <row r="73" spans="1:6" ht="32.25" customHeight="1" x14ac:dyDescent="0.25">
      <c r="A73" s="260"/>
      <c r="B73" s="260"/>
      <c r="C73" s="260"/>
      <c r="D73" s="259"/>
      <c r="E73" s="259"/>
      <c r="F73" s="259"/>
    </row>
    <row r="74" spans="1:6" ht="32.25" customHeight="1" x14ac:dyDescent="0.25">
      <c r="A74" s="260"/>
      <c r="B74" s="260"/>
      <c r="C74" s="260"/>
      <c r="D74" s="259"/>
      <c r="E74" s="259"/>
      <c r="F74" s="259"/>
    </row>
    <row r="75" spans="1:6" ht="32.25" customHeight="1" x14ac:dyDescent="0.25">
      <c r="A75" s="260"/>
      <c r="B75" s="260"/>
      <c r="C75" s="260"/>
      <c r="D75" s="259"/>
      <c r="E75" s="259"/>
      <c r="F75" s="259"/>
    </row>
    <row r="76" spans="1:6" ht="32.25" customHeight="1" x14ac:dyDescent="0.25">
      <c r="A76" s="260"/>
      <c r="B76" s="260"/>
      <c r="C76" s="260"/>
      <c r="D76" s="259"/>
      <c r="E76" s="259"/>
      <c r="F76" s="259"/>
    </row>
    <row r="77" spans="1:6" ht="32.25" customHeight="1" x14ac:dyDescent="0.25">
      <c r="A77" s="260"/>
      <c r="B77" s="260"/>
      <c r="C77" s="260"/>
      <c r="D77" s="259"/>
      <c r="E77" s="259"/>
      <c r="F77" s="259"/>
    </row>
    <row r="78" spans="1:6" ht="32.25" customHeight="1" x14ac:dyDescent="0.25">
      <c r="A78" s="260"/>
      <c r="B78" s="260"/>
      <c r="C78" s="260"/>
      <c r="D78" s="259"/>
      <c r="E78" s="259"/>
      <c r="F78" s="259"/>
    </row>
    <row r="79" spans="1:6" ht="32.25" customHeight="1" x14ac:dyDescent="0.25">
      <c r="A79" s="260"/>
      <c r="B79" s="260"/>
      <c r="C79" s="260"/>
      <c r="D79" s="259"/>
      <c r="E79" s="259"/>
      <c r="F79" s="259"/>
    </row>
    <row r="80" spans="1:6" ht="32.25" customHeight="1" x14ac:dyDescent="0.25">
      <c r="A80" s="260"/>
      <c r="B80" s="260"/>
      <c r="C80" s="260"/>
      <c r="D80" s="259"/>
      <c r="E80" s="259"/>
      <c r="F80" s="259"/>
    </row>
    <row r="81" spans="1:6" x14ac:dyDescent="0.25">
      <c r="A81" s="260"/>
      <c r="B81" s="260"/>
      <c r="C81" s="260"/>
      <c r="D81" s="259"/>
      <c r="E81" s="259"/>
      <c r="F81" s="259"/>
    </row>
    <row r="82" spans="1:6" x14ac:dyDescent="0.25">
      <c r="A82" s="260"/>
      <c r="B82" s="260"/>
      <c r="C82" s="260"/>
      <c r="D82" s="259"/>
      <c r="E82" s="259"/>
      <c r="F82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62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  <col min="9" max="9" width="11.85546875" customWidth="1"/>
  </cols>
  <sheetData>
    <row r="1" spans="1:8" x14ac:dyDescent="0.25">
      <c r="A1" s="1"/>
      <c r="B1" s="252"/>
      <c r="G1" s="1" t="s">
        <v>16</v>
      </c>
    </row>
    <row r="2" spans="1:8" x14ac:dyDescent="0.25">
      <c r="A2" s="411" t="s">
        <v>3</v>
      </c>
      <c r="B2" s="411"/>
      <c r="C2" s="411"/>
      <c r="D2" s="411"/>
      <c r="E2" s="411"/>
      <c r="F2" s="411"/>
    </row>
    <row r="3" spans="1:8" x14ac:dyDescent="0.25">
      <c r="A3" t="s">
        <v>4</v>
      </c>
      <c r="D3" s="2" t="s">
        <v>27</v>
      </c>
    </row>
    <row r="4" spans="1:8" x14ac:dyDescent="0.25">
      <c r="E4" s="2" t="s">
        <v>9</v>
      </c>
      <c r="F4" s="2">
        <v>67920000</v>
      </c>
    </row>
    <row r="5" spans="1:8" x14ac:dyDescent="0.25">
      <c r="A5" t="s">
        <v>13</v>
      </c>
      <c r="D5" s="3">
        <f ca="1">+'Tổng hợp'!$G$2</f>
        <v>45784</v>
      </c>
      <c r="E5" s="2" t="s">
        <v>10</v>
      </c>
      <c r="F5" s="2">
        <f>SUM(D10:D201)</f>
        <v>5265671598.2981815</v>
      </c>
    </row>
    <row r="6" spans="1:8" x14ac:dyDescent="0.25">
      <c r="E6" s="2" t="s">
        <v>11</v>
      </c>
      <c r="F6" s="2">
        <f>SUM(E10:E201)</f>
        <v>5158499198</v>
      </c>
    </row>
    <row r="7" spans="1:8" x14ac:dyDescent="0.25">
      <c r="E7" s="2" t="s">
        <v>12</v>
      </c>
      <c r="F7" s="2">
        <f>+F4+F5-F6</f>
        <v>175092400.29818153</v>
      </c>
    </row>
    <row r="8" spans="1:8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8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8" x14ac:dyDescent="0.25">
      <c r="A10" s="15">
        <v>1</v>
      </c>
      <c r="B10" s="261">
        <v>43630</v>
      </c>
      <c r="C10" s="260" t="s">
        <v>225</v>
      </c>
      <c r="D10" s="259"/>
      <c r="E10" s="259">
        <v>45950000</v>
      </c>
      <c r="F10" s="259">
        <f>F4+D10-E10</f>
        <v>21970000</v>
      </c>
    </row>
    <row r="11" spans="1:8" x14ac:dyDescent="0.25">
      <c r="A11" s="15">
        <v>2</v>
      </c>
      <c r="B11" s="261">
        <v>43645</v>
      </c>
      <c r="C11" s="260" t="s">
        <v>187</v>
      </c>
      <c r="D11" s="259">
        <v>23880000</v>
      </c>
      <c r="E11" s="259"/>
      <c r="F11" s="259">
        <f>F10+D11-E11</f>
        <v>45850000</v>
      </c>
    </row>
    <row r="12" spans="1:8" x14ac:dyDescent="0.25">
      <c r="A12" s="15">
        <v>3</v>
      </c>
      <c r="B12" s="261">
        <v>43658</v>
      </c>
      <c r="C12" s="260" t="s">
        <v>226</v>
      </c>
      <c r="D12" s="259"/>
      <c r="E12" s="259">
        <v>21970000</v>
      </c>
      <c r="F12" s="259">
        <f t="shared" ref="F12:F76" si="0">F11+D12-E12</f>
        <v>23880000</v>
      </c>
    </row>
    <row r="13" spans="1:8" x14ac:dyDescent="0.25">
      <c r="A13" s="15">
        <v>4</v>
      </c>
      <c r="B13" s="261">
        <v>43677</v>
      </c>
      <c r="C13" s="260" t="s">
        <v>230</v>
      </c>
      <c r="D13" s="259">
        <v>70380000</v>
      </c>
      <c r="E13" s="259"/>
      <c r="F13" s="259">
        <f t="shared" si="0"/>
        <v>94260000</v>
      </c>
      <c r="H13" t="s">
        <v>231</v>
      </c>
    </row>
    <row r="14" spans="1:8" x14ac:dyDescent="0.25">
      <c r="A14" s="15">
        <v>5</v>
      </c>
      <c r="B14" s="261">
        <v>43686</v>
      </c>
      <c r="C14" s="260" t="s">
        <v>220</v>
      </c>
      <c r="D14" s="259"/>
      <c r="E14" s="259">
        <v>23880000</v>
      </c>
      <c r="F14" s="259">
        <f t="shared" si="0"/>
        <v>70380000</v>
      </c>
    </row>
    <row r="15" spans="1:8" x14ac:dyDescent="0.25">
      <c r="A15" s="15">
        <v>6</v>
      </c>
      <c r="B15" s="261" t="s">
        <v>238</v>
      </c>
      <c r="C15" s="260" t="s">
        <v>248</v>
      </c>
      <c r="D15" s="259">
        <v>46949000</v>
      </c>
      <c r="E15" s="259"/>
      <c r="F15" s="259">
        <f t="shared" si="0"/>
        <v>117329000</v>
      </c>
      <c r="H15" t="s">
        <v>260</v>
      </c>
    </row>
    <row r="16" spans="1:8" x14ac:dyDescent="0.25">
      <c r="A16" s="15">
        <v>7</v>
      </c>
      <c r="B16" s="261">
        <v>43625</v>
      </c>
      <c r="C16" s="260" t="s">
        <v>247</v>
      </c>
      <c r="D16" s="259"/>
      <c r="E16" s="259">
        <v>70380000</v>
      </c>
      <c r="F16" s="259">
        <f t="shared" si="0"/>
        <v>46949000</v>
      </c>
    </row>
    <row r="17" spans="1:6" x14ac:dyDescent="0.25">
      <c r="A17" s="15">
        <v>8</v>
      </c>
      <c r="B17" s="261" t="s">
        <v>277</v>
      </c>
      <c r="C17" s="260" t="s">
        <v>302</v>
      </c>
      <c r="D17" s="259">
        <v>32730000</v>
      </c>
      <c r="E17" s="259"/>
      <c r="F17" s="259">
        <f t="shared" si="0"/>
        <v>79679000</v>
      </c>
    </row>
    <row r="18" spans="1:6" x14ac:dyDescent="0.25">
      <c r="A18" s="15">
        <v>9</v>
      </c>
      <c r="B18" s="274">
        <v>43742</v>
      </c>
      <c r="C18" s="260" t="s">
        <v>282</v>
      </c>
      <c r="D18" s="259"/>
      <c r="E18" s="259">
        <v>46949000</v>
      </c>
      <c r="F18" s="259">
        <f t="shared" si="0"/>
        <v>32730000</v>
      </c>
    </row>
    <row r="19" spans="1:6" x14ac:dyDescent="0.25">
      <c r="A19" s="15">
        <v>10</v>
      </c>
      <c r="B19" s="274" t="s">
        <v>309</v>
      </c>
      <c r="C19" s="260" t="s">
        <v>318</v>
      </c>
      <c r="D19" s="259">
        <v>74220000</v>
      </c>
      <c r="E19" s="259"/>
      <c r="F19" s="259">
        <f t="shared" si="0"/>
        <v>106950000</v>
      </c>
    </row>
    <row r="20" spans="1:6" x14ac:dyDescent="0.25">
      <c r="A20" s="15">
        <v>11</v>
      </c>
      <c r="B20" s="274">
        <v>43775</v>
      </c>
      <c r="C20" s="260" t="s">
        <v>317</v>
      </c>
      <c r="D20" s="259"/>
      <c r="E20" s="259">
        <v>32730000</v>
      </c>
      <c r="F20" s="259">
        <f t="shared" si="0"/>
        <v>74220000</v>
      </c>
    </row>
    <row r="21" spans="1:6" x14ac:dyDescent="0.25">
      <c r="A21" s="15">
        <v>12</v>
      </c>
      <c r="B21" s="274" t="s">
        <v>342</v>
      </c>
      <c r="C21" s="260" t="s">
        <v>346</v>
      </c>
      <c r="D21" s="259">
        <v>55840000</v>
      </c>
      <c r="E21" s="259"/>
      <c r="F21" s="259">
        <f t="shared" si="0"/>
        <v>130060000</v>
      </c>
    </row>
    <row r="22" spans="1:6" x14ac:dyDescent="0.25">
      <c r="A22" s="15">
        <v>13</v>
      </c>
      <c r="B22" s="274" t="s">
        <v>342</v>
      </c>
      <c r="C22" s="260" t="s">
        <v>358</v>
      </c>
      <c r="D22" s="259">
        <v>1300000</v>
      </c>
      <c r="E22" s="259"/>
      <c r="F22" s="259">
        <f t="shared" si="0"/>
        <v>131360000</v>
      </c>
    </row>
    <row r="23" spans="1:6" x14ac:dyDescent="0.25">
      <c r="A23" s="15">
        <v>14</v>
      </c>
      <c r="B23" s="261">
        <v>43628</v>
      </c>
      <c r="C23" s="260" t="s">
        <v>353</v>
      </c>
      <c r="D23" s="259"/>
      <c r="E23" s="259">
        <v>74220000</v>
      </c>
      <c r="F23" s="259">
        <f t="shared" si="0"/>
        <v>57140000</v>
      </c>
    </row>
    <row r="24" spans="1:6" x14ac:dyDescent="0.25">
      <c r="A24" s="15">
        <v>15</v>
      </c>
      <c r="B24" s="262" t="s">
        <v>376</v>
      </c>
      <c r="C24" s="260" t="s">
        <v>378</v>
      </c>
      <c r="D24" s="259">
        <v>48680000</v>
      </c>
      <c r="E24" s="259"/>
      <c r="F24" s="259">
        <f t="shared" si="0"/>
        <v>105820000</v>
      </c>
    </row>
    <row r="25" spans="1:6" x14ac:dyDescent="0.25">
      <c r="A25" s="15">
        <v>16</v>
      </c>
      <c r="B25" s="261">
        <v>43891</v>
      </c>
      <c r="C25" s="260" t="s">
        <v>388</v>
      </c>
      <c r="D25" s="259"/>
      <c r="E25" s="259">
        <v>55840000</v>
      </c>
      <c r="F25" s="259">
        <f t="shared" si="0"/>
        <v>49980000</v>
      </c>
    </row>
    <row r="26" spans="1:6" x14ac:dyDescent="0.25">
      <c r="A26" s="15">
        <v>17</v>
      </c>
      <c r="B26" s="262" t="s">
        <v>389</v>
      </c>
      <c r="C26" s="260" t="s">
        <v>390</v>
      </c>
      <c r="D26" s="259"/>
      <c r="E26" s="259">
        <v>1300000</v>
      </c>
      <c r="F26" s="259">
        <f t="shared" si="0"/>
        <v>48680000</v>
      </c>
    </row>
    <row r="27" spans="1:6" x14ac:dyDescent="0.25">
      <c r="A27" s="15">
        <v>18</v>
      </c>
      <c r="B27" s="261">
        <v>44014</v>
      </c>
      <c r="C27" s="260" t="s">
        <v>408</v>
      </c>
      <c r="D27" s="259"/>
      <c r="E27" s="259">
        <v>48680000</v>
      </c>
      <c r="F27" s="259">
        <f t="shared" si="0"/>
        <v>0</v>
      </c>
    </row>
    <row r="28" spans="1:6" x14ac:dyDescent="0.25">
      <c r="A28" s="15">
        <v>19</v>
      </c>
      <c r="B28" s="262" t="s">
        <v>400</v>
      </c>
      <c r="C28" s="260" t="s">
        <v>404</v>
      </c>
      <c r="D28" s="259">
        <f>43006000+3450000</f>
        <v>46456000</v>
      </c>
      <c r="E28" s="259"/>
      <c r="F28" s="259">
        <f t="shared" si="0"/>
        <v>46456000</v>
      </c>
    </row>
    <row r="29" spans="1:6" x14ac:dyDescent="0.25">
      <c r="A29" s="15">
        <v>20</v>
      </c>
      <c r="B29" s="261">
        <v>43985</v>
      </c>
      <c r="C29" s="260" t="s">
        <v>388</v>
      </c>
      <c r="D29" s="259"/>
      <c r="E29" s="259">
        <v>46456000</v>
      </c>
      <c r="F29" s="259">
        <f t="shared" si="0"/>
        <v>0</v>
      </c>
    </row>
    <row r="30" spans="1:6" x14ac:dyDescent="0.25">
      <c r="A30" s="15">
        <v>21</v>
      </c>
      <c r="B30" s="262" t="s">
        <v>420</v>
      </c>
      <c r="C30" s="260" t="s">
        <v>422</v>
      </c>
      <c r="D30" s="259">
        <v>47420000</v>
      </c>
      <c r="E30" s="259"/>
      <c r="F30" s="259">
        <f t="shared" si="0"/>
        <v>47420000</v>
      </c>
    </row>
    <row r="31" spans="1:6" x14ac:dyDescent="0.25">
      <c r="A31" s="15">
        <v>22</v>
      </c>
      <c r="B31" s="262" t="s">
        <v>449</v>
      </c>
      <c r="C31" s="260" t="s">
        <v>460</v>
      </c>
      <c r="D31" s="259">
        <v>70280000</v>
      </c>
      <c r="E31" s="259"/>
      <c r="F31" s="259">
        <f t="shared" si="0"/>
        <v>117700000</v>
      </c>
    </row>
    <row r="32" spans="1:6" x14ac:dyDescent="0.25">
      <c r="A32" s="15">
        <v>23</v>
      </c>
      <c r="B32" s="261">
        <v>43894</v>
      </c>
      <c r="C32" s="260" t="s">
        <v>451</v>
      </c>
      <c r="D32" s="259"/>
      <c r="E32" s="259">
        <v>47420000</v>
      </c>
      <c r="F32" s="259">
        <f t="shared" si="0"/>
        <v>70280000</v>
      </c>
    </row>
    <row r="33" spans="1:6" x14ac:dyDescent="0.25">
      <c r="A33" s="15">
        <v>24</v>
      </c>
      <c r="B33" s="262" t="s">
        <v>485</v>
      </c>
      <c r="C33" s="260" t="s">
        <v>493</v>
      </c>
      <c r="D33" s="259">
        <v>42720000</v>
      </c>
      <c r="E33" s="259"/>
      <c r="F33" s="259">
        <f t="shared" si="0"/>
        <v>113000000</v>
      </c>
    </row>
    <row r="34" spans="1:6" x14ac:dyDescent="0.25">
      <c r="A34" s="15">
        <v>25</v>
      </c>
      <c r="B34" s="261">
        <v>44048</v>
      </c>
      <c r="C34" s="260" t="s">
        <v>388</v>
      </c>
      <c r="D34" s="259"/>
      <c r="E34" s="259">
        <v>70280000</v>
      </c>
      <c r="F34" s="259">
        <f t="shared" si="0"/>
        <v>42720000</v>
      </c>
    </row>
    <row r="35" spans="1:6" x14ac:dyDescent="0.25">
      <c r="A35" s="15">
        <v>26</v>
      </c>
      <c r="B35" s="261" t="s">
        <v>505</v>
      </c>
      <c r="C35" s="260" t="s">
        <v>510</v>
      </c>
      <c r="D35" s="259">
        <v>30300000</v>
      </c>
      <c r="E35" s="259"/>
      <c r="F35" s="259">
        <f t="shared" si="0"/>
        <v>73020000</v>
      </c>
    </row>
    <row r="36" spans="1:6" x14ac:dyDescent="0.25">
      <c r="A36" s="15">
        <v>27</v>
      </c>
      <c r="B36" s="261" t="s">
        <v>505</v>
      </c>
      <c r="C36" s="260" t="s">
        <v>511</v>
      </c>
      <c r="D36" s="259">
        <v>2100000</v>
      </c>
      <c r="E36" s="259"/>
      <c r="F36" s="259">
        <f t="shared" si="0"/>
        <v>75120000</v>
      </c>
    </row>
    <row r="37" spans="1:6" x14ac:dyDescent="0.25">
      <c r="A37" s="15">
        <v>28</v>
      </c>
      <c r="B37" s="261" t="s">
        <v>505</v>
      </c>
      <c r="C37" s="260" t="s">
        <v>512</v>
      </c>
      <c r="D37" s="279">
        <f>6400000/1.1</f>
        <v>5818181.8181818174</v>
      </c>
      <c r="E37" s="259"/>
      <c r="F37" s="259">
        <f t="shared" si="0"/>
        <v>80938181.818181813</v>
      </c>
    </row>
    <row r="38" spans="1:6" x14ac:dyDescent="0.25">
      <c r="A38" s="15">
        <v>29</v>
      </c>
      <c r="B38" s="261">
        <v>43957</v>
      </c>
      <c r="C38" s="260" t="s">
        <v>388</v>
      </c>
      <c r="D38" s="259"/>
      <c r="E38" s="259">
        <v>42720000</v>
      </c>
      <c r="F38" s="259">
        <f t="shared" si="0"/>
        <v>38218181.818181813</v>
      </c>
    </row>
    <row r="39" spans="1:6" x14ac:dyDescent="0.25">
      <c r="A39" s="15">
        <v>30</v>
      </c>
      <c r="B39" s="261">
        <v>43897</v>
      </c>
      <c r="C39" s="260" t="s">
        <v>408</v>
      </c>
      <c r="D39" s="259"/>
      <c r="E39" s="259">
        <v>30300000</v>
      </c>
      <c r="F39" s="259">
        <f t="shared" si="0"/>
        <v>7918181.8181818128</v>
      </c>
    </row>
    <row r="40" spans="1:6" x14ac:dyDescent="0.25">
      <c r="A40" s="15">
        <v>31</v>
      </c>
      <c r="B40" s="261">
        <v>44012</v>
      </c>
      <c r="C40" s="260" t="s">
        <v>545</v>
      </c>
      <c r="D40" s="259">
        <v>72250000</v>
      </c>
      <c r="E40" s="259"/>
      <c r="F40" s="259">
        <f t="shared" si="0"/>
        <v>80168181.818181813</v>
      </c>
    </row>
    <row r="41" spans="1:6" x14ac:dyDescent="0.25">
      <c r="A41" s="262">
        <v>32</v>
      </c>
      <c r="B41" s="261">
        <v>44036</v>
      </c>
      <c r="C41" s="260" t="s">
        <v>561</v>
      </c>
      <c r="D41" s="259"/>
      <c r="E41" s="259">
        <v>2100000</v>
      </c>
      <c r="F41" s="259">
        <f t="shared" si="0"/>
        <v>78068181.818181813</v>
      </c>
    </row>
    <row r="42" spans="1:6" x14ac:dyDescent="0.25">
      <c r="A42" s="262">
        <v>33</v>
      </c>
      <c r="B42" s="261">
        <v>44050</v>
      </c>
      <c r="C42" s="260" t="s">
        <v>572</v>
      </c>
      <c r="D42" s="259"/>
      <c r="E42" s="259">
        <v>72250000</v>
      </c>
      <c r="F42" s="259">
        <f t="shared" si="0"/>
        <v>5818181.8181818128</v>
      </c>
    </row>
    <row r="43" spans="1:6" x14ac:dyDescent="0.25">
      <c r="A43" s="262">
        <v>34</v>
      </c>
      <c r="B43" s="261">
        <v>44043</v>
      </c>
      <c r="C43" s="260" t="s">
        <v>569</v>
      </c>
      <c r="D43" s="259">
        <v>44374000</v>
      </c>
      <c r="E43" s="259"/>
      <c r="F43" s="259">
        <f t="shared" si="0"/>
        <v>50192181.818181813</v>
      </c>
    </row>
    <row r="44" spans="1:6" x14ac:dyDescent="0.25">
      <c r="A44" s="262">
        <v>35</v>
      </c>
      <c r="B44" s="261">
        <v>44068</v>
      </c>
      <c r="C44" s="260" t="s">
        <v>588</v>
      </c>
      <c r="D44" s="259"/>
      <c r="E44" s="259">
        <v>5818182</v>
      </c>
      <c r="F44" s="259">
        <f t="shared" si="0"/>
        <v>44373999.818181813</v>
      </c>
    </row>
    <row r="45" spans="1:6" x14ac:dyDescent="0.25">
      <c r="A45" s="262">
        <v>36</v>
      </c>
      <c r="B45" s="261">
        <v>44074</v>
      </c>
      <c r="C45" s="260" t="s">
        <v>606</v>
      </c>
      <c r="D45" s="259">
        <v>73697000</v>
      </c>
      <c r="E45" s="259"/>
      <c r="F45" s="259">
        <f t="shared" si="0"/>
        <v>118070999.81818181</v>
      </c>
    </row>
    <row r="46" spans="1:6" x14ac:dyDescent="0.25">
      <c r="A46" s="262">
        <v>37</v>
      </c>
      <c r="B46" s="261">
        <v>44099</v>
      </c>
      <c r="C46" s="260" t="s">
        <v>620</v>
      </c>
      <c r="D46" s="259"/>
      <c r="E46" s="259">
        <v>44374000</v>
      </c>
      <c r="F46" s="259">
        <f t="shared" si="0"/>
        <v>73696999.818181813</v>
      </c>
    </row>
    <row r="47" spans="1:6" x14ac:dyDescent="0.25">
      <c r="A47" s="262">
        <v>38</v>
      </c>
      <c r="B47" s="261">
        <v>44104</v>
      </c>
      <c r="C47" s="260" t="s">
        <v>633</v>
      </c>
      <c r="D47" s="259">
        <v>92330000</v>
      </c>
      <c r="E47" s="259"/>
      <c r="F47" s="259">
        <f t="shared" si="0"/>
        <v>166026999.81818181</v>
      </c>
    </row>
    <row r="48" spans="1:6" x14ac:dyDescent="0.25">
      <c r="A48" s="262">
        <v>39</v>
      </c>
      <c r="B48" s="261">
        <v>44120</v>
      </c>
      <c r="C48" s="260" t="s">
        <v>641</v>
      </c>
      <c r="D48" s="259"/>
      <c r="E48" s="259">
        <v>73697000</v>
      </c>
      <c r="F48" s="259">
        <f t="shared" si="0"/>
        <v>92329999.818181813</v>
      </c>
    </row>
    <row r="49" spans="1:6" x14ac:dyDescent="0.25">
      <c r="A49" s="262">
        <v>40</v>
      </c>
      <c r="B49" s="261">
        <v>44135</v>
      </c>
      <c r="C49" s="260" t="s">
        <v>663</v>
      </c>
      <c r="D49" s="259">
        <v>82040000</v>
      </c>
      <c r="E49" s="259"/>
      <c r="F49" s="259">
        <f t="shared" si="0"/>
        <v>174369999.81818181</v>
      </c>
    </row>
    <row r="50" spans="1:6" x14ac:dyDescent="0.25">
      <c r="A50" s="262">
        <v>41</v>
      </c>
      <c r="B50" s="261">
        <v>44148</v>
      </c>
      <c r="C50" s="260" t="s">
        <v>672</v>
      </c>
      <c r="D50" s="259"/>
      <c r="E50" s="259">
        <v>92330000</v>
      </c>
      <c r="F50" s="259">
        <f t="shared" si="0"/>
        <v>82039999.818181813</v>
      </c>
    </row>
    <row r="51" spans="1:6" x14ac:dyDescent="0.25">
      <c r="A51" s="262">
        <v>42</v>
      </c>
      <c r="B51" s="261">
        <v>44165</v>
      </c>
      <c r="C51" s="260" t="s">
        <v>680</v>
      </c>
      <c r="D51" s="259">
        <v>88782000</v>
      </c>
      <c r="E51" s="259"/>
      <c r="F51" s="259">
        <f t="shared" si="0"/>
        <v>170821999.81818181</v>
      </c>
    </row>
    <row r="52" spans="1:6" x14ac:dyDescent="0.25">
      <c r="A52" s="262">
        <v>43</v>
      </c>
      <c r="B52" s="261">
        <v>44176</v>
      </c>
      <c r="C52" s="260" t="s">
        <v>686</v>
      </c>
      <c r="D52" s="259"/>
      <c r="E52" s="259">
        <v>82040000</v>
      </c>
      <c r="F52" s="259">
        <f t="shared" si="0"/>
        <v>88781999.818181813</v>
      </c>
    </row>
    <row r="53" spans="1:6" x14ac:dyDescent="0.25">
      <c r="A53" s="262">
        <v>44</v>
      </c>
      <c r="B53" s="261">
        <v>44196</v>
      </c>
      <c r="C53" s="260" t="s">
        <v>696</v>
      </c>
      <c r="D53" s="259">
        <v>227345000</v>
      </c>
      <c r="E53" s="259"/>
      <c r="F53" s="259">
        <f t="shared" si="0"/>
        <v>316126999.81818181</v>
      </c>
    </row>
    <row r="54" spans="1:6" x14ac:dyDescent="0.25">
      <c r="A54" s="262">
        <v>45</v>
      </c>
      <c r="B54" s="261">
        <v>44204</v>
      </c>
      <c r="C54" s="260" t="s">
        <v>704</v>
      </c>
      <c r="D54" s="259"/>
      <c r="E54" s="259">
        <v>88782000</v>
      </c>
      <c r="F54" s="259">
        <f t="shared" si="0"/>
        <v>227344999.81818181</v>
      </c>
    </row>
    <row r="55" spans="1:6" x14ac:dyDescent="0.25">
      <c r="A55" s="262">
        <v>47</v>
      </c>
      <c r="B55" s="261">
        <v>44227</v>
      </c>
      <c r="C55" s="260" t="s">
        <v>725</v>
      </c>
      <c r="D55" s="259">
        <v>154806000</v>
      </c>
      <c r="E55" s="259"/>
      <c r="F55" s="259">
        <f t="shared" si="0"/>
        <v>382150999.81818181</v>
      </c>
    </row>
    <row r="56" spans="1:6" x14ac:dyDescent="0.25">
      <c r="A56" s="262">
        <v>48</v>
      </c>
      <c r="B56" s="261">
        <v>44232</v>
      </c>
      <c r="C56" s="260" t="s">
        <v>737</v>
      </c>
      <c r="D56" s="259"/>
      <c r="E56" s="259">
        <v>100000000</v>
      </c>
      <c r="F56" s="259">
        <f t="shared" si="0"/>
        <v>282150999.81818181</v>
      </c>
    </row>
    <row r="57" spans="1:6" x14ac:dyDescent="0.25">
      <c r="A57" s="262">
        <v>49</v>
      </c>
      <c r="B57" s="261">
        <v>44235</v>
      </c>
      <c r="C57" s="260" t="s">
        <v>738</v>
      </c>
      <c r="D57" s="259"/>
      <c r="E57" s="259">
        <v>127345000</v>
      </c>
      <c r="F57" s="259">
        <f t="shared" si="0"/>
        <v>154805999.81818181</v>
      </c>
    </row>
    <row r="58" spans="1:6" x14ac:dyDescent="0.25">
      <c r="A58" s="262">
        <v>51</v>
      </c>
      <c r="B58" s="261">
        <v>44255</v>
      </c>
      <c r="C58" s="260" t="s">
        <v>751</v>
      </c>
      <c r="D58" s="259">
        <v>89657000</v>
      </c>
      <c r="E58" s="259"/>
      <c r="F58" s="259">
        <f t="shared" si="0"/>
        <v>244462999.81818181</v>
      </c>
    </row>
    <row r="59" spans="1:6" x14ac:dyDescent="0.25">
      <c r="A59" s="262">
        <v>54</v>
      </c>
      <c r="B59" s="261">
        <v>44267</v>
      </c>
      <c r="C59" s="260" t="s">
        <v>752</v>
      </c>
      <c r="D59" s="259"/>
      <c r="E59" s="259">
        <v>154806000</v>
      </c>
      <c r="F59" s="259">
        <f t="shared" si="0"/>
        <v>89656999.818181813</v>
      </c>
    </row>
    <row r="60" spans="1:6" x14ac:dyDescent="0.25">
      <c r="A60" s="262">
        <v>55</v>
      </c>
      <c r="B60" s="261">
        <v>44295</v>
      </c>
      <c r="C60" s="260" t="s">
        <v>769</v>
      </c>
      <c r="D60" s="259"/>
      <c r="E60" s="259">
        <v>89657000</v>
      </c>
      <c r="F60" s="259">
        <f t="shared" si="0"/>
        <v>-0.18181818723678589</v>
      </c>
    </row>
    <row r="61" spans="1:6" x14ac:dyDescent="0.25">
      <c r="A61" s="262">
        <v>56</v>
      </c>
      <c r="B61" s="261">
        <v>44286</v>
      </c>
      <c r="C61" s="260" t="s">
        <v>778</v>
      </c>
      <c r="D61" s="259">
        <v>84075000</v>
      </c>
      <c r="E61" s="259"/>
      <c r="F61" s="259">
        <f t="shared" si="0"/>
        <v>84074999.818181813</v>
      </c>
    </row>
    <row r="62" spans="1:6" x14ac:dyDescent="0.25">
      <c r="A62" s="262">
        <v>59</v>
      </c>
      <c r="B62" s="261">
        <v>44316</v>
      </c>
      <c r="C62" s="260" t="s">
        <v>797</v>
      </c>
      <c r="D62" s="259">
        <v>115340000</v>
      </c>
      <c r="E62" s="259"/>
      <c r="F62" s="259">
        <f t="shared" si="0"/>
        <v>199414999.81818181</v>
      </c>
    </row>
    <row r="63" spans="1:6" x14ac:dyDescent="0.25">
      <c r="A63" s="262">
        <v>60</v>
      </c>
      <c r="B63" s="261">
        <v>44323</v>
      </c>
      <c r="C63" s="260" t="s">
        <v>798</v>
      </c>
      <c r="D63" s="259"/>
      <c r="E63" s="259">
        <v>84075000</v>
      </c>
      <c r="F63" s="259">
        <f t="shared" si="0"/>
        <v>115339999.81818181</v>
      </c>
    </row>
    <row r="64" spans="1:6" x14ac:dyDescent="0.25">
      <c r="A64" s="262">
        <v>61</v>
      </c>
      <c r="B64" s="261">
        <v>44347</v>
      </c>
      <c r="C64" s="260" t="s">
        <v>848</v>
      </c>
      <c r="D64" s="259">
        <v>104020000</v>
      </c>
      <c r="E64" s="259"/>
      <c r="F64" s="259">
        <f t="shared" si="0"/>
        <v>219359999.81818181</v>
      </c>
    </row>
    <row r="65" spans="1:6" x14ac:dyDescent="0.25">
      <c r="A65" s="262">
        <v>62</v>
      </c>
      <c r="B65" s="261">
        <v>44351</v>
      </c>
      <c r="C65" s="260" t="s">
        <v>841</v>
      </c>
      <c r="D65" s="259"/>
      <c r="E65" s="259">
        <v>115340000</v>
      </c>
      <c r="F65" s="259">
        <f t="shared" si="0"/>
        <v>104019999.81818181</v>
      </c>
    </row>
    <row r="66" spans="1:6" x14ac:dyDescent="0.25">
      <c r="A66" s="262">
        <v>63</v>
      </c>
      <c r="B66" s="261">
        <v>44377</v>
      </c>
      <c r="C66" s="260" t="s">
        <v>863</v>
      </c>
      <c r="D66" s="259">
        <v>81920000</v>
      </c>
      <c r="E66" s="259"/>
      <c r="F66" s="259">
        <f t="shared" si="0"/>
        <v>185939999.81818181</v>
      </c>
    </row>
    <row r="67" spans="1:6" x14ac:dyDescent="0.25">
      <c r="A67" s="262">
        <v>64</v>
      </c>
      <c r="B67" s="261">
        <v>44386</v>
      </c>
      <c r="C67" s="260" t="s">
        <v>864</v>
      </c>
      <c r="D67" s="259"/>
      <c r="E67" s="259">
        <v>104020000</v>
      </c>
      <c r="F67" s="259">
        <f t="shared" si="0"/>
        <v>81919999.818181813</v>
      </c>
    </row>
    <row r="68" spans="1:6" x14ac:dyDescent="0.25">
      <c r="A68" s="262">
        <v>65</v>
      </c>
      <c r="B68" s="261">
        <v>44408</v>
      </c>
      <c r="C68" s="260" t="s">
        <v>896</v>
      </c>
      <c r="D68" s="259">
        <v>19830000</v>
      </c>
      <c r="E68" s="259"/>
      <c r="F68" s="259">
        <f t="shared" si="0"/>
        <v>101749999.81818181</v>
      </c>
    </row>
    <row r="69" spans="1:6" x14ac:dyDescent="0.25">
      <c r="A69" s="262">
        <v>66</v>
      </c>
      <c r="B69" s="261">
        <v>44414</v>
      </c>
      <c r="C69" s="260" t="s">
        <v>895</v>
      </c>
      <c r="D69" s="259"/>
      <c r="E69" s="259">
        <v>81920000</v>
      </c>
      <c r="F69" s="259">
        <f t="shared" si="0"/>
        <v>19829999.818181813</v>
      </c>
    </row>
    <row r="70" spans="1:6" x14ac:dyDescent="0.25">
      <c r="A70" s="262">
        <v>67</v>
      </c>
      <c r="B70" s="261" t="s">
        <v>928</v>
      </c>
      <c r="C70" s="260" t="s">
        <v>929</v>
      </c>
      <c r="D70" s="259">
        <v>27350000</v>
      </c>
      <c r="E70" s="259"/>
      <c r="F70" s="259">
        <f t="shared" si="0"/>
        <v>47179999.818181813</v>
      </c>
    </row>
    <row r="71" spans="1:6" x14ac:dyDescent="0.25">
      <c r="A71" s="262">
        <v>68</v>
      </c>
      <c r="B71" s="261">
        <v>44478</v>
      </c>
      <c r="C71" s="260" t="s">
        <v>930</v>
      </c>
      <c r="D71" s="259"/>
      <c r="E71" s="259">
        <v>19830000</v>
      </c>
      <c r="F71" s="259">
        <f t="shared" si="0"/>
        <v>27349999.818181813</v>
      </c>
    </row>
    <row r="72" spans="1:6" x14ac:dyDescent="0.25">
      <c r="A72" s="262">
        <v>69</v>
      </c>
      <c r="B72" s="261">
        <v>44469</v>
      </c>
      <c r="C72" s="260" t="s">
        <v>952</v>
      </c>
      <c r="D72" s="259">
        <v>58860000</v>
      </c>
      <c r="E72" s="259"/>
      <c r="F72" s="259">
        <f t="shared" si="0"/>
        <v>86209999.818181813</v>
      </c>
    </row>
    <row r="73" spans="1:6" x14ac:dyDescent="0.25">
      <c r="A73" s="262">
        <v>70</v>
      </c>
      <c r="B73" s="261">
        <v>44481</v>
      </c>
      <c r="C73" s="260" t="s">
        <v>975</v>
      </c>
      <c r="D73" s="259"/>
      <c r="E73" s="259">
        <v>27350000</v>
      </c>
      <c r="F73" s="259">
        <f t="shared" si="0"/>
        <v>58859999.818181813</v>
      </c>
    </row>
    <row r="74" spans="1:6" x14ac:dyDescent="0.25">
      <c r="A74" s="262">
        <v>71</v>
      </c>
      <c r="B74" s="261">
        <v>44500</v>
      </c>
      <c r="C74" s="260" t="s">
        <v>983</v>
      </c>
      <c r="D74" s="259">
        <v>81570000</v>
      </c>
      <c r="E74" s="259"/>
      <c r="F74" s="259">
        <f t="shared" si="0"/>
        <v>140429999.81818181</v>
      </c>
    </row>
    <row r="75" spans="1:6" x14ac:dyDescent="0.25">
      <c r="A75" s="262">
        <v>72</v>
      </c>
      <c r="B75" s="261">
        <v>44504</v>
      </c>
      <c r="C75" s="260" t="s">
        <v>988</v>
      </c>
      <c r="D75" s="259"/>
      <c r="E75" s="259">
        <v>58860000</v>
      </c>
      <c r="F75" s="259">
        <f t="shared" si="0"/>
        <v>81569999.818181813</v>
      </c>
    </row>
    <row r="76" spans="1:6" x14ac:dyDescent="0.25">
      <c r="A76" s="262">
        <v>73</v>
      </c>
      <c r="B76" s="261">
        <v>44530</v>
      </c>
      <c r="C76" s="260" t="s">
        <v>1010</v>
      </c>
      <c r="D76" s="259">
        <v>112098063</v>
      </c>
      <c r="E76" s="259"/>
      <c r="F76" s="259">
        <f t="shared" si="0"/>
        <v>193668062.81818181</v>
      </c>
    </row>
    <row r="77" spans="1:6" x14ac:dyDescent="0.25">
      <c r="A77" s="262">
        <v>74</v>
      </c>
      <c r="B77" s="261">
        <v>44540</v>
      </c>
      <c r="C77" s="260" t="s">
        <v>1012</v>
      </c>
      <c r="D77" s="259"/>
      <c r="E77" s="259">
        <v>81570000</v>
      </c>
      <c r="F77" s="259">
        <f t="shared" ref="F77:F141" si="1">F76+D77-E77</f>
        <v>112098062.81818181</v>
      </c>
    </row>
    <row r="78" spans="1:6" x14ac:dyDescent="0.25">
      <c r="A78" s="262">
        <v>75</v>
      </c>
      <c r="B78" s="261">
        <v>44561</v>
      </c>
      <c r="C78" s="260" t="s">
        <v>1020</v>
      </c>
      <c r="D78" s="259">
        <v>160678982</v>
      </c>
      <c r="E78" s="259"/>
      <c r="F78" s="259">
        <f t="shared" si="1"/>
        <v>272777044.81818181</v>
      </c>
    </row>
    <row r="79" spans="1:6" x14ac:dyDescent="0.25">
      <c r="A79" s="262">
        <v>76</v>
      </c>
      <c r="B79" s="261">
        <v>44568</v>
      </c>
      <c r="C79" s="260" t="s">
        <v>1036</v>
      </c>
      <c r="D79" s="259"/>
      <c r="E79" s="259">
        <v>112098063</v>
      </c>
      <c r="F79" s="259">
        <f t="shared" si="1"/>
        <v>160678981.81818181</v>
      </c>
    </row>
    <row r="80" spans="1:6" x14ac:dyDescent="0.25">
      <c r="A80" s="262">
        <v>77</v>
      </c>
      <c r="B80" s="261">
        <v>44588</v>
      </c>
      <c r="C80" s="260" t="s">
        <v>1058</v>
      </c>
      <c r="D80" s="259"/>
      <c r="E80" s="259">
        <v>160678982</v>
      </c>
      <c r="F80" s="259">
        <f t="shared" si="1"/>
        <v>-0.18181818723678589</v>
      </c>
    </row>
    <row r="81" spans="1:6" x14ac:dyDescent="0.25">
      <c r="A81" s="262">
        <v>78</v>
      </c>
      <c r="B81" s="261">
        <v>44588</v>
      </c>
      <c r="C81" s="260" t="s">
        <v>1059</v>
      </c>
      <c r="D81" s="259">
        <v>137668455</v>
      </c>
      <c r="E81" s="259"/>
      <c r="F81" s="259">
        <f t="shared" si="1"/>
        <v>137668454.81818181</v>
      </c>
    </row>
    <row r="82" spans="1:6" x14ac:dyDescent="0.25">
      <c r="A82" s="262">
        <v>79</v>
      </c>
      <c r="B82" s="261">
        <v>44620</v>
      </c>
      <c r="C82" s="260" t="s">
        <v>1072</v>
      </c>
      <c r="D82" s="259">
        <v>79096545</v>
      </c>
      <c r="E82" s="259"/>
      <c r="F82" s="259">
        <f t="shared" si="1"/>
        <v>216764999.81818181</v>
      </c>
    </row>
    <row r="83" spans="1:6" x14ac:dyDescent="0.25">
      <c r="A83" s="262">
        <v>80</v>
      </c>
      <c r="B83" s="261">
        <v>44631</v>
      </c>
      <c r="C83" s="260" t="s">
        <v>1076</v>
      </c>
      <c r="D83" s="259"/>
      <c r="E83" s="259">
        <v>137668455</v>
      </c>
      <c r="F83" s="259">
        <f t="shared" si="1"/>
        <v>79096544.818181813</v>
      </c>
    </row>
    <row r="84" spans="1:6" x14ac:dyDescent="0.25">
      <c r="A84" s="262">
        <v>81</v>
      </c>
      <c r="B84" s="261">
        <v>44651</v>
      </c>
      <c r="C84" s="260" t="s">
        <v>1085</v>
      </c>
      <c r="D84" s="259">
        <v>85493301</v>
      </c>
      <c r="E84" s="259"/>
      <c r="F84" s="259">
        <f t="shared" si="1"/>
        <v>164589845.81818181</v>
      </c>
    </row>
    <row r="85" spans="1:6" x14ac:dyDescent="0.25">
      <c r="A85" s="262">
        <v>82</v>
      </c>
      <c r="B85" s="261">
        <v>44659</v>
      </c>
      <c r="C85" s="260" t="s">
        <v>1100</v>
      </c>
      <c r="D85" s="259"/>
      <c r="E85" s="259">
        <v>79096545</v>
      </c>
      <c r="F85" s="259">
        <f t="shared" si="1"/>
        <v>85493300.818181813</v>
      </c>
    </row>
    <row r="86" spans="1:6" x14ac:dyDescent="0.25">
      <c r="A86" s="262">
        <v>83</v>
      </c>
      <c r="B86" s="261">
        <v>44680</v>
      </c>
      <c r="C86" s="260" t="s">
        <v>1119</v>
      </c>
      <c r="D86" s="259">
        <v>69205761</v>
      </c>
      <c r="E86" s="259"/>
      <c r="F86" s="259">
        <f t="shared" si="1"/>
        <v>154699061.81818181</v>
      </c>
    </row>
    <row r="87" spans="1:6" x14ac:dyDescent="0.25">
      <c r="A87" s="262">
        <v>84</v>
      </c>
      <c r="B87" s="261">
        <v>44694</v>
      </c>
      <c r="C87" s="260" t="s">
        <v>1125</v>
      </c>
      <c r="D87" s="259"/>
      <c r="E87" s="259">
        <v>85493301</v>
      </c>
      <c r="F87" s="259">
        <f t="shared" si="1"/>
        <v>69205760.818181813</v>
      </c>
    </row>
    <row r="88" spans="1:6" x14ac:dyDescent="0.25">
      <c r="A88" s="262">
        <v>85</v>
      </c>
      <c r="B88" s="261">
        <v>44711</v>
      </c>
      <c r="C88" s="260" t="s">
        <v>1160</v>
      </c>
      <c r="D88" s="259">
        <v>69584400</v>
      </c>
      <c r="E88" s="259"/>
      <c r="F88" s="259">
        <f t="shared" si="1"/>
        <v>138790160.81818181</v>
      </c>
    </row>
    <row r="89" spans="1:6" x14ac:dyDescent="0.25">
      <c r="A89" s="262">
        <v>86</v>
      </c>
      <c r="B89" s="261">
        <v>44722</v>
      </c>
      <c r="C89" s="260" t="s">
        <v>1161</v>
      </c>
      <c r="D89" s="259"/>
      <c r="E89" s="259">
        <v>69205761</v>
      </c>
      <c r="F89" s="259">
        <f t="shared" si="1"/>
        <v>69584399.818181813</v>
      </c>
    </row>
    <row r="90" spans="1:6" x14ac:dyDescent="0.25">
      <c r="A90" s="262">
        <v>87</v>
      </c>
      <c r="B90" s="261">
        <v>44742</v>
      </c>
      <c r="C90" s="260" t="s">
        <v>1194</v>
      </c>
      <c r="D90" s="259">
        <v>41699200</v>
      </c>
      <c r="E90" s="259"/>
      <c r="F90" s="259">
        <f t="shared" si="1"/>
        <v>111283599.81818181</v>
      </c>
    </row>
    <row r="91" spans="1:6" x14ac:dyDescent="0.25">
      <c r="A91" s="262">
        <v>88</v>
      </c>
      <c r="B91" s="261">
        <v>44750</v>
      </c>
      <c r="C91" s="260" t="s">
        <v>1168</v>
      </c>
      <c r="D91" s="259"/>
      <c r="E91" s="259">
        <v>69584400</v>
      </c>
      <c r="F91" s="259">
        <f t="shared" si="1"/>
        <v>41699199.818181813</v>
      </c>
    </row>
    <row r="92" spans="1:6" x14ac:dyDescent="0.25">
      <c r="A92" s="262">
        <v>89</v>
      </c>
      <c r="B92" s="261">
        <v>44772</v>
      </c>
      <c r="C92" s="260" t="s">
        <v>1193</v>
      </c>
      <c r="D92" s="259">
        <v>104810320</v>
      </c>
      <c r="E92" s="259"/>
      <c r="F92" s="259">
        <f t="shared" si="1"/>
        <v>146509519.81818181</v>
      </c>
    </row>
    <row r="93" spans="1:6" x14ac:dyDescent="0.25">
      <c r="A93" s="262">
        <v>90</v>
      </c>
      <c r="B93" s="261">
        <v>44778</v>
      </c>
      <c r="C93" s="260" t="s">
        <v>1196</v>
      </c>
      <c r="D93" s="259"/>
      <c r="E93" s="259">
        <v>41699200</v>
      </c>
      <c r="F93" s="259">
        <f t="shared" si="1"/>
        <v>104810319.81818181</v>
      </c>
    </row>
    <row r="94" spans="1:6" x14ac:dyDescent="0.25">
      <c r="A94" s="262">
        <v>91</v>
      </c>
      <c r="B94" s="261">
        <v>44804</v>
      </c>
      <c r="C94" s="260" t="s">
        <v>1228</v>
      </c>
      <c r="D94" s="259">
        <v>56412800</v>
      </c>
      <c r="E94" s="259"/>
      <c r="F94" s="259">
        <f t="shared" si="1"/>
        <v>161223119.81818181</v>
      </c>
    </row>
    <row r="95" spans="1:6" x14ac:dyDescent="0.25">
      <c r="A95" s="262">
        <v>92</v>
      </c>
      <c r="B95" s="261">
        <v>44813</v>
      </c>
      <c r="C95" s="260" t="s">
        <v>1231</v>
      </c>
      <c r="D95" s="259"/>
      <c r="E95" s="259">
        <v>104810320</v>
      </c>
      <c r="F95" s="259">
        <f t="shared" si="1"/>
        <v>56412799.818181813</v>
      </c>
    </row>
    <row r="96" spans="1:6" x14ac:dyDescent="0.25">
      <c r="A96" s="262">
        <v>93</v>
      </c>
      <c r="B96" s="261">
        <v>44833</v>
      </c>
      <c r="C96" s="260" t="s">
        <v>1245</v>
      </c>
      <c r="D96" s="259">
        <v>40465400</v>
      </c>
      <c r="E96" s="259"/>
      <c r="F96" s="259">
        <f t="shared" si="1"/>
        <v>96878199.818181813</v>
      </c>
    </row>
    <row r="97" spans="1:6" x14ac:dyDescent="0.25">
      <c r="A97" s="262">
        <v>94</v>
      </c>
      <c r="B97" s="261">
        <v>44841</v>
      </c>
      <c r="C97" s="260" t="s">
        <v>1249</v>
      </c>
      <c r="D97" s="259"/>
      <c r="E97" s="259">
        <v>56412800</v>
      </c>
      <c r="F97" s="259">
        <f t="shared" si="1"/>
        <v>40465399.818181813</v>
      </c>
    </row>
    <row r="98" spans="1:6" x14ac:dyDescent="0.25">
      <c r="A98" s="262">
        <v>95</v>
      </c>
      <c r="B98" s="261">
        <v>44864</v>
      </c>
      <c r="C98" s="260" t="s">
        <v>1273</v>
      </c>
      <c r="D98" s="259">
        <v>77921600</v>
      </c>
      <c r="E98" s="259"/>
      <c r="F98" s="259">
        <f t="shared" si="1"/>
        <v>118386999.81818181</v>
      </c>
    </row>
    <row r="99" spans="1:6" x14ac:dyDescent="0.25">
      <c r="A99" s="262">
        <v>96</v>
      </c>
      <c r="B99" s="261">
        <v>44876</v>
      </c>
      <c r="C99" s="260" t="s">
        <v>1277</v>
      </c>
      <c r="D99" s="259"/>
      <c r="E99" s="259">
        <v>40465400</v>
      </c>
      <c r="F99" s="259">
        <f t="shared" si="1"/>
        <v>77921599.818181813</v>
      </c>
    </row>
    <row r="100" spans="1:6" x14ac:dyDescent="0.25">
      <c r="A100" s="262">
        <v>97</v>
      </c>
      <c r="B100" s="261">
        <v>44895</v>
      </c>
      <c r="C100" s="260" t="s">
        <v>1294</v>
      </c>
      <c r="D100" s="259">
        <v>61286400</v>
      </c>
      <c r="E100" s="259"/>
      <c r="F100" s="259">
        <f t="shared" si="1"/>
        <v>139207999.81818181</v>
      </c>
    </row>
    <row r="101" spans="1:6" x14ac:dyDescent="0.25">
      <c r="A101" s="262">
        <v>98</v>
      </c>
      <c r="B101" s="261">
        <v>44904</v>
      </c>
      <c r="C101" s="260" t="s">
        <v>1331</v>
      </c>
      <c r="D101" s="259"/>
      <c r="E101" s="259">
        <v>77921600</v>
      </c>
      <c r="F101" s="259">
        <f t="shared" si="1"/>
        <v>61286399.818181813</v>
      </c>
    </row>
    <row r="102" spans="1:6" x14ac:dyDescent="0.25">
      <c r="A102" s="262">
        <v>99</v>
      </c>
      <c r="B102" s="261">
        <v>45290</v>
      </c>
      <c r="C102" s="260" t="s">
        <v>1347</v>
      </c>
      <c r="D102" s="259">
        <v>50429200</v>
      </c>
      <c r="E102" s="259"/>
      <c r="F102" s="259">
        <f t="shared" si="1"/>
        <v>111715599.81818181</v>
      </c>
    </row>
    <row r="103" spans="1:6" x14ac:dyDescent="0.25">
      <c r="A103" s="262">
        <v>100</v>
      </c>
      <c r="B103" s="261">
        <v>44932</v>
      </c>
      <c r="C103" s="260" t="s">
        <v>1352</v>
      </c>
      <c r="D103" s="259"/>
      <c r="E103" s="259">
        <v>61286400</v>
      </c>
      <c r="F103" s="259">
        <f t="shared" si="1"/>
        <v>50429199.818181813</v>
      </c>
    </row>
    <row r="104" spans="1:6" x14ac:dyDescent="0.25">
      <c r="A104" s="262">
        <v>101</v>
      </c>
      <c r="B104" s="261">
        <v>44956</v>
      </c>
      <c r="C104" s="260" t="s">
        <v>1368</v>
      </c>
      <c r="D104" s="259">
        <v>31968800</v>
      </c>
      <c r="E104" s="259"/>
      <c r="F104" s="259">
        <f t="shared" si="1"/>
        <v>82397999.818181813</v>
      </c>
    </row>
    <row r="105" spans="1:6" x14ac:dyDescent="0.25">
      <c r="A105" s="262">
        <v>102</v>
      </c>
      <c r="B105" s="261">
        <v>44967</v>
      </c>
      <c r="C105" s="260" t="s">
        <v>1375</v>
      </c>
      <c r="D105" s="259"/>
      <c r="E105" s="259">
        <v>50429200</v>
      </c>
      <c r="F105" s="259">
        <f t="shared" si="1"/>
        <v>31968799.818181813</v>
      </c>
    </row>
    <row r="106" spans="1:6" x14ac:dyDescent="0.25">
      <c r="A106" s="262">
        <v>103</v>
      </c>
      <c r="B106" s="261">
        <v>44985</v>
      </c>
      <c r="C106" s="260" t="s">
        <v>1396</v>
      </c>
      <c r="D106" s="259">
        <v>78685000</v>
      </c>
      <c r="E106" s="259"/>
      <c r="F106" s="259">
        <f t="shared" si="1"/>
        <v>110653799.81818181</v>
      </c>
    </row>
    <row r="107" spans="1:6" x14ac:dyDescent="0.25">
      <c r="A107" s="262">
        <v>104</v>
      </c>
      <c r="B107" s="261">
        <v>44995</v>
      </c>
      <c r="C107" s="260" t="s">
        <v>1397</v>
      </c>
      <c r="D107" s="259"/>
      <c r="E107" s="259">
        <v>31968800</v>
      </c>
      <c r="F107" s="259">
        <f t="shared" si="1"/>
        <v>78684999.818181813</v>
      </c>
    </row>
    <row r="108" spans="1:6" x14ac:dyDescent="0.25">
      <c r="A108" s="262">
        <v>105</v>
      </c>
      <c r="B108" s="261">
        <v>45015</v>
      </c>
      <c r="C108" s="260" t="s">
        <v>1417</v>
      </c>
      <c r="D108" s="259">
        <v>52748000</v>
      </c>
      <c r="E108" s="259"/>
      <c r="F108" s="259">
        <f t="shared" si="1"/>
        <v>131432999.81818181</v>
      </c>
    </row>
    <row r="109" spans="1:6" x14ac:dyDescent="0.25">
      <c r="A109" s="262">
        <v>106</v>
      </c>
      <c r="B109" s="261">
        <v>45028</v>
      </c>
      <c r="C109" s="260" t="s">
        <v>1423</v>
      </c>
      <c r="D109" s="259"/>
      <c r="E109" s="259">
        <v>78685000</v>
      </c>
      <c r="F109" s="259">
        <f t="shared" si="1"/>
        <v>52747999.818181813</v>
      </c>
    </row>
    <row r="110" spans="1:6" x14ac:dyDescent="0.25">
      <c r="A110" s="262">
        <v>107</v>
      </c>
      <c r="B110" s="261">
        <v>45045</v>
      </c>
      <c r="C110" s="260" t="s">
        <v>1438</v>
      </c>
      <c r="D110" s="259">
        <v>25304000</v>
      </c>
      <c r="E110" s="259"/>
      <c r="F110" s="259">
        <f t="shared" si="1"/>
        <v>78051999.818181813</v>
      </c>
    </row>
    <row r="111" spans="1:6" x14ac:dyDescent="0.25">
      <c r="A111" s="262">
        <v>108</v>
      </c>
      <c r="B111" s="261">
        <v>45058</v>
      </c>
      <c r="C111" s="260" t="s">
        <v>1469</v>
      </c>
      <c r="D111" s="259"/>
      <c r="E111" s="259">
        <v>52748000</v>
      </c>
      <c r="F111" s="259">
        <f t="shared" si="1"/>
        <v>25303999.818181813</v>
      </c>
    </row>
    <row r="112" spans="1:6" x14ac:dyDescent="0.25">
      <c r="A112" s="262">
        <v>109</v>
      </c>
      <c r="B112" s="261">
        <v>45077</v>
      </c>
      <c r="C112" s="260" t="s">
        <v>1484</v>
      </c>
      <c r="D112" s="259">
        <v>19247000</v>
      </c>
      <c r="E112" s="259"/>
      <c r="F112" s="259">
        <f t="shared" si="1"/>
        <v>44550999.818181813</v>
      </c>
    </row>
    <row r="113" spans="1:10" x14ac:dyDescent="0.25">
      <c r="A113" s="262">
        <v>110</v>
      </c>
      <c r="B113" s="261">
        <v>45079</v>
      </c>
      <c r="C113" s="260" t="s">
        <v>1490</v>
      </c>
      <c r="D113" s="259"/>
      <c r="E113" s="259">
        <v>25304000</v>
      </c>
      <c r="F113" s="259">
        <f t="shared" si="1"/>
        <v>19246999.818181813</v>
      </c>
    </row>
    <row r="114" spans="1:10" x14ac:dyDescent="0.25">
      <c r="A114" s="262">
        <v>111</v>
      </c>
      <c r="B114" s="261">
        <v>45107</v>
      </c>
      <c r="C114" s="260" t="s">
        <v>1508</v>
      </c>
      <c r="D114" s="259">
        <v>49915000</v>
      </c>
      <c r="E114" s="259"/>
      <c r="F114" s="259">
        <f t="shared" si="1"/>
        <v>69161999.818181813</v>
      </c>
    </row>
    <row r="115" spans="1:10" x14ac:dyDescent="0.25">
      <c r="A115" s="262">
        <v>112</v>
      </c>
      <c r="B115" s="261">
        <v>45114</v>
      </c>
      <c r="C115" s="260" t="s">
        <v>1528</v>
      </c>
      <c r="D115" s="259"/>
      <c r="E115" s="259">
        <v>19247000</v>
      </c>
      <c r="F115" s="259">
        <f t="shared" si="1"/>
        <v>49914999.818181813</v>
      </c>
    </row>
    <row r="116" spans="1:10" x14ac:dyDescent="0.25">
      <c r="A116" s="262">
        <v>113</v>
      </c>
      <c r="B116" s="261">
        <v>45138</v>
      </c>
      <c r="C116" s="260" t="s">
        <v>1545</v>
      </c>
      <c r="D116" s="259">
        <v>30380400</v>
      </c>
      <c r="E116" s="259"/>
      <c r="F116" s="259">
        <f t="shared" si="1"/>
        <v>80295399.818181813</v>
      </c>
    </row>
    <row r="117" spans="1:10" x14ac:dyDescent="0.25">
      <c r="A117" s="262">
        <v>114</v>
      </c>
      <c r="B117" s="261">
        <v>45142</v>
      </c>
      <c r="C117" s="260" t="s">
        <v>1552</v>
      </c>
      <c r="D117" s="259"/>
      <c r="E117" s="259">
        <v>49915000</v>
      </c>
      <c r="F117" s="259">
        <f t="shared" si="1"/>
        <v>30380399.818181813</v>
      </c>
    </row>
    <row r="118" spans="1:10" x14ac:dyDescent="0.25">
      <c r="A118" s="262">
        <v>115</v>
      </c>
      <c r="B118" s="261">
        <v>45168</v>
      </c>
      <c r="C118" s="281" t="s">
        <v>1571</v>
      </c>
      <c r="D118" s="287">
        <v>17560800</v>
      </c>
      <c r="E118" s="259"/>
      <c r="F118" s="259">
        <f t="shared" si="1"/>
        <v>47941199.818181813</v>
      </c>
      <c r="H118" t="s">
        <v>1612</v>
      </c>
      <c r="I118" t="s">
        <v>1613</v>
      </c>
      <c r="J118" t="s">
        <v>1614</v>
      </c>
    </row>
    <row r="119" spans="1:10" x14ac:dyDescent="0.25">
      <c r="A119" s="262">
        <v>116</v>
      </c>
      <c r="B119" s="261">
        <v>45177</v>
      </c>
      <c r="C119" s="260" t="s">
        <v>1580</v>
      </c>
      <c r="D119" s="259"/>
      <c r="E119" s="259">
        <v>30380400</v>
      </c>
      <c r="F119" s="259">
        <f t="shared" si="1"/>
        <v>17560799.818181813</v>
      </c>
    </row>
    <row r="120" spans="1:10" x14ac:dyDescent="0.25">
      <c r="A120" s="262">
        <v>117</v>
      </c>
      <c r="B120" s="261">
        <v>45199</v>
      </c>
      <c r="C120" s="260" t="s">
        <v>1602</v>
      </c>
      <c r="D120" s="259">
        <v>55701908</v>
      </c>
      <c r="E120" s="259"/>
      <c r="F120" s="259">
        <f t="shared" si="1"/>
        <v>73262707.818181813</v>
      </c>
    </row>
    <row r="121" spans="1:10" x14ac:dyDescent="0.25">
      <c r="A121" s="262">
        <v>118</v>
      </c>
      <c r="B121" s="261">
        <v>45205</v>
      </c>
      <c r="C121" s="281" t="s">
        <v>1611</v>
      </c>
      <c r="D121" s="287"/>
      <c r="E121" s="287">
        <v>17560800</v>
      </c>
      <c r="F121" s="259">
        <f t="shared" si="1"/>
        <v>55701907.818181813</v>
      </c>
    </row>
    <row r="122" spans="1:10" x14ac:dyDescent="0.25">
      <c r="A122" s="262">
        <v>119</v>
      </c>
      <c r="B122" s="261">
        <v>45230</v>
      </c>
      <c r="C122" s="260" t="s">
        <v>1645</v>
      </c>
      <c r="D122" s="259">
        <v>91975602</v>
      </c>
      <c r="E122" s="259"/>
      <c r="F122" s="259">
        <f t="shared" si="1"/>
        <v>147677509.81818181</v>
      </c>
    </row>
    <row r="123" spans="1:10" x14ac:dyDescent="0.25">
      <c r="A123" s="262">
        <v>120</v>
      </c>
      <c r="B123" s="261">
        <v>45240</v>
      </c>
      <c r="C123" s="260" t="s">
        <v>1654</v>
      </c>
      <c r="D123" s="259"/>
      <c r="E123" s="259">
        <v>55701908</v>
      </c>
      <c r="F123" s="259">
        <f t="shared" si="1"/>
        <v>91975601.818181813</v>
      </c>
    </row>
    <row r="124" spans="1:10" x14ac:dyDescent="0.25">
      <c r="A124" s="262">
        <v>121</v>
      </c>
      <c r="B124" s="261">
        <v>45260</v>
      </c>
      <c r="C124" s="260" t="s">
        <v>1668</v>
      </c>
      <c r="D124" s="259">
        <v>111400399</v>
      </c>
      <c r="E124" s="259"/>
      <c r="F124" s="259">
        <f t="shared" si="1"/>
        <v>203376000.81818181</v>
      </c>
    </row>
    <row r="125" spans="1:10" x14ac:dyDescent="0.25">
      <c r="A125" s="262">
        <v>122</v>
      </c>
      <c r="B125" s="261">
        <v>45268</v>
      </c>
      <c r="C125" s="260" t="s">
        <v>1670</v>
      </c>
      <c r="D125" s="259"/>
      <c r="E125" s="259">
        <v>91975602</v>
      </c>
      <c r="F125" s="259">
        <f t="shared" si="1"/>
        <v>111400398.81818181</v>
      </c>
    </row>
    <row r="126" spans="1:10" x14ac:dyDescent="0.25">
      <c r="A126" s="262">
        <v>123</v>
      </c>
      <c r="B126" s="261">
        <v>45657</v>
      </c>
      <c r="C126" s="260" t="s">
        <v>1689</v>
      </c>
      <c r="D126" s="259">
        <v>41342400</v>
      </c>
      <c r="E126" s="259"/>
      <c r="F126" s="259">
        <f t="shared" si="1"/>
        <v>152742798.81818181</v>
      </c>
    </row>
    <row r="127" spans="1:10" x14ac:dyDescent="0.25">
      <c r="A127" s="262">
        <v>124</v>
      </c>
      <c r="B127" s="261">
        <v>45296</v>
      </c>
      <c r="C127" s="260" t="s">
        <v>1690</v>
      </c>
      <c r="D127" s="259"/>
      <c r="E127" s="259">
        <v>111400399</v>
      </c>
      <c r="F127" s="259">
        <f t="shared" si="1"/>
        <v>41342399.818181813</v>
      </c>
    </row>
    <row r="128" spans="1:10" x14ac:dyDescent="0.25">
      <c r="A128" s="262">
        <v>125</v>
      </c>
      <c r="B128" s="261">
        <v>45322</v>
      </c>
      <c r="C128" s="260" t="s">
        <v>1711</v>
      </c>
      <c r="D128" s="259">
        <v>42638680</v>
      </c>
      <c r="E128" s="259"/>
      <c r="F128" s="259">
        <f t="shared" si="1"/>
        <v>83981079.818181813</v>
      </c>
    </row>
    <row r="129" spans="1:6" x14ac:dyDescent="0.25">
      <c r="A129" s="262">
        <v>126</v>
      </c>
      <c r="B129" s="261">
        <v>45324</v>
      </c>
      <c r="C129" s="260" t="s">
        <v>1714</v>
      </c>
      <c r="D129" s="259"/>
      <c r="E129" s="259">
        <v>41342400</v>
      </c>
      <c r="F129" s="259">
        <f t="shared" si="1"/>
        <v>42638679.818181813</v>
      </c>
    </row>
    <row r="130" spans="1:6" x14ac:dyDescent="0.25">
      <c r="A130" s="262">
        <v>127</v>
      </c>
      <c r="B130" s="261">
        <v>45350</v>
      </c>
      <c r="C130" s="260" t="s">
        <v>1721</v>
      </c>
      <c r="D130" s="259">
        <v>43285600</v>
      </c>
      <c r="E130" s="259"/>
      <c r="F130" s="259">
        <f t="shared" si="1"/>
        <v>85924279.818181813</v>
      </c>
    </row>
    <row r="131" spans="1:6" x14ac:dyDescent="0.25">
      <c r="A131" s="262">
        <v>128</v>
      </c>
      <c r="B131" s="261">
        <v>45359</v>
      </c>
      <c r="C131" s="260" t="s">
        <v>1728</v>
      </c>
      <c r="D131" s="259"/>
      <c r="E131" s="259">
        <v>42638680</v>
      </c>
      <c r="F131" s="259">
        <f t="shared" si="1"/>
        <v>43285599.818181813</v>
      </c>
    </row>
    <row r="132" spans="1:6" x14ac:dyDescent="0.25">
      <c r="A132" s="262">
        <v>129</v>
      </c>
      <c r="B132" s="261">
        <v>45380</v>
      </c>
      <c r="C132" s="260" t="s">
        <v>1748</v>
      </c>
      <c r="D132" s="259">
        <v>120687400</v>
      </c>
      <c r="E132" s="259"/>
      <c r="F132" s="259">
        <f t="shared" si="1"/>
        <v>163972999.81818181</v>
      </c>
    </row>
    <row r="133" spans="1:6" x14ac:dyDescent="0.25">
      <c r="A133" s="262">
        <v>130</v>
      </c>
      <c r="B133" s="261">
        <v>45394</v>
      </c>
      <c r="C133" s="260" t="s">
        <v>1752</v>
      </c>
      <c r="D133" s="259"/>
      <c r="E133" s="259">
        <v>43285600</v>
      </c>
      <c r="F133" s="259">
        <f t="shared" si="1"/>
        <v>120687399.81818181</v>
      </c>
    </row>
    <row r="134" spans="1:6" x14ac:dyDescent="0.25">
      <c r="A134" s="262">
        <v>131</v>
      </c>
      <c r="B134" s="261">
        <v>45412</v>
      </c>
      <c r="C134" s="260" t="s">
        <v>1762</v>
      </c>
      <c r="D134" s="259">
        <v>90526800</v>
      </c>
      <c r="E134" s="259"/>
      <c r="F134" s="259">
        <f t="shared" si="1"/>
        <v>211214199.81818181</v>
      </c>
    </row>
    <row r="135" spans="1:6" x14ac:dyDescent="0.25">
      <c r="A135" s="262">
        <v>132</v>
      </c>
      <c r="B135" s="261">
        <v>45423</v>
      </c>
      <c r="C135" s="260" t="s">
        <v>1773</v>
      </c>
      <c r="D135" s="259"/>
      <c r="E135" s="259">
        <v>120687400</v>
      </c>
      <c r="F135" s="259">
        <f t="shared" si="1"/>
        <v>90526799.818181813</v>
      </c>
    </row>
    <row r="136" spans="1:6" x14ac:dyDescent="0.25">
      <c r="A136" s="262">
        <v>133</v>
      </c>
      <c r="B136" s="261">
        <v>45443</v>
      </c>
      <c r="C136" s="260" t="s">
        <v>1793</v>
      </c>
      <c r="D136" s="259">
        <v>30984400</v>
      </c>
      <c r="E136" s="259"/>
      <c r="F136" s="259">
        <f t="shared" si="1"/>
        <v>121511199.81818181</v>
      </c>
    </row>
    <row r="137" spans="1:6" x14ac:dyDescent="0.25">
      <c r="A137" s="262">
        <v>134</v>
      </c>
      <c r="B137" s="261">
        <v>45450</v>
      </c>
      <c r="C137" s="260" t="s">
        <v>1773</v>
      </c>
      <c r="D137" s="259"/>
      <c r="E137" s="259">
        <v>90526800</v>
      </c>
      <c r="F137" s="259">
        <f t="shared" si="1"/>
        <v>30984399.818181813</v>
      </c>
    </row>
    <row r="138" spans="1:6" x14ac:dyDescent="0.25">
      <c r="A138" s="262">
        <v>135</v>
      </c>
      <c r="B138" s="261">
        <v>45473</v>
      </c>
      <c r="C138" s="260" t="s">
        <v>1812</v>
      </c>
      <c r="D138" s="259">
        <v>61946160</v>
      </c>
      <c r="E138" s="259"/>
      <c r="F138" s="259">
        <f t="shared" si="1"/>
        <v>92930559.818181813</v>
      </c>
    </row>
    <row r="139" spans="1:6" x14ac:dyDescent="0.25">
      <c r="A139" s="262">
        <v>136</v>
      </c>
      <c r="B139" s="261">
        <v>45478</v>
      </c>
      <c r="C139" s="260" t="s">
        <v>1773</v>
      </c>
      <c r="D139" s="259"/>
      <c r="E139" s="259">
        <v>30984400</v>
      </c>
      <c r="F139" s="259">
        <f t="shared" si="1"/>
        <v>61946159.818181813</v>
      </c>
    </row>
    <row r="140" spans="1:6" x14ac:dyDescent="0.25">
      <c r="A140" s="262">
        <v>137</v>
      </c>
      <c r="B140" s="261">
        <v>45504</v>
      </c>
      <c r="C140" s="260" t="s">
        <v>1835</v>
      </c>
      <c r="D140" s="259">
        <f>96099556*1.08</f>
        <v>103787520.48</v>
      </c>
      <c r="E140" s="259"/>
      <c r="F140" s="259">
        <f t="shared" si="1"/>
        <v>165733680.29818183</v>
      </c>
    </row>
    <row r="141" spans="1:6" x14ac:dyDescent="0.25">
      <c r="A141" s="262">
        <v>138</v>
      </c>
      <c r="B141" s="261">
        <v>45513</v>
      </c>
      <c r="C141" s="260" t="s">
        <v>1773</v>
      </c>
      <c r="D141" s="259"/>
      <c r="E141" s="259">
        <v>61946160</v>
      </c>
      <c r="F141" s="259">
        <f t="shared" si="1"/>
        <v>103787520.29818183</v>
      </c>
    </row>
    <row r="142" spans="1:6" x14ac:dyDescent="0.25">
      <c r="A142" s="262">
        <v>139</v>
      </c>
      <c r="B142" s="261">
        <v>45534</v>
      </c>
      <c r="C142" s="260" t="s">
        <v>1856</v>
      </c>
      <c r="D142" s="259">
        <v>72266240</v>
      </c>
      <c r="E142" s="259"/>
      <c r="F142" s="259">
        <f t="shared" ref="F142:F159" si="2">F141+D142-E142</f>
        <v>176053760.29818183</v>
      </c>
    </row>
    <row r="143" spans="1:6" x14ac:dyDescent="0.25">
      <c r="A143" s="262">
        <v>140</v>
      </c>
      <c r="B143" s="261">
        <v>45541</v>
      </c>
      <c r="C143" s="260" t="s">
        <v>1773</v>
      </c>
      <c r="D143" s="259"/>
      <c r="E143" s="259">
        <v>103787520</v>
      </c>
      <c r="F143" s="259">
        <f t="shared" si="2"/>
        <v>72266240.298181832</v>
      </c>
    </row>
    <row r="144" spans="1:6" x14ac:dyDescent="0.25">
      <c r="A144" s="262">
        <v>141</v>
      </c>
      <c r="B144" s="261">
        <v>45565</v>
      </c>
      <c r="C144" s="260" t="s">
        <v>1882</v>
      </c>
      <c r="D144" s="259">
        <v>65790720</v>
      </c>
      <c r="E144" s="259"/>
      <c r="F144" s="259">
        <f t="shared" si="2"/>
        <v>138056960.29818183</v>
      </c>
    </row>
    <row r="145" spans="1:6" x14ac:dyDescent="0.25">
      <c r="A145" s="262">
        <v>142</v>
      </c>
      <c r="B145" s="261">
        <v>45569</v>
      </c>
      <c r="C145" s="260" t="s">
        <v>1773</v>
      </c>
      <c r="D145" s="259"/>
      <c r="E145" s="259">
        <v>72266240</v>
      </c>
      <c r="F145" s="259">
        <f t="shared" si="2"/>
        <v>65790720.298181832</v>
      </c>
    </row>
    <row r="146" spans="1:6" x14ac:dyDescent="0.25">
      <c r="A146" s="262">
        <v>143</v>
      </c>
      <c r="B146" s="261">
        <v>45596</v>
      </c>
      <c r="C146" s="260" t="s">
        <v>1902</v>
      </c>
      <c r="D146" s="259">
        <v>92508200</v>
      </c>
      <c r="E146" s="259"/>
      <c r="F146" s="259">
        <f t="shared" si="2"/>
        <v>158298920.29818183</v>
      </c>
    </row>
    <row r="147" spans="1:6" x14ac:dyDescent="0.25">
      <c r="A147" s="262">
        <v>144</v>
      </c>
      <c r="B147" s="261">
        <v>45596</v>
      </c>
      <c r="C147" s="260" t="s">
        <v>1773</v>
      </c>
      <c r="D147" s="259"/>
      <c r="E147" s="259">
        <v>65790720</v>
      </c>
      <c r="F147" s="259">
        <f t="shared" si="2"/>
        <v>92508200.298181832</v>
      </c>
    </row>
    <row r="148" spans="1:6" x14ac:dyDescent="0.25">
      <c r="A148" s="262">
        <v>145</v>
      </c>
      <c r="B148" s="261">
        <v>45595</v>
      </c>
      <c r="C148" s="260" t="s">
        <v>1928</v>
      </c>
      <c r="D148" s="259">
        <v>117119360</v>
      </c>
      <c r="E148" s="259"/>
      <c r="F148" s="259">
        <f t="shared" si="2"/>
        <v>209627560.29818183</v>
      </c>
    </row>
    <row r="149" spans="1:6" x14ac:dyDescent="0.25">
      <c r="A149" s="262">
        <v>146</v>
      </c>
      <c r="B149" s="261">
        <v>45632</v>
      </c>
      <c r="C149" s="260" t="s">
        <v>1773</v>
      </c>
      <c r="D149" s="259"/>
      <c r="E149" s="259">
        <v>92508200</v>
      </c>
      <c r="F149" s="259">
        <f t="shared" si="2"/>
        <v>117119360.29818183</v>
      </c>
    </row>
    <row r="150" spans="1:6" x14ac:dyDescent="0.25">
      <c r="A150" s="262">
        <v>147</v>
      </c>
      <c r="B150" s="261">
        <v>45657</v>
      </c>
      <c r="C150" s="260" t="s">
        <v>1945</v>
      </c>
      <c r="D150" s="259">
        <v>173840600</v>
      </c>
      <c r="E150" s="259"/>
      <c r="F150" s="259">
        <f t="shared" si="2"/>
        <v>290959960.29818183</v>
      </c>
    </row>
    <row r="151" spans="1:6" x14ac:dyDescent="0.25">
      <c r="A151" s="262">
        <v>148</v>
      </c>
      <c r="B151" s="261">
        <v>45663</v>
      </c>
      <c r="C151" s="260" t="s">
        <v>1945</v>
      </c>
      <c r="D151" s="259">
        <v>52600000</v>
      </c>
      <c r="E151" s="259"/>
      <c r="F151" s="259">
        <f t="shared" si="2"/>
        <v>343559960.29818183</v>
      </c>
    </row>
    <row r="152" spans="1:6" x14ac:dyDescent="0.25">
      <c r="A152" s="262">
        <v>149</v>
      </c>
      <c r="B152" s="261">
        <v>45663</v>
      </c>
      <c r="C152" s="260" t="s">
        <v>1773</v>
      </c>
      <c r="D152" s="259"/>
      <c r="E152" s="259">
        <v>117119360</v>
      </c>
      <c r="F152" s="259">
        <f t="shared" si="2"/>
        <v>226440600.29818183</v>
      </c>
    </row>
    <row r="153" spans="1:6" x14ac:dyDescent="0.25">
      <c r="A153" s="262">
        <v>150</v>
      </c>
      <c r="B153" s="261">
        <v>45681</v>
      </c>
      <c r="C153" s="260" t="s">
        <v>1970</v>
      </c>
      <c r="D153" s="259">
        <v>48752160</v>
      </c>
      <c r="E153" s="259"/>
      <c r="F153" s="259">
        <f t="shared" si="2"/>
        <v>275192760.29818183</v>
      </c>
    </row>
    <row r="154" spans="1:6" x14ac:dyDescent="0.25">
      <c r="A154" s="262">
        <v>151</v>
      </c>
      <c r="B154" s="261">
        <v>45695</v>
      </c>
      <c r="C154" s="260" t="s">
        <v>1773</v>
      </c>
      <c r="D154" s="259"/>
      <c r="E154" s="259">
        <v>173840600</v>
      </c>
      <c r="F154" s="259">
        <f t="shared" si="2"/>
        <v>101352160.29818183</v>
      </c>
    </row>
    <row r="155" spans="1:6" x14ac:dyDescent="0.25">
      <c r="A155" s="262">
        <v>152</v>
      </c>
      <c r="B155" s="261">
        <v>45716</v>
      </c>
      <c r="C155" s="260" t="s">
        <v>1980</v>
      </c>
      <c r="D155" s="259">
        <v>123446440</v>
      </c>
      <c r="E155" s="259"/>
      <c r="F155" s="259">
        <f t="shared" si="2"/>
        <v>224798600.29818183</v>
      </c>
    </row>
    <row r="156" spans="1:6" x14ac:dyDescent="0.25">
      <c r="A156" s="262">
        <v>153</v>
      </c>
      <c r="B156" s="261">
        <v>45730</v>
      </c>
      <c r="C156" s="260" t="s">
        <v>1773</v>
      </c>
      <c r="D156" s="259"/>
      <c r="E156" s="259">
        <v>101352160</v>
      </c>
      <c r="F156" s="259">
        <f t="shared" si="2"/>
        <v>123446440.29818183</v>
      </c>
    </row>
    <row r="157" spans="1:6" x14ac:dyDescent="0.25">
      <c r="A157" s="262">
        <v>154</v>
      </c>
      <c r="B157" s="261">
        <v>45747</v>
      </c>
      <c r="C157" s="260" t="s">
        <v>1993</v>
      </c>
      <c r="D157" s="259">
        <v>142231200</v>
      </c>
      <c r="E157" s="259"/>
      <c r="F157" s="259">
        <f t="shared" si="2"/>
        <v>265677640.29818183</v>
      </c>
    </row>
    <row r="158" spans="1:6" x14ac:dyDescent="0.25">
      <c r="A158" s="262">
        <v>155</v>
      </c>
      <c r="B158" s="261">
        <v>45758</v>
      </c>
      <c r="C158" s="260" t="s">
        <v>1773</v>
      </c>
      <c r="D158" s="259"/>
      <c r="E158" s="259">
        <v>123446440</v>
      </c>
      <c r="F158" s="259">
        <f t="shared" si="2"/>
        <v>142231200.29818183</v>
      </c>
    </row>
    <row r="159" spans="1:6" x14ac:dyDescent="0.25">
      <c r="A159" s="262">
        <v>156</v>
      </c>
      <c r="B159" s="261">
        <v>45777</v>
      </c>
      <c r="C159" s="260" t="s">
        <v>2020</v>
      </c>
      <c r="D159" s="259">
        <v>32861200</v>
      </c>
      <c r="E159" s="259"/>
      <c r="F159" s="259">
        <f t="shared" si="2"/>
        <v>175092400.29818183</v>
      </c>
    </row>
    <row r="160" spans="1:6" x14ac:dyDescent="0.25">
      <c r="A160" s="262">
        <v>157</v>
      </c>
      <c r="B160" s="262"/>
      <c r="C160" s="260"/>
      <c r="D160" s="259"/>
      <c r="E160" s="259"/>
      <c r="F160" s="259"/>
    </row>
    <row r="161" spans="1:6" x14ac:dyDescent="0.25">
      <c r="A161" s="262">
        <v>158</v>
      </c>
      <c r="B161" s="262"/>
      <c r="C161" s="260"/>
      <c r="D161" s="259"/>
      <c r="E161" s="259"/>
      <c r="F161" s="259"/>
    </row>
    <row r="162" spans="1:6" x14ac:dyDescent="0.25">
      <c r="A162" s="262">
        <v>159</v>
      </c>
      <c r="B162" s="262"/>
      <c r="C162" s="260"/>
      <c r="D162" s="259"/>
      <c r="E162" s="259"/>
      <c r="F162" s="259"/>
    </row>
    <row r="163" spans="1:6" x14ac:dyDescent="0.25">
      <c r="A163" s="262">
        <v>160</v>
      </c>
      <c r="B163" s="262"/>
      <c r="C163" s="260"/>
      <c r="D163" s="259"/>
      <c r="E163" s="259"/>
      <c r="F163" s="259"/>
    </row>
    <row r="164" spans="1:6" x14ac:dyDescent="0.25">
      <c r="A164" s="262">
        <v>161</v>
      </c>
      <c r="B164" s="262"/>
      <c r="C164" s="260"/>
      <c r="D164" s="259"/>
      <c r="E164" s="259"/>
      <c r="F164" s="259"/>
    </row>
    <row r="165" spans="1:6" x14ac:dyDescent="0.25">
      <c r="A165" s="262">
        <v>162</v>
      </c>
      <c r="B165" s="262"/>
      <c r="C165" s="260"/>
      <c r="D165" s="259"/>
      <c r="E165" s="259"/>
      <c r="F165" s="259"/>
    </row>
    <row r="166" spans="1:6" x14ac:dyDescent="0.25">
      <c r="A166" s="262">
        <v>163</v>
      </c>
      <c r="B166" s="262"/>
      <c r="C166" s="260"/>
      <c r="D166" s="259"/>
      <c r="E166" s="259"/>
      <c r="F166" s="259"/>
    </row>
    <row r="167" spans="1:6" x14ac:dyDescent="0.25">
      <c r="A167" s="262">
        <v>164</v>
      </c>
      <c r="B167" s="262"/>
      <c r="C167" s="260"/>
      <c r="D167" s="259"/>
      <c r="E167" s="259"/>
      <c r="F167" s="259"/>
    </row>
    <row r="168" spans="1:6" x14ac:dyDescent="0.25">
      <c r="A168" s="262">
        <v>165</v>
      </c>
      <c r="B168" s="262"/>
      <c r="C168" s="260"/>
      <c r="D168" s="259"/>
      <c r="E168" s="259"/>
      <c r="F168" s="259"/>
    </row>
    <row r="169" spans="1:6" x14ac:dyDescent="0.25">
      <c r="A169" s="262">
        <v>166</v>
      </c>
      <c r="B169" s="262"/>
      <c r="C169" s="260"/>
      <c r="D169" s="259"/>
      <c r="E169" s="259"/>
      <c r="F169" s="259"/>
    </row>
    <row r="170" spans="1:6" x14ac:dyDescent="0.25">
      <c r="A170" s="260"/>
      <c r="B170" s="262"/>
      <c r="C170" s="260"/>
      <c r="D170" s="259"/>
      <c r="E170" s="259"/>
      <c r="F170" s="259"/>
    </row>
    <row r="171" spans="1:6" x14ac:dyDescent="0.25">
      <c r="A171" s="260"/>
      <c r="B171" s="262"/>
      <c r="C171" s="260"/>
      <c r="D171" s="259"/>
      <c r="E171" s="259"/>
      <c r="F171" s="259"/>
    </row>
    <row r="172" spans="1:6" x14ac:dyDescent="0.25">
      <c r="A172" s="260"/>
      <c r="B172" s="262"/>
      <c r="C172" s="260"/>
      <c r="D172" s="259"/>
      <c r="E172" s="259"/>
      <c r="F172" s="259"/>
    </row>
    <row r="173" spans="1:6" x14ac:dyDescent="0.25">
      <c r="A173" s="260"/>
      <c r="B173" s="262"/>
      <c r="C173" s="260"/>
      <c r="D173" s="259"/>
      <c r="E173" s="259"/>
      <c r="F173" s="259"/>
    </row>
    <row r="174" spans="1:6" x14ac:dyDescent="0.25">
      <c r="A174" s="260"/>
      <c r="B174" s="262"/>
      <c r="C174" s="260"/>
      <c r="D174" s="259"/>
      <c r="E174" s="259"/>
      <c r="F174" s="259"/>
    </row>
    <row r="175" spans="1:6" x14ac:dyDescent="0.25">
      <c r="A175" s="260"/>
      <c r="B175" s="262"/>
      <c r="C175" s="260"/>
      <c r="D175" s="259"/>
      <c r="E175" s="259"/>
      <c r="F175" s="259"/>
    </row>
    <row r="176" spans="1:6" x14ac:dyDescent="0.25">
      <c r="A176" s="260"/>
      <c r="B176" s="262"/>
      <c r="C176" s="260"/>
      <c r="D176" s="259"/>
      <c r="E176" s="259"/>
      <c r="F176" s="259"/>
    </row>
    <row r="177" spans="1:6" x14ac:dyDescent="0.25">
      <c r="A177" s="260"/>
      <c r="B177" s="262"/>
      <c r="C177" s="260"/>
      <c r="D177" s="259"/>
      <c r="E177" s="259"/>
      <c r="F177" s="259"/>
    </row>
    <row r="178" spans="1:6" x14ac:dyDescent="0.25">
      <c r="A178" s="260"/>
      <c r="B178" s="262"/>
      <c r="C178" s="260"/>
      <c r="D178" s="259"/>
      <c r="E178" s="259"/>
      <c r="F178" s="259"/>
    </row>
    <row r="179" spans="1:6" x14ac:dyDescent="0.25">
      <c r="A179" s="260"/>
      <c r="B179" s="262"/>
      <c r="C179" s="260"/>
      <c r="D179" s="259"/>
      <c r="E179" s="259"/>
      <c r="F179" s="259"/>
    </row>
    <row r="180" spans="1:6" x14ac:dyDescent="0.25">
      <c r="A180" s="260"/>
      <c r="B180" s="262"/>
      <c r="C180" s="260"/>
      <c r="D180" s="259"/>
      <c r="E180" s="259"/>
      <c r="F180" s="259"/>
    </row>
    <row r="181" spans="1:6" x14ac:dyDescent="0.25">
      <c r="A181" s="260"/>
      <c r="B181" s="262"/>
      <c r="C181" s="260"/>
      <c r="D181" s="259"/>
      <c r="E181" s="259"/>
      <c r="F181" s="259"/>
    </row>
    <row r="182" spans="1:6" x14ac:dyDescent="0.25">
      <c r="A182" s="260"/>
      <c r="B182" s="262"/>
      <c r="C182" s="260"/>
      <c r="D182" s="259"/>
      <c r="E182" s="259"/>
      <c r="F182" s="259"/>
    </row>
    <row r="183" spans="1:6" x14ac:dyDescent="0.25">
      <c r="A183" s="260"/>
      <c r="B183" s="262"/>
      <c r="C183" s="260"/>
      <c r="D183" s="259"/>
      <c r="E183" s="259"/>
      <c r="F183" s="259"/>
    </row>
    <row r="184" spans="1:6" x14ac:dyDescent="0.25">
      <c r="A184" s="260"/>
      <c r="B184" s="262"/>
      <c r="C184" s="260"/>
      <c r="D184" s="259"/>
      <c r="E184" s="259"/>
      <c r="F184" s="259"/>
    </row>
    <row r="185" spans="1:6" x14ac:dyDescent="0.25">
      <c r="A185" s="260"/>
      <c r="B185" s="262"/>
      <c r="C185" s="260"/>
      <c r="D185" s="259"/>
      <c r="E185" s="259"/>
      <c r="F185" s="259"/>
    </row>
    <row r="186" spans="1:6" x14ac:dyDescent="0.25">
      <c r="A186" s="260"/>
      <c r="B186" s="262"/>
      <c r="C186" s="260"/>
      <c r="D186" s="259"/>
      <c r="E186" s="259"/>
      <c r="F186" s="259"/>
    </row>
    <row r="187" spans="1:6" x14ac:dyDescent="0.25">
      <c r="A187" s="260"/>
      <c r="B187" s="262"/>
      <c r="C187" s="260"/>
      <c r="D187" s="259"/>
      <c r="E187" s="259"/>
      <c r="F187" s="259"/>
    </row>
    <row r="188" spans="1:6" x14ac:dyDescent="0.25">
      <c r="A188" s="260"/>
      <c r="B188" s="262"/>
      <c r="C188" s="260"/>
      <c r="D188" s="259"/>
      <c r="E188" s="259"/>
      <c r="F188" s="259"/>
    </row>
    <row r="189" spans="1:6" x14ac:dyDescent="0.25">
      <c r="A189" s="260"/>
      <c r="B189" s="262"/>
      <c r="C189" s="260"/>
      <c r="D189" s="259"/>
      <c r="E189" s="259"/>
      <c r="F189" s="259"/>
    </row>
    <row r="190" spans="1:6" x14ac:dyDescent="0.25">
      <c r="A190" s="260"/>
      <c r="B190" s="262"/>
      <c r="C190" s="260"/>
      <c r="D190" s="259"/>
      <c r="E190" s="259"/>
      <c r="F190" s="259"/>
    </row>
    <row r="191" spans="1:6" x14ac:dyDescent="0.25">
      <c r="A191" s="260"/>
      <c r="B191" s="262"/>
      <c r="C191" s="260"/>
      <c r="D191" s="259"/>
      <c r="E191" s="259"/>
      <c r="F191" s="259"/>
    </row>
    <row r="192" spans="1:6" x14ac:dyDescent="0.25">
      <c r="A192" s="260"/>
      <c r="B192" s="262"/>
      <c r="C192" s="260"/>
      <c r="D192" s="259"/>
      <c r="E192" s="259"/>
      <c r="F192" s="259"/>
    </row>
    <row r="193" spans="1:6" x14ac:dyDescent="0.25">
      <c r="A193" s="260"/>
      <c r="B193" s="262"/>
      <c r="C193" s="260"/>
      <c r="D193" s="259"/>
      <c r="E193" s="259"/>
      <c r="F193" s="259"/>
    </row>
    <row r="194" spans="1:6" x14ac:dyDescent="0.25">
      <c r="A194" s="260"/>
      <c r="B194" s="262"/>
      <c r="C194" s="260"/>
      <c r="D194" s="259"/>
      <c r="E194" s="259"/>
      <c r="F194" s="259"/>
    </row>
    <row r="195" spans="1:6" x14ac:dyDescent="0.25">
      <c r="A195" s="260"/>
      <c r="B195" s="262"/>
      <c r="C195" s="260"/>
      <c r="D195" s="259"/>
      <c r="E195" s="259"/>
      <c r="F195" s="259"/>
    </row>
    <row r="196" spans="1:6" x14ac:dyDescent="0.25">
      <c r="A196" s="260"/>
      <c r="B196" s="262"/>
      <c r="C196" s="260"/>
      <c r="D196" s="259"/>
      <c r="E196" s="259"/>
      <c r="F196" s="259"/>
    </row>
    <row r="197" spans="1:6" x14ac:dyDescent="0.25">
      <c r="A197" s="260"/>
      <c r="B197" s="262"/>
      <c r="C197" s="260"/>
      <c r="D197" s="259"/>
      <c r="E197" s="259"/>
      <c r="F197" s="259"/>
    </row>
    <row r="198" spans="1:6" x14ac:dyDescent="0.25">
      <c r="A198" s="260"/>
      <c r="B198" s="262"/>
      <c r="C198" s="260"/>
      <c r="D198" s="259"/>
      <c r="E198" s="259"/>
      <c r="F198" s="259"/>
    </row>
    <row r="199" spans="1:6" x14ac:dyDescent="0.25">
      <c r="A199" s="260"/>
      <c r="B199" s="262"/>
      <c r="C199" s="260"/>
      <c r="D199" s="259"/>
      <c r="E199" s="259"/>
      <c r="F199" s="259"/>
    </row>
    <row r="200" spans="1:6" x14ac:dyDescent="0.25">
      <c r="A200" s="260"/>
      <c r="B200" s="262"/>
      <c r="C200" s="260"/>
      <c r="D200" s="259"/>
      <c r="E200" s="259"/>
      <c r="F200" s="259"/>
    </row>
    <row r="201" spans="1:6" x14ac:dyDescent="0.25">
      <c r="A201" s="260"/>
      <c r="B201" s="262"/>
      <c r="C201" s="260"/>
      <c r="D201" s="259"/>
      <c r="E201" s="259"/>
      <c r="F201" s="259"/>
    </row>
    <row r="202" spans="1:6" x14ac:dyDescent="0.25">
      <c r="A202" s="260"/>
      <c r="B202" s="262"/>
      <c r="C202" s="260"/>
      <c r="D202" s="259"/>
      <c r="E202" s="259"/>
      <c r="F202" s="259"/>
    </row>
    <row r="203" spans="1:6" x14ac:dyDescent="0.25">
      <c r="A203" s="260"/>
      <c r="B203" s="262"/>
      <c r="C203" s="260"/>
      <c r="D203" s="259"/>
      <c r="E203" s="259"/>
      <c r="F203" s="259"/>
    </row>
    <row r="204" spans="1:6" x14ac:dyDescent="0.25">
      <c r="A204" s="260"/>
      <c r="B204" s="262"/>
      <c r="C204" s="260"/>
      <c r="D204" s="259"/>
      <c r="E204" s="259"/>
      <c r="F204" s="259"/>
    </row>
    <row r="205" spans="1:6" x14ac:dyDescent="0.25">
      <c r="A205" s="260"/>
      <c r="B205" s="262"/>
      <c r="C205" s="260"/>
      <c r="D205" s="259"/>
      <c r="E205" s="259"/>
      <c r="F205" s="259"/>
    </row>
    <row r="206" spans="1:6" x14ac:dyDescent="0.25">
      <c r="A206" s="260"/>
      <c r="B206" s="262"/>
      <c r="C206" s="260"/>
      <c r="D206" s="259"/>
      <c r="E206" s="259"/>
      <c r="F206" s="259"/>
    </row>
    <row r="207" spans="1:6" x14ac:dyDescent="0.25">
      <c r="A207" s="260"/>
      <c r="B207" s="262"/>
      <c r="C207" s="260"/>
      <c r="D207" s="259"/>
      <c r="E207" s="259"/>
      <c r="F207" s="259"/>
    </row>
    <row r="208" spans="1:6" x14ac:dyDescent="0.25">
      <c r="A208" s="260"/>
      <c r="B208" s="262"/>
      <c r="C208" s="260"/>
      <c r="D208" s="259"/>
      <c r="E208" s="259"/>
      <c r="F208" s="259"/>
    </row>
    <row r="209" spans="1:6" x14ac:dyDescent="0.25">
      <c r="A209" s="260"/>
      <c r="B209" s="262"/>
      <c r="C209" s="260"/>
      <c r="D209" s="259"/>
      <c r="E209" s="259"/>
      <c r="F209" s="259"/>
    </row>
    <row r="210" spans="1:6" x14ac:dyDescent="0.25">
      <c r="A210" s="260"/>
      <c r="B210" s="262"/>
      <c r="C210" s="260"/>
      <c r="D210" s="259"/>
      <c r="E210" s="259"/>
      <c r="F210" s="259"/>
    </row>
    <row r="211" spans="1:6" x14ac:dyDescent="0.25">
      <c r="A211" s="260"/>
      <c r="B211" s="262"/>
      <c r="C211" s="260"/>
      <c r="D211" s="259"/>
      <c r="E211" s="259"/>
      <c r="F211" s="259"/>
    </row>
    <row r="212" spans="1:6" x14ac:dyDescent="0.25">
      <c r="A212" s="260"/>
      <c r="B212" s="262"/>
      <c r="C212" s="260"/>
      <c r="D212" s="259"/>
      <c r="E212" s="259"/>
      <c r="F212" s="259"/>
    </row>
    <row r="213" spans="1:6" x14ac:dyDescent="0.25">
      <c r="A213" s="260"/>
      <c r="B213" s="262"/>
      <c r="C213" s="260"/>
      <c r="D213" s="259"/>
      <c r="E213" s="259"/>
      <c r="F213" s="259"/>
    </row>
    <row r="214" spans="1:6" x14ac:dyDescent="0.25">
      <c r="A214" s="260"/>
      <c r="B214" s="262"/>
      <c r="C214" s="260"/>
      <c r="D214" s="259"/>
      <c r="E214" s="259"/>
      <c r="F214" s="259"/>
    </row>
    <row r="215" spans="1:6" x14ac:dyDescent="0.25">
      <c r="A215" s="260"/>
      <c r="B215" s="262"/>
      <c r="C215" s="260"/>
      <c r="D215" s="259"/>
      <c r="E215" s="259"/>
      <c r="F215" s="259"/>
    </row>
    <row r="216" spans="1:6" x14ac:dyDescent="0.25">
      <c r="A216" s="260"/>
      <c r="B216" s="262"/>
      <c r="C216" s="260"/>
      <c r="D216" s="259"/>
      <c r="E216" s="259"/>
      <c r="F216" s="259"/>
    </row>
    <row r="217" spans="1:6" x14ac:dyDescent="0.25">
      <c r="A217" s="260"/>
      <c r="B217" s="262"/>
      <c r="C217" s="260"/>
      <c r="D217" s="259"/>
      <c r="E217" s="259"/>
      <c r="F217" s="259"/>
    </row>
    <row r="218" spans="1:6" x14ac:dyDescent="0.25">
      <c r="A218" s="260"/>
      <c r="B218" s="262"/>
      <c r="C218" s="260"/>
      <c r="D218" s="259"/>
      <c r="E218" s="259"/>
      <c r="F218" s="259"/>
    </row>
    <row r="219" spans="1:6" x14ac:dyDescent="0.25">
      <c r="A219" s="260"/>
      <c r="B219" s="262"/>
      <c r="C219" s="260"/>
      <c r="D219" s="259"/>
      <c r="E219" s="259"/>
      <c r="F219" s="259"/>
    </row>
    <row r="220" spans="1:6" x14ac:dyDescent="0.25">
      <c r="A220" s="260"/>
      <c r="B220" s="262"/>
      <c r="C220" s="260"/>
      <c r="D220" s="259"/>
      <c r="E220" s="259"/>
      <c r="F220" s="259"/>
    </row>
    <row r="221" spans="1:6" x14ac:dyDescent="0.25">
      <c r="A221" s="260"/>
      <c r="B221" s="262"/>
      <c r="C221" s="260"/>
      <c r="D221" s="259"/>
      <c r="E221" s="259"/>
      <c r="F221" s="259"/>
    </row>
    <row r="222" spans="1:6" x14ac:dyDescent="0.25">
      <c r="A222" s="260"/>
      <c r="B222" s="262"/>
      <c r="C222" s="260"/>
      <c r="D222" s="259"/>
      <c r="E222" s="259"/>
      <c r="F222" s="259"/>
    </row>
    <row r="223" spans="1:6" x14ac:dyDescent="0.25">
      <c r="A223" s="260"/>
      <c r="B223" s="262"/>
      <c r="C223" s="260"/>
      <c r="D223" s="259"/>
      <c r="E223" s="259"/>
      <c r="F223" s="259"/>
    </row>
    <row r="224" spans="1:6" x14ac:dyDescent="0.25">
      <c r="A224" s="260"/>
      <c r="B224" s="262"/>
      <c r="C224" s="260"/>
      <c r="D224" s="259"/>
      <c r="E224" s="259"/>
      <c r="F224" s="259"/>
    </row>
    <row r="225" spans="1:6" x14ac:dyDescent="0.25">
      <c r="A225" s="260"/>
      <c r="B225" s="262"/>
      <c r="C225" s="260"/>
      <c r="D225" s="259"/>
      <c r="E225" s="259"/>
      <c r="F225" s="259"/>
    </row>
    <row r="226" spans="1:6" x14ac:dyDescent="0.25">
      <c r="A226" s="260"/>
      <c r="B226" s="262"/>
      <c r="C226" s="260"/>
      <c r="D226" s="259"/>
      <c r="E226" s="259"/>
      <c r="F226" s="259"/>
    </row>
    <row r="227" spans="1:6" x14ac:dyDescent="0.25">
      <c r="A227" s="260"/>
      <c r="B227" s="262"/>
      <c r="C227" s="260"/>
      <c r="D227" s="259"/>
      <c r="E227" s="259"/>
      <c r="F227" s="259"/>
    </row>
    <row r="228" spans="1:6" x14ac:dyDescent="0.25">
      <c r="A228" s="260"/>
      <c r="B228" s="262"/>
      <c r="C228" s="260"/>
      <c r="D228" s="259"/>
      <c r="E228" s="259"/>
      <c r="F228" s="259"/>
    </row>
    <row r="229" spans="1:6" x14ac:dyDescent="0.25">
      <c r="A229" s="260"/>
      <c r="B229" s="262"/>
      <c r="C229" s="260"/>
      <c r="D229" s="259"/>
      <c r="E229" s="259"/>
      <c r="F229" s="259"/>
    </row>
    <row r="230" spans="1:6" x14ac:dyDescent="0.25">
      <c r="A230" s="260"/>
      <c r="B230" s="262"/>
      <c r="C230" s="260"/>
      <c r="D230" s="259"/>
      <c r="E230" s="259"/>
      <c r="F230" s="259"/>
    </row>
    <row r="231" spans="1:6" x14ac:dyDescent="0.25">
      <c r="A231" s="260"/>
      <c r="B231" s="262"/>
      <c r="C231" s="260"/>
      <c r="D231" s="259"/>
      <c r="E231" s="259"/>
      <c r="F231" s="259"/>
    </row>
    <row r="232" spans="1:6" x14ac:dyDescent="0.25">
      <c r="A232" s="260"/>
      <c r="B232" s="262"/>
      <c r="C232" s="260"/>
      <c r="D232" s="259"/>
      <c r="E232" s="259"/>
      <c r="F232" s="259"/>
    </row>
    <row r="233" spans="1:6" x14ac:dyDescent="0.25">
      <c r="A233" s="260"/>
      <c r="B233" s="262"/>
      <c r="C233" s="260"/>
      <c r="D233" s="259"/>
      <c r="E233" s="259"/>
      <c r="F233" s="259"/>
    </row>
    <row r="234" spans="1:6" x14ac:dyDescent="0.25">
      <c r="A234" s="260"/>
      <c r="B234" s="262"/>
      <c r="C234" s="260"/>
      <c r="D234" s="259"/>
      <c r="E234" s="259"/>
      <c r="F234" s="259"/>
    </row>
    <row r="235" spans="1:6" x14ac:dyDescent="0.25">
      <c r="A235" s="260"/>
      <c r="B235" s="262"/>
      <c r="C235" s="260"/>
      <c r="D235" s="259"/>
      <c r="E235" s="259"/>
      <c r="F235" s="259"/>
    </row>
    <row r="236" spans="1:6" x14ac:dyDescent="0.25">
      <c r="A236" s="260"/>
      <c r="B236" s="262"/>
      <c r="C236" s="260"/>
      <c r="D236" s="259"/>
      <c r="E236" s="259"/>
      <c r="F236" s="259"/>
    </row>
    <row r="237" spans="1:6" x14ac:dyDescent="0.25">
      <c r="A237" s="260"/>
      <c r="B237" s="262"/>
      <c r="C237" s="260"/>
      <c r="D237" s="259"/>
      <c r="E237" s="259"/>
      <c r="F237" s="259"/>
    </row>
    <row r="238" spans="1:6" x14ac:dyDescent="0.25">
      <c r="A238" s="260"/>
      <c r="B238" s="262"/>
      <c r="C238" s="260"/>
      <c r="D238" s="259"/>
      <c r="E238" s="259"/>
      <c r="F238" s="259"/>
    </row>
    <row r="239" spans="1:6" x14ac:dyDescent="0.25">
      <c r="A239" s="260"/>
      <c r="B239" s="262"/>
      <c r="C239" s="260"/>
      <c r="D239" s="259"/>
      <c r="E239" s="259"/>
      <c r="F239" s="259"/>
    </row>
    <row r="240" spans="1:6" x14ac:dyDescent="0.25">
      <c r="A240" s="260"/>
      <c r="B240" s="262"/>
      <c r="C240" s="260"/>
      <c r="D240" s="259"/>
      <c r="E240" s="259"/>
      <c r="F240" s="259"/>
    </row>
    <row r="241" spans="1:6" x14ac:dyDescent="0.25">
      <c r="A241" s="260"/>
      <c r="B241" s="262"/>
      <c r="C241" s="260"/>
      <c r="D241" s="259"/>
      <c r="E241" s="259"/>
      <c r="F241" s="259"/>
    </row>
    <row r="242" spans="1:6" x14ac:dyDescent="0.25">
      <c r="A242" s="260"/>
      <c r="B242" s="262"/>
      <c r="C242" s="260"/>
      <c r="D242" s="259"/>
      <c r="E242" s="259"/>
      <c r="F242" s="259"/>
    </row>
    <row r="243" spans="1:6" x14ac:dyDescent="0.25">
      <c r="A243" s="260"/>
      <c r="B243" s="262"/>
      <c r="C243" s="260"/>
      <c r="D243" s="259"/>
      <c r="E243" s="259"/>
      <c r="F243" s="259"/>
    </row>
    <row r="244" spans="1:6" x14ac:dyDescent="0.25">
      <c r="A244" s="260"/>
      <c r="B244" s="262"/>
      <c r="C244" s="260"/>
      <c r="D244" s="259"/>
      <c r="E244" s="259"/>
      <c r="F244" s="259"/>
    </row>
    <row r="245" spans="1:6" x14ac:dyDescent="0.25">
      <c r="A245" s="260"/>
      <c r="B245" s="262"/>
      <c r="C245" s="260"/>
      <c r="D245" s="259"/>
      <c r="E245" s="259"/>
      <c r="F245" s="259"/>
    </row>
    <row r="246" spans="1:6" x14ac:dyDescent="0.25">
      <c r="A246" s="260"/>
      <c r="B246" s="262"/>
      <c r="C246" s="260"/>
      <c r="D246" s="259"/>
      <c r="E246" s="259"/>
      <c r="F246" s="259"/>
    </row>
    <row r="247" spans="1:6" x14ac:dyDescent="0.25">
      <c r="A247" s="260"/>
      <c r="B247" s="262"/>
      <c r="C247" s="260"/>
      <c r="D247" s="259"/>
      <c r="E247" s="259"/>
      <c r="F247" s="259"/>
    </row>
    <row r="248" spans="1:6" x14ac:dyDescent="0.25">
      <c r="A248" s="260"/>
      <c r="B248" s="262"/>
      <c r="C248" s="260"/>
      <c r="D248" s="259"/>
      <c r="E248" s="259"/>
      <c r="F248" s="259"/>
    </row>
    <row r="249" spans="1:6" x14ac:dyDescent="0.25">
      <c r="A249" s="260"/>
      <c r="B249" s="262"/>
      <c r="C249" s="260"/>
      <c r="D249" s="259"/>
      <c r="E249" s="259"/>
      <c r="F249" s="259"/>
    </row>
    <row r="250" spans="1:6" x14ac:dyDescent="0.25">
      <c r="A250" s="260"/>
      <c r="B250" s="262"/>
      <c r="C250" s="260"/>
      <c r="D250" s="259"/>
      <c r="E250" s="259"/>
      <c r="F250" s="259"/>
    </row>
    <row r="251" spans="1:6" x14ac:dyDescent="0.25">
      <c r="A251" s="260"/>
      <c r="B251" s="262"/>
      <c r="C251" s="260"/>
      <c r="D251" s="259"/>
      <c r="E251" s="259"/>
      <c r="F251" s="259"/>
    </row>
    <row r="252" spans="1:6" x14ac:dyDescent="0.25">
      <c r="A252" s="260"/>
      <c r="B252" s="262"/>
      <c r="C252" s="260"/>
      <c r="D252" s="259"/>
      <c r="E252" s="259"/>
      <c r="F252" s="259"/>
    </row>
    <row r="253" spans="1:6" x14ac:dyDescent="0.25">
      <c r="A253" s="260"/>
      <c r="B253" s="262"/>
      <c r="C253" s="260"/>
      <c r="D253" s="259"/>
      <c r="E253" s="259"/>
      <c r="F253" s="259"/>
    </row>
    <row r="254" spans="1:6" x14ac:dyDescent="0.25">
      <c r="A254" s="260"/>
      <c r="B254" s="262"/>
      <c r="C254" s="260"/>
      <c r="D254" s="259"/>
      <c r="E254" s="259"/>
      <c r="F254" s="259"/>
    </row>
    <row r="255" spans="1:6" x14ac:dyDescent="0.25">
      <c r="A255" s="260"/>
      <c r="B255" s="262"/>
      <c r="C255" s="260"/>
      <c r="D255" s="259"/>
      <c r="E255" s="259"/>
      <c r="F255" s="259"/>
    </row>
    <row r="256" spans="1:6" x14ac:dyDescent="0.25">
      <c r="A256" s="260"/>
      <c r="B256" s="262"/>
      <c r="C256" s="260"/>
      <c r="D256" s="259"/>
      <c r="E256" s="259"/>
      <c r="F256" s="259"/>
    </row>
    <row r="257" spans="1:6" x14ac:dyDescent="0.25">
      <c r="A257" s="260"/>
      <c r="B257" s="262"/>
      <c r="C257" s="260"/>
      <c r="D257" s="259"/>
      <c r="E257" s="259"/>
      <c r="F257" s="259"/>
    </row>
    <row r="258" spans="1:6" x14ac:dyDescent="0.25">
      <c r="A258" s="260"/>
      <c r="B258" s="262"/>
      <c r="C258" s="260"/>
      <c r="D258" s="259"/>
      <c r="E258" s="259"/>
      <c r="F258" s="259"/>
    </row>
    <row r="259" spans="1:6" x14ac:dyDescent="0.25">
      <c r="A259" s="260"/>
      <c r="B259" s="262"/>
      <c r="C259" s="260"/>
      <c r="D259" s="259"/>
      <c r="E259" s="259"/>
      <c r="F259" s="259"/>
    </row>
    <row r="260" spans="1:6" x14ac:dyDescent="0.25">
      <c r="A260" s="260"/>
      <c r="B260" s="262"/>
      <c r="C260" s="260"/>
      <c r="D260" s="259"/>
      <c r="E260" s="259"/>
      <c r="F260" s="259"/>
    </row>
    <row r="261" spans="1:6" x14ac:dyDescent="0.25">
      <c r="A261" s="260"/>
      <c r="B261" s="262"/>
      <c r="C261" s="260"/>
      <c r="D261" s="259"/>
      <c r="E261" s="259"/>
      <c r="F261" s="259"/>
    </row>
    <row r="262" spans="1:6" x14ac:dyDescent="0.25">
      <c r="A262" s="260"/>
      <c r="B262" s="262"/>
      <c r="C262" s="260"/>
      <c r="D262" s="259"/>
      <c r="E262" s="259"/>
      <c r="F262" s="259"/>
    </row>
    <row r="263" spans="1:6" x14ac:dyDescent="0.25">
      <c r="A263" s="260"/>
      <c r="B263" s="262"/>
      <c r="C263" s="260"/>
      <c r="D263" s="259"/>
      <c r="E263" s="259"/>
      <c r="F263" s="259"/>
    </row>
    <row r="264" spans="1:6" x14ac:dyDescent="0.25">
      <c r="A264" s="260"/>
      <c r="B264" s="262"/>
      <c r="C264" s="260"/>
      <c r="D264" s="259"/>
      <c r="E264" s="259"/>
      <c r="F264" s="259"/>
    </row>
    <row r="265" spans="1:6" x14ac:dyDescent="0.25">
      <c r="A265" s="260"/>
      <c r="B265" s="262"/>
      <c r="C265" s="260"/>
      <c r="D265" s="259"/>
      <c r="E265" s="259"/>
      <c r="F265" s="259"/>
    </row>
    <row r="266" spans="1:6" x14ac:dyDescent="0.25">
      <c r="A266" s="260"/>
      <c r="B266" s="262"/>
      <c r="C266" s="260"/>
      <c r="D266" s="259"/>
      <c r="E266" s="259"/>
      <c r="F266" s="259"/>
    </row>
    <row r="267" spans="1:6" x14ac:dyDescent="0.25">
      <c r="A267" s="260"/>
      <c r="B267" s="262"/>
      <c r="C267" s="260"/>
      <c r="D267" s="259"/>
      <c r="E267" s="259"/>
      <c r="F267" s="259"/>
    </row>
    <row r="268" spans="1:6" x14ac:dyDescent="0.25">
      <c r="A268" s="260"/>
      <c r="B268" s="262"/>
      <c r="C268" s="260"/>
      <c r="D268" s="259"/>
      <c r="E268" s="259"/>
      <c r="F268" s="259"/>
    </row>
    <row r="269" spans="1:6" x14ac:dyDescent="0.25">
      <c r="A269" s="260"/>
      <c r="B269" s="262"/>
      <c r="C269" s="260"/>
      <c r="D269" s="259"/>
      <c r="E269" s="259"/>
      <c r="F269" s="259"/>
    </row>
    <row r="270" spans="1:6" x14ac:dyDescent="0.25">
      <c r="A270" s="260"/>
      <c r="B270" s="262"/>
      <c r="C270" s="260"/>
      <c r="D270" s="259"/>
      <c r="E270" s="259"/>
      <c r="F270" s="259"/>
    </row>
    <row r="271" spans="1:6" x14ac:dyDescent="0.25">
      <c r="A271" s="260"/>
      <c r="B271" s="262"/>
      <c r="C271" s="260"/>
      <c r="D271" s="259"/>
      <c r="E271" s="259"/>
      <c r="F271" s="259"/>
    </row>
    <row r="272" spans="1:6" x14ac:dyDescent="0.25">
      <c r="A272" s="260"/>
      <c r="B272" s="262"/>
      <c r="C272" s="260"/>
      <c r="D272" s="259"/>
      <c r="E272" s="259"/>
      <c r="F272" s="259"/>
    </row>
    <row r="273" spans="1:6" x14ac:dyDescent="0.25">
      <c r="A273" s="260"/>
      <c r="B273" s="262"/>
      <c r="C273" s="260"/>
      <c r="D273" s="259"/>
      <c r="E273" s="259"/>
      <c r="F273" s="259"/>
    </row>
    <row r="274" spans="1:6" x14ac:dyDescent="0.25">
      <c r="A274" s="260"/>
      <c r="B274" s="262"/>
      <c r="C274" s="260"/>
      <c r="D274" s="259"/>
      <c r="E274" s="259"/>
      <c r="F274" s="259"/>
    </row>
    <row r="275" spans="1:6" x14ac:dyDescent="0.25">
      <c r="A275" s="260"/>
      <c r="B275" s="262"/>
      <c r="C275" s="260"/>
      <c r="D275" s="259"/>
      <c r="E275" s="259"/>
      <c r="F275" s="259"/>
    </row>
    <row r="276" spans="1:6" x14ac:dyDescent="0.25">
      <c r="A276" s="260"/>
      <c r="B276" s="262"/>
      <c r="C276" s="260"/>
      <c r="D276" s="259"/>
      <c r="E276" s="259"/>
      <c r="F276" s="259"/>
    </row>
    <row r="277" spans="1:6" x14ac:dyDescent="0.25">
      <c r="A277" s="260"/>
      <c r="B277" s="262"/>
      <c r="C277" s="260"/>
      <c r="D277" s="259"/>
      <c r="E277" s="259"/>
      <c r="F277" s="259"/>
    </row>
    <row r="278" spans="1:6" x14ac:dyDescent="0.25">
      <c r="A278" s="260"/>
      <c r="B278" s="262"/>
      <c r="C278" s="260"/>
      <c r="D278" s="259"/>
      <c r="E278" s="259"/>
      <c r="F278" s="259"/>
    </row>
    <row r="279" spans="1:6" x14ac:dyDescent="0.25">
      <c r="A279" s="260"/>
      <c r="B279" s="262"/>
      <c r="C279" s="260"/>
      <c r="D279" s="259"/>
      <c r="E279" s="259"/>
      <c r="F279" s="259"/>
    </row>
    <row r="280" spans="1:6" x14ac:dyDescent="0.25">
      <c r="A280" s="260"/>
      <c r="B280" s="262"/>
      <c r="C280" s="260"/>
      <c r="D280" s="259"/>
      <c r="E280" s="259"/>
      <c r="F280" s="259"/>
    </row>
    <row r="281" spans="1:6" x14ac:dyDescent="0.25">
      <c r="A281" s="260"/>
      <c r="B281" s="262"/>
      <c r="C281" s="260"/>
      <c r="D281" s="259"/>
      <c r="E281" s="259"/>
      <c r="F281" s="259"/>
    </row>
    <row r="282" spans="1:6" x14ac:dyDescent="0.25">
      <c r="A282" s="260"/>
      <c r="B282" s="262"/>
      <c r="C282" s="260"/>
      <c r="D282" s="259"/>
      <c r="E282" s="259"/>
      <c r="F282" s="259"/>
    </row>
    <row r="283" spans="1:6" x14ac:dyDescent="0.25">
      <c r="A283" s="260"/>
      <c r="B283" s="262"/>
      <c r="C283" s="260"/>
      <c r="D283" s="259"/>
      <c r="E283" s="259"/>
      <c r="F283" s="259"/>
    </row>
    <row r="284" spans="1:6" x14ac:dyDescent="0.25">
      <c r="A284" s="260"/>
      <c r="B284" s="262"/>
      <c r="C284" s="260"/>
      <c r="D284" s="259"/>
      <c r="E284" s="259"/>
      <c r="F284" s="259"/>
    </row>
    <row r="285" spans="1:6" x14ac:dyDescent="0.25">
      <c r="A285" s="260"/>
      <c r="B285" s="262"/>
      <c r="C285" s="260"/>
      <c r="D285" s="259"/>
      <c r="E285" s="259"/>
      <c r="F285" s="259"/>
    </row>
    <row r="286" spans="1:6" x14ac:dyDescent="0.25">
      <c r="A286" s="260"/>
      <c r="B286" s="262"/>
      <c r="C286" s="260"/>
      <c r="D286" s="259"/>
      <c r="E286" s="259"/>
      <c r="F286" s="259"/>
    </row>
    <row r="287" spans="1:6" x14ac:dyDescent="0.25">
      <c r="A287" s="260"/>
      <c r="B287" s="262"/>
      <c r="C287" s="260"/>
      <c r="D287" s="259"/>
      <c r="E287" s="259"/>
      <c r="F287" s="259"/>
    </row>
    <row r="288" spans="1:6" x14ac:dyDescent="0.25">
      <c r="A288" s="260"/>
      <c r="B288" s="262"/>
      <c r="C288" s="260"/>
      <c r="D288" s="259"/>
      <c r="E288" s="259"/>
      <c r="F288" s="259"/>
    </row>
    <row r="289" spans="1:6" x14ac:dyDescent="0.25">
      <c r="A289" s="260"/>
      <c r="B289" s="262"/>
      <c r="C289" s="260"/>
      <c r="D289" s="259"/>
      <c r="E289" s="259"/>
      <c r="F289" s="259"/>
    </row>
    <row r="290" spans="1:6" x14ac:dyDescent="0.25">
      <c r="A290" s="260"/>
      <c r="B290" s="262"/>
      <c r="C290" s="260"/>
      <c r="D290" s="259"/>
      <c r="E290" s="259"/>
      <c r="F290" s="259"/>
    </row>
    <row r="291" spans="1:6" x14ac:dyDescent="0.25">
      <c r="A291" s="260"/>
      <c r="B291" s="262"/>
      <c r="C291" s="260"/>
      <c r="D291" s="259"/>
      <c r="E291" s="259"/>
      <c r="F291" s="259"/>
    </row>
    <row r="292" spans="1:6" x14ac:dyDescent="0.25">
      <c r="A292" s="260"/>
      <c r="B292" s="262"/>
      <c r="C292" s="260"/>
      <c r="D292" s="259"/>
      <c r="E292" s="259"/>
      <c r="F292" s="259"/>
    </row>
    <row r="293" spans="1:6" x14ac:dyDescent="0.25">
      <c r="A293" s="260"/>
      <c r="B293" s="262"/>
      <c r="C293" s="260"/>
      <c r="D293" s="259"/>
      <c r="E293" s="259"/>
      <c r="F293" s="259"/>
    </row>
    <row r="294" spans="1:6" x14ac:dyDescent="0.25">
      <c r="A294" s="260"/>
      <c r="B294" s="262"/>
      <c r="C294" s="260"/>
      <c r="D294" s="259"/>
      <c r="E294" s="259"/>
      <c r="F294" s="259"/>
    </row>
    <row r="295" spans="1:6" x14ac:dyDescent="0.25">
      <c r="A295" s="260"/>
      <c r="B295" s="262"/>
      <c r="C295" s="260"/>
      <c r="D295" s="259"/>
      <c r="E295" s="259"/>
      <c r="F295" s="259"/>
    </row>
    <row r="296" spans="1:6" x14ac:dyDescent="0.25">
      <c r="A296" s="260"/>
      <c r="B296" s="262"/>
      <c r="C296" s="260"/>
      <c r="D296" s="259"/>
      <c r="E296" s="259"/>
      <c r="F296" s="259"/>
    </row>
    <row r="297" spans="1:6" x14ac:dyDescent="0.25">
      <c r="A297" s="260"/>
      <c r="B297" s="262"/>
      <c r="C297" s="260"/>
      <c r="D297" s="259"/>
      <c r="E297" s="259"/>
      <c r="F297" s="259"/>
    </row>
    <row r="298" spans="1:6" x14ac:dyDescent="0.25">
      <c r="A298" s="260"/>
      <c r="B298" s="262"/>
      <c r="C298" s="260"/>
      <c r="D298" s="259"/>
      <c r="E298" s="259"/>
      <c r="F298" s="259"/>
    </row>
    <row r="299" spans="1:6" x14ac:dyDescent="0.25">
      <c r="A299" s="260"/>
      <c r="B299" s="262"/>
      <c r="C299" s="260"/>
      <c r="D299" s="259"/>
      <c r="E299" s="259"/>
      <c r="F299" s="259"/>
    </row>
    <row r="300" spans="1:6" x14ac:dyDescent="0.25">
      <c r="A300" s="260"/>
      <c r="B300" s="262"/>
      <c r="C300" s="260"/>
      <c r="D300" s="259"/>
      <c r="E300" s="259"/>
      <c r="F300" s="259"/>
    </row>
    <row r="301" spans="1:6" x14ac:dyDescent="0.25">
      <c r="A301" s="260"/>
      <c r="B301" s="262"/>
      <c r="C301" s="260"/>
      <c r="D301" s="259"/>
      <c r="E301" s="259"/>
      <c r="F301" s="259"/>
    </row>
    <row r="302" spans="1:6" x14ac:dyDescent="0.25">
      <c r="A302" s="260"/>
      <c r="B302" s="262"/>
      <c r="C302" s="260"/>
      <c r="D302" s="259"/>
      <c r="E302" s="259"/>
      <c r="F302" s="259"/>
    </row>
    <row r="303" spans="1:6" x14ac:dyDescent="0.25">
      <c r="A303" s="260"/>
      <c r="B303" s="262"/>
      <c r="C303" s="260"/>
      <c r="D303" s="259"/>
      <c r="E303" s="259"/>
      <c r="F303" s="259"/>
    </row>
    <row r="304" spans="1:6" x14ac:dyDescent="0.25">
      <c r="A304" s="260"/>
      <c r="B304" s="262"/>
      <c r="C304" s="260"/>
      <c r="D304" s="259"/>
      <c r="E304" s="259"/>
      <c r="F304" s="259"/>
    </row>
    <row r="305" spans="1:6" x14ac:dyDescent="0.25">
      <c r="A305" s="260"/>
      <c r="B305" s="262"/>
      <c r="C305" s="260"/>
      <c r="D305" s="259"/>
      <c r="E305" s="259"/>
      <c r="F305" s="259"/>
    </row>
    <row r="306" spans="1:6" x14ac:dyDescent="0.25">
      <c r="A306" s="260"/>
      <c r="B306" s="262"/>
      <c r="C306" s="260"/>
      <c r="D306" s="259"/>
      <c r="E306" s="259"/>
      <c r="F306" s="259"/>
    </row>
    <row r="307" spans="1:6" x14ac:dyDescent="0.25">
      <c r="A307" s="260"/>
      <c r="B307" s="262"/>
      <c r="C307" s="260"/>
      <c r="D307" s="259"/>
      <c r="E307" s="259"/>
      <c r="F307" s="259"/>
    </row>
    <row r="308" spans="1:6" x14ac:dyDescent="0.25">
      <c r="A308" s="260"/>
      <c r="B308" s="262"/>
      <c r="C308" s="260"/>
      <c r="D308" s="259"/>
      <c r="E308" s="259"/>
      <c r="F308" s="259"/>
    </row>
    <row r="309" spans="1:6" x14ac:dyDescent="0.25">
      <c r="A309" s="260"/>
      <c r="B309" s="262"/>
      <c r="C309" s="260"/>
      <c r="D309" s="259"/>
      <c r="E309" s="259"/>
      <c r="F309" s="259"/>
    </row>
    <row r="310" spans="1:6" x14ac:dyDescent="0.25">
      <c r="A310" s="260"/>
      <c r="B310" s="262"/>
      <c r="C310" s="260"/>
      <c r="D310" s="259"/>
      <c r="E310" s="259"/>
      <c r="F310" s="259"/>
    </row>
    <row r="311" spans="1:6" x14ac:dyDescent="0.25">
      <c r="A311" s="260"/>
      <c r="B311" s="262"/>
      <c r="C311" s="260"/>
      <c r="D311" s="259"/>
      <c r="E311" s="259"/>
      <c r="F311" s="259"/>
    </row>
    <row r="312" spans="1:6" x14ac:dyDescent="0.25">
      <c r="A312" s="260"/>
      <c r="B312" s="262"/>
      <c r="C312" s="260"/>
      <c r="D312" s="259"/>
      <c r="E312" s="259"/>
      <c r="F312" s="259"/>
    </row>
    <row r="313" spans="1:6" x14ac:dyDescent="0.25">
      <c r="A313" s="260"/>
      <c r="B313" s="262"/>
      <c r="C313" s="260"/>
      <c r="D313" s="259"/>
      <c r="E313" s="259"/>
      <c r="F313" s="259"/>
    </row>
    <row r="314" spans="1:6" x14ac:dyDescent="0.25">
      <c r="A314" s="260"/>
      <c r="B314" s="262"/>
      <c r="C314" s="260"/>
      <c r="D314" s="259"/>
      <c r="E314" s="259"/>
      <c r="F314" s="259"/>
    </row>
    <row r="315" spans="1:6" x14ac:dyDescent="0.25">
      <c r="A315" s="260"/>
      <c r="B315" s="262"/>
      <c r="C315" s="260"/>
      <c r="D315" s="259"/>
      <c r="E315" s="259"/>
      <c r="F315" s="259"/>
    </row>
    <row r="316" spans="1:6" x14ac:dyDescent="0.25">
      <c r="A316" s="260"/>
      <c r="B316" s="262"/>
      <c r="C316" s="260"/>
      <c r="D316" s="259"/>
      <c r="E316" s="259"/>
      <c r="F316" s="259"/>
    </row>
    <row r="317" spans="1:6" x14ac:dyDescent="0.25">
      <c r="A317" s="260"/>
      <c r="B317" s="262"/>
      <c r="C317" s="260"/>
      <c r="D317" s="259"/>
      <c r="E317" s="259"/>
      <c r="F317" s="259"/>
    </row>
    <row r="318" spans="1:6" x14ac:dyDescent="0.25">
      <c r="A318" s="260"/>
      <c r="B318" s="262"/>
      <c r="C318" s="260"/>
      <c r="D318" s="259"/>
      <c r="E318" s="259"/>
      <c r="F318" s="259"/>
    </row>
    <row r="319" spans="1:6" x14ac:dyDescent="0.25">
      <c r="A319" s="260"/>
      <c r="B319" s="262"/>
      <c r="C319" s="260"/>
      <c r="D319" s="259"/>
      <c r="E319" s="259"/>
      <c r="F319" s="259"/>
    </row>
    <row r="320" spans="1:6" x14ac:dyDescent="0.25">
      <c r="A320" s="260"/>
      <c r="B320" s="262"/>
      <c r="C320" s="260"/>
      <c r="D320" s="259"/>
      <c r="E320" s="259"/>
      <c r="F320" s="259"/>
    </row>
    <row r="321" spans="1:6" x14ac:dyDescent="0.25">
      <c r="A321" s="260"/>
      <c r="B321" s="262"/>
      <c r="C321" s="260"/>
      <c r="D321" s="259"/>
      <c r="E321" s="259"/>
      <c r="F321" s="259"/>
    </row>
    <row r="322" spans="1:6" x14ac:dyDescent="0.25">
      <c r="A322" s="260"/>
      <c r="B322" s="262"/>
      <c r="C322" s="260"/>
      <c r="D322" s="259"/>
      <c r="E322" s="259"/>
      <c r="F322" s="259"/>
    </row>
    <row r="323" spans="1:6" x14ac:dyDescent="0.25">
      <c r="A323" s="260"/>
      <c r="B323" s="262"/>
      <c r="C323" s="260"/>
      <c r="D323" s="259"/>
      <c r="E323" s="259"/>
      <c r="F323" s="259"/>
    </row>
    <row r="324" spans="1:6" x14ac:dyDescent="0.25">
      <c r="A324" s="260"/>
      <c r="B324" s="262"/>
      <c r="C324" s="260"/>
      <c r="D324" s="259"/>
      <c r="E324" s="259"/>
      <c r="F324" s="259"/>
    </row>
    <row r="325" spans="1:6" x14ac:dyDescent="0.25">
      <c r="A325" s="260"/>
      <c r="B325" s="262"/>
      <c r="C325" s="260"/>
      <c r="D325" s="259"/>
      <c r="E325" s="259"/>
      <c r="F325" s="259"/>
    </row>
    <row r="326" spans="1:6" x14ac:dyDescent="0.25">
      <c r="A326" s="260"/>
      <c r="B326" s="262"/>
      <c r="C326" s="260"/>
      <c r="D326" s="259"/>
      <c r="E326" s="259"/>
      <c r="F326" s="259"/>
    </row>
    <row r="327" spans="1:6" x14ac:dyDescent="0.25">
      <c r="A327" s="260"/>
      <c r="B327" s="262"/>
      <c r="C327" s="260"/>
      <c r="D327" s="259"/>
      <c r="E327" s="259"/>
      <c r="F327" s="259"/>
    </row>
    <row r="328" spans="1:6" x14ac:dyDescent="0.25">
      <c r="A328" s="260"/>
      <c r="B328" s="262"/>
      <c r="C328" s="260"/>
      <c r="D328" s="259"/>
      <c r="E328" s="259"/>
      <c r="F328" s="259"/>
    </row>
    <row r="329" spans="1:6" x14ac:dyDescent="0.25">
      <c r="A329" s="260"/>
      <c r="B329" s="262"/>
      <c r="C329" s="260"/>
      <c r="D329" s="259"/>
      <c r="E329" s="259"/>
      <c r="F329" s="259"/>
    </row>
    <row r="330" spans="1:6" x14ac:dyDescent="0.25">
      <c r="A330" s="260"/>
      <c r="B330" s="262"/>
      <c r="C330" s="260"/>
      <c r="D330" s="259"/>
      <c r="E330" s="259"/>
      <c r="F330" s="259"/>
    </row>
    <row r="331" spans="1:6" x14ac:dyDescent="0.25">
      <c r="A331" s="260"/>
      <c r="B331" s="262"/>
      <c r="C331" s="260"/>
      <c r="D331" s="259"/>
      <c r="E331" s="259"/>
      <c r="F331" s="259"/>
    </row>
    <row r="332" spans="1:6" x14ac:dyDescent="0.25">
      <c r="A332" s="260"/>
      <c r="B332" s="262"/>
      <c r="C332" s="260"/>
      <c r="D332" s="259"/>
      <c r="E332" s="259"/>
      <c r="F332" s="259"/>
    </row>
    <row r="333" spans="1:6" x14ac:dyDescent="0.25">
      <c r="A333" s="260"/>
      <c r="B333" s="262"/>
      <c r="C333" s="260"/>
      <c r="D333" s="259"/>
      <c r="E333" s="259"/>
      <c r="F333" s="259"/>
    </row>
    <row r="334" spans="1:6" x14ac:dyDescent="0.25">
      <c r="A334" s="260"/>
      <c r="B334" s="262"/>
      <c r="C334" s="260"/>
      <c r="D334" s="259"/>
      <c r="E334" s="259"/>
      <c r="F334" s="259"/>
    </row>
    <row r="335" spans="1:6" x14ac:dyDescent="0.25">
      <c r="A335" s="260"/>
      <c r="B335" s="262"/>
      <c r="C335" s="260"/>
      <c r="D335" s="259"/>
      <c r="E335" s="259"/>
      <c r="F335" s="259"/>
    </row>
    <row r="336" spans="1:6" x14ac:dyDescent="0.25">
      <c r="A336" s="260"/>
      <c r="B336" s="262"/>
      <c r="C336" s="260"/>
      <c r="D336" s="259"/>
      <c r="E336" s="259"/>
      <c r="F336" s="259"/>
    </row>
    <row r="337" spans="1:6" x14ac:dyDescent="0.25">
      <c r="A337" s="260"/>
      <c r="B337" s="262"/>
      <c r="C337" s="260"/>
      <c r="D337" s="259"/>
      <c r="E337" s="259"/>
      <c r="F337" s="259"/>
    </row>
    <row r="338" spans="1:6" x14ac:dyDescent="0.25">
      <c r="A338" s="260"/>
      <c r="B338" s="262"/>
      <c r="C338" s="260"/>
      <c r="D338" s="259"/>
      <c r="E338" s="259"/>
      <c r="F338" s="259"/>
    </row>
    <row r="339" spans="1:6" x14ac:dyDescent="0.25">
      <c r="A339" s="260"/>
      <c r="B339" s="262"/>
      <c r="C339" s="260"/>
      <c r="D339" s="259"/>
      <c r="E339" s="259"/>
      <c r="F339" s="259"/>
    </row>
    <row r="340" spans="1:6" x14ac:dyDescent="0.25">
      <c r="A340" s="260"/>
      <c r="B340" s="262"/>
      <c r="C340" s="260"/>
      <c r="D340" s="259"/>
      <c r="E340" s="259"/>
      <c r="F340" s="259"/>
    </row>
    <row r="341" spans="1:6" x14ac:dyDescent="0.25">
      <c r="A341" s="260"/>
      <c r="B341" s="262"/>
      <c r="C341" s="260"/>
      <c r="D341" s="259"/>
      <c r="E341" s="259"/>
      <c r="F341" s="259"/>
    </row>
    <row r="342" spans="1:6" x14ac:dyDescent="0.25">
      <c r="A342" s="260"/>
      <c r="B342" s="262"/>
      <c r="C342" s="260"/>
      <c r="D342" s="259"/>
      <c r="E342" s="259"/>
      <c r="F342" s="259"/>
    </row>
    <row r="343" spans="1:6" x14ac:dyDescent="0.25">
      <c r="A343" s="260"/>
      <c r="B343" s="262"/>
      <c r="C343" s="260"/>
      <c r="D343" s="259"/>
      <c r="E343" s="259"/>
      <c r="F343" s="259"/>
    </row>
    <row r="344" spans="1:6" x14ac:dyDescent="0.25">
      <c r="A344" s="260"/>
      <c r="B344" s="262"/>
      <c r="C344" s="260"/>
      <c r="D344" s="259"/>
      <c r="E344" s="259"/>
      <c r="F344" s="259"/>
    </row>
    <row r="345" spans="1:6" x14ac:dyDescent="0.25">
      <c r="A345" s="260"/>
      <c r="B345" s="262"/>
      <c r="C345" s="260"/>
      <c r="D345" s="259"/>
      <c r="E345" s="259"/>
      <c r="F345" s="259"/>
    </row>
    <row r="346" spans="1:6" x14ac:dyDescent="0.25">
      <c r="A346" s="260"/>
      <c r="B346" s="262"/>
      <c r="C346" s="260"/>
      <c r="D346" s="259"/>
      <c r="E346" s="259"/>
      <c r="F346" s="259"/>
    </row>
    <row r="347" spans="1:6" x14ac:dyDescent="0.25">
      <c r="A347" s="260"/>
      <c r="B347" s="262"/>
      <c r="C347" s="260"/>
      <c r="D347" s="259"/>
      <c r="E347" s="259"/>
      <c r="F347" s="259"/>
    </row>
    <row r="348" spans="1:6" x14ac:dyDescent="0.25">
      <c r="A348" s="260"/>
      <c r="B348" s="262"/>
      <c r="C348" s="260"/>
      <c r="D348" s="259"/>
      <c r="E348" s="259"/>
      <c r="F348" s="259"/>
    </row>
    <row r="349" spans="1:6" x14ac:dyDescent="0.25">
      <c r="A349" s="260"/>
      <c r="B349" s="262"/>
      <c r="C349" s="260"/>
      <c r="D349" s="259"/>
      <c r="E349" s="259"/>
      <c r="F349" s="259"/>
    </row>
    <row r="350" spans="1:6" x14ac:dyDescent="0.25">
      <c r="A350" s="260"/>
      <c r="B350" s="262"/>
      <c r="C350" s="260"/>
      <c r="D350" s="259"/>
      <c r="E350" s="259"/>
      <c r="F350" s="259"/>
    </row>
    <row r="351" spans="1:6" x14ac:dyDescent="0.25">
      <c r="A351" s="260"/>
      <c r="B351" s="262"/>
      <c r="C351" s="260"/>
      <c r="D351" s="259"/>
      <c r="E351" s="259"/>
      <c r="F351" s="259"/>
    </row>
    <row r="352" spans="1:6" x14ac:dyDescent="0.25">
      <c r="A352" s="260"/>
      <c r="B352" s="262"/>
      <c r="C352" s="260"/>
      <c r="D352" s="259"/>
      <c r="E352" s="259"/>
      <c r="F352" s="259"/>
    </row>
    <row r="353" spans="1:6" x14ac:dyDescent="0.25">
      <c r="A353" s="260"/>
      <c r="B353" s="262"/>
      <c r="C353" s="260"/>
      <c r="D353" s="259"/>
      <c r="E353" s="259"/>
      <c r="F353" s="259"/>
    </row>
    <row r="354" spans="1:6" x14ac:dyDescent="0.25">
      <c r="A354" s="260"/>
      <c r="B354" s="262"/>
      <c r="C354" s="260"/>
      <c r="D354" s="259"/>
      <c r="E354" s="259"/>
      <c r="F354" s="259"/>
    </row>
    <row r="355" spans="1:6" x14ac:dyDescent="0.25">
      <c r="A355" s="260"/>
      <c r="B355" s="262"/>
      <c r="C355" s="260"/>
      <c r="D355" s="259"/>
      <c r="E355" s="259"/>
      <c r="F355" s="259"/>
    </row>
    <row r="356" spans="1:6" x14ac:dyDescent="0.25">
      <c r="A356" s="260"/>
      <c r="B356" s="262"/>
      <c r="C356" s="260"/>
      <c r="D356" s="259"/>
      <c r="E356" s="259"/>
      <c r="F356" s="259"/>
    </row>
    <row r="357" spans="1:6" x14ac:dyDescent="0.25">
      <c r="A357" s="260"/>
      <c r="B357" s="262"/>
      <c r="C357" s="260"/>
      <c r="D357" s="259"/>
      <c r="E357" s="259"/>
      <c r="F357" s="259"/>
    </row>
    <row r="358" spans="1:6" x14ac:dyDescent="0.25">
      <c r="A358" s="260"/>
      <c r="B358" s="262"/>
      <c r="C358" s="260"/>
      <c r="D358" s="259"/>
      <c r="E358" s="259"/>
      <c r="F358" s="259"/>
    </row>
    <row r="359" spans="1:6" x14ac:dyDescent="0.25">
      <c r="A359" s="260"/>
      <c r="B359" s="262"/>
      <c r="C359" s="260"/>
      <c r="D359" s="259"/>
      <c r="E359" s="259"/>
      <c r="F359" s="259"/>
    </row>
    <row r="360" spans="1:6" x14ac:dyDescent="0.25">
      <c r="A360" s="260"/>
      <c r="B360" s="262"/>
      <c r="C360" s="260"/>
      <c r="D360" s="259"/>
      <c r="E360" s="259"/>
      <c r="F360" s="259"/>
    </row>
    <row r="361" spans="1:6" x14ac:dyDescent="0.25">
      <c r="A361" s="260"/>
      <c r="B361" s="262"/>
      <c r="C361" s="260"/>
      <c r="D361" s="259"/>
      <c r="E361" s="259"/>
      <c r="F361" s="259"/>
    </row>
    <row r="362" spans="1:6" x14ac:dyDescent="0.25">
      <c r="A362" s="260"/>
      <c r="B362" s="262"/>
      <c r="C362" s="260"/>
      <c r="D362" s="259"/>
      <c r="E362" s="259"/>
      <c r="F362" s="259"/>
    </row>
    <row r="363" spans="1:6" x14ac:dyDescent="0.25">
      <c r="A363" s="260"/>
      <c r="B363" s="262"/>
      <c r="C363" s="260"/>
      <c r="D363" s="259"/>
      <c r="E363" s="259"/>
      <c r="F363" s="259"/>
    </row>
    <row r="364" spans="1:6" x14ac:dyDescent="0.25">
      <c r="A364" s="260"/>
      <c r="B364" s="262"/>
      <c r="C364" s="260"/>
      <c r="D364" s="259"/>
      <c r="E364" s="259"/>
      <c r="F364" s="259"/>
    </row>
    <row r="365" spans="1:6" x14ac:dyDescent="0.25">
      <c r="A365" s="260"/>
      <c r="B365" s="262"/>
      <c r="C365" s="260"/>
      <c r="D365" s="259"/>
      <c r="E365" s="259"/>
      <c r="F365" s="259"/>
    </row>
    <row r="366" spans="1:6" x14ac:dyDescent="0.25">
      <c r="A366" s="260"/>
      <c r="B366" s="262"/>
      <c r="C366" s="260"/>
      <c r="D366" s="259"/>
      <c r="E366" s="259"/>
      <c r="F366" s="259"/>
    </row>
    <row r="367" spans="1:6" x14ac:dyDescent="0.25">
      <c r="A367" s="260"/>
      <c r="B367" s="262"/>
      <c r="C367" s="260"/>
      <c r="D367" s="259"/>
      <c r="E367" s="259"/>
      <c r="F367" s="259"/>
    </row>
    <row r="368" spans="1:6" x14ac:dyDescent="0.25">
      <c r="A368" s="260"/>
      <c r="B368" s="262"/>
      <c r="C368" s="260"/>
      <c r="D368" s="259"/>
      <c r="E368" s="259"/>
      <c r="F368" s="259"/>
    </row>
    <row r="369" spans="1:6" x14ac:dyDescent="0.25">
      <c r="A369" s="260"/>
      <c r="B369" s="262"/>
      <c r="C369" s="260"/>
      <c r="D369" s="259"/>
      <c r="E369" s="259"/>
      <c r="F369" s="259"/>
    </row>
    <row r="370" spans="1:6" x14ac:dyDescent="0.25">
      <c r="A370" s="260"/>
      <c r="B370" s="262"/>
      <c r="C370" s="260"/>
      <c r="D370" s="259"/>
      <c r="E370" s="259"/>
      <c r="F370" s="259"/>
    </row>
    <row r="371" spans="1:6" x14ac:dyDescent="0.25">
      <c r="A371" s="260"/>
      <c r="B371" s="262"/>
      <c r="C371" s="260"/>
      <c r="D371" s="259"/>
      <c r="E371" s="259"/>
      <c r="F371" s="259"/>
    </row>
    <row r="372" spans="1:6" x14ac:dyDescent="0.25">
      <c r="A372" s="260"/>
      <c r="B372" s="262"/>
      <c r="C372" s="260"/>
      <c r="D372" s="259"/>
      <c r="E372" s="259"/>
      <c r="F372" s="259"/>
    </row>
    <row r="373" spans="1:6" x14ac:dyDescent="0.25">
      <c r="A373" s="260"/>
      <c r="B373" s="262"/>
      <c r="C373" s="260"/>
      <c r="D373" s="259"/>
      <c r="E373" s="259"/>
      <c r="F373" s="259"/>
    </row>
    <row r="374" spans="1:6" x14ac:dyDescent="0.25">
      <c r="A374" s="260"/>
      <c r="B374" s="262"/>
      <c r="C374" s="260"/>
      <c r="D374" s="259"/>
      <c r="E374" s="259"/>
      <c r="F374" s="259"/>
    </row>
    <row r="375" spans="1:6" x14ac:dyDescent="0.25">
      <c r="A375" s="260"/>
      <c r="B375" s="262"/>
      <c r="C375" s="260"/>
      <c r="D375" s="259"/>
      <c r="E375" s="259"/>
      <c r="F375" s="259"/>
    </row>
    <row r="376" spans="1:6" x14ac:dyDescent="0.25">
      <c r="A376" s="260"/>
      <c r="B376" s="262"/>
      <c r="C376" s="260"/>
      <c r="D376" s="259"/>
      <c r="E376" s="259"/>
      <c r="F376" s="259"/>
    </row>
    <row r="377" spans="1:6" x14ac:dyDescent="0.25">
      <c r="A377" s="260"/>
      <c r="B377" s="262"/>
      <c r="C377" s="260"/>
      <c r="D377" s="259"/>
      <c r="E377" s="259"/>
      <c r="F377" s="259"/>
    </row>
    <row r="378" spans="1:6" x14ac:dyDescent="0.25">
      <c r="A378" s="260"/>
      <c r="B378" s="262"/>
      <c r="C378" s="260"/>
      <c r="D378" s="259"/>
      <c r="E378" s="259"/>
      <c r="F378" s="259"/>
    </row>
    <row r="379" spans="1:6" x14ac:dyDescent="0.25">
      <c r="A379" s="260"/>
      <c r="B379" s="262"/>
      <c r="C379" s="260"/>
      <c r="D379" s="259"/>
      <c r="E379" s="259"/>
      <c r="F379" s="259"/>
    </row>
    <row r="380" spans="1:6" x14ac:dyDescent="0.25">
      <c r="A380" s="260"/>
      <c r="B380" s="262"/>
      <c r="C380" s="260"/>
      <c r="D380" s="259"/>
      <c r="E380" s="259"/>
      <c r="F380" s="259"/>
    </row>
    <row r="381" spans="1:6" x14ac:dyDescent="0.25">
      <c r="A381" s="260"/>
      <c r="B381" s="262"/>
      <c r="C381" s="260"/>
      <c r="D381" s="259"/>
      <c r="E381" s="259"/>
      <c r="F381" s="259"/>
    </row>
    <row r="382" spans="1:6" x14ac:dyDescent="0.25">
      <c r="A382" s="260"/>
      <c r="B382" s="262"/>
      <c r="C382" s="260"/>
      <c r="D382" s="259"/>
      <c r="E382" s="259"/>
      <c r="F382" s="259"/>
    </row>
    <row r="383" spans="1:6" x14ac:dyDescent="0.25">
      <c r="A383" s="260"/>
      <c r="B383" s="262"/>
      <c r="C383" s="260"/>
      <c r="D383" s="259"/>
      <c r="E383" s="259"/>
      <c r="F383" s="259"/>
    </row>
    <row r="384" spans="1:6" x14ac:dyDescent="0.25">
      <c r="A384" s="260"/>
      <c r="B384" s="262"/>
      <c r="C384" s="260"/>
      <c r="D384" s="259"/>
      <c r="E384" s="259"/>
      <c r="F384" s="259"/>
    </row>
    <row r="385" spans="1:6" x14ac:dyDescent="0.25">
      <c r="A385" s="260"/>
      <c r="B385" s="262"/>
      <c r="C385" s="260"/>
      <c r="D385" s="259"/>
      <c r="E385" s="259"/>
      <c r="F385" s="259"/>
    </row>
    <row r="386" spans="1:6" x14ac:dyDescent="0.25">
      <c r="A386" s="260"/>
      <c r="B386" s="262"/>
      <c r="C386" s="260"/>
      <c r="D386" s="259"/>
      <c r="E386" s="259"/>
      <c r="F386" s="259"/>
    </row>
    <row r="387" spans="1:6" x14ac:dyDescent="0.25">
      <c r="A387" s="260"/>
      <c r="B387" s="262"/>
      <c r="C387" s="260"/>
      <c r="D387" s="259"/>
      <c r="E387" s="259"/>
      <c r="F387" s="259"/>
    </row>
    <row r="388" spans="1:6" x14ac:dyDescent="0.25">
      <c r="A388" s="260"/>
      <c r="B388" s="262"/>
      <c r="C388" s="260"/>
      <c r="D388" s="259"/>
      <c r="E388" s="259"/>
      <c r="F388" s="259"/>
    </row>
    <row r="389" spans="1:6" x14ac:dyDescent="0.25">
      <c r="A389" s="260"/>
      <c r="B389" s="262"/>
      <c r="C389" s="260"/>
      <c r="D389" s="259"/>
      <c r="E389" s="259"/>
      <c r="F389" s="259"/>
    </row>
    <row r="390" spans="1:6" x14ac:dyDescent="0.25">
      <c r="A390" s="260"/>
      <c r="B390" s="262"/>
      <c r="C390" s="260"/>
      <c r="D390" s="259"/>
      <c r="E390" s="259"/>
      <c r="F390" s="259"/>
    </row>
    <row r="391" spans="1:6" x14ac:dyDescent="0.25">
      <c r="A391" s="260"/>
      <c r="B391" s="262"/>
      <c r="C391" s="260"/>
      <c r="D391" s="259"/>
      <c r="E391" s="259"/>
      <c r="F391" s="259"/>
    </row>
    <row r="392" spans="1:6" x14ac:dyDescent="0.25">
      <c r="A392" s="260"/>
      <c r="B392" s="262"/>
      <c r="C392" s="260"/>
      <c r="D392" s="259"/>
      <c r="E392" s="259"/>
      <c r="F392" s="259"/>
    </row>
    <row r="393" spans="1:6" x14ac:dyDescent="0.25">
      <c r="A393" s="260"/>
      <c r="B393" s="262"/>
      <c r="C393" s="260"/>
      <c r="D393" s="259"/>
      <c r="E393" s="259"/>
      <c r="F393" s="259"/>
    </row>
    <row r="394" spans="1:6" x14ac:dyDescent="0.25">
      <c r="A394" s="260"/>
      <c r="B394" s="262"/>
      <c r="C394" s="260"/>
      <c r="D394" s="259"/>
      <c r="E394" s="259"/>
      <c r="F394" s="259"/>
    </row>
    <row r="395" spans="1:6" x14ac:dyDescent="0.25">
      <c r="A395" s="260"/>
      <c r="B395" s="262"/>
      <c r="C395" s="260"/>
      <c r="D395" s="259"/>
      <c r="E395" s="259"/>
      <c r="F395" s="259"/>
    </row>
    <row r="396" spans="1:6" x14ac:dyDescent="0.25">
      <c r="A396" s="260"/>
      <c r="B396" s="262"/>
      <c r="C396" s="260"/>
      <c r="D396" s="259"/>
      <c r="E396" s="259"/>
      <c r="F396" s="259"/>
    </row>
    <row r="397" spans="1:6" x14ac:dyDescent="0.25">
      <c r="A397" s="260"/>
      <c r="B397" s="262"/>
      <c r="C397" s="260"/>
      <c r="D397" s="259"/>
      <c r="E397" s="259"/>
      <c r="F397" s="259"/>
    </row>
    <row r="398" spans="1:6" x14ac:dyDescent="0.25">
      <c r="A398" s="260"/>
      <c r="B398" s="262"/>
      <c r="C398" s="260"/>
      <c r="D398" s="259"/>
      <c r="E398" s="259"/>
      <c r="F398" s="259"/>
    </row>
    <row r="399" spans="1:6" x14ac:dyDescent="0.25">
      <c r="A399" s="260"/>
      <c r="B399" s="262"/>
      <c r="C399" s="260"/>
      <c r="D399" s="259"/>
      <c r="E399" s="259"/>
      <c r="F399" s="259"/>
    </row>
    <row r="400" spans="1:6" x14ac:dyDescent="0.25">
      <c r="A400" s="260"/>
      <c r="B400" s="262"/>
      <c r="C400" s="260"/>
      <c r="D400" s="259"/>
      <c r="E400" s="259"/>
      <c r="F400" s="259"/>
    </row>
    <row r="401" spans="1:6" x14ac:dyDescent="0.25">
      <c r="A401" s="260"/>
      <c r="B401" s="262"/>
      <c r="C401" s="260"/>
      <c r="D401" s="259"/>
      <c r="E401" s="259"/>
      <c r="F401" s="259"/>
    </row>
    <row r="402" spans="1:6" x14ac:dyDescent="0.25">
      <c r="A402" s="260"/>
      <c r="B402" s="262"/>
      <c r="C402" s="260"/>
      <c r="D402" s="259"/>
      <c r="E402" s="259"/>
      <c r="F402" s="259"/>
    </row>
    <row r="403" spans="1:6" x14ac:dyDescent="0.25">
      <c r="A403" s="260"/>
      <c r="B403" s="262"/>
      <c r="C403" s="260"/>
      <c r="D403" s="259"/>
      <c r="E403" s="259"/>
      <c r="F403" s="259"/>
    </row>
    <row r="404" spans="1:6" x14ac:dyDescent="0.25">
      <c r="A404" s="260"/>
      <c r="B404" s="262"/>
      <c r="C404" s="260"/>
      <c r="D404" s="259"/>
      <c r="E404" s="259"/>
      <c r="F404" s="259"/>
    </row>
    <row r="405" spans="1:6" x14ac:dyDescent="0.25">
      <c r="A405" s="260"/>
      <c r="B405" s="262"/>
      <c r="C405" s="260"/>
      <c r="D405" s="259"/>
      <c r="E405" s="259"/>
      <c r="F405" s="259"/>
    </row>
    <row r="406" spans="1:6" x14ac:dyDescent="0.25">
      <c r="A406" s="260"/>
      <c r="B406" s="262"/>
      <c r="C406" s="260"/>
      <c r="D406" s="259"/>
      <c r="E406" s="259"/>
      <c r="F406" s="259"/>
    </row>
    <row r="407" spans="1:6" x14ac:dyDescent="0.25">
      <c r="A407" s="260"/>
      <c r="B407" s="262"/>
      <c r="C407" s="260"/>
      <c r="D407" s="259"/>
      <c r="E407" s="259"/>
      <c r="F407" s="259"/>
    </row>
    <row r="408" spans="1:6" x14ac:dyDescent="0.25">
      <c r="A408" s="260"/>
      <c r="B408" s="262"/>
      <c r="C408" s="260"/>
      <c r="D408" s="259"/>
      <c r="E408" s="259"/>
      <c r="F408" s="259"/>
    </row>
    <row r="409" spans="1:6" x14ac:dyDescent="0.25">
      <c r="A409" s="260"/>
      <c r="B409" s="262"/>
      <c r="C409" s="260"/>
      <c r="D409" s="259"/>
      <c r="E409" s="259"/>
      <c r="F409" s="259"/>
    </row>
    <row r="410" spans="1:6" x14ac:dyDescent="0.25">
      <c r="A410" s="260"/>
      <c r="B410" s="262"/>
      <c r="C410" s="260"/>
      <c r="D410" s="259"/>
      <c r="E410" s="259"/>
      <c r="F410" s="259"/>
    </row>
    <row r="411" spans="1:6" x14ac:dyDescent="0.25">
      <c r="A411" s="260"/>
      <c r="B411" s="262"/>
      <c r="C411" s="260"/>
      <c r="D411" s="259"/>
      <c r="E411" s="259"/>
      <c r="F411" s="259"/>
    </row>
    <row r="412" spans="1:6" x14ac:dyDescent="0.25">
      <c r="A412" s="260"/>
      <c r="B412" s="262"/>
      <c r="C412" s="260"/>
      <c r="D412" s="259"/>
      <c r="E412" s="259"/>
      <c r="F412" s="259"/>
    </row>
    <row r="413" spans="1:6" x14ac:dyDescent="0.25">
      <c r="A413" s="260"/>
      <c r="B413" s="262"/>
      <c r="C413" s="260"/>
      <c r="D413" s="259"/>
      <c r="E413" s="259"/>
      <c r="F413" s="259"/>
    </row>
    <row r="414" spans="1:6" x14ac:dyDescent="0.25">
      <c r="A414" s="260"/>
      <c r="B414" s="262"/>
      <c r="C414" s="260"/>
      <c r="D414" s="259"/>
      <c r="E414" s="259"/>
      <c r="F414" s="259"/>
    </row>
    <row r="415" spans="1:6" x14ac:dyDescent="0.25">
      <c r="A415" s="260"/>
      <c r="B415" s="262"/>
      <c r="C415" s="260"/>
      <c r="D415" s="259"/>
      <c r="E415" s="259"/>
      <c r="F415" s="259"/>
    </row>
    <row r="416" spans="1:6" x14ac:dyDescent="0.25">
      <c r="A416" s="260"/>
      <c r="B416" s="262"/>
      <c r="C416" s="260"/>
      <c r="D416" s="259"/>
      <c r="E416" s="259"/>
      <c r="F416" s="259"/>
    </row>
    <row r="417" spans="1:6" x14ac:dyDescent="0.25">
      <c r="A417" s="260"/>
      <c r="B417" s="262"/>
      <c r="C417" s="260"/>
      <c r="D417" s="259"/>
      <c r="E417" s="259"/>
      <c r="F417" s="259"/>
    </row>
    <row r="418" spans="1:6" x14ac:dyDescent="0.25">
      <c r="A418" s="260"/>
      <c r="B418" s="262"/>
      <c r="C418" s="260"/>
      <c r="D418" s="259"/>
      <c r="E418" s="259"/>
      <c r="F418" s="259"/>
    </row>
    <row r="419" spans="1:6" x14ac:dyDescent="0.25">
      <c r="A419" s="260"/>
      <c r="B419" s="262"/>
      <c r="C419" s="260"/>
      <c r="D419" s="259"/>
      <c r="E419" s="259"/>
      <c r="F419" s="259"/>
    </row>
    <row r="420" spans="1:6" x14ac:dyDescent="0.25">
      <c r="A420" s="260"/>
      <c r="B420" s="262"/>
      <c r="C420" s="260"/>
      <c r="D420" s="259"/>
      <c r="E420" s="259"/>
      <c r="F420" s="259"/>
    </row>
    <row r="421" spans="1:6" x14ac:dyDescent="0.25">
      <c r="A421" s="260"/>
      <c r="B421" s="262"/>
      <c r="C421" s="260"/>
      <c r="D421" s="259"/>
      <c r="E421" s="259"/>
      <c r="F421" s="259"/>
    </row>
    <row r="422" spans="1:6" x14ac:dyDescent="0.25">
      <c r="A422" s="260"/>
      <c r="B422" s="262"/>
      <c r="C422" s="260"/>
      <c r="D422" s="259"/>
      <c r="E422" s="259"/>
      <c r="F422" s="259"/>
    </row>
    <row r="423" spans="1:6" x14ac:dyDescent="0.25">
      <c r="A423" s="260"/>
      <c r="B423" s="262"/>
      <c r="C423" s="260"/>
      <c r="D423" s="259"/>
      <c r="E423" s="259"/>
      <c r="F423" s="259"/>
    </row>
    <row r="424" spans="1:6" x14ac:dyDescent="0.25">
      <c r="A424" s="260"/>
      <c r="B424" s="262"/>
      <c r="C424" s="260"/>
      <c r="D424" s="259"/>
      <c r="E424" s="259"/>
      <c r="F424" s="259"/>
    </row>
    <row r="425" spans="1:6" x14ac:dyDescent="0.25">
      <c r="A425" s="260"/>
      <c r="B425" s="262"/>
      <c r="C425" s="260"/>
      <c r="D425" s="259"/>
      <c r="E425" s="259"/>
      <c r="F425" s="259"/>
    </row>
    <row r="426" spans="1:6" x14ac:dyDescent="0.25">
      <c r="A426" s="260"/>
      <c r="B426" s="262"/>
      <c r="C426" s="260"/>
      <c r="D426" s="259"/>
      <c r="E426" s="259"/>
      <c r="F426" s="259"/>
    </row>
    <row r="427" spans="1:6" x14ac:dyDescent="0.25">
      <c r="A427" s="260"/>
      <c r="B427" s="262"/>
      <c r="C427" s="260"/>
      <c r="D427" s="259"/>
      <c r="E427" s="259"/>
      <c r="F427" s="259"/>
    </row>
    <row r="428" spans="1:6" x14ac:dyDescent="0.25">
      <c r="A428" s="260"/>
      <c r="B428" s="262"/>
      <c r="C428" s="260"/>
      <c r="D428" s="259"/>
      <c r="E428" s="259"/>
      <c r="F428" s="259"/>
    </row>
    <row r="429" spans="1:6" x14ac:dyDescent="0.25">
      <c r="A429" s="260"/>
      <c r="B429" s="262"/>
      <c r="C429" s="260"/>
      <c r="D429" s="259"/>
      <c r="E429" s="259"/>
      <c r="F429" s="259"/>
    </row>
    <row r="430" spans="1:6" x14ac:dyDescent="0.25">
      <c r="A430" s="260"/>
      <c r="B430" s="262"/>
      <c r="C430" s="260"/>
      <c r="D430" s="259"/>
      <c r="E430" s="259"/>
      <c r="F430" s="259"/>
    </row>
    <row r="431" spans="1:6" x14ac:dyDescent="0.25">
      <c r="A431" s="260"/>
      <c r="B431" s="262"/>
      <c r="C431" s="260"/>
      <c r="D431" s="259"/>
      <c r="E431" s="259"/>
      <c r="F431" s="259"/>
    </row>
    <row r="432" spans="1:6" x14ac:dyDescent="0.25">
      <c r="A432" s="260"/>
      <c r="B432" s="262"/>
      <c r="C432" s="260"/>
      <c r="D432" s="259"/>
      <c r="E432" s="259"/>
      <c r="F432" s="259"/>
    </row>
    <row r="433" spans="1:6" x14ac:dyDescent="0.25">
      <c r="A433" s="260"/>
      <c r="B433" s="262"/>
      <c r="C433" s="260"/>
      <c r="D433" s="259"/>
      <c r="E433" s="259"/>
      <c r="F433" s="259"/>
    </row>
    <row r="434" spans="1:6" x14ac:dyDescent="0.25">
      <c r="A434" s="260"/>
      <c r="B434" s="262"/>
      <c r="C434" s="260"/>
      <c r="D434" s="259"/>
      <c r="E434" s="259"/>
      <c r="F434" s="259"/>
    </row>
    <row r="435" spans="1:6" x14ac:dyDescent="0.25">
      <c r="A435" s="260"/>
      <c r="B435" s="262"/>
      <c r="C435" s="260"/>
      <c r="D435" s="259"/>
      <c r="E435" s="259"/>
      <c r="F435" s="259"/>
    </row>
    <row r="436" spans="1:6" x14ac:dyDescent="0.25">
      <c r="A436" s="260"/>
      <c r="B436" s="262"/>
      <c r="C436" s="260"/>
      <c r="D436" s="259"/>
      <c r="E436" s="259"/>
      <c r="F436" s="259"/>
    </row>
    <row r="437" spans="1:6" x14ac:dyDescent="0.25">
      <c r="A437" s="260"/>
      <c r="B437" s="262"/>
      <c r="C437" s="260"/>
      <c r="D437" s="259"/>
      <c r="E437" s="259"/>
      <c r="F437" s="259"/>
    </row>
    <row r="438" spans="1:6" x14ac:dyDescent="0.25">
      <c r="A438" s="260"/>
      <c r="B438" s="262"/>
      <c r="C438" s="260"/>
      <c r="D438" s="259"/>
      <c r="E438" s="259"/>
      <c r="F438" s="259"/>
    </row>
    <row r="439" spans="1:6" x14ac:dyDescent="0.25">
      <c r="A439" s="260"/>
      <c r="B439" s="262"/>
      <c r="C439" s="260"/>
      <c r="D439" s="259"/>
      <c r="E439" s="259"/>
      <c r="F439" s="259"/>
    </row>
    <row r="440" spans="1:6" x14ac:dyDescent="0.25">
      <c r="A440" s="260"/>
      <c r="B440" s="262"/>
      <c r="C440" s="260"/>
      <c r="D440" s="259"/>
      <c r="E440" s="259"/>
      <c r="F440" s="259"/>
    </row>
    <row r="441" spans="1:6" x14ac:dyDescent="0.25">
      <c r="A441" s="260"/>
      <c r="B441" s="262"/>
      <c r="C441" s="260"/>
      <c r="D441" s="259"/>
      <c r="E441" s="259"/>
      <c r="F441" s="259"/>
    </row>
    <row r="442" spans="1:6" x14ac:dyDescent="0.25">
      <c r="A442" s="260"/>
      <c r="B442" s="262"/>
      <c r="C442" s="260"/>
      <c r="D442" s="259"/>
      <c r="E442" s="259"/>
      <c r="F442" s="259"/>
    </row>
    <row r="443" spans="1:6" x14ac:dyDescent="0.25">
      <c r="A443" s="260"/>
      <c r="B443" s="262"/>
      <c r="C443" s="260"/>
      <c r="D443" s="259"/>
      <c r="E443" s="259"/>
      <c r="F443" s="259"/>
    </row>
    <row r="444" spans="1:6" x14ac:dyDescent="0.25">
      <c r="A444" s="260"/>
      <c r="B444" s="262"/>
      <c r="C444" s="260"/>
      <c r="D444" s="259"/>
      <c r="E444" s="259"/>
      <c r="F444" s="259"/>
    </row>
    <row r="445" spans="1:6" x14ac:dyDescent="0.25">
      <c r="A445" s="260"/>
      <c r="B445" s="262"/>
      <c r="C445" s="260"/>
      <c r="D445" s="259"/>
      <c r="E445" s="259"/>
      <c r="F445" s="259"/>
    </row>
    <row r="446" spans="1:6" x14ac:dyDescent="0.25">
      <c r="A446" s="260"/>
      <c r="B446" s="262"/>
      <c r="C446" s="260"/>
      <c r="D446" s="259"/>
      <c r="E446" s="259"/>
      <c r="F446" s="259"/>
    </row>
    <row r="447" spans="1:6" x14ac:dyDescent="0.25">
      <c r="A447" s="260"/>
      <c r="B447" s="262"/>
      <c r="C447" s="260"/>
      <c r="D447" s="259"/>
      <c r="E447" s="259"/>
      <c r="F447" s="259"/>
    </row>
    <row r="448" spans="1:6" x14ac:dyDescent="0.25">
      <c r="A448" s="260"/>
      <c r="B448" s="262"/>
      <c r="C448" s="260"/>
      <c r="D448" s="259"/>
      <c r="E448" s="259"/>
      <c r="F448" s="259"/>
    </row>
    <row r="449" spans="1:6" x14ac:dyDescent="0.25">
      <c r="A449" s="260"/>
      <c r="B449" s="262"/>
      <c r="C449" s="260"/>
      <c r="D449" s="259"/>
      <c r="E449" s="259"/>
      <c r="F449" s="259"/>
    </row>
    <row r="450" spans="1:6" x14ac:dyDescent="0.25">
      <c r="A450" s="260"/>
      <c r="B450" s="262"/>
      <c r="C450" s="260"/>
      <c r="D450" s="259"/>
      <c r="E450" s="259"/>
      <c r="F450" s="259"/>
    </row>
    <row r="451" spans="1:6" x14ac:dyDescent="0.25">
      <c r="A451" s="260"/>
      <c r="B451" s="262"/>
      <c r="C451" s="260"/>
      <c r="D451" s="259"/>
      <c r="E451" s="259"/>
      <c r="F451" s="259"/>
    </row>
    <row r="452" spans="1:6" x14ac:dyDescent="0.25">
      <c r="A452" s="260"/>
      <c r="B452" s="262"/>
      <c r="C452" s="260"/>
      <c r="D452" s="259"/>
      <c r="E452" s="259"/>
      <c r="F452" s="259"/>
    </row>
    <row r="453" spans="1:6" x14ac:dyDescent="0.25">
      <c r="A453" s="260"/>
      <c r="B453" s="262"/>
      <c r="C453" s="260"/>
      <c r="D453" s="259"/>
      <c r="E453" s="259"/>
      <c r="F453" s="259"/>
    </row>
    <row r="454" spans="1:6" x14ac:dyDescent="0.25">
      <c r="A454" s="260"/>
      <c r="B454" s="262"/>
      <c r="C454" s="260"/>
      <c r="D454" s="259"/>
      <c r="E454" s="259"/>
      <c r="F454" s="259"/>
    </row>
    <row r="455" spans="1:6" x14ac:dyDescent="0.25">
      <c r="A455" s="260"/>
      <c r="B455" s="262"/>
      <c r="C455" s="260"/>
      <c r="D455" s="259"/>
      <c r="E455" s="259"/>
      <c r="F455" s="259"/>
    </row>
    <row r="456" spans="1:6" x14ac:dyDescent="0.25">
      <c r="A456" s="260"/>
      <c r="B456" s="262"/>
      <c r="C456" s="260"/>
      <c r="D456" s="259"/>
      <c r="E456" s="259"/>
      <c r="F456" s="259"/>
    </row>
    <row r="457" spans="1:6" x14ac:dyDescent="0.25">
      <c r="A457" s="260"/>
      <c r="B457" s="262"/>
      <c r="C457" s="260"/>
      <c r="D457" s="259"/>
      <c r="E457" s="259"/>
      <c r="F457" s="259"/>
    </row>
    <row r="458" spans="1:6" x14ac:dyDescent="0.25">
      <c r="A458" s="260"/>
      <c r="B458" s="262"/>
      <c r="C458" s="260"/>
      <c r="D458" s="259"/>
      <c r="E458" s="259"/>
      <c r="F458" s="259"/>
    </row>
    <row r="459" spans="1:6" x14ac:dyDescent="0.25">
      <c r="A459" s="260"/>
      <c r="B459" s="262"/>
      <c r="C459" s="260"/>
      <c r="D459" s="259"/>
      <c r="E459" s="259"/>
      <c r="F459" s="259"/>
    </row>
    <row r="460" spans="1:6" x14ac:dyDescent="0.25">
      <c r="A460" s="260"/>
      <c r="B460" s="262"/>
      <c r="C460" s="260"/>
      <c r="D460" s="259"/>
      <c r="E460" s="259"/>
      <c r="F460" s="259"/>
    </row>
    <row r="461" spans="1:6" x14ac:dyDescent="0.25">
      <c r="A461" s="260"/>
      <c r="B461" s="262"/>
      <c r="C461" s="260"/>
      <c r="D461" s="259"/>
      <c r="E461" s="259"/>
      <c r="F461" s="259"/>
    </row>
    <row r="462" spans="1:6" x14ac:dyDescent="0.25">
      <c r="A462" s="260"/>
      <c r="B462" s="262"/>
      <c r="C462" s="260"/>
      <c r="D462" s="259"/>
      <c r="E462" s="259"/>
      <c r="F462" s="259"/>
    </row>
    <row r="463" spans="1:6" x14ac:dyDescent="0.25">
      <c r="A463" s="260"/>
      <c r="B463" s="262"/>
      <c r="C463" s="260"/>
      <c r="D463" s="259"/>
      <c r="E463" s="259"/>
      <c r="F463" s="259"/>
    </row>
    <row r="464" spans="1:6" x14ac:dyDescent="0.25">
      <c r="A464" s="260"/>
      <c r="B464" s="262"/>
      <c r="C464" s="260"/>
      <c r="D464" s="259"/>
      <c r="E464" s="259"/>
      <c r="F464" s="259"/>
    </row>
    <row r="465" spans="1:6" x14ac:dyDescent="0.25">
      <c r="A465" s="260"/>
      <c r="B465" s="262"/>
      <c r="C465" s="260"/>
      <c r="D465" s="259"/>
      <c r="E465" s="259"/>
      <c r="F465" s="259"/>
    </row>
    <row r="466" spans="1:6" x14ac:dyDescent="0.25">
      <c r="A466" s="260"/>
      <c r="B466" s="262"/>
      <c r="C466" s="260"/>
      <c r="D466" s="259"/>
      <c r="E466" s="259"/>
      <c r="F466" s="259"/>
    </row>
    <row r="467" spans="1:6" x14ac:dyDescent="0.25">
      <c r="A467" s="260"/>
      <c r="B467" s="262"/>
      <c r="C467" s="260"/>
      <c r="D467" s="259"/>
      <c r="E467" s="259"/>
      <c r="F467" s="259"/>
    </row>
    <row r="468" spans="1:6" x14ac:dyDescent="0.25">
      <c r="A468" s="260"/>
      <c r="B468" s="262"/>
      <c r="C468" s="260"/>
      <c r="D468" s="259"/>
      <c r="E468" s="259"/>
      <c r="F468" s="259"/>
    </row>
    <row r="469" spans="1:6" x14ac:dyDescent="0.25">
      <c r="A469" s="260"/>
      <c r="B469" s="262"/>
      <c r="C469" s="260"/>
      <c r="D469" s="259"/>
      <c r="E469" s="259"/>
      <c r="F469" s="259"/>
    </row>
    <row r="470" spans="1:6" x14ac:dyDescent="0.25">
      <c r="A470" s="260"/>
      <c r="B470" s="262"/>
      <c r="C470" s="260"/>
      <c r="D470" s="259"/>
      <c r="E470" s="259"/>
      <c r="F470" s="259"/>
    </row>
    <row r="471" spans="1:6" x14ac:dyDescent="0.25">
      <c r="A471" s="260"/>
      <c r="B471" s="262"/>
      <c r="C471" s="260"/>
      <c r="D471" s="259"/>
      <c r="E471" s="259"/>
      <c r="F471" s="259"/>
    </row>
    <row r="472" spans="1:6" x14ac:dyDescent="0.25">
      <c r="A472" s="260"/>
      <c r="B472" s="262"/>
      <c r="C472" s="260"/>
      <c r="D472" s="259"/>
      <c r="E472" s="259"/>
      <c r="F472" s="259"/>
    </row>
    <row r="473" spans="1:6" x14ac:dyDescent="0.25">
      <c r="A473" s="260"/>
      <c r="B473" s="262"/>
      <c r="C473" s="260"/>
      <c r="D473" s="259"/>
      <c r="E473" s="259"/>
      <c r="F473" s="259"/>
    </row>
    <row r="474" spans="1:6" x14ac:dyDescent="0.25">
      <c r="A474" s="260"/>
      <c r="B474" s="262"/>
      <c r="C474" s="260"/>
      <c r="D474" s="259"/>
      <c r="E474" s="259"/>
      <c r="F474" s="259"/>
    </row>
    <row r="475" spans="1:6" x14ac:dyDescent="0.25">
      <c r="A475" s="260"/>
      <c r="B475" s="262"/>
      <c r="C475" s="260"/>
      <c r="D475" s="259"/>
      <c r="E475" s="259"/>
      <c r="F475" s="259"/>
    </row>
    <row r="476" spans="1:6" x14ac:dyDescent="0.25">
      <c r="A476" s="260"/>
      <c r="B476" s="262"/>
      <c r="C476" s="260"/>
      <c r="D476" s="259"/>
      <c r="E476" s="259"/>
      <c r="F476" s="259"/>
    </row>
    <row r="477" spans="1:6" x14ac:dyDescent="0.25">
      <c r="A477" s="260"/>
      <c r="B477" s="262"/>
      <c r="C477" s="260"/>
      <c r="D477" s="259"/>
      <c r="E477" s="259"/>
      <c r="F477" s="259"/>
    </row>
    <row r="478" spans="1:6" x14ac:dyDescent="0.25">
      <c r="A478" s="260"/>
      <c r="B478" s="262"/>
      <c r="C478" s="260"/>
      <c r="D478" s="259"/>
      <c r="E478" s="259"/>
      <c r="F478" s="259"/>
    </row>
    <row r="479" spans="1:6" x14ac:dyDescent="0.25">
      <c r="A479" s="260"/>
      <c r="B479" s="262"/>
      <c r="C479" s="260"/>
      <c r="D479" s="259"/>
      <c r="E479" s="259"/>
      <c r="F479" s="259"/>
    </row>
    <row r="480" spans="1:6" x14ac:dyDescent="0.25">
      <c r="A480" s="260"/>
      <c r="B480" s="262"/>
      <c r="C480" s="260"/>
      <c r="D480" s="259"/>
      <c r="E480" s="259"/>
      <c r="F480" s="259"/>
    </row>
    <row r="481" spans="1:6" x14ac:dyDescent="0.25">
      <c r="A481" s="260"/>
      <c r="B481" s="262"/>
      <c r="C481" s="260"/>
      <c r="D481" s="259"/>
      <c r="E481" s="259"/>
      <c r="F481" s="259"/>
    </row>
    <row r="482" spans="1:6" x14ac:dyDescent="0.25">
      <c r="A482" s="260"/>
      <c r="B482" s="262"/>
      <c r="C482" s="260"/>
      <c r="D482" s="259"/>
      <c r="E482" s="259"/>
      <c r="F482" s="259"/>
    </row>
    <row r="483" spans="1:6" x14ac:dyDescent="0.25">
      <c r="A483" s="260"/>
      <c r="B483" s="262"/>
      <c r="C483" s="260"/>
      <c r="D483" s="259"/>
      <c r="E483" s="259"/>
      <c r="F483" s="259"/>
    </row>
    <row r="484" spans="1:6" x14ac:dyDescent="0.25">
      <c r="A484" s="260"/>
      <c r="B484" s="262"/>
      <c r="C484" s="260"/>
      <c r="D484" s="259"/>
      <c r="E484" s="259"/>
      <c r="F484" s="259"/>
    </row>
    <row r="485" spans="1:6" x14ac:dyDescent="0.25">
      <c r="A485" s="260"/>
      <c r="B485" s="262"/>
      <c r="C485" s="260"/>
      <c r="D485" s="259"/>
      <c r="E485" s="259"/>
      <c r="F485" s="259"/>
    </row>
    <row r="486" spans="1:6" x14ac:dyDescent="0.25">
      <c r="A486" s="260"/>
      <c r="B486" s="262"/>
      <c r="C486" s="260"/>
      <c r="D486" s="259"/>
      <c r="E486" s="259"/>
      <c r="F486" s="259"/>
    </row>
    <row r="487" spans="1:6" x14ac:dyDescent="0.25">
      <c r="A487" s="260"/>
      <c r="B487" s="262"/>
      <c r="C487" s="260"/>
      <c r="D487" s="259"/>
      <c r="E487" s="259"/>
      <c r="F487" s="259"/>
    </row>
    <row r="488" spans="1:6" x14ac:dyDescent="0.25">
      <c r="A488" s="260"/>
      <c r="B488" s="262"/>
      <c r="C488" s="260"/>
      <c r="D488" s="259"/>
      <c r="E488" s="259"/>
      <c r="F488" s="259"/>
    </row>
    <row r="489" spans="1:6" x14ac:dyDescent="0.25">
      <c r="A489" s="260"/>
      <c r="B489" s="262"/>
      <c r="C489" s="260"/>
      <c r="D489" s="259"/>
      <c r="E489" s="259"/>
      <c r="F489" s="259"/>
    </row>
    <row r="490" spans="1:6" x14ac:dyDescent="0.25">
      <c r="A490" s="260"/>
      <c r="B490" s="262"/>
      <c r="C490" s="260"/>
      <c r="D490" s="259"/>
      <c r="E490" s="259"/>
      <c r="F490" s="259"/>
    </row>
    <row r="491" spans="1:6" x14ac:dyDescent="0.25">
      <c r="A491" s="260"/>
      <c r="B491" s="262"/>
      <c r="C491" s="260"/>
      <c r="D491" s="259"/>
      <c r="E491" s="259"/>
      <c r="F491" s="259"/>
    </row>
    <row r="492" spans="1:6" x14ac:dyDescent="0.25">
      <c r="A492" s="260"/>
      <c r="B492" s="262"/>
      <c r="C492" s="260"/>
      <c r="D492" s="259"/>
      <c r="E492" s="259"/>
      <c r="F492" s="259"/>
    </row>
    <row r="493" spans="1:6" x14ac:dyDescent="0.25">
      <c r="A493" s="260"/>
      <c r="B493" s="262"/>
      <c r="C493" s="260"/>
      <c r="D493" s="259"/>
      <c r="E493" s="259"/>
      <c r="F493" s="259"/>
    </row>
    <row r="494" spans="1:6" x14ac:dyDescent="0.25">
      <c r="A494" s="260"/>
      <c r="B494" s="262"/>
      <c r="C494" s="260"/>
      <c r="D494" s="259"/>
      <c r="E494" s="259"/>
      <c r="F494" s="259"/>
    </row>
    <row r="495" spans="1:6" x14ac:dyDescent="0.25">
      <c r="A495" s="260"/>
      <c r="B495" s="262"/>
      <c r="C495" s="260"/>
      <c r="D495" s="259"/>
      <c r="E495" s="259"/>
      <c r="F495" s="259"/>
    </row>
    <row r="496" spans="1:6" x14ac:dyDescent="0.25">
      <c r="A496" s="260"/>
      <c r="B496" s="262"/>
      <c r="C496" s="260"/>
      <c r="D496" s="259"/>
      <c r="E496" s="259"/>
      <c r="F496" s="259"/>
    </row>
    <row r="497" spans="1:6" x14ac:dyDescent="0.25">
      <c r="A497" s="260"/>
      <c r="B497" s="262"/>
      <c r="C497" s="260"/>
      <c r="D497" s="259"/>
      <c r="E497" s="259"/>
      <c r="F497" s="259"/>
    </row>
    <row r="498" spans="1:6" x14ac:dyDescent="0.25">
      <c r="A498" s="260"/>
      <c r="B498" s="262"/>
      <c r="C498" s="260"/>
      <c r="D498" s="259"/>
      <c r="E498" s="259"/>
      <c r="F498" s="259"/>
    </row>
    <row r="499" spans="1:6" x14ac:dyDescent="0.25">
      <c r="A499" s="260"/>
      <c r="B499" s="262"/>
      <c r="C499" s="260"/>
      <c r="D499" s="259"/>
      <c r="E499" s="259"/>
      <c r="F499" s="259"/>
    </row>
    <row r="500" spans="1:6" x14ac:dyDescent="0.25">
      <c r="A500" s="260"/>
      <c r="B500" s="262"/>
      <c r="C500" s="260"/>
      <c r="D500" s="259"/>
      <c r="E500" s="259"/>
      <c r="F500" s="259"/>
    </row>
    <row r="501" spans="1:6" x14ac:dyDescent="0.25">
      <c r="A501" s="260"/>
      <c r="B501" s="262"/>
      <c r="C501" s="260"/>
      <c r="D501" s="259"/>
      <c r="E501" s="259"/>
      <c r="F501" s="259"/>
    </row>
    <row r="502" spans="1:6" x14ac:dyDescent="0.25">
      <c r="A502" s="260"/>
      <c r="B502" s="262"/>
      <c r="C502" s="260"/>
      <c r="D502" s="259"/>
      <c r="E502" s="259"/>
      <c r="F502" s="259"/>
    </row>
    <row r="503" spans="1:6" x14ac:dyDescent="0.25">
      <c r="A503" s="260"/>
      <c r="B503" s="262"/>
      <c r="C503" s="260"/>
      <c r="D503" s="259"/>
      <c r="E503" s="259"/>
      <c r="F503" s="259"/>
    </row>
    <row r="504" spans="1:6" x14ac:dyDescent="0.25">
      <c r="A504" s="260"/>
      <c r="B504" s="262"/>
      <c r="C504" s="260"/>
      <c r="D504" s="259"/>
      <c r="E504" s="259"/>
      <c r="F504" s="259"/>
    </row>
    <row r="505" spans="1:6" x14ac:dyDescent="0.25">
      <c r="A505" s="260"/>
      <c r="B505" s="262"/>
      <c r="C505" s="260"/>
      <c r="D505" s="259"/>
      <c r="E505" s="259"/>
      <c r="F505" s="259"/>
    </row>
    <row r="506" spans="1:6" x14ac:dyDescent="0.25">
      <c r="A506" s="260"/>
      <c r="B506" s="262"/>
      <c r="C506" s="260"/>
      <c r="D506" s="259"/>
      <c r="E506" s="259"/>
      <c r="F506" s="259"/>
    </row>
    <row r="507" spans="1:6" x14ac:dyDescent="0.25">
      <c r="A507" s="260"/>
      <c r="B507" s="262"/>
      <c r="C507" s="260"/>
      <c r="D507" s="259"/>
      <c r="E507" s="259"/>
      <c r="F507" s="259"/>
    </row>
    <row r="508" spans="1:6" x14ac:dyDescent="0.25">
      <c r="A508" s="260"/>
      <c r="B508" s="262"/>
      <c r="C508" s="260"/>
      <c r="D508" s="259"/>
      <c r="E508" s="259"/>
      <c r="F508" s="259"/>
    </row>
    <row r="509" spans="1:6" x14ac:dyDescent="0.25">
      <c r="A509" s="260"/>
      <c r="B509" s="262"/>
      <c r="C509" s="260"/>
      <c r="D509" s="259"/>
      <c r="E509" s="259"/>
      <c r="F509" s="259"/>
    </row>
    <row r="510" spans="1:6" x14ac:dyDescent="0.25">
      <c r="A510" s="260"/>
      <c r="B510" s="262"/>
      <c r="C510" s="260"/>
      <c r="D510" s="259"/>
      <c r="E510" s="259"/>
      <c r="F510" s="259"/>
    </row>
    <row r="511" spans="1:6" x14ac:dyDescent="0.25">
      <c r="A511" s="260"/>
      <c r="B511" s="262"/>
      <c r="C511" s="260"/>
      <c r="D511" s="259"/>
      <c r="E511" s="259"/>
      <c r="F511" s="259"/>
    </row>
    <row r="512" spans="1:6" x14ac:dyDescent="0.25">
      <c r="A512" s="260"/>
      <c r="B512" s="262"/>
      <c r="C512" s="260"/>
      <c r="D512" s="259"/>
      <c r="E512" s="259"/>
      <c r="F512" s="259"/>
    </row>
    <row r="513" spans="1:6" x14ac:dyDescent="0.25">
      <c r="A513" s="260"/>
      <c r="B513" s="262"/>
      <c r="C513" s="260"/>
      <c r="D513" s="259"/>
      <c r="E513" s="259"/>
      <c r="F513" s="259"/>
    </row>
    <row r="514" spans="1:6" x14ac:dyDescent="0.25">
      <c r="A514" s="260"/>
      <c r="B514" s="262"/>
      <c r="C514" s="260"/>
      <c r="D514" s="259"/>
      <c r="E514" s="259"/>
      <c r="F514" s="259"/>
    </row>
    <row r="515" spans="1:6" x14ac:dyDescent="0.25">
      <c r="A515" s="260"/>
      <c r="B515" s="262"/>
      <c r="C515" s="260"/>
      <c r="D515" s="259"/>
      <c r="E515" s="259"/>
      <c r="F515" s="259"/>
    </row>
    <row r="516" spans="1:6" x14ac:dyDescent="0.25">
      <c r="A516" s="260"/>
      <c r="B516" s="262"/>
      <c r="C516" s="260"/>
      <c r="D516" s="259"/>
      <c r="E516" s="259"/>
      <c r="F516" s="259"/>
    </row>
    <row r="517" spans="1:6" x14ac:dyDescent="0.25">
      <c r="A517" s="260"/>
      <c r="B517" s="262"/>
      <c r="C517" s="260"/>
      <c r="D517" s="259"/>
      <c r="E517" s="259"/>
      <c r="F517" s="259"/>
    </row>
    <row r="518" spans="1:6" x14ac:dyDescent="0.25">
      <c r="A518" s="260"/>
      <c r="B518" s="262"/>
      <c r="C518" s="260"/>
      <c r="D518" s="259"/>
      <c r="E518" s="259"/>
      <c r="F518" s="259"/>
    </row>
    <row r="519" spans="1:6" x14ac:dyDescent="0.25">
      <c r="A519" s="260"/>
      <c r="B519" s="262"/>
      <c r="C519" s="260"/>
      <c r="D519" s="259"/>
      <c r="E519" s="259"/>
      <c r="F519" s="259"/>
    </row>
    <row r="520" spans="1:6" x14ac:dyDescent="0.25">
      <c r="A520" s="260"/>
      <c r="B520" s="262"/>
      <c r="C520" s="260"/>
      <c r="D520" s="259"/>
      <c r="E520" s="259"/>
      <c r="F520" s="259"/>
    </row>
    <row r="521" spans="1:6" x14ac:dyDescent="0.25">
      <c r="A521" s="260"/>
      <c r="B521" s="262"/>
      <c r="C521" s="260"/>
      <c r="D521" s="259"/>
      <c r="E521" s="259"/>
      <c r="F521" s="259"/>
    </row>
    <row r="522" spans="1:6" x14ac:dyDescent="0.25">
      <c r="A522" s="260"/>
      <c r="B522" s="262"/>
      <c r="C522" s="260"/>
      <c r="D522" s="259"/>
      <c r="E522" s="259"/>
      <c r="F522" s="259"/>
    </row>
    <row r="523" spans="1:6" x14ac:dyDescent="0.25">
      <c r="A523" s="260"/>
      <c r="B523" s="262"/>
      <c r="C523" s="260"/>
      <c r="D523" s="259"/>
      <c r="E523" s="259"/>
      <c r="F523" s="259"/>
    </row>
    <row r="524" spans="1:6" x14ac:dyDescent="0.25">
      <c r="A524" s="260"/>
      <c r="B524" s="262"/>
      <c r="C524" s="260"/>
      <c r="D524" s="259"/>
      <c r="E524" s="259"/>
      <c r="F524" s="259"/>
    </row>
    <row r="525" spans="1:6" x14ac:dyDescent="0.25">
      <c r="A525" s="260"/>
      <c r="B525" s="262"/>
      <c r="C525" s="260"/>
      <c r="D525" s="259"/>
      <c r="E525" s="259"/>
      <c r="F525" s="259"/>
    </row>
    <row r="526" spans="1:6" x14ac:dyDescent="0.25">
      <c r="A526" s="260"/>
      <c r="B526" s="262"/>
      <c r="C526" s="260"/>
      <c r="D526" s="259"/>
      <c r="E526" s="259"/>
      <c r="F526" s="259"/>
    </row>
    <row r="527" spans="1:6" x14ac:dyDescent="0.25">
      <c r="A527" s="260"/>
      <c r="B527" s="262"/>
      <c r="C527" s="260"/>
      <c r="D527" s="259"/>
      <c r="E527" s="259"/>
      <c r="F527" s="259"/>
    </row>
    <row r="528" spans="1:6" x14ac:dyDescent="0.25">
      <c r="A528" s="260"/>
      <c r="B528" s="262"/>
      <c r="C528" s="260"/>
      <c r="D528" s="259"/>
      <c r="E528" s="259"/>
      <c r="F528" s="259"/>
    </row>
    <row r="529" spans="1:6" x14ac:dyDescent="0.25">
      <c r="A529" s="260"/>
      <c r="B529" s="262"/>
      <c r="C529" s="260"/>
      <c r="D529" s="259"/>
      <c r="E529" s="259"/>
      <c r="F529" s="259"/>
    </row>
    <row r="530" spans="1:6" x14ac:dyDescent="0.25">
      <c r="A530" s="260"/>
      <c r="B530" s="262"/>
      <c r="C530" s="260"/>
      <c r="D530" s="259"/>
      <c r="E530" s="259"/>
      <c r="F530" s="259"/>
    </row>
    <row r="531" spans="1:6" x14ac:dyDescent="0.25">
      <c r="A531" s="260"/>
      <c r="B531" s="262"/>
      <c r="C531" s="260"/>
      <c r="D531" s="259"/>
      <c r="E531" s="259"/>
      <c r="F531" s="259"/>
    </row>
    <row r="532" spans="1:6" x14ac:dyDescent="0.25">
      <c r="A532" s="260"/>
      <c r="B532" s="262"/>
      <c r="C532" s="260"/>
      <c r="D532" s="259"/>
      <c r="E532" s="259"/>
      <c r="F532" s="259"/>
    </row>
    <row r="533" spans="1:6" x14ac:dyDescent="0.25">
      <c r="A533" s="260"/>
      <c r="B533" s="262"/>
      <c r="C533" s="260"/>
      <c r="D533" s="259"/>
      <c r="E533" s="259"/>
      <c r="F533" s="259"/>
    </row>
    <row r="534" spans="1:6" x14ac:dyDescent="0.25">
      <c r="A534" s="260"/>
      <c r="B534" s="262"/>
      <c r="C534" s="260"/>
      <c r="D534" s="259"/>
      <c r="E534" s="259"/>
      <c r="F534" s="259"/>
    </row>
    <row r="535" spans="1:6" x14ac:dyDescent="0.25">
      <c r="A535" s="260"/>
      <c r="B535" s="262"/>
      <c r="C535" s="260"/>
      <c r="D535" s="259"/>
      <c r="E535" s="259"/>
      <c r="F535" s="259"/>
    </row>
    <row r="536" spans="1:6" x14ac:dyDescent="0.25">
      <c r="A536" s="260"/>
      <c r="B536" s="262"/>
      <c r="C536" s="260"/>
      <c r="D536" s="259"/>
      <c r="E536" s="259"/>
      <c r="F536" s="259"/>
    </row>
    <row r="537" spans="1:6" x14ac:dyDescent="0.25">
      <c r="A537" s="260"/>
      <c r="B537" s="262"/>
      <c r="C537" s="260"/>
      <c r="D537" s="259"/>
      <c r="E537" s="259"/>
      <c r="F537" s="259"/>
    </row>
    <row r="538" spans="1:6" x14ac:dyDescent="0.25">
      <c r="A538" s="260"/>
      <c r="B538" s="262"/>
      <c r="C538" s="260"/>
      <c r="D538" s="259"/>
      <c r="E538" s="259"/>
      <c r="F538" s="259"/>
    </row>
    <row r="539" spans="1:6" x14ac:dyDescent="0.25">
      <c r="A539" s="260"/>
      <c r="B539" s="262"/>
      <c r="C539" s="260"/>
      <c r="D539" s="259"/>
      <c r="E539" s="259"/>
      <c r="F539" s="259"/>
    </row>
    <row r="540" spans="1:6" x14ac:dyDescent="0.25">
      <c r="A540" s="260"/>
      <c r="B540" s="262"/>
      <c r="C540" s="260"/>
      <c r="D540" s="259"/>
      <c r="E540" s="259"/>
      <c r="F540" s="259"/>
    </row>
    <row r="541" spans="1:6" x14ac:dyDescent="0.25">
      <c r="A541" s="260"/>
      <c r="B541" s="262"/>
      <c r="C541" s="260"/>
      <c r="D541" s="259"/>
      <c r="E541" s="259"/>
      <c r="F541" s="259"/>
    </row>
    <row r="542" spans="1:6" x14ac:dyDescent="0.25">
      <c r="A542" s="260"/>
      <c r="B542" s="262"/>
      <c r="C542" s="260"/>
      <c r="D542" s="259"/>
      <c r="E542" s="259"/>
      <c r="F542" s="259"/>
    </row>
    <row r="543" spans="1:6" x14ac:dyDescent="0.25">
      <c r="A543" s="260"/>
      <c r="B543" s="262"/>
      <c r="C543" s="260"/>
      <c r="D543" s="259"/>
      <c r="E543" s="259"/>
      <c r="F543" s="259"/>
    </row>
    <row r="544" spans="1:6" x14ac:dyDescent="0.25">
      <c r="A544" s="260"/>
      <c r="B544" s="262"/>
      <c r="C544" s="260"/>
      <c r="D544" s="259"/>
      <c r="E544" s="259"/>
      <c r="F544" s="259"/>
    </row>
    <row r="545" spans="1:6" x14ac:dyDescent="0.25">
      <c r="A545" s="260"/>
      <c r="B545" s="262"/>
      <c r="C545" s="260"/>
      <c r="D545" s="259"/>
      <c r="E545" s="259"/>
      <c r="F545" s="259"/>
    </row>
    <row r="546" spans="1:6" x14ac:dyDescent="0.25">
      <c r="A546" s="260"/>
      <c r="B546" s="262"/>
      <c r="C546" s="260"/>
      <c r="D546" s="259"/>
      <c r="E546" s="259"/>
      <c r="F546" s="259"/>
    </row>
    <row r="547" spans="1:6" x14ac:dyDescent="0.25">
      <c r="A547" s="260"/>
      <c r="B547" s="262"/>
      <c r="C547" s="260"/>
      <c r="D547" s="259"/>
      <c r="E547" s="259"/>
      <c r="F547" s="259"/>
    </row>
    <row r="548" spans="1:6" x14ac:dyDescent="0.25">
      <c r="A548" s="260"/>
      <c r="B548" s="262"/>
      <c r="C548" s="260"/>
      <c r="D548" s="259"/>
      <c r="E548" s="259"/>
      <c r="F548" s="259"/>
    </row>
    <row r="549" spans="1:6" x14ac:dyDescent="0.25">
      <c r="A549" s="260"/>
      <c r="B549" s="262"/>
      <c r="C549" s="260"/>
      <c r="D549" s="259"/>
      <c r="E549" s="259"/>
      <c r="F549" s="259"/>
    </row>
    <row r="550" spans="1:6" x14ac:dyDescent="0.25">
      <c r="A550" s="260"/>
      <c r="B550" s="262"/>
      <c r="C550" s="260"/>
      <c r="D550" s="259"/>
      <c r="E550" s="259"/>
      <c r="F550" s="259"/>
    </row>
    <row r="551" spans="1:6" x14ac:dyDescent="0.25">
      <c r="A551" s="260"/>
      <c r="B551" s="262"/>
      <c r="C551" s="260"/>
      <c r="D551" s="259"/>
      <c r="E551" s="259"/>
      <c r="F551" s="259"/>
    </row>
    <row r="552" spans="1:6" x14ac:dyDescent="0.25">
      <c r="A552" s="260"/>
      <c r="B552" s="262"/>
      <c r="C552" s="260"/>
      <c r="D552" s="259"/>
      <c r="E552" s="259"/>
      <c r="F552" s="259"/>
    </row>
    <row r="553" spans="1:6" x14ac:dyDescent="0.25">
      <c r="A553" s="260"/>
      <c r="B553" s="262"/>
      <c r="C553" s="260"/>
      <c r="D553" s="259"/>
      <c r="E553" s="259"/>
      <c r="F553" s="259"/>
    </row>
    <row r="554" spans="1:6" x14ac:dyDescent="0.25">
      <c r="A554" s="260"/>
      <c r="B554" s="262"/>
      <c r="C554" s="260"/>
      <c r="D554" s="259"/>
      <c r="E554" s="259"/>
      <c r="F554" s="259"/>
    </row>
    <row r="555" spans="1:6" x14ac:dyDescent="0.25">
      <c r="A555" s="260"/>
      <c r="B555" s="262"/>
      <c r="C555" s="260"/>
      <c r="D555" s="259"/>
      <c r="E555" s="259"/>
      <c r="F555" s="259"/>
    </row>
    <row r="556" spans="1:6" x14ac:dyDescent="0.25">
      <c r="A556" s="260"/>
      <c r="B556" s="262"/>
      <c r="C556" s="260"/>
      <c r="D556" s="259"/>
      <c r="E556" s="259"/>
      <c r="F556" s="259"/>
    </row>
    <row r="557" spans="1:6" x14ac:dyDescent="0.25">
      <c r="A557" s="260"/>
      <c r="B557" s="262"/>
      <c r="C557" s="260"/>
      <c r="D557" s="259"/>
      <c r="E557" s="259"/>
      <c r="F557" s="259"/>
    </row>
    <row r="558" spans="1:6" x14ac:dyDescent="0.25">
      <c r="A558" s="260"/>
      <c r="B558" s="262"/>
      <c r="C558" s="260"/>
      <c r="D558" s="259"/>
      <c r="E558" s="259"/>
      <c r="F558" s="259"/>
    </row>
    <row r="559" spans="1:6" x14ac:dyDescent="0.25">
      <c r="A559" s="260"/>
      <c r="B559" s="262"/>
      <c r="C559" s="260"/>
      <c r="D559" s="259"/>
      <c r="E559" s="259"/>
      <c r="F559" s="259"/>
    </row>
    <row r="560" spans="1:6" x14ac:dyDescent="0.25">
      <c r="A560" s="260"/>
      <c r="B560" s="262"/>
      <c r="C560" s="260"/>
      <c r="D560" s="259"/>
      <c r="E560" s="259"/>
      <c r="F560" s="259"/>
    </row>
    <row r="561" spans="1:6" x14ac:dyDescent="0.25">
      <c r="A561" s="260"/>
      <c r="B561" s="262"/>
      <c r="C561" s="260"/>
      <c r="D561" s="259"/>
      <c r="E561" s="259"/>
      <c r="F561" s="259"/>
    </row>
    <row r="562" spans="1:6" x14ac:dyDescent="0.25">
      <c r="A562" s="260"/>
      <c r="B562" s="262"/>
      <c r="C562" s="260"/>
      <c r="D562" s="259"/>
      <c r="E562" s="259"/>
      <c r="F562" s="259"/>
    </row>
    <row r="563" spans="1:6" x14ac:dyDescent="0.25">
      <c r="A563" s="260"/>
      <c r="B563" s="262"/>
      <c r="C563" s="260"/>
      <c r="D563" s="259"/>
      <c r="E563" s="259"/>
      <c r="F563" s="259"/>
    </row>
    <row r="564" spans="1:6" x14ac:dyDescent="0.25">
      <c r="A564" s="260"/>
      <c r="B564" s="262"/>
      <c r="C564" s="260"/>
      <c r="D564" s="259"/>
      <c r="E564" s="259"/>
      <c r="F564" s="259"/>
    </row>
    <row r="565" spans="1:6" x14ac:dyDescent="0.25">
      <c r="A565" s="260"/>
      <c r="B565" s="262"/>
      <c r="C565" s="260"/>
      <c r="D565" s="259"/>
      <c r="E565" s="259"/>
      <c r="F565" s="259"/>
    </row>
    <row r="566" spans="1:6" x14ac:dyDescent="0.25">
      <c r="A566" s="260"/>
      <c r="B566" s="262"/>
      <c r="C566" s="260"/>
      <c r="D566" s="259"/>
      <c r="E566" s="259"/>
      <c r="F566" s="259"/>
    </row>
    <row r="567" spans="1:6" x14ac:dyDescent="0.25">
      <c r="A567" s="260"/>
      <c r="B567" s="262"/>
      <c r="C567" s="260"/>
      <c r="D567" s="259"/>
      <c r="E567" s="259"/>
      <c r="F567" s="259"/>
    </row>
    <row r="568" spans="1:6" x14ac:dyDescent="0.25">
      <c r="A568" s="260"/>
      <c r="B568" s="262"/>
      <c r="C568" s="260"/>
      <c r="D568" s="259"/>
      <c r="E568" s="259"/>
      <c r="F568" s="259"/>
    </row>
    <row r="569" spans="1:6" x14ac:dyDescent="0.25">
      <c r="A569" s="260"/>
      <c r="B569" s="262"/>
      <c r="C569" s="260"/>
      <c r="D569" s="259"/>
      <c r="E569" s="259"/>
      <c r="F569" s="259"/>
    </row>
    <row r="570" spans="1:6" x14ac:dyDescent="0.25">
      <c r="A570" s="260"/>
      <c r="B570" s="262"/>
      <c r="C570" s="260"/>
      <c r="D570" s="259"/>
      <c r="E570" s="259"/>
      <c r="F570" s="259"/>
    </row>
    <row r="571" spans="1:6" x14ac:dyDescent="0.25">
      <c r="A571" s="260"/>
      <c r="B571" s="262"/>
      <c r="C571" s="260"/>
      <c r="D571" s="259"/>
      <c r="E571" s="259"/>
      <c r="F571" s="259"/>
    </row>
    <row r="572" spans="1:6" x14ac:dyDescent="0.25">
      <c r="A572" s="260"/>
      <c r="B572" s="262"/>
      <c r="C572" s="260"/>
      <c r="D572" s="259"/>
      <c r="E572" s="259"/>
      <c r="F572" s="259"/>
    </row>
    <row r="573" spans="1:6" x14ac:dyDescent="0.25">
      <c r="A573" s="260"/>
      <c r="B573" s="262"/>
      <c r="C573" s="260"/>
      <c r="D573" s="259"/>
      <c r="E573" s="259"/>
      <c r="F573" s="259"/>
    </row>
    <row r="574" spans="1:6" x14ac:dyDescent="0.25">
      <c r="A574" s="260"/>
      <c r="B574" s="262"/>
      <c r="C574" s="260"/>
      <c r="D574" s="259"/>
      <c r="E574" s="259"/>
      <c r="F574" s="259"/>
    </row>
    <row r="575" spans="1:6" x14ac:dyDescent="0.25">
      <c r="A575" s="260"/>
      <c r="B575" s="262"/>
      <c r="C575" s="260"/>
      <c r="D575" s="259"/>
      <c r="E575" s="259"/>
      <c r="F575" s="259"/>
    </row>
    <row r="576" spans="1:6" x14ac:dyDescent="0.25">
      <c r="A576" s="260"/>
      <c r="B576" s="262"/>
      <c r="C576" s="260"/>
      <c r="D576" s="259"/>
      <c r="E576" s="259"/>
      <c r="F576" s="259"/>
    </row>
    <row r="577" spans="1:6" x14ac:dyDescent="0.25">
      <c r="A577" s="260"/>
      <c r="B577" s="262"/>
      <c r="C577" s="260"/>
      <c r="D577" s="259"/>
      <c r="E577" s="259"/>
      <c r="F577" s="259"/>
    </row>
    <row r="578" spans="1:6" x14ac:dyDescent="0.25">
      <c r="A578" s="260"/>
      <c r="B578" s="262"/>
      <c r="C578" s="260"/>
      <c r="D578" s="259"/>
      <c r="E578" s="259"/>
      <c r="F578" s="259"/>
    </row>
    <row r="579" spans="1:6" x14ac:dyDescent="0.25">
      <c r="A579" s="260"/>
      <c r="B579" s="262"/>
      <c r="C579" s="260"/>
      <c r="D579" s="259"/>
      <c r="E579" s="259"/>
      <c r="F579" s="259"/>
    </row>
    <row r="580" spans="1:6" x14ac:dyDescent="0.25">
      <c r="A580" s="260"/>
      <c r="B580" s="262"/>
      <c r="C580" s="260"/>
      <c r="D580" s="259"/>
      <c r="E580" s="259"/>
      <c r="F580" s="259"/>
    </row>
    <row r="581" spans="1:6" x14ac:dyDescent="0.25">
      <c r="A581" s="260"/>
      <c r="B581" s="262"/>
      <c r="C581" s="260"/>
      <c r="D581" s="259"/>
      <c r="E581" s="259"/>
      <c r="F581" s="259"/>
    </row>
    <row r="582" spans="1:6" x14ac:dyDescent="0.25">
      <c r="A582" s="260"/>
      <c r="B582" s="262"/>
      <c r="C582" s="260"/>
      <c r="D582" s="259"/>
      <c r="E582" s="259"/>
      <c r="F582" s="259"/>
    </row>
    <row r="583" spans="1:6" x14ac:dyDescent="0.25">
      <c r="A583" s="260"/>
      <c r="B583" s="262"/>
      <c r="C583" s="260"/>
      <c r="D583" s="259"/>
      <c r="E583" s="259"/>
      <c r="F583" s="259"/>
    </row>
    <row r="584" spans="1:6" x14ac:dyDescent="0.25">
      <c r="A584" s="260"/>
      <c r="B584" s="262"/>
      <c r="C584" s="260"/>
      <c r="D584" s="259"/>
      <c r="E584" s="259"/>
      <c r="F584" s="259"/>
    </row>
    <row r="585" spans="1:6" x14ac:dyDescent="0.25">
      <c r="A585" s="260"/>
      <c r="B585" s="262"/>
      <c r="C585" s="260"/>
      <c r="D585" s="259"/>
      <c r="E585" s="259"/>
      <c r="F585" s="259"/>
    </row>
    <row r="586" spans="1:6" x14ac:dyDescent="0.25">
      <c r="A586" s="260"/>
      <c r="B586" s="262"/>
      <c r="C586" s="260"/>
      <c r="D586" s="259"/>
      <c r="E586" s="259"/>
      <c r="F586" s="259"/>
    </row>
    <row r="587" spans="1:6" x14ac:dyDescent="0.25">
      <c r="A587" s="260"/>
      <c r="B587" s="262"/>
      <c r="C587" s="260"/>
      <c r="D587" s="259"/>
      <c r="E587" s="259"/>
      <c r="F587" s="259"/>
    </row>
    <row r="588" spans="1:6" x14ac:dyDescent="0.25">
      <c r="A588" s="260"/>
      <c r="B588" s="262"/>
      <c r="C588" s="260"/>
      <c r="D588" s="259"/>
      <c r="E588" s="259"/>
      <c r="F588" s="259"/>
    </row>
    <row r="589" spans="1:6" x14ac:dyDescent="0.25">
      <c r="A589" s="260"/>
      <c r="B589" s="262"/>
      <c r="C589" s="260"/>
      <c r="D589" s="259"/>
      <c r="E589" s="259"/>
      <c r="F589" s="259"/>
    </row>
    <row r="590" spans="1:6" x14ac:dyDescent="0.25">
      <c r="A590" s="260"/>
      <c r="B590" s="262"/>
      <c r="C590" s="260"/>
      <c r="D590" s="259"/>
      <c r="E590" s="259"/>
      <c r="F590" s="259"/>
    </row>
    <row r="591" spans="1:6" x14ac:dyDescent="0.25">
      <c r="A591" s="260"/>
      <c r="B591" s="262"/>
      <c r="C591" s="260"/>
      <c r="D591" s="259"/>
      <c r="E591" s="259"/>
      <c r="F591" s="259"/>
    </row>
    <row r="592" spans="1:6" x14ac:dyDescent="0.25">
      <c r="A592" s="260"/>
      <c r="B592" s="262"/>
      <c r="C592" s="260"/>
      <c r="D592" s="259"/>
      <c r="E592" s="259"/>
      <c r="F592" s="259"/>
    </row>
    <row r="593" spans="1:6" x14ac:dyDescent="0.25">
      <c r="A593" s="260"/>
      <c r="B593" s="262"/>
      <c r="C593" s="260"/>
      <c r="D593" s="259"/>
      <c r="E593" s="259"/>
      <c r="F593" s="259"/>
    </row>
    <row r="594" spans="1:6" x14ac:dyDescent="0.25">
      <c r="A594" s="260"/>
      <c r="B594" s="262"/>
      <c r="C594" s="260"/>
      <c r="D594" s="259"/>
      <c r="E594" s="259"/>
      <c r="F594" s="259"/>
    </row>
    <row r="595" spans="1:6" x14ac:dyDescent="0.25">
      <c r="A595" s="260"/>
      <c r="B595" s="262"/>
      <c r="C595" s="260"/>
      <c r="D595" s="259"/>
      <c r="E595" s="259"/>
      <c r="F595" s="259"/>
    </row>
    <row r="596" spans="1:6" x14ac:dyDescent="0.25">
      <c r="A596" s="260"/>
      <c r="B596" s="262"/>
      <c r="C596" s="260"/>
      <c r="D596" s="259"/>
      <c r="E596" s="259"/>
      <c r="F596" s="259"/>
    </row>
    <row r="597" spans="1:6" x14ac:dyDescent="0.25">
      <c r="A597" s="260"/>
      <c r="B597" s="262"/>
      <c r="C597" s="260"/>
      <c r="D597" s="259"/>
      <c r="E597" s="259"/>
      <c r="F597" s="259"/>
    </row>
    <row r="598" spans="1:6" x14ac:dyDescent="0.25">
      <c r="A598" s="260"/>
      <c r="B598" s="262"/>
      <c r="C598" s="260"/>
      <c r="D598" s="259"/>
      <c r="E598" s="259"/>
      <c r="F598" s="259"/>
    </row>
    <row r="599" spans="1:6" x14ac:dyDescent="0.25">
      <c r="A599" s="260"/>
      <c r="B599" s="262"/>
      <c r="C599" s="260"/>
      <c r="D599" s="259"/>
      <c r="E599" s="259"/>
      <c r="F599" s="259"/>
    </row>
    <row r="600" spans="1:6" x14ac:dyDescent="0.25">
      <c r="A600" s="260"/>
      <c r="B600" s="262"/>
      <c r="C600" s="260"/>
      <c r="D600" s="259"/>
      <c r="E600" s="259"/>
      <c r="F600" s="259"/>
    </row>
    <row r="601" spans="1:6" x14ac:dyDescent="0.25">
      <c r="A601" s="260"/>
      <c r="B601" s="262"/>
      <c r="C601" s="260"/>
      <c r="D601" s="259"/>
      <c r="E601" s="259"/>
      <c r="F601" s="259"/>
    </row>
    <row r="602" spans="1:6" x14ac:dyDescent="0.25">
      <c r="A602" s="260"/>
      <c r="B602" s="262"/>
      <c r="C602" s="260"/>
      <c r="D602" s="259"/>
      <c r="E602" s="259"/>
      <c r="F602" s="259"/>
    </row>
    <row r="603" spans="1:6" x14ac:dyDescent="0.25">
      <c r="A603" s="260"/>
      <c r="B603" s="262"/>
      <c r="C603" s="260"/>
      <c r="D603" s="259"/>
      <c r="E603" s="259"/>
      <c r="F603" s="259"/>
    </row>
    <row r="604" spans="1:6" x14ac:dyDescent="0.25">
      <c r="A604" s="260"/>
      <c r="B604" s="262"/>
      <c r="C604" s="260"/>
      <c r="D604" s="259"/>
      <c r="E604" s="259"/>
      <c r="F604" s="259"/>
    </row>
    <row r="605" spans="1:6" x14ac:dyDescent="0.25">
      <c r="A605" s="260"/>
      <c r="B605" s="262"/>
      <c r="C605" s="260"/>
      <c r="D605" s="259"/>
      <c r="E605" s="259"/>
      <c r="F605" s="259"/>
    </row>
    <row r="606" spans="1:6" x14ac:dyDescent="0.25">
      <c r="A606" s="260"/>
      <c r="B606" s="262"/>
      <c r="C606" s="260"/>
      <c r="D606" s="259"/>
      <c r="E606" s="259"/>
      <c r="F606" s="259"/>
    </row>
    <row r="607" spans="1:6" x14ac:dyDescent="0.25">
      <c r="A607" s="260"/>
      <c r="B607" s="262"/>
      <c r="C607" s="260"/>
      <c r="D607" s="259"/>
      <c r="E607" s="259"/>
      <c r="F607" s="259"/>
    </row>
    <row r="608" spans="1:6" x14ac:dyDescent="0.25">
      <c r="A608" s="260"/>
      <c r="B608" s="262"/>
      <c r="C608" s="260"/>
      <c r="D608" s="259"/>
      <c r="E608" s="259"/>
      <c r="F608" s="259"/>
    </row>
    <row r="609" spans="1:6" x14ac:dyDescent="0.25">
      <c r="A609" s="260"/>
      <c r="B609" s="262"/>
      <c r="C609" s="260"/>
      <c r="D609" s="259"/>
      <c r="E609" s="259"/>
      <c r="F609" s="259"/>
    </row>
    <row r="610" spans="1:6" x14ac:dyDescent="0.25">
      <c r="A610" s="260"/>
      <c r="B610" s="262"/>
      <c r="C610" s="260"/>
      <c r="D610" s="259"/>
      <c r="E610" s="259"/>
      <c r="F610" s="259"/>
    </row>
    <row r="611" spans="1:6" x14ac:dyDescent="0.25">
      <c r="A611" s="260"/>
      <c r="B611" s="262"/>
      <c r="C611" s="260"/>
      <c r="D611" s="259"/>
      <c r="E611" s="259"/>
      <c r="F611" s="259"/>
    </row>
    <row r="612" spans="1:6" x14ac:dyDescent="0.25">
      <c r="A612" s="260"/>
      <c r="B612" s="262"/>
      <c r="C612" s="260"/>
      <c r="D612" s="259"/>
      <c r="E612" s="259"/>
      <c r="F612" s="259"/>
    </row>
    <row r="613" spans="1:6" x14ac:dyDescent="0.25">
      <c r="A613" s="260"/>
      <c r="B613" s="262"/>
      <c r="C613" s="260"/>
      <c r="D613" s="259"/>
      <c r="E613" s="259"/>
      <c r="F613" s="259"/>
    </row>
    <row r="614" spans="1:6" x14ac:dyDescent="0.25">
      <c r="A614" s="260"/>
      <c r="B614" s="262"/>
      <c r="C614" s="260"/>
      <c r="D614" s="259"/>
      <c r="E614" s="259"/>
      <c r="F614" s="259"/>
    </row>
    <row r="615" spans="1:6" x14ac:dyDescent="0.25">
      <c r="A615" s="260"/>
      <c r="B615" s="262"/>
      <c r="C615" s="260"/>
      <c r="D615" s="259"/>
      <c r="E615" s="259"/>
      <c r="F615" s="259"/>
    </row>
    <row r="616" spans="1:6" x14ac:dyDescent="0.25">
      <c r="A616" s="260"/>
      <c r="B616" s="262"/>
      <c r="C616" s="260"/>
      <c r="D616" s="259"/>
      <c r="E616" s="259"/>
      <c r="F616" s="259"/>
    </row>
    <row r="617" spans="1:6" x14ac:dyDescent="0.25">
      <c r="A617" s="260"/>
      <c r="B617" s="262"/>
      <c r="C617" s="260"/>
      <c r="D617" s="259"/>
      <c r="E617" s="259"/>
      <c r="F617" s="259"/>
    </row>
    <row r="618" spans="1:6" x14ac:dyDescent="0.25">
      <c r="A618" s="260"/>
      <c r="B618" s="262"/>
      <c r="C618" s="260"/>
      <c r="D618" s="259"/>
      <c r="E618" s="259"/>
      <c r="F618" s="259"/>
    </row>
    <row r="619" spans="1:6" x14ac:dyDescent="0.25">
      <c r="A619" s="260"/>
      <c r="B619" s="262"/>
      <c r="C619" s="260"/>
      <c r="D619" s="259"/>
      <c r="E619" s="259"/>
      <c r="F619" s="259"/>
    </row>
    <row r="620" spans="1:6" x14ac:dyDescent="0.25">
      <c r="A620" s="260"/>
      <c r="B620" s="262"/>
      <c r="C620" s="260"/>
      <c r="D620" s="259"/>
      <c r="E620" s="259"/>
      <c r="F620" s="259"/>
    </row>
    <row r="621" spans="1:6" x14ac:dyDescent="0.25">
      <c r="A621" s="260"/>
      <c r="B621" s="262"/>
      <c r="C621" s="260"/>
      <c r="D621" s="259"/>
      <c r="E621" s="259"/>
      <c r="F621" s="259"/>
    </row>
    <row r="622" spans="1:6" x14ac:dyDescent="0.25">
      <c r="A622" s="260"/>
      <c r="B622" s="262"/>
      <c r="C622" s="260"/>
      <c r="D622" s="259"/>
      <c r="E622" s="259"/>
      <c r="F622" s="259"/>
    </row>
    <row r="623" spans="1:6" x14ac:dyDescent="0.25">
      <c r="A623" s="260"/>
      <c r="B623" s="262"/>
      <c r="C623" s="260"/>
      <c r="D623" s="259"/>
      <c r="E623" s="259"/>
      <c r="F623" s="259"/>
    </row>
    <row r="624" spans="1:6" x14ac:dyDescent="0.25">
      <c r="A624" s="260"/>
      <c r="B624" s="262"/>
      <c r="C624" s="260"/>
      <c r="D624" s="259"/>
      <c r="E624" s="259"/>
      <c r="F624" s="259"/>
    </row>
    <row r="625" spans="1:6" x14ac:dyDescent="0.25">
      <c r="A625" s="260"/>
      <c r="B625" s="262"/>
      <c r="C625" s="260"/>
      <c r="D625" s="259"/>
      <c r="E625" s="259"/>
      <c r="F625" s="259"/>
    </row>
    <row r="626" spans="1:6" x14ac:dyDescent="0.25">
      <c r="A626" s="260"/>
      <c r="B626" s="262"/>
      <c r="C626" s="260"/>
      <c r="D626" s="259"/>
      <c r="E626" s="259"/>
      <c r="F626" s="259"/>
    </row>
    <row r="627" spans="1:6" x14ac:dyDescent="0.25">
      <c r="A627" s="260"/>
      <c r="B627" s="262"/>
      <c r="C627" s="260"/>
      <c r="D627" s="259"/>
      <c r="E627" s="259"/>
      <c r="F627" s="259"/>
    </row>
    <row r="628" spans="1:6" x14ac:dyDescent="0.25">
      <c r="A628" s="260"/>
      <c r="B628" s="262"/>
      <c r="C628" s="260"/>
      <c r="D628" s="259"/>
      <c r="E628" s="259"/>
      <c r="F628" s="259"/>
    </row>
    <row r="629" spans="1:6" x14ac:dyDescent="0.25">
      <c r="A629" s="260"/>
      <c r="B629" s="262"/>
      <c r="C629" s="260"/>
      <c r="D629" s="259"/>
      <c r="E629" s="259"/>
      <c r="F629" s="259"/>
    </row>
    <row r="630" spans="1:6" x14ac:dyDescent="0.25">
      <c r="A630" s="260"/>
      <c r="B630" s="262"/>
      <c r="C630" s="260"/>
      <c r="D630" s="259"/>
      <c r="E630" s="259"/>
      <c r="F630" s="259"/>
    </row>
    <row r="631" spans="1:6" x14ac:dyDescent="0.25">
      <c r="A631" s="260"/>
      <c r="B631" s="262"/>
      <c r="C631" s="260"/>
      <c r="D631" s="259"/>
      <c r="E631" s="259"/>
      <c r="F631" s="259"/>
    </row>
    <row r="632" spans="1:6" x14ac:dyDescent="0.25">
      <c r="A632" s="260"/>
      <c r="B632" s="262"/>
      <c r="C632" s="260"/>
      <c r="D632" s="259"/>
      <c r="E632" s="259"/>
      <c r="F632" s="259"/>
    </row>
    <row r="633" spans="1:6" x14ac:dyDescent="0.25">
      <c r="A633" s="260"/>
      <c r="B633" s="262"/>
      <c r="C633" s="260"/>
      <c r="D633" s="259"/>
      <c r="E633" s="259"/>
      <c r="F633" s="259"/>
    </row>
    <row r="634" spans="1:6" x14ac:dyDescent="0.25">
      <c r="A634" s="260"/>
      <c r="B634" s="262"/>
      <c r="C634" s="260"/>
      <c r="D634" s="259"/>
      <c r="E634" s="259"/>
      <c r="F634" s="259"/>
    </row>
    <row r="635" spans="1:6" x14ac:dyDescent="0.25">
      <c r="A635" s="260"/>
      <c r="B635" s="262"/>
      <c r="C635" s="260"/>
      <c r="D635" s="259"/>
      <c r="E635" s="259"/>
      <c r="F635" s="259"/>
    </row>
    <row r="636" spans="1:6" x14ac:dyDescent="0.25">
      <c r="A636" s="260"/>
      <c r="B636" s="262"/>
      <c r="C636" s="260"/>
      <c r="D636" s="259"/>
      <c r="E636" s="259"/>
      <c r="F636" s="259"/>
    </row>
    <row r="637" spans="1:6" x14ac:dyDescent="0.25">
      <c r="A637" s="260"/>
      <c r="B637" s="262"/>
      <c r="C637" s="260"/>
      <c r="D637" s="259"/>
      <c r="E637" s="259"/>
      <c r="F637" s="259"/>
    </row>
    <row r="638" spans="1:6" x14ac:dyDescent="0.25">
      <c r="A638" s="260"/>
      <c r="B638" s="262"/>
      <c r="C638" s="260"/>
      <c r="D638" s="259"/>
      <c r="E638" s="259"/>
      <c r="F638" s="259"/>
    </row>
    <row r="639" spans="1:6" x14ac:dyDescent="0.25">
      <c r="A639" s="260"/>
      <c r="B639" s="262"/>
      <c r="C639" s="260"/>
      <c r="D639" s="259"/>
      <c r="E639" s="259"/>
      <c r="F639" s="259"/>
    </row>
    <row r="640" spans="1:6" x14ac:dyDescent="0.25">
      <c r="A640" s="260"/>
      <c r="B640" s="262"/>
      <c r="C640" s="260"/>
      <c r="D640" s="259"/>
      <c r="E640" s="259"/>
      <c r="F640" s="259"/>
    </row>
    <row r="641" spans="1:6" x14ac:dyDescent="0.25">
      <c r="A641" s="260"/>
      <c r="B641" s="262"/>
      <c r="C641" s="260"/>
      <c r="D641" s="259"/>
      <c r="E641" s="259"/>
      <c r="F641" s="259"/>
    </row>
    <row r="642" spans="1:6" x14ac:dyDescent="0.25">
      <c r="A642" s="260"/>
      <c r="B642" s="262"/>
      <c r="C642" s="260"/>
      <c r="D642" s="259"/>
      <c r="E642" s="259"/>
      <c r="F642" s="259"/>
    </row>
    <row r="643" spans="1:6" x14ac:dyDescent="0.25">
      <c r="A643" s="260"/>
      <c r="B643" s="262"/>
      <c r="C643" s="260"/>
      <c r="D643" s="259"/>
      <c r="E643" s="259"/>
      <c r="F643" s="259"/>
    </row>
    <row r="644" spans="1:6" x14ac:dyDescent="0.25">
      <c r="A644" s="260"/>
      <c r="B644" s="262"/>
      <c r="C644" s="260"/>
      <c r="D644" s="259"/>
      <c r="E644" s="259"/>
      <c r="F644" s="259"/>
    </row>
    <row r="645" spans="1:6" x14ac:dyDescent="0.25">
      <c r="A645" s="260"/>
      <c r="B645" s="262"/>
      <c r="C645" s="260"/>
      <c r="D645" s="259"/>
      <c r="E645" s="259"/>
      <c r="F645" s="259"/>
    </row>
    <row r="646" spans="1:6" x14ac:dyDescent="0.25">
      <c r="A646" s="260"/>
      <c r="B646" s="262"/>
      <c r="C646" s="260"/>
      <c r="D646" s="259"/>
      <c r="E646" s="259"/>
      <c r="F646" s="259"/>
    </row>
    <row r="647" spans="1:6" x14ac:dyDescent="0.25">
      <c r="A647" s="260"/>
      <c r="B647" s="262"/>
      <c r="C647" s="260"/>
      <c r="D647" s="259"/>
      <c r="E647" s="259"/>
      <c r="F647" s="259"/>
    </row>
    <row r="648" spans="1:6" x14ac:dyDescent="0.25">
      <c r="A648" s="260"/>
      <c r="B648" s="262"/>
      <c r="C648" s="260"/>
      <c r="D648" s="259"/>
      <c r="E648" s="259"/>
      <c r="F648" s="259"/>
    </row>
    <row r="649" spans="1:6" x14ac:dyDescent="0.25">
      <c r="A649" s="260"/>
      <c r="B649" s="262"/>
      <c r="C649" s="260"/>
      <c r="D649" s="259"/>
      <c r="E649" s="259"/>
      <c r="F649" s="259"/>
    </row>
    <row r="650" spans="1:6" x14ac:dyDescent="0.25">
      <c r="A650" s="260"/>
      <c r="B650" s="262"/>
      <c r="C650" s="260"/>
      <c r="D650" s="259"/>
      <c r="E650" s="259"/>
      <c r="F650" s="259"/>
    </row>
    <row r="651" spans="1:6" x14ac:dyDescent="0.25">
      <c r="A651" s="260"/>
      <c r="B651" s="262"/>
      <c r="C651" s="260"/>
      <c r="D651" s="259"/>
      <c r="E651" s="259"/>
      <c r="F651" s="259"/>
    </row>
    <row r="652" spans="1:6" x14ac:dyDescent="0.25">
      <c r="A652" s="260"/>
      <c r="B652" s="262"/>
      <c r="C652" s="260"/>
      <c r="D652" s="259"/>
      <c r="E652" s="259"/>
      <c r="F652" s="259"/>
    </row>
    <row r="653" spans="1:6" x14ac:dyDescent="0.25">
      <c r="A653" s="260"/>
      <c r="B653" s="262"/>
      <c r="C653" s="260"/>
      <c r="D653" s="259"/>
      <c r="E653" s="259"/>
      <c r="F653" s="259"/>
    </row>
    <row r="654" spans="1:6" x14ac:dyDescent="0.25">
      <c r="A654" s="260"/>
      <c r="B654" s="262"/>
      <c r="C654" s="260"/>
      <c r="D654" s="259"/>
      <c r="E654" s="259"/>
      <c r="F654" s="259"/>
    </row>
    <row r="655" spans="1:6" x14ac:dyDescent="0.25">
      <c r="A655" s="260"/>
      <c r="B655" s="262"/>
      <c r="C655" s="260"/>
      <c r="D655" s="259"/>
      <c r="E655" s="259"/>
      <c r="F655" s="259"/>
    </row>
    <row r="656" spans="1:6" x14ac:dyDescent="0.25">
      <c r="A656" s="260"/>
      <c r="B656" s="262"/>
      <c r="C656" s="260"/>
      <c r="D656" s="259"/>
      <c r="E656" s="259"/>
      <c r="F656" s="259"/>
    </row>
    <row r="657" spans="1:6" x14ac:dyDescent="0.25">
      <c r="A657" s="260"/>
      <c r="B657" s="262"/>
      <c r="C657" s="260"/>
      <c r="D657" s="259"/>
      <c r="E657" s="259"/>
      <c r="F657" s="259"/>
    </row>
    <row r="658" spans="1:6" x14ac:dyDescent="0.25">
      <c r="A658" s="260"/>
      <c r="B658" s="262"/>
      <c r="C658" s="260"/>
      <c r="D658" s="259"/>
      <c r="E658" s="259"/>
      <c r="F658" s="259"/>
    </row>
    <row r="659" spans="1:6" x14ac:dyDescent="0.25">
      <c r="A659" s="260"/>
      <c r="B659" s="262"/>
      <c r="C659" s="260"/>
      <c r="D659" s="259"/>
      <c r="E659" s="259"/>
      <c r="F659" s="259"/>
    </row>
    <row r="660" spans="1:6" x14ac:dyDescent="0.25">
      <c r="A660" s="260"/>
      <c r="B660" s="262"/>
      <c r="C660" s="260"/>
      <c r="D660" s="259"/>
      <c r="E660" s="259"/>
      <c r="F660" s="259"/>
    </row>
    <row r="661" spans="1:6" x14ac:dyDescent="0.25">
      <c r="A661" s="260"/>
      <c r="B661" s="262"/>
      <c r="C661" s="260"/>
      <c r="D661" s="259"/>
      <c r="E661" s="259"/>
      <c r="F661" s="259"/>
    </row>
    <row r="662" spans="1:6" x14ac:dyDescent="0.25">
      <c r="A662" s="260"/>
      <c r="B662" s="262"/>
      <c r="C662" s="260"/>
      <c r="D662" s="259"/>
      <c r="E662" s="259"/>
      <c r="F662" s="259"/>
    </row>
    <row r="663" spans="1:6" x14ac:dyDescent="0.25">
      <c r="A663" s="260"/>
      <c r="B663" s="262"/>
      <c r="C663" s="260"/>
      <c r="D663" s="259"/>
      <c r="E663" s="259"/>
      <c r="F663" s="259"/>
    </row>
    <row r="664" spans="1:6" x14ac:dyDescent="0.25">
      <c r="A664" s="260"/>
      <c r="B664" s="262"/>
      <c r="C664" s="260"/>
      <c r="D664" s="259"/>
      <c r="E664" s="259"/>
      <c r="F664" s="259"/>
    </row>
    <row r="665" spans="1:6" x14ac:dyDescent="0.25">
      <c r="A665" s="260"/>
      <c r="B665" s="262"/>
      <c r="C665" s="260"/>
      <c r="D665" s="259"/>
      <c r="E665" s="259"/>
      <c r="F665" s="259"/>
    </row>
    <row r="666" spans="1:6" x14ac:dyDescent="0.25">
      <c r="A666" s="260"/>
      <c r="B666" s="262"/>
      <c r="C666" s="260"/>
      <c r="D666" s="259"/>
      <c r="E666" s="259"/>
      <c r="F666" s="259"/>
    </row>
    <row r="667" spans="1:6" x14ac:dyDescent="0.25">
      <c r="A667" s="260"/>
      <c r="B667" s="262"/>
      <c r="C667" s="260"/>
      <c r="D667" s="259"/>
      <c r="E667" s="259"/>
      <c r="F667" s="259"/>
    </row>
    <row r="668" spans="1:6" x14ac:dyDescent="0.25">
      <c r="A668" s="260"/>
      <c r="B668" s="262"/>
      <c r="C668" s="260"/>
      <c r="D668" s="259"/>
      <c r="E668" s="259"/>
      <c r="F668" s="259"/>
    </row>
    <row r="669" spans="1:6" x14ac:dyDescent="0.25">
      <c r="A669" s="260"/>
      <c r="B669" s="262"/>
      <c r="C669" s="260"/>
      <c r="D669" s="259"/>
      <c r="E669" s="259"/>
      <c r="F669" s="259"/>
    </row>
    <row r="670" spans="1:6" x14ac:dyDescent="0.25">
      <c r="A670" s="260"/>
      <c r="B670" s="262"/>
      <c r="C670" s="260"/>
      <c r="D670" s="259"/>
      <c r="E670" s="259"/>
      <c r="F670" s="259"/>
    </row>
    <row r="671" spans="1:6" x14ac:dyDescent="0.25">
      <c r="A671" s="260"/>
      <c r="B671" s="262"/>
      <c r="C671" s="260"/>
      <c r="D671" s="259"/>
      <c r="E671" s="259"/>
      <c r="F671" s="259"/>
    </row>
    <row r="672" spans="1:6" x14ac:dyDescent="0.25">
      <c r="A672" s="260"/>
      <c r="B672" s="262"/>
      <c r="C672" s="260"/>
      <c r="D672" s="259"/>
      <c r="E672" s="259"/>
      <c r="F672" s="259"/>
    </row>
    <row r="673" spans="1:6" x14ac:dyDescent="0.25">
      <c r="A673" s="260"/>
      <c r="B673" s="262"/>
      <c r="C673" s="260"/>
      <c r="D673" s="259"/>
      <c r="E673" s="259"/>
      <c r="F673" s="259"/>
    </row>
    <row r="674" spans="1:6" x14ac:dyDescent="0.25">
      <c r="A674" s="260"/>
      <c r="B674" s="262"/>
      <c r="C674" s="260"/>
      <c r="D674" s="259"/>
      <c r="E674" s="259"/>
      <c r="F674" s="259"/>
    </row>
    <row r="675" spans="1:6" x14ac:dyDescent="0.25">
      <c r="A675" s="260"/>
      <c r="B675" s="262"/>
      <c r="C675" s="260"/>
      <c r="D675" s="259"/>
      <c r="E675" s="259"/>
      <c r="F675" s="259"/>
    </row>
    <row r="676" spans="1:6" x14ac:dyDescent="0.25">
      <c r="A676" s="260"/>
      <c r="B676" s="262"/>
      <c r="C676" s="260"/>
      <c r="D676" s="259"/>
      <c r="E676" s="259"/>
      <c r="F676" s="259"/>
    </row>
    <row r="677" spans="1:6" x14ac:dyDescent="0.25">
      <c r="A677" s="260"/>
      <c r="B677" s="262"/>
      <c r="C677" s="260"/>
      <c r="D677" s="259"/>
      <c r="E677" s="259"/>
      <c r="F677" s="259"/>
    </row>
    <row r="678" spans="1:6" x14ac:dyDescent="0.25">
      <c r="A678" s="260"/>
      <c r="B678" s="262"/>
      <c r="C678" s="260"/>
      <c r="D678" s="259"/>
      <c r="E678" s="259"/>
      <c r="F678" s="259"/>
    </row>
    <row r="679" spans="1:6" x14ac:dyDescent="0.25">
      <c r="A679" s="260"/>
      <c r="B679" s="262"/>
      <c r="C679" s="260"/>
      <c r="D679" s="259"/>
      <c r="E679" s="259"/>
      <c r="F679" s="259"/>
    </row>
    <row r="680" spans="1:6" x14ac:dyDescent="0.25">
      <c r="A680" s="260"/>
      <c r="B680" s="262"/>
      <c r="C680" s="260"/>
      <c r="D680" s="259"/>
      <c r="E680" s="259"/>
      <c r="F680" s="259"/>
    </row>
    <row r="681" spans="1:6" x14ac:dyDescent="0.25">
      <c r="A681" s="260"/>
      <c r="B681" s="262"/>
      <c r="C681" s="260"/>
      <c r="D681" s="259"/>
      <c r="E681" s="259"/>
      <c r="F681" s="259"/>
    </row>
    <row r="682" spans="1:6" x14ac:dyDescent="0.25">
      <c r="A682" s="260"/>
      <c r="B682" s="262"/>
      <c r="C682" s="260"/>
      <c r="D682" s="259"/>
      <c r="E682" s="259"/>
      <c r="F682" s="259"/>
    </row>
    <row r="683" spans="1:6" x14ac:dyDescent="0.25">
      <c r="A683" s="260"/>
      <c r="B683" s="262"/>
      <c r="C683" s="260"/>
      <c r="D683" s="259"/>
      <c r="E683" s="259"/>
      <c r="F683" s="259"/>
    </row>
    <row r="684" spans="1:6" x14ac:dyDescent="0.25">
      <c r="A684" s="260"/>
      <c r="B684" s="262"/>
      <c r="C684" s="260"/>
      <c r="D684" s="259"/>
      <c r="E684" s="259"/>
      <c r="F684" s="259"/>
    </row>
    <row r="685" spans="1:6" x14ac:dyDescent="0.25">
      <c r="A685" s="260"/>
      <c r="B685" s="262"/>
      <c r="C685" s="260"/>
      <c r="D685" s="259"/>
      <c r="E685" s="259"/>
      <c r="F685" s="259"/>
    </row>
    <row r="686" spans="1:6" x14ac:dyDescent="0.25">
      <c r="A686" s="260"/>
      <c r="B686" s="262"/>
      <c r="C686" s="260"/>
      <c r="D686" s="259"/>
      <c r="E686" s="259"/>
      <c r="F686" s="259"/>
    </row>
    <row r="687" spans="1:6" x14ac:dyDescent="0.25">
      <c r="A687" s="260"/>
      <c r="B687" s="262"/>
      <c r="C687" s="260"/>
      <c r="D687" s="259"/>
      <c r="E687" s="259"/>
      <c r="F687" s="259"/>
    </row>
    <row r="688" spans="1:6" x14ac:dyDescent="0.25">
      <c r="A688" s="260"/>
      <c r="B688" s="262"/>
      <c r="C688" s="260"/>
      <c r="D688" s="259"/>
      <c r="E688" s="259"/>
      <c r="F688" s="259"/>
    </row>
    <row r="689" spans="1:6" x14ac:dyDescent="0.25">
      <c r="A689" s="260"/>
      <c r="B689" s="262"/>
      <c r="C689" s="260"/>
      <c r="D689" s="259"/>
      <c r="E689" s="259"/>
      <c r="F689" s="259"/>
    </row>
    <row r="690" spans="1:6" x14ac:dyDescent="0.25">
      <c r="A690" s="260"/>
      <c r="B690" s="262"/>
      <c r="C690" s="260"/>
      <c r="D690" s="259"/>
      <c r="E690" s="259"/>
      <c r="F690" s="259"/>
    </row>
    <row r="691" spans="1:6" x14ac:dyDescent="0.25">
      <c r="A691" s="260"/>
      <c r="B691" s="262"/>
      <c r="C691" s="260"/>
      <c r="D691" s="259"/>
      <c r="E691" s="259"/>
      <c r="F691" s="259"/>
    </row>
    <row r="692" spans="1:6" x14ac:dyDescent="0.25">
      <c r="A692" s="260"/>
      <c r="B692" s="262"/>
      <c r="C692" s="260"/>
      <c r="D692" s="259"/>
      <c r="E692" s="259"/>
      <c r="F692" s="259"/>
    </row>
    <row r="693" spans="1:6" x14ac:dyDescent="0.25">
      <c r="A693" s="260"/>
      <c r="B693" s="262"/>
      <c r="C693" s="260"/>
      <c r="D693" s="259"/>
      <c r="E693" s="259"/>
      <c r="F693" s="259"/>
    </row>
    <row r="694" spans="1:6" x14ac:dyDescent="0.25">
      <c r="A694" s="260"/>
      <c r="B694" s="262"/>
      <c r="C694" s="260"/>
      <c r="D694" s="259"/>
      <c r="E694" s="259"/>
      <c r="F694" s="259"/>
    </row>
    <row r="695" spans="1:6" x14ac:dyDescent="0.25">
      <c r="A695" s="260"/>
      <c r="B695" s="262"/>
      <c r="C695" s="260"/>
      <c r="D695" s="259"/>
      <c r="E695" s="259"/>
      <c r="F695" s="259"/>
    </row>
    <row r="696" spans="1:6" x14ac:dyDescent="0.25">
      <c r="A696" s="260"/>
      <c r="B696" s="262"/>
      <c r="C696" s="260"/>
      <c r="D696" s="259"/>
      <c r="E696" s="259"/>
      <c r="F696" s="259"/>
    </row>
    <row r="697" spans="1:6" x14ac:dyDescent="0.25">
      <c r="A697" s="260"/>
      <c r="B697" s="262"/>
      <c r="C697" s="260"/>
      <c r="D697" s="259"/>
      <c r="E697" s="259"/>
      <c r="F697" s="259"/>
    </row>
    <row r="698" spans="1:6" x14ac:dyDescent="0.25">
      <c r="A698" s="260"/>
      <c r="B698" s="262"/>
      <c r="C698" s="260"/>
      <c r="D698" s="259"/>
      <c r="E698" s="259"/>
      <c r="F698" s="259"/>
    </row>
    <row r="699" spans="1:6" x14ac:dyDescent="0.25">
      <c r="A699" s="260"/>
      <c r="B699" s="262"/>
      <c r="C699" s="260"/>
      <c r="D699" s="259"/>
      <c r="E699" s="259"/>
      <c r="F699" s="259"/>
    </row>
    <row r="700" spans="1:6" x14ac:dyDescent="0.25">
      <c r="A700" s="260"/>
      <c r="B700" s="262"/>
      <c r="C700" s="260"/>
      <c r="D700" s="259"/>
      <c r="E700" s="259"/>
      <c r="F700" s="259"/>
    </row>
    <row r="701" spans="1:6" x14ac:dyDescent="0.25">
      <c r="A701" s="260"/>
      <c r="B701" s="262"/>
      <c r="C701" s="260"/>
      <c r="D701" s="259"/>
      <c r="E701" s="259"/>
      <c r="F701" s="259"/>
    </row>
    <row r="702" spans="1:6" x14ac:dyDescent="0.25">
      <c r="A702" s="260"/>
      <c r="B702" s="262"/>
      <c r="C702" s="260"/>
      <c r="D702" s="259"/>
      <c r="E702" s="259"/>
      <c r="F702" s="259"/>
    </row>
    <row r="703" spans="1:6" x14ac:dyDescent="0.25">
      <c r="A703" s="260"/>
      <c r="B703" s="262"/>
      <c r="C703" s="260"/>
      <c r="D703" s="259"/>
      <c r="E703" s="259"/>
      <c r="F703" s="259"/>
    </row>
    <row r="704" spans="1:6" x14ac:dyDescent="0.25">
      <c r="A704" s="260"/>
      <c r="B704" s="262"/>
      <c r="C704" s="260"/>
      <c r="D704" s="259"/>
      <c r="E704" s="259"/>
      <c r="F704" s="259"/>
    </row>
    <row r="705" spans="1:6" x14ac:dyDescent="0.25">
      <c r="A705" s="260"/>
      <c r="B705" s="262"/>
      <c r="C705" s="260"/>
      <c r="D705" s="259"/>
      <c r="E705" s="259"/>
      <c r="F705" s="259"/>
    </row>
    <row r="706" spans="1:6" x14ac:dyDescent="0.25">
      <c r="A706" s="260"/>
      <c r="B706" s="262"/>
      <c r="C706" s="260"/>
      <c r="D706" s="259"/>
      <c r="E706" s="259"/>
      <c r="F706" s="259"/>
    </row>
    <row r="707" spans="1:6" x14ac:dyDescent="0.25">
      <c r="A707" s="260"/>
      <c r="B707" s="262"/>
      <c r="C707" s="260"/>
      <c r="D707" s="259"/>
      <c r="E707" s="259"/>
      <c r="F707" s="259"/>
    </row>
    <row r="708" spans="1:6" x14ac:dyDescent="0.25">
      <c r="A708" s="260"/>
      <c r="B708" s="262"/>
      <c r="C708" s="260"/>
      <c r="D708" s="259"/>
      <c r="E708" s="259"/>
      <c r="F708" s="259"/>
    </row>
    <row r="709" spans="1:6" x14ac:dyDescent="0.25">
      <c r="A709" s="260"/>
      <c r="B709" s="262"/>
      <c r="C709" s="260"/>
      <c r="D709" s="259"/>
      <c r="E709" s="259"/>
      <c r="F709" s="259"/>
    </row>
    <row r="710" spans="1:6" x14ac:dyDescent="0.25">
      <c r="A710" s="260"/>
      <c r="B710" s="262"/>
      <c r="C710" s="260"/>
      <c r="D710" s="259"/>
      <c r="E710" s="259"/>
      <c r="F710" s="259"/>
    </row>
    <row r="711" spans="1:6" x14ac:dyDescent="0.25">
      <c r="A711" s="260"/>
      <c r="B711" s="262"/>
      <c r="C711" s="260"/>
      <c r="D711" s="259"/>
      <c r="E711" s="259"/>
      <c r="F711" s="259"/>
    </row>
    <row r="712" spans="1:6" x14ac:dyDescent="0.25">
      <c r="A712" s="260"/>
      <c r="B712" s="262"/>
      <c r="C712" s="260"/>
      <c r="D712" s="259"/>
      <c r="E712" s="259"/>
      <c r="F712" s="259"/>
    </row>
    <row r="713" spans="1:6" x14ac:dyDescent="0.25">
      <c r="A713" s="260"/>
      <c r="B713" s="262"/>
      <c r="C713" s="260"/>
      <c r="D713" s="259"/>
      <c r="E713" s="259"/>
      <c r="F713" s="259"/>
    </row>
    <row r="714" spans="1:6" x14ac:dyDescent="0.25">
      <c r="A714" s="260"/>
      <c r="B714" s="262"/>
      <c r="C714" s="260"/>
      <c r="D714" s="259"/>
      <c r="E714" s="259"/>
      <c r="F714" s="259"/>
    </row>
    <row r="715" spans="1:6" x14ac:dyDescent="0.25">
      <c r="A715" s="260"/>
      <c r="B715" s="262"/>
      <c r="C715" s="260"/>
      <c r="D715" s="259"/>
      <c r="E715" s="259"/>
      <c r="F715" s="259"/>
    </row>
    <row r="716" spans="1:6" x14ac:dyDescent="0.25">
      <c r="A716" s="260"/>
      <c r="B716" s="262"/>
      <c r="C716" s="260"/>
      <c r="D716" s="259"/>
      <c r="E716" s="259"/>
      <c r="F716" s="259"/>
    </row>
    <row r="717" spans="1:6" x14ac:dyDescent="0.25">
      <c r="A717" s="260"/>
      <c r="B717" s="262"/>
      <c r="C717" s="260"/>
      <c r="D717" s="259"/>
      <c r="E717" s="259"/>
      <c r="F717" s="259"/>
    </row>
    <row r="718" spans="1:6" x14ac:dyDescent="0.25">
      <c r="A718" s="260"/>
      <c r="B718" s="262"/>
      <c r="C718" s="260"/>
      <c r="D718" s="259"/>
      <c r="E718" s="259"/>
      <c r="F718" s="259"/>
    </row>
    <row r="719" spans="1:6" x14ac:dyDescent="0.25">
      <c r="A719" s="260"/>
      <c r="B719" s="262"/>
      <c r="C719" s="260"/>
      <c r="D719" s="259"/>
      <c r="E719" s="259"/>
      <c r="F719" s="259"/>
    </row>
    <row r="720" spans="1:6" x14ac:dyDescent="0.25">
      <c r="A720" s="260"/>
      <c r="B720" s="262"/>
      <c r="C720" s="260"/>
      <c r="D720" s="259"/>
      <c r="E720" s="259"/>
      <c r="F720" s="259"/>
    </row>
    <row r="721" spans="1:6" x14ac:dyDescent="0.25">
      <c r="A721" s="260"/>
      <c r="B721" s="262"/>
      <c r="C721" s="260"/>
      <c r="D721" s="259"/>
      <c r="E721" s="259"/>
      <c r="F721" s="259"/>
    </row>
    <row r="722" spans="1:6" x14ac:dyDescent="0.25">
      <c r="A722" s="260"/>
      <c r="B722" s="262"/>
      <c r="C722" s="260"/>
      <c r="D722" s="259"/>
      <c r="E722" s="259"/>
      <c r="F722" s="259"/>
    </row>
    <row r="723" spans="1:6" x14ac:dyDescent="0.25">
      <c r="A723" s="260"/>
      <c r="B723" s="262"/>
      <c r="C723" s="260"/>
      <c r="D723" s="259"/>
      <c r="E723" s="259"/>
      <c r="F723" s="259"/>
    </row>
    <row r="724" spans="1:6" x14ac:dyDescent="0.25">
      <c r="A724" s="260"/>
      <c r="B724" s="262"/>
      <c r="C724" s="260"/>
      <c r="D724" s="259"/>
      <c r="E724" s="259"/>
      <c r="F724" s="259"/>
    </row>
    <row r="725" spans="1:6" x14ac:dyDescent="0.25">
      <c r="A725" s="260"/>
      <c r="B725" s="262"/>
      <c r="C725" s="260"/>
      <c r="D725" s="259"/>
      <c r="E725" s="259"/>
      <c r="F725" s="259"/>
    </row>
    <row r="726" spans="1:6" x14ac:dyDescent="0.25">
      <c r="A726" s="260"/>
      <c r="B726" s="262"/>
      <c r="C726" s="260"/>
      <c r="D726" s="259"/>
      <c r="E726" s="259"/>
      <c r="F726" s="259"/>
    </row>
    <row r="727" spans="1:6" x14ac:dyDescent="0.25">
      <c r="A727" s="260"/>
      <c r="B727" s="262"/>
      <c r="C727" s="260"/>
      <c r="D727" s="259"/>
      <c r="E727" s="259"/>
      <c r="F727" s="259"/>
    </row>
    <row r="728" spans="1:6" x14ac:dyDescent="0.25">
      <c r="A728" s="260"/>
      <c r="B728" s="262"/>
      <c r="C728" s="260"/>
      <c r="D728" s="259"/>
      <c r="E728" s="259"/>
      <c r="F728" s="259"/>
    </row>
    <row r="729" spans="1:6" x14ac:dyDescent="0.25">
      <c r="A729" s="260"/>
      <c r="B729" s="262"/>
      <c r="C729" s="260"/>
      <c r="D729" s="259"/>
      <c r="E729" s="259"/>
      <c r="F729" s="259"/>
    </row>
    <row r="730" spans="1:6" x14ac:dyDescent="0.25">
      <c r="A730" s="260"/>
      <c r="B730" s="262"/>
      <c r="C730" s="260"/>
      <c r="D730" s="259"/>
      <c r="E730" s="259"/>
      <c r="F730" s="259"/>
    </row>
    <row r="731" spans="1:6" x14ac:dyDescent="0.25">
      <c r="A731" s="260"/>
      <c r="B731" s="262"/>
      <c r="C731" s="260"/>
      <c r="D731" s="259"/>
      <c r="E731" s="259"/>
      <c r="F731" s="259"/>
    </row>
    <row r="732" spans="1:6" x14ac:dyDescent="0.25">
      <c r="A732" s="260"/>
      <c r="B732" s="262"/>
      <c r="C732" s="260"/>
      <c r="D732" s="259"/>
      <c r="E732" s="259"/>
      <c r="F732" s="259"/>
    </row>
    <row r="733" spans="1:6" x14ac:dyDescent="0.25">
      <c r="A733" s="260"/>
      <c r="B733" s="262"/>
      <c r="C733" s="260"/>
      <c r="D733" s="259"/>
      <c r="E733" s="259"/>
      <c r="F733" s="259"/>
    </row>
    <row r="734" spans="1:6" x14ac:dyDescent="0.25">
      <c r="A734" s="260"/>
      <c r="B734" s="262"/>
      <c r="C734" s="260"/>
      <c r="D734" s="259"/>
      <c r="E734" s="259"/>
      <c r="F734" s="259"/>
    </row>
    <row r="735" spans="1:6" x14ac:dyDescent="0.25">
      <c r="A735" s="260"/>
      <c r="B735" s="262"/>
      <c r="C735" s="260"/>
      <c r="D735" s="259"/>
      <c r="E735" s="259"/>
      <c r="F735" s="259"/>
    </row>
    <row r="736" spans="1:6" x14ac:dyDescent="0.25">
      <c r="A736" s="260"/>
      <c r="B736" s="262"/>
      <c r="C736" s="260"/>
      <c r="D736" s="259"/>
      <c r="E736" s="259"/>
      <c r="F736" s="259"/>
    </row>
    <row r="737" spans="1:6" x14ac:dyDescent="0.25">
      <c r="A737" s="260"/>
      <c r="B737" s="262"/>
      <c r="C737" s="260"/>
      <c r="D737" s="259"/>
      <c r="E737" s="259"/>
      <c r="F737" s="259"/>
    </row>
    <row r="738" spans="1:6" x14ac:dyDescent="0.25">
      <c r="A738" s="260"/>
      <c r="B738" s="262"/>
      <c r="C738" s="260"/>
      <c r="D738" s="259"/>
      <c r="E738" s="259"/>
      <c r="F738" s="259"/>
    </row>
    <row r="739" spans="1:6" x14ac:dyDescent="0.25">
      <c r="A739" s="260"/>
      <c r="B739" s="262"/>
      <c r="C739" s="260"/>
      <c r="D739" s="259"/>
      <c r="E739" s="259"/>
      <c r="F739" s="259"/>
    </row>
    <row r="740" spans="1:6" x14ac:dyDescent="0.25">
      <c r="A740" s="260"/>
      <c r="B740" s="262"/>
      <c r="C740" s="260"/>
      <c r="D740" s="259"/>
      <c r="E740" s="259"/>
      <c r="F740" s="259"/>
    </row>
    <row r="741" spans="1:6" x14ac:dyDescent="0.25">
      <c r="A741" s="260"/>
      <c r="B741" s="262"/>
      <c r="C741" s="260"/>
      <c r="D741" s="259"/>
      <c r="E741" s="259"/>
      <c r="F741" s="259"/>
    </row>
    <row r="742" spans="1:6" x14ac:dyDescent="0.25">
      <c r="A742" s="260"/>
      <c r="B742" s="262"/>
      <c r="C742" s="260"/>
      <c r="D742" s="259"/>
      <c r="E742" s="259"/>
      <c r="F742" s="259"/>
    </row>
    <row r="743" spans="1:6" x14ac:dyDescent="0.25">
      <c r="A743" s="260"/>
      <c r="B743" s="262"/>
      <c r="C743" s="260"/>
      <c r="D743" s="259"/>
      <c r="E743" s="259"/>
      <c r="F743" s="259"/>
    </row>
    <row r="744" spans="1:6" x14ac:dyDescent="0.25">
      <c r="A744" s="260"/>
      <c r="B744" s="262"/>
      <c r="C744" s="260"/>
      <c r="D744" s="259"/>
      <c r="E744" s="259"/>
      <c r="F744" s="259"/>
    </row>
    <row r="745" spans="1:6" x14ac:dyDescent="0.25">
      <c r="A745" s="260"/>
      <c r="B745" s="262"/>
      <c r="C745" s="260"/>
      <c r="D745" s="259"/>
      <c r="E745" s="259"/>
      <c r="F745" s="259"/>
    </row>
    <row r="746" spans="1:6" x14ac:dyDescent="0.25">
      <c r="A746" s="260"/>
      <c r="B746" s="262"/>
      <c r="C746" s="260"/>
      <c r="D746" s="259"/>
      <c r="E746" s="259"/>
      <c r="F746" s="259"/>
    </row>
    <row r="747" spans="1:6" x14ac:dyDescent="0.25">
      <c r="A747" s="260"/>
      <c r="B747" s="262"/>
      <c r="C747" s="260"/>
      <c r="D747" s="259"/>
      <c r="E747" s="259"/>
      <c r="F747" s="259"/>
    </row>
    <row r="748" spans="1:6" x14ac:dyDescent="0.25">
      <c r="A748" s="260"/>
      <c r="B748" s="262"/>
      <c r="C748" s="260"/>
      <c r="D748" s="259"/>
      <c r="E748" s="259"/>
      <c r="F748" s="259"/>
    </row>
    <row r="749" spans="1:6" x14ac:dyDescent="0.25">
      <c r="A749" s="260"/>
      <c r="B749" s="262"/>
      <c r="C749" s="260"/>
      <c r="D749" s="259"/>
      <c r="E749" s="259"/>
      <c r="F749" s="259"/>
    </row>
    <row r="750" spans="1:6" x14ac:dyDescent="0.25">
      <c r="A750" s="260"/>
      <c r="B750" s="262"/>
      <c r="C750" s="260"/>
      <c r="D750" s="259"/>
      <c r="E750" s="259"/>
      <c r="F750" s="259"/>
    </row>
    <row r="751" spans="1:6" x14ac:dyDescent="0.25">
      <c r="A751" s="260"/>
      <c r="B751" s="262"/>
      <c r="C751" s="260"/>
      <c r="D751" s="259"/>
      <c r="E751" s="259"/>
      <c r="F751" s="259"/>
    </row>
    <row r="752" spans="1:6" x14ac:dyDescent="0.25">
      <c r="A752" s="260"/>
      <c r="B752" s="262"/>
      <c r="C752" s="260"/>
      <c r="D752" s="259"/>
      <c r="E752" s="259"/>
      <c r="F752" s="259"/>
    </row>
    <row r="753" spans="1:6" x14ac:dyDescent="0.25">
      <c r="A753" s="260"/>
      <c r="B753" s="262"/>
      <c r="C753" s="260"/>
      <c r="D753" s="259"/>
      <c r="E753" s="259"/>
      <c r="F753" s="259"/>
    </row>
    <row r="754" spans="1:6" x14ac:dyDescent="0.25">
      <c r="A754" s="260"/>
      <c r="B754" s="262"/>
      <c r="C754" s="260"/>
      <c r="D754" s="259"/>
      <c r="E754" s="259"/>
      <c r="F754" s="259"/>
    </row>
    <row r="755" spans="1:6" x14ac:dyDescent="0.25">
      <c r="A755" s="260"/>
      <c r="B755" s="262"/>
      <c r="C755" s="260"/>
      <c r="D755" s="259"/>
      <c r="E755" s="259"/>
      <c r="F755" s="259"/>
    </row>
    <row r="756" spans="1:6" x14ac:dyDescent="0.25">
      <c r="A756" s="260"/>
      <c r="B756" s="262"/>
      <c r="C756" s="260"/>
      <c r="D756" s="259"/>
      <c r="E756" s="259"/>
      <c r="F756" s="259"/>
    </row>
    <row r="757" spans="1:6" x14ac:dyDescent="0.25">
      <c r="A757" s="260"/>
      <c r="B757" s="262"/>
      <c r="C757" s="260"/>
      <c r="D757" s="259"/>
      <c r="E757" s="259"/>
      <c r="F757" s="259"/>
    </row>
    <row r="758" spans="1:6" x14ac:dyDescent="0.25">
      <c r="A758" s="260"/>
      <c r="B758" s="262"/>
      <c r="C758" s="260"/>
      <c r="D758" s="259"/>
      <c r="E758" s="259"/>
      <c r="F758" s="259"/>
    </row>
    <row r="759" spans="1:6" x14ac:dyDescent="0.25">
      <c r="A759" s="260"/>
      <c r="B759" s="262"/>
      <c r="C759" s="260"/>
      <c r="D759" s="259"/>
      <c r="E759" s="259"/>
      <c r="F759" s="259"/>
    </row>
    <row r="760" spans="1:6" x14ac:dyDescent="0.25">
      <c r="A760" s="260"/>
      <c r="B760" s="262"/>
      <c r="C760" s="260"/>
      <c r="D760" s="259"/>
      <c r="E760" s="259"/>
      <c r="F760" s="259"/>
    </row>
    <row r="761" spans="1:6" x14ac:dyDescent="0.25">
      <c r="A761" s="260"/>
      <c r="B761" s="262"/>
      <c r="C761" s="260"/>
      <c r="D761" s="259"/>
      <c r="E761" s="259"/>
      <c r="F761" s="259"/>
    </row>
    <row r="762" spans="1:6" x14ac:dyDescent="0.25">
      <c r="A762" s="260"/>
      <c r="B762" s="262"/>
      <c r="C762" s="260"/>
      <c r="D762" s="259"/>
      <c r="E762" s="259"/>
      <c r="F762" s="259"/>
    </row>
    <row r="763" spans="1:6" x14ac:dyDescent="0.25">
      <c r="A763" s="260"/>
      <c r="B763" s="262"/>
      <c r="C763" s="260"/>
      <c r="D763" s="259"/>
      <c r="E763" s="259"/>
      <c r="F763" s="259"/>
    </row>
    <row r="764" spans="1:6" x14ac:dyDescent="0.25">
      <c r="A764" s="260"/>
      <c r="B764" s="262"/>
      <c r="C764" s="260"/>
      <c r="D764" s="259"/>
      <c r="E764" s="259"/>
      <c r="F764" s="259"/>
    </row>
    <row r="765" spans="1:6" x14ac:dyDescent="0.25">
      <c r="A765" s="260"/>
      <c r="B765" s="262"/>
      <c r="C765" s="260"/>
      <c r="D765" s="259"/>
      <c r="E765" s="259"/>
      <c r="F765" s="259"/>
    </row>
    <row r="766" spans="1:6" x14ac:dyDescent="0.25">
      <c r="A766" s="260"/>
      <c r="B766" s="262"/>
      <c r="C766" s="260"/>
      <c r="D766" s="259"/>
      <c r="E766" s="259"/>
      <c r="F766" s="259"/>
    </row>
    <row r="767" spans="1:6" x14ac:dyDescent="0.25">
      <c r="A767" s="260"/>
      <c r="B767" s="262"/>
      <c r="C767" s="260"/>
      <c r="D767" s="259"/>
      <c r="E767" s="259"/>
      <c r="F767" s="259"/>
    </row>
    <row r="768" spans="1:6" x14ac:dyDescent="0.25">
      <c r="A768" s="260"/>
      <c r="B768" s="262"/>
      <c r="C768" s="260"/>
      <c r="D768" s="259"/>
      <c r="E768" s="259"/>
      <c r="F768" s="259"/>
    </row>
    <row r="769" spans="1:6" x14ac:dyDescent="0.25">
      <c r="A769" s="260"/>
      <c r="B769" s="262"/>
      <c r="C769" s="260"/>
      <c r="D769" s="259"/>
      <c r="E769" s="259"/>
      <c r="F769" s="259"/>
    </row>
    <row r="770" spans="1:6" x14ac:dyDescent="0.25">
      <c r="A770" s="260"/>
      <c r="B770" s="262"/>
      <c r="C770" s="260"/>
      <c r="D770" s="259"/>
      <c r="E770" s="259"/>
      <c r="F770" s="259"/>
    </row>
    <row r="771" spans="1:6" x14ac:dyDescent="0.25">
      <c r="A771" s="260"/>
      <c r="B771" s="262"/>
      <c r="C771" s="260"/>
      <c r="D771" s="259"/>
      <c r="E771" s="259"/>
      <c r="F771" s="259"/>
    </row>
    <row r="772" spans="1:6" x14ac:dyDescent="0.25">
      <c r="A772" s="260"/>
      <c r="B772" s="262"/>
      <c r="C772" s="260"/>
      <c r="D772" s="259"/>
      <c r="E772" s="259"/>
      <c r="F772" s="259"/>
    </row>
    <row r="773" spans="1:6" x14ac:dyDescent="0.25">
      <c r="A773" s="260"/>
      <c r="B773" s="262"/>
      <c r="C773" s="260"/>
      <c r="D773" s="259"/>
      <c r="E773" s="259"/>
      <c r="F773" s="259"/>
    </row>
    <row r="774" spans="1:6" x14ac:dyDescent="0.25">
      <c r="A774" s="260"/>
      <c r="B774" s="262"/>
      <c r="C774" s="260"/>
      <c r="D774" s="259"/>
      <c r="E774" s="259"/>
      <c r="F774" s="259"/>
    </row>
    <row r="775" spans="1:6" x14ac:dyDescent="0.25">
      <c r="A775" s="260"/>
      <c r="B775" s="262"/>
      <c r="C775" s="260"/>
      <c r="D775" s="259"/>
      <c r="E775" s="259"/>
      <c r="F775" s="259"/>
    </row>
    <row r="776" spans="1:6" x14ac:dyDescent="0.25">
      <c r="A776" s="260"/>
      <c r="B776" s="262"/>
      <c r="C776" s="260"/>
      <c r="D776" s="259"/>
      <c r="E776" s="259"/>
      <c r="F776" s="259"/>
    </row>
    <row r="777" spans="1:6" x14ac:dyDescent="0.25">
      <c r="A777" s="260"/>
      <c r="B777" s="262"/>
      <c r="C777" s="260"/>
      <c r="D777" s="259"/>
      <c r="E777" s="259"/>
      <c r="F777" s="259"/>
    </row>
    <row r="778" spans="1:6" x14ac:dyDescent="0.25">
      <c r="A778" s="260"/>
      <c r="B778" s="262"/>
      <c r="C778" s="260"/>
      <c r="D778" s="259"/>
      <c r="E778" s="259"/>
      <c r="F778" s="259"/>
    </row>
    <row r="779" spans="1:6" x14ac:dyDescent="0.25">
      <c r="A779" s="260"/>
      <c r="B779" s="262"/>
      <c r="C779" s="260"/>
      <c r="D779" s="259"/>
      <c r="E779" s="259"/>
      <c r="F779" s="259"/>
    </row>
    <row r="780" spans="1:6" x14ac:dyDescent="0.25">
      <c r="A780" s="260"/>
      <c r="B780" s="262"/>
      <c r="C780" s="260"/>
      <c r="D780" s="259"/>
      <c r="E780" s="259"/>
      <c r="F780" s="259"/>
    </row>
    <row r="781" spans="1:6" x14ac:dyDescent="0.25">
      <c r="A781" s="260"/>
      <c r="B781" s="262"/>
      <c r="C781" s="260"/>
      <c r="D781" s="259"/>
      <c r="E781" s="259"/>
      <c r="F781" s="259"/>
    </row>
    <row r="782" spans="1:6" x14ac:dyDescent="0.25">
      <c r="A782" s="260"/>
      <c r="B782" s="262"/>
      <c r="C782" s="260"/>
      <c r="D782" s="259"/>
      <c r="E782" s="259"/>
      <c r="F782" s="259"/>
    </row>
    <row r="783" spans="1:6" x14ac:dyDescent="0.25">
      <c r="A783" s="260"/>
      <c r="B783" s="262"/>
      <c r="C783" s="260"/>
      <c r="D783" s="259"/>
      <c r="E783" s="259"/>
      <c r="F783" s="259"/>
    </row>
    <row r="784" spans="1:6" x14ac:dyDescent="0.25">
      <c r="A784" s="260"/>
      <c r="B784" s="262"/>
      <c r="C784" s="260"/>
      <c r="D784" s="259"/>
      <c r="E784" s="259"/>
      <c r="F784" s="259"/>
    </row>
    <row r="785" spans="1:6" x14ac:dyDescent="0.25">
      <c r="A785" s="260"/>
      <c r="B785" s="262"/>
      <c r="C785" s="260"/>
      <c r="D785" s="259"/>
      <c r="E785" s="259"/>
      <c r="F785" s="259"/>
    </row>
    <row r="786" spans="1:6" x14ac:dyDescent="0.25">
      <c r="A786" s="260"/>
      <c r="B786" s="262"/>
      <c r="C786" s="260"/>
      <c r="D786" s="259"/>
      <c r="E786" s="259"/>
      <c r="F786" s="259"/>
    </row>
    <row r="787" spans="1:6" x14ac:dyDescent="0.25">
      <c r="A787" s="260"/>
      <c r="B787" s="262"/>
      <c r="C787" s="260"/>
      <c r="D787" s="259"/>
      <c r="E787" s="259"/>
      <c r="F787" s="259"/>
    </row>
    <row r="788" spans="1:6" x14ac:dyDescent="0.25">
      <c r="A788" s="260"/>
      <c r="B788" s="262"/>
      <c r="C788" s="260"/>
      <c r="D788" s="259"/>
      <c r="E788" s="259"/>
      <c r="F788" s="259"/>
    </row>
    <row r="789" spans="1:6" x14ac:dyDescent="0.25">
      <c r="A789" s="260"/>
      <c r="B789" s="262"/>
      <c r="C789" s="260"/>
      <c r="D789" s="259"/>
      <c r="E789" s="259"/>
      <c r="F789" s="259"/>
    </row>
    <row r="790" spans="1:6" x14ac:dyDescent="0.25">
      <c r="A790" s="260"/>
      <c r="B790" s="262"/>
      <c r="C790" s="260"/>
      <c r="D790" s="259"/>
      <c r="E790" s="259"/>
      <c r="F790" s="259"/>
    </row>
    <row r="791" spans="1:6" x14ac:dyDescent="0.25">
      <c r="A791" s="260"/>
      <c r="B791" s="262"/>
      <c r="C791" s="260"/>
      <c r="D791" s="259"/>
      <c r="E791" s="259"/>
      <c r="F791" s="259"/>
    </row>
    <row r="792" spans="1:6" x14ac:dyDescent="0.25">
      <c r="A792" s="260"/>
      <c r="B792" s="262"/>
      <c r="C792" s="260"/>
      <c r="D792" s="259"/>
      <c r="E792" s="259"/>
      <c r="F792" s="259"/>
    </row>
    <row r="793" spans="1:6" x14ac:dyDescent="0.25">
      <c r="A793" s="260"/>
      <c r="B793" s="262"/>
      <c r="C793" s="260"/>
      <c r="D793" s="259"/>
      <c r="E793" s="259"/>
      <c r="F793" s="259"/>
    </row>
    <row r="794" spans="1:6" x14ac:dyDescent="0.25">
      <c r="A794" s="260"/>
      <c r="B794" s="262"/>
      <c r="C794" s="260"/>
      <c r="D794" s="259"/>
      <c r="E794" s="259"/>
      <c r="F794" s="259"/>
    </row>
    <row r="795" spans="1:6" x14ac:dyDescent="0.25">
      <c r="A795" s="260"/>
      <c r="B795" s="262"/>
      <c r="C795" s="260"/>
      <c r="D795" s="259"/>
      <c r="E795" s="259"/>
      <c r="F795" s="259"/>
    </row>
    <row r="796" spans="1:6" x14ac:dyDescent="0.25">
      <c r="A796" s="260"/>
      <c r="B796" s="262"/>
      <c r="C796" s="260"/>
      <c r="D796" s="259"/>
      <c r="E796" s="259"/>
      <c r="F796" s="259"/>
    </row>
    <row r="797" spans="1:6" x14ac:dyDescent="0.25">
      <c r="A797" s="260"/>
      <c r="B797" s="262"/>
      <c r="C797" s="260"/>
      <c r="D797" s="259"/>
      <c r="E797" s="259"/>
      <c r="F797" s="259"/>
    </row>
    <row r="798" spans="1:6" x14ac:dyDescent="0.25">
      <c r="A798" s="260"/>
      <c r="B798" s="262"/>
      <c r="C798" s="260"/>
      <c r="D798" s="259"/>
      <c r="E798" s="259"/>
      <c r="F798" s="259"/>
    </row>
    <row r="799" spans="1:6" x14ac:dyDescent="0.25">
      <c r="A799" s="260"/>
      <c r="B799" s="262"/>
      <c r="C799" s="260"/>
      <c r="D799" s="259"/>
      <c r="E799" s="259"/>
      <c r="F799" s="259"/>
    </row>
    <row r="800" spans="1:6" x14ac:dyDescent="0.25">
      <c r="A800" s="260"/>
      <c r="B800" s="262"/>
      <c r="C800" s="260"/>
      <c r="D800" s="259"/>
      <c r="E800" s="259"/>
      <c r="F800" s="259"/>
    </row>
    <row r="801" spans="1:6" x14ac:dyDescent="0.25">
      <c r="A801" s="260"/>
      <c r="B801" s="262"/>
      <c r="C801" s="260"/>
      <c r="D801" s="259"/>
      <c r="E801" s="259"/>
      <c r="F801" s="259"/>
    </row>
    <row r="802" spans="1:6" x14ac:dyDescent="0.25">
      <c r="A802" s="260"/>
      <c r="B802" s="262"/>
      <c r="C802" s="260"/>
      <c r="D802" s="259"/>
      <c r="E802" s="259"/>
      <c r="F802" s="259"/>
    </row>
    <row r="803" spans="1:6" x14ac:dyDescent="0.25">
      <c r="A803" s="260"/>
      <c r="B803" s="262"/>
      <c r="C803" s="260"/>
      <c r="D803" s="259"/>
      <c r="E803" s="259"/>
      <c r="F803" s="259"/>
    </row>
    <row r="804" spans="1:6" x14ac:dyDescent="0.25">
      <c r="A804" s="260"/>
      <c r="B804" s="262"/>
      <c r="C804" s="260"/>
      <c r="D804" s="259"/>
      <c r="E804" s="259"/>
      <c r="F804" s="259"/>
    </row>
    <row r="805" spans="1:6" x14ac:dyDescent="0.25">
      <c r="A805" s="260"/>
      <c r="B805" s="262"/>
      <c r="C805" s="260"/>
      <c r="D805" s="259"/>
      <c r="E805" s="259"/>
      <c r="F805" s="259"/>
    </row>
    <row r="806" spans="1:6" x14ac:dyDescent="0.25">
      <c r="A806" s="260"/>
      <c r="B806" s="262"/>
      <c r="C806" s="260"/>
      <c r="D806" s="259"/>
      <c r="E806" s="259"/>
      <c r="F806" s="259"/>
    </row>
    <row r="807" spans="1:6" x14ac:dyDescent="0.25">
      <c r="A807" s="260"/>
      <c r="B807" s="262"/>
      <c r="C807" s="260"/>
      <c r="D807" s="259"/>
      <c r="E807" s="259"/>
      <c r="F807" s="259"/>
    </row>
    <row r="808" spans="1:6" x14ac:dyDescent="0.25">
      <c r="A808" s="260"/>
      <c r="B808" s="262"/>
      <c r="C808" s="260"/>
      <c r="D808" s="259"/>
      <c r="E808" s="259"/>
      <c r="F808" s="259"/>
    </row>
    <row r="809" spans="1:6" x14ac:dyDescent="0.25">
      <c r="A809" s="260"/>
      <c r="B809" s="262"/>
      <c r="C809" s="260"/>
      <c r="D809" s="259"/>
      <c r="E809" s="259"/>
      <c r="F809" s="259"/>
    </row>
    <row r="810" spans="1:6" x14ac:dyDescent="0.25">
      <c r="A810" s="260"/>
      <c r="B810" s="262"/>
      <c r="C810" s="260"/>
      <c r="D810" s="259"/>
      <c r="E810" s="259"/>
      <c r="F810" s="259"/>
    </row>
    <row r="811" spans="1:6" x14ac:dyDescent="0.25">
      <c r="A811" s="260"/>
      <c r="B811" s="262"/>
      <c r="C811" s="260"/>
      <c r="D811" s="259"/>
      <c r="E811" s="259"/>
      <c r="F811" s="259"/>
    </row>
    <row r="812" spans="1:6" x14ac:dyDescent="0.25">
      <c r="A812" s="260"/>
      <c r="B812" s="262"/>
      <c r="C812" s="260"/>
      <c r="D812" s="259"/>
      <c r="E812" s="259"/>
      <c r="F812" s="259"/>
    </row>
    <row r="813" spans="1:6" x14ac:dyDescent="0.25">
      <c r="A813" s="260"/>
      <c r="B813" s="262"/>
      <c r="C813" s="260"/>
      <c r="D813" s="259"/>
      <c r="E813" s="259"/>
      <c r="F813" s="259"/>
    </row>
    <row r="814" spans="1:6" x14ac:dyDescent="0.25">
      <c r="A814" s="260"/>
      <c r="B814" s="262"/>
      <c r="C814" s="260"/>
      <c r="D814" s="259"/>
      <c r="E814" s="259"/>
      <c r="F814" s="259"/>
    </row>
    <row r="815" spans="1:6" x14ac:dyDescent="0.25">
      <c r="A815" s="260"/>
      <c r="B815" s="262"/>
      <c r="C815" s="260"/>
      <c r="D815" s="259"/>
      <c r="E815" s="259"/>
      <c r="F815" s="259"/>
    </row>
    <row r="816" spans="1:6" x14ac:dyDescent="0.25">
      <c r="A816" s="260"/>
      <c r="B816" s="262"/>
      <c r="C816" s="260"/>
      <c r="D816" s="259"/>
      <c r="E816" s="259"/>
      <c r="F816" s="259"/>
    </row>
    <row r="817" spans="1:6" x14ac:dyDescent="0.25">
      <c r="A817" s="260"/>
      <c r="B817" s="262"/>
      <c r="C817" s="260"/>
      <c r="D817" s="259"/>
      <c r="E817" s="259"/>
      <c r="F817" s="259"/>
    </row>
    <row r="818" spans="1:6" x14ac:dyDescent="0.25">
      <c r="A818" s="260"/>
      <c r="B818" s="262"/>
      <c r="C818" s="260"/>
      <c r="D818" s="259"/>
      <c r="E818" s="259"/>
      <c r="F818" s="259"/>
    </row>
    <row r="819" spans="1:6" x14ac:dyDescent="0.25">
      <c r="A819" s="260"/>
      <c r="B819" s="262"/>
      <c r="C819" s="260"/>
      <c r="D819" s="259"/>
      <c r="E819" s="259"/>
      <c r="F819" s="259"/>
    </row>
    <row r="820" spans="1:6" x14ac:dyDescent="0.25">
      <c r="A820" s="260"/>
      <c r="B820" s="262"/>
      <c r="C820" s="260"/>
      <c r="D820" s="259"/>
      <c r="E820" s="259"/>
      <c r="F820" s="259"/>
    </row>
    <row r="821" spans="1:6" x14ac:dyDescent="0.25">
      <c r="A821" s="260"/>
      <c r="B821" s="262"/>
      <c r="C821" s="260"/>
      <c r="D821" s="259"/>
      <c r="E821" s="259"/>
      <c r="F821" s="259"/>
    </row>
    <row r="822" spans="1:6" x14ac:dyDescent="0.25">
      <c r="A822" s="260"/>
      <c r="B822" s="262"/>
      <c r="C822" s="260"/>
      <c r="D822" s="259"/>
      <c r="E822" s="259"/>
      <c r="F822" s="259"/>
    </row>
    <row r="823" spans="1:6" x14ac:dyDescent="0.25">
      <c r="A823" s="260"/>
      <c r="B823" s="262"/>
      <c r="C823" s="260"/>
      <c r="D823" s="259"/>
      <c r="E823" s="259"/>
      <c r="F823" s="259"/>
    </row>
    <row r="824" spans="1:6" x14ac:dyDescent="0.25">
      <c r="A824" s="260"/>
      <c r="B824" s="262"/>
      <c r="C824" s="260"/>
      <c r="D824" s="259"/>
      <c r="E824" s="259"/>
      <c r="F824" s="259"/>
    </row>
    <row r="825" spans="1:6" x14ac:dyDescent="0.25">
      <c r="A825" s="260"/>
      <c r="B825" s="262"/>
      <c r="C825" s="260"/>
      <c r="D825" s="259"/>
      <c r="E825" s="259"/>
      <c r="F825" s="259"/>
    </row>
    <row r="826" spans="1:6" x14ac:dyDescent="0.25">
      <c r="A826" s="260"/>
      <c r="B826" s="262"/>
      <c r="C826" s="260"/>
      <c r="D826" s="259"/>
      <c r="E826" s="259"/>
      <c r="F826" s="259"/>
    </row>
    <row r="827" spans="1:6" x14ac:dyDescent="0.25">
      <c r="A827" s="260"/>
      <c r="B827" s="262"/>
      <c r="C827" s="260"/>
      <c r="D827" s="259"/>
      <c r="E827" s="259"/>
      <c r="F827" s="259"/>
    </row>
    <row r="828" spans="1:6" x14ac:dyDescent="0.25">
      <c r="A828" s="260"/>
      <c r="B828" s="262"/>
      <c r="C828" s="260"/>
      <c r="D828" s="259"/>
      <c r="E828" s="259"/>
      <c r="F828" s="259"/>
    </row>
    <row r="829" spans="1:6" x14ac:dyDescent="0.25">
      <c r="A829" s="260"/>
      <c r="B829" s="262"/>
      <c r="C829" s="260"/>
      <c r="D829" s="259"/>
      <c r="E829" s="259"/>
      <c r="F829" s="259"/>
    </row>
    <row r="830" spans="1:6" x14ac:dyDescent="0.25">
      <c r="A830" s="260"/>
      <c r="B830" s="262"/>
      <c r="C830" s="260"/>
      <c r="D830" s="259"/>
      <c r="E830" s="259"/>
      <c r="F830" s="259"/>
    </row>
    <row r="831" spans="1:6" x14ac:dyDescent="0.25">
      <c r="A831" s="260"/>
      <c r="B831" s="262"/>
      <c r="C831" s="260"/>
      <c r="D831" s="259"/>
      <c r="E831" s="259"/>
      <c r="F831" s="259"/>
    </row>
    <row r="832" spans="1:6" x14ac:dyDescent="0.25">
      <c r="A832" s="260"/>
      <c r="B832" s="262"/>
      <c r="C832" s="260"/>
      <c r="D832" s="259"/>
      <c r="E832" s="259"/>
      <c r="F832" s="259"/>
    </row>
    <row r="833" spans="1:6" x14ac:dyDescent="0.25">
      <c r="A833" s="260"/>
      <c r="B833" s="262"/>
      <c r="C833" s="260"/>
      <c r="D833" s="259"/>
      <c r="E833" s="259"/>
      <c r="F833" s="259"/>
    </row>
    <row r="834" spans="1:6" x14ac:dyDescent="0.25">
      <c r="A834" s="260"/>
      <c r="B834" s="262"/>
      <c r="C834" s="260"/>
      <c r="D834" s="259"/>
      <c r="E834" s="259"/>
      <c r="F834" s="259"/>
    </row>
    <row r="835" spans="1:6" x14ac:dyDescent="0.25">
      <c r="A835" s="260"/>
      <c r="B835" s="262"/>
      <c r="C835" s="260"/>
      <c r="D835" s="259"/>
      <c r="E835" s="259"/>
      <c r="F835" s="259"/>
    </row>
    <row r="836" spans="1:6" x14ac:dyDescent="0.25">
      <c r="A836" s="260"/>
      <c r="B836" s="262"/>
      <c r="C836" s="260"/>
      <c r="D836" s="259"/>
      <c r="E836" s="259"/>
      <c r="F836" s="259"/>
    </row>
    <row r="837" spans="1:6" x14ac:dyDescent="0.25">
      <c r="A837" s="260"/>
      <c r="B837" s="262"/>
      <c r="C837" s="260"/>
      <c r="D837" s="259"/>
      <c r="E837" s="259"/>
      <c r="F837" s="259"/>
    </row>
    <row r="838" spans="1:6" x14ac:dyDescent="0.25">
      <c r="A838" s="260"/>
      <c r="B838" s="262"/>
      <c r="C838" s="260"/>
      <c r="D838" s="259"/>
      <c r="E838" s="259"/>
      <c r="F838" s="259"/>
    </row>
    <row r="839" spans="1:6" x14ac:dyDescent="0.25">
      <c r="A839" s="260"/>
      <c r="B839" s="262"/>
      <c r="C839" s="260"/>
      <c r="D839" s="259"/>
      <c r="E839" s="259"/>
      <c r="F839" s="259"/>
    </row>
    <row r="840" spans="1:6" x14ac:dyDescent="0.25">
      <c r="A840" s="260"/>
      <c r="B840" s="262"/>
      <c r="C840" s="260"/>
      <c r="D840" s="259"/>
      <c r="E840" s="259"/>
      <c r="F840" s="259"/>
    </row>
    <row r="841" spans="1:6" x14ac:dyDescent="0.25">
      <c r="A841" s="260"/>
      <c r="B841" s="262"/>
      <c r="C841" s="260"/>
      <c r="D841" s="259"/>
      <c r="E841" s="259"/>
      <c r="F841" s="259"/>
    </row>
    <row r="842" spans="1:6" x14ac:dyDescent="0.25">
      <c r="A842" s="260"/>
      <c r="B842" s="262"/>
      <c r="C842" s="260"/>
      <c r="D842" s="259"/>
      <c r="E842" s="259"/>
      <c r="F842" s="259"/>
    </row>
    <row r="843" spans="1:6" x14ac:dyDescent="0.25">
      <c r="A843" s="260"/>
      <c r="B843" s="262"/>
      <c r="C843" s="260"/>
      <c r="D843" s="259"/>
      <c r="E843" s="259"/>
      <c r="F843" s="259"/>
    </row>
    <row r="844" spans="1:6" x14ac:dyDescent="0.25">
      <c r="A844" s="260"/>
      <c r="B844" s="262"/>
      <c r="C844" s="260"/>
      <c r="D844" s="259"/>
      <c r="E844" s="259"/>
      <c r="F844" s="259"/>
    </row>
    <row r="845" spans="1:6" x14ac:dyDescent="0.25">
      <c r="A845" s="260"/>
      <c r="B845" s="262"/>
      <c r="C845" s="260"/>
      <c r="D845" s="259"/>
      <c r="E845" s="259"/>
      <c r="F845" s="259"/>
    </row>
    <row r="846" spans="1:6" x14ac:dyDescent="0.25">
      <c r="A846" s="260"/>
      <c r="B846" s="262"/>
      <c r="C846" s="260"/>
      <c r="D846" s="259"/>
      <c r="E846" s="259"/>
      <c r="F846" s="259"/>
    </row>
    <row r="847" spans="1:6" x14ac:dyDescent="0.25">
      <c r="A847" s="260"/>
      <c r="B847" s="262"/>
      <c r="C847" s="260"/>
      <c r="D847" s="259"/>
      <c r="E847" s="259"/>
      <c r="F847" s="259"/>
    </row>
    <row r="848" spans="1:6" x14ac:dyDescent="0.25">
      <c r="A848" s="260"/>
      <c r="B848" s="262"/>
      <c r="C848" s="260"/>
      <c r="D848" s="259"/>
      <c r="E848" s="259"/>
      <c r="F848" s="259"/>
    </row>
    <row r="849" spans="1:6" x14ac:dyDescent="0.25">
      <c r="A849" s="260"/>
      <c r="B849" s="262"/>
      <c r="C849" s="260"/>
      <c r="D849" s="259"/>
      <c r="E849" s="259"/>
      <c r="F849" s="259"/>
    </row>
    <row r="850" spans="1:6" x14ac:dyDescent="0.25">
      <c r="A850" s="260"/>
      <c r="B850" s="262"/>
      <c r="C850" s="260"/>
      <c r="D850" s="259"/>
      <c r="E850" s="259"/>
      <c r="F850" s="259"/>
    </row>
    <row r="851" spans="1:6" x14ac:dyDescent="0.25">
      <c r="A851" s="260"/>
      <c r="B851" s="262"/>
      <c r="C851" s="260"/>
      <c r="D851" s="259"/>
      <c r="E851" s="259"/>
      <c r="F851" s="259"/>
    </row>
    <row r="852" spans="1:6" x14ac:dyDescent="0.25">
      <c r="A852" s="260"/>
      <c r="B852" s="262"/>
      <c r="C852" s="260"/>
      <c r="D852" s="259"/>
      <c r="E852" s="259"/>
      <c r="F852" s="259"/>
    </row>
    <row r="853" spans="1:6" x14ac:dyDescent="0.25">
      <c r="A853" s="260"/>
      <c r="B853" s="262"/>
      <c r="C853" s="260"/>
      <c r="D853" s="259"/>
      <c r="E853" s="259"/>
      <c r="F853" s="259"/>
    </row>
    <row r="854" spans="1:6" x14ac:dyDescent="0.25">
      <c r="A854" s="260"/>
      <c r="B854" s="262"/>
      <c r="C854" s="260"/>
      <c r="D854" s="259"/>
      <c r="E854" s="259"/>
      <c r="F854" s="259"/>
    </row>
    <row r="855" spans="1:6" x14ac:dyDescent="0.25">
      <c r="A855" s="260"/>
      <c r="B855" s="262"/>
      <c r="C855" s="260"/>
      <c r="D855" s="259"/>
      <c r="E855" s="259"/>
      <c r="F855" s="259"/>
    </row>
    <row r="856" spans="1:6" x14ac:dyDescent="0.25">
      <c r="A856" s="260"/>
      <c r="B856" s="262"/>
      <c r="C856" s="260"/>
      <c r="D856" s="259"/>
      <c r="E856" s="259"/>
      <c r="F856" s="259"/>
    </row>
    <row r="857" spans="1:6" x14ac:dyDescent="0.25">
      <c r="A857" s="260"/>
      <c r="B857" s="262"/>
      <c r="C857" s="260"/>
      <c r="D857" s="259"/>
      <c r="E857" s="259"/>
      <c r="F857" s="259"/>
    </row>
    <row r="858" spans="1:6" x14ac:dyDescent="0.25">
      <c r="A858" s="260"/>
      <c r="B858" s="262"/>
      <c r="C858" s="260"/>
      <c r="D858" s="259"/>
      <c r="E858" s="259"/>
      <c r="F858" s="259"/>
    </row>
    <row r="859" spans="1:6" x14ac:dyDescent="0.25">
      <c r="A859" s="260"/>
      <c r="B859" s="262"/>
      <c r="C859" s="260"/>
      <c r="D859" s="259"/>
      <c r="E859" s="259"/>
      <c r="F859" s="259"/>
    </row>
    <row r="860" spans="1:6" x14ac:dyDescent="0.25">
      <c r="A860" s="260"/>
      <c r="B860" s="262"/>
      <c r="C860" s="260"/>
      <c r="D860" s="259"/>
      <c r="E860" s="259"/>
      <c r="F860" s="259"/>
    </row>
    <row r="861" spans="1:6" x14ac:dyDescent="0.25">
      <c r="A861" s="260"/>
      <c r="B861" s="262"/>
      <c r="C861" s="260"/>
      <c r="D861" s="259"/>
      <c r="E861" s="259"/>
      <c r="F861" s="259"/>
    </row>
    <row r="862" spans="1:6" x14ac:dyDescent="0.25">
      <c r="A862" s="260"/>
      <c r="B862" s="262"/>
      <c r="C862" s="260"/>
      <c r="D862" s="259"/>
      <c r="E862" s="259"/>
      <c r="F862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19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  <col min="8" max="8" width="12.5703125" bestFit="1" customWidth="1"/>
    <col min="12" max="12" width="15.28515625" bestFit="1" customWidth="1"/>
  </cols>
  <sheetData>
    <row r="1" spans="1:8" x14ac:dyDescent="0.25">
      <c r="A1" s="1"/>
      <c r="B1" s="252"/>
      <c r="G1" s="1" t="s">
        <v>16</v>
      </c>
    </row>
    <row r="2" spans="1:8" x14ac:dyDescent="0.25">
      <c r="A2" s="411" t="s">
        <v>3</v>
      </c>
      <c r="B2" s="411"/>
      <c r="C2" s="411"/>
      <c r="D2" s="411"/>
      <c r="E2" s="411"/>
      <c r="F2" s="411"/>
    </row>
    <row r="3" spans="1:8" x14ac:dyDescent="0.25">
      <c r="A3" t="s">
        <v>4</v>
      </c>
      <c r="D3" s="255" t="s">
        <v>28</v>
      </c>
    </row>
    <row r="4" spans="1:8" x14ac:dyDescent="0.25">
      <c r="E4" s="2" t="s">
        <v>9</v>
      </c>
      <c r="F4" s="2">
        <v>383840000</v>
      </c>
    </row>
    <row r="5" spans="1:8" x14ac:dyDescent="0.25">
      <c r="A5" t="s">
        <v>13</v>
      </c>
      <c r="D5" s="3">
        <f ca="1">+'Tổng hợp'!$G$2</f>
        <v>45784</v>
      </c>
      <c r="E5" s="2" t="s">
        <v>10</v>
      </c>
      <c r="F5" s="2">
        <f>SUM(D10:D200)</f>
        <v>2988670333</v>
      </c>
    </row>
    <row r="6" spans="1:8" x14ac:dyDescent="0.25">
      <c r="E6" s="2" t="s">
        <v>11</v>
      </c>
      <c r="F6" s="2">
        <f>SUM(E10:E200)</f>
        <v>3116172333</v>
      </c>
    </row>
    <row r="7" spans="1:8" x14ac:dyDescent="0.25">
      <c r="E7" s="2" t="s">
        <v>12</v>
      </c>
      <c r="F7" s="2">
        <f>+F4+F5-F6</f>
        <v>256338000</v>
      </c>
    </row>
    <row r="8" spans="1:8" x14ac:dyDescent="0.25">
      <c r="A8" s="420" t="s">
        <v>0</v>
      </c>
      <c r="B8" s="420" t="s">
        <v>13</v>
      </c>
      <c r="C8" s="420" t="s">
        <v>5</v>
      </c>
      <c r="D8" s="421" t="s">
        <v>8</v>
      </c>
      <c r="E8" s="421"/>
      <c r="F8" s="421" t="s">
        <v>2</v>
      </c>
    </row>
    <row r="9" spans="1:8" x14ac:dyDescent="0.25">
      <c r="A9" s="420"/>
      <c r="B9" s="420"/>
      <c r="C9" s="420"/>
      <c r="D9" s="285" t="s">
        <v>6</v>
      </c>
      <c r="E9" s="285" t="s">
        <v>7</v>
      </c>
      <c r="F9" s="421"/>
    </row>
    <row r="10" spans="1:8" x14ac:dyDescent="0.25">
      <c r="A10" s="262">
        <v>1</v>
      </c>
      <c r="B10" s="261">
        <v>43621</v>
      </c>
      <c r="C10" s="260" t="s">
        <v>29</v>
      </c>
      <c r="D10" s="259"/>
      <c r="E10" s="259">
        <v>50000000</v>
      </c>
      <c r="F10" s="259"/>
      <c r="H10" s="242">
        <f>F4+D10-E10</f>
        <v>333840000</v>
      </c>
    </row>
    <row r="11" spans="1:8" x14ac:dyDescent="0.25">
      <c r="A11" s="262">
        <v>2</v>
      </c>
      <c r="B11" s="261">
        <v>43631</v>
      </c>
      <c r="C11" s="260" t="s">
        <v>29</v>
      </c>
      <c r="D11" s="259"/>
      <c r="E11" s="259">
        <v>100000000</v>
      </c>
      <c r="F11" s="259"/>
      <c r="H11" s="242">
        <f>H10+D11-E11</f>
        <v>233840000</v>
      </c>
    </row>
    <row r="12" spans="1:8" x14ac:dyDescent="0.25">
      <c r="A12" s="262">
        <v>3</v>
      </c>
      <c r="B12" s="261">
        <v>43646</v>
      </c>
      <c r="C12" s="260" t="s">
        <v>229</v>
      </c>
      <c r="D12" s="259">
        <v>191700000</v>
      </c>
      <c r="E12" s="259"/>
      <c r="F12" s="259"/>
      <c r="H12" s="242">
        <f t="shared" ref="H12:H75" si="0">H11+D12-E12</f>
        <v>425540000</v>
      </c>
    </row>
    <row r="13" spans="1:8" x14ac:dyDescent="0.25">
      <c r="A13" s="262">
        <v>4</v>
      </c>
      <c r="B13" s="262" t="s">
        <v>186</v>
      </c>
      <c r="C13" s="260" t="s">
        <v>29</v>
      </c>
      <c r="D13" s="259"/>
      <c r="E13" s="259">
        <v>36240000</v>
      </c>
      <c r="F13" s="259"/>
      <c r="H13" s="242">
        <f t="shared" si="0"/>
        <v>389300000</v>
      </c>
    </row>
    <row r="14" spans="1:8" x14ac:dyDescent="0.25">
      <c r="A14" s="262">
        <v>5</v>
      </c>
      <c r="B14" s="261">
        <v>43662</v>
      </c>
      <c r="C14" s="260" t="s">
        <v>29</v>
      </c>
      <c r="D14" s="259"/>
      <c r="E14" s="259">
        <v>100000000</v>
      </c>
      <c r="F14" s="259"/>
      <c r="H14" s="242">
        <f t="shared" si="0"/>
        <v>289300000</v>
      </c>
    </row>
    <row r="15" spans="1:8" x14ac:dyDescent="0.25">
      <c r="A15" s="262">
        <v>6</v>
      </c>
      <c r="B15" s="261">
        <v>43668</v>
      </c>
      <c r="C15" s="260" t="s">
        <v>29</v>
      </c>
      <c r="D15" s="259"/>
      <c r="E15" s="259">
        <v>97600000</v>
      </c>
      <c r="F15" s="259"/>
      <c r="H15" s="242">
        <f t="shared" si="0"/>
        <v>191700000</v>
      </c>
    </row>
    <row r="16" spans="1:8" x14ac:dyDescent="0.25">
      <c r="A16" s="262">
        <v>7</v>
      </c>
      <c r="B16" s="261">
        <v>43679</v>
      </c>
      <c r="C16" s="260" t="s">
        <v>29</v>
      </c>
      <c r="D16" s="259"/>
      <c r="E16" s="259">
        <v>50000000</v>
      </c>
      <c r="F16" s="259"/>
      <c r="H16" s="242">
        <f t="shared" si="0"/>
        <v>141700000</v>
      </c>
    </row>
    <row r="17" spans="1:8" x14ac:dyDescent="0.25">
      <c r="A17" s="262">
        <v>8</v>
      </c>
      <c r="B17" s="261">
        <v>43677</v>
      </c>
      <c r="C17" s="260" t="s">
        <v>205</v>
      </c>
      <c r="D17" s="259">
        <v>185940000</v>
      </c>
      <c r="E17" s="259"/>
      <c r="F17" s="259"/>
      <c r="H17" s="242">
        <f t="shared" si="0"/>
        <v>327640000</v>
      </c>
    </row>
    <row r="18" spans="1:8" x14ac:dyDescent="0.25">
      <c r="A18" s="262">
        <v>9</v>
      </c>
      <c r="B18" s="261">
        <v>43690</v>
      </c>
      <c r="C18" s="260" t="s">
        <v>29</v>
      </c>
      <c r="D18" s="259"/>
      <c r="E18" s="259">
        <v>100000000</v>
      </c>
      <c r="F18" s="259"/>
      <c r="H18" s="242">
        <f t="shared" si="0"/>
        <v>227640000</v>
      </c>
    </row>
    <row r="19" spans="1:8" x14ac:dyDescent="0.25">
      <c r="A19" s="262">
        <v>10</v>
      </c>
      <c r="B19" s="261">
        <v>43693</v>
      </c>
      <c r="C19" s="260" t="s">
        <v>29</v>
      </c>
      <c r="D19" s="259"/>
      <c r="E19" s="259">
        <v>41700000</v>
      </c>
      <c r="F19" s="259"/>
      <c r="H19" s="242">
        <f t="shared" si="0"/>
        <v>185940000</v>
      </c>
    </row>
    <row r="20" spans="1:8" x14ac:dyDescent="0.25">
      <c r="A20" s="262">
        <v>11</v>
      </c>
      <c r="B20" s="262" t="s">
        <v>238</v>
      </c>
      <c r="C20" s="260" t="s">
        <v>253</v>
      </c>
      <c r="D20" s="259">
        <v>182960000</v>
      </c>
      <c r="E20" s="259"/>
      <c r="F20" s="259"/>
      <c r="H20" s="242">
        <f t="shared" si="0"/>
        <v>368900000</v>
      </c>
    </row>
    <row r="21" spans="1:8" x14ac:dyDescent="0.25">
      <c r="A21" s="262">
        <v>12</v>
      </c>
      <c r="B21" s="262" t="s">
        <v>254</v>
      </c>
      <c r="C21" s="260" t="s">
        <v>255</v>
      </c>
      <c r="D21" s="259"/>
      <c r="E21" s="259">
        <v>185940000</v>
      </c>
      <c r="F21" s="259"/>
      <c r="H21" s="242">
        <f t="shared" si="0"/>
        <v>182960000</v>
      </c>
    </row>
    <row r="22" spans="1:8" x14ac:dyDescent="0.25">
      <c r="A22" s="262">
        <v>13</v>
      </c>
      <c r="B22" s="262" t="s">
        <v>277</v>
      </c>
      <c r="C22" s="260" t="s">
        <v>288</v>
      </c>
      <c r="D22" s="259">
        <v>179740000</v>
      </c>
      <c r="E22" s="259"/>
      <c r="F22" s="259"/>
      <c r="H22" s="242">
        <f t="shared" si="0"/>
        <v>362700000</v>
      </c>
    </row>
    <row r="23" spans="1:8" x14ac:dyDescent="0.25">
      <c r="A23" s="262">
        <v>14</v>
      </c>
      <c r="B23" s="262" t="s">
        <v>294</v>
      </c>
      <c r="C23" s="260" t="s">
        <v>295</v>
      </c>
      <c r="D23" s="259"/>
      <c r="E23" s="259">
        <v>100000000</v>
      </c>
      <c r="F23" s="259"/>
      <c r="H23" s="242">
        <f t="shared" si="0"/>
        <v>262700000</v>
      </c>
    </row>
    <row r="24" spans="1:8" x14ac:dyDescent="0.25">
      <c r="A24" s="262">
        <v>15</v>
      </c>
      <c r="B24" s="262" t="s">
        <v>300</v>
      </c>
      <c r="C24" s="260" t="s">
        <v>301</v>
      </c>
      <c r="D24" s="259"/>
      <c r="E24" s="259">
        <f>82000000+960000</f>
        <v>82960000</v>
      </c>
      <c r="F24" s="259"/>
      <c r="H24" s="242">
        <f t="shared" si="0"/>
        <v>179740000</v>
      </c>
    </row>
    <row r="25" spans="1:8" x14ac:dyDescent="0.25">
      <c r="A25" s="262">
        <v>16</v>
      </c>
      <c r="B25" s="262" t="s">
        <v>309</v>
      </c>
      <c r="C25" s="260" t="s">
        <v>322</v>
      </c>
      <c r="D25" s="259">
        <v>126660000</v>
      </c>
      <c r="E25" s="259"/>
      <c r="F25" s="259"/>
      <c r="H25" s="242">
        <f t="shared" si="0"/>
        <v>306400000</v>
      </c>
    </row>
    <row r="26" spans="1:8" x14ac:dyDescent="0.25">
      <c r="A26" s="262">
        <v>17</v>
      </c>
      <c r="B26" s="262" t="s">
        <v>331</v>
      </c>
      <c r="C26" s="260" t="s">
        <v>332</v>
      </c>
      <c r="D26" s="259"/>
      <c r="E26" s="259">
        <v>100000000</v>
      </c>
      <c r="F26" s="259"/>
      <c r="H26" s="242">
        <f t="shared" si="0"/>
        <v>206400000</v>
      </c>
    </row>
    <row r="27" spans="1:8" x14ac:dyDescent="0.25">
      <c r="A27" s="262">
        <v>18</v>
      </c>
      <c r="B27" s="262" t="s">
        <v>336</v>
      </c>
      <c r="C27" s="260" t="s">
        <v>332</v>
      </c>
      <c r="D27" s="259"/>
      <c r="E27" s="259">
        <v>79740000</v>
      </c>
      <c r="F27" s="259"/>
      <c r="H27" s="242">
        <f t="shared" si="0"/>
        <v>126660000</v>
      </c>
    </row>
    <row r="28" spans="1:8" x14ac:dyDescent="0.25">
      <c r="A28" s="262">
        <v>19</v>
      </c>
      <c r="B28" s="262" t="s">
        <v>342</v>
      </c>
      <c r="C28" s="260" t="s">
        <v>348</v>
      </c>
      <c r="D28" s="259">
        <v>127820000</v>
      </c>
      <c r="E28" s="259"/>
      <c r="F28" s="259"/>
      <c r="H28" s="242">
        <f t="shared" si="0"/>
        <v>254480000</v>
      </c>
    </row>
    <row r="29" spans="1:8" x14ac:dyDescent="0.25">
      <c r="A29" s="262">
        <v>20</v>
      </c>
      <c r="B29" s="262" t="s">
        <v>362</v>
      </c>
      <c r="C29" s="260" t="s">
        <v>332</v>
      </c>
      <c r="D29" s="259"/>
      <c r="E29" s="259">
        <v>100000000</v>
      </c>
      <c r="F29" s="259"/>
      <c r="H29" s="242">
        <f t="shared" si="0"/>
        <v>154480000</v>
      </c>
    </row>
    <row r="30" spans="1:8" x14ac:dyDescent="0.25">
      <c r="A30" s="262">
        <v>21</v>
      </c>
      <c r="B30" s="262" t="s">
        <v>364</v>
      </c>
      <c r="C30" s="260" t="s">
        <v>332</v>
      </c>
      <c r="D30" s="259"/>
      <c r="E30" s="259">
        <v>26660000</v>
      </c>
      <c r="F30" s="259"/>
      <c r="H30" s="242">
        <f t="shared" si="0"/>
        <v>127820000</v>
      </c>
    </row>
    <row r="31" spans="1:8" x14ac:dyDescent="0.25">
      <c r="A31" s="262">
        <v>22</v>
      </c>
      <c r="B31" s="262" t="s">
        <v>376</v>
      </c>
      <c r="C31" s="260" t="s">
        <v>385</v>
      </c>
      <c r="D31" s="259">
        <v>177900000</v>
      </c>
      <c r="E31" s="259"/>
      <c r="F31" s="259"/>
      <c r="H31" s="242">
        <f t="shared" si="0"/>
        <v>305720000</v>
      </c>
    </row>
    <row r="32" spans="1:8" x14ac:dyDescent="0.25">
      <c r="A32" s="262">
        <v>23</v>
      </c>
      <c r="B32" s="262" t="s">
        <v>386</v>
      </c>
      <c r="C32" s="260" t="s">
        <v>396</v>
      </c>
      <c r="D32" s="259"/>
      <c r="E32" s="259">
        <v>127820000</v>
      </c>
      <c r="F32" s="259"/>
      <c r="H32" s="242">
        <f t="shared" si="0"/>
        <v>177900000</v>
      </c>
    </row>
    <row r="33" spans="1:8" x14ac:dyDescent="0.25">
      <c r="A33" s="262">
        <v>24</v>
      </c>
      <c r="B33" s="262" t="s">
        <v>400</v>
      </c>
      <c r="C33" s="260" t="s">
        <v>405</v>
      </c>
      <c r="D33" s="259">
        <v>11400000</v>
      </c>
      <c r="E33" s="259"/>
      <c r="F33" s="259"/>
      <c r="H33" s="242">
        <f t="shared" si="0"/>
        <v>189300000</v>
      </c>
    </row>
    <row r="34" spans="1:8" x14ac:dyDescent="0.25">
      <c r="A34" s="262">
        <v>25</v>
      </c>
      <c r="B34" s="262" t="s">
        <v>410</v>
      </c>
      <c r="C34" s="260" t="s">
        <v>411</v>
      </c>
      <c r="D34" s="259"/>
      <c r="E34" s="259">
        <v>100000000</v>
      </c>
      <c r="F34" s="259"/>
      <c r="H34" s="242">
        <f t="shared" si="0"/>
        <v>89300000</v>
      </c>
    </row>
    <row r="35" spans="1:8" x14ac:dyDescent="0.25">
      <c r="A35" s="262">
        <v>26</v>
      </c>
      <c r="B35" s="262" t="s">
        <v>417</v>
      </c>
      <c r="C35" s="260" t="s">
        <v>416</v>
      </c>
      <c r="D35" s="259"/>
      <c r="E35" s="259">
        <v>77900000</v>
      </c>
      <c r="F35" s="259"/>
      <c r="H35" s="242">
        <f t="shared" si="0"/>
        <v>11400000</v>
      </c>
    </row>
    <row r="36" spans="1:8" x14ac:dyDescent="0.25">
      <c r="A36" s="262">
        <v>27</v>
      </c>
      <c r="B36" s="262" t="s">
        <v>438</v>
      </c>
      <c r="C36" s="260" t="s">
        <v>437</v>
      </c>
      <c r="D36" s="259"/>
      <c r="E36" s="259">
        <v>11400000</v>
      </c>
      <c r="F36" s="259"/>
      <c r="H36" s="242">
        <f t="shared" si="0"/>
        <v>0</v>
      </c>
    </row>
    <row r="37" spans="1:8" x14ac:dyDescent="0.25">
      <c r="A37" s="262">
        <v>28</v>
      </c>
      <c r="B37" s="261">
        <v>44074</v>
      </c>
      <c r="C37" s="260" t="s">
        <v>607</v>
      </c>
      <c r="D37" s="259">
        <v>13000000</v>
      </c>
      <c r="E37" s="259"/>
      <c r="F37" s="259"/>
      <c r="H37" s="242">
        <f t="shared" si="0"/>
        <v>13000000</v>
      </c>
    </row>
    <row r="38" spans="1:8" x14ac:dyDescent="0.25">
      <c r="A38" s="262">
        <v>29</v>
      </c>
      <c r="B38" s="261">
        <v>44130</v>
      </c>
      <c r="C38" s="260" t="s">
        <v>644</v>
      </c>
      <c r="D38" s="259"/>
      <c r="E38" s="259">
        <v>13000000</v>
      </c>
      <c r="F38" s="259"/>
      <c r="H38" s="242">
        <f t="shared" si="0"/>
        <v>0</v>
      </c>
    </row>
    <row r="39" spans="1:8" x14ac:dyDescent="0.25">
      <c r="A39" s="262">
        <v>30</v>
      </c>
      <c r="B39" s="261">
        <v>44165</v>
      </c>
      <c r="C39" s="260" t="s">
        <v>681</v>
      </c>
      <c r="D39" s="259">
        <v>7700000</v>
      </c>
      <c r="E39" s="259"/>
      <c r="F39" s="259"/>
      <c r="H39" s="242">
        <f t="shared" si="0"/>
        <v>7700000</v>
      </c>
    </row>
    <row r="40" spans="1:8" x14ac:dyDescent="0.25">
      <c r="A40" s="262">
        <v>31</v>
      </c>
      <c r="B40" s="261">
        <v>44235</v>
      </c>
      <c r="C40" s="260" t="s">
        <v>739</v>
      </c>
      <c r="D40" s="259"/>
      <c r="E40" s="259">
        <v>7700000</v>
      </c>
      <c r="F40" s="259"/>
      <c r="H40" s="242">
        <f t="shared" si="0"/>
        <v>0</v>
      </c>
    </row>
    <row r="41" spans="1:8" x14ac:dyDescent="0.25">
      <c r="A41" s="262">
        <v>32</v>
      </c>
      <c r="B41" s="261">
        <v>44286</v>
      </c>
      <c r="C41" s="260" t="s">
        <v>765</v>
      </c>
      <c r="D41" s="259">
        <v>1800000</v>
      </c>
      <c r="E41" s="259"/>
      <c r="F41" s="259"/>
      <c r="H41" s="242">
        <f t="shared" si="0"/>
        <v>1800000</v>
      </c>
    </row>
    <row r="42" spans="1:8" x14ac:dyDescent="0.25">
      <c r="A42" s="262">
        <v>33</v>
      </c>
      <c r="B42" s="261">
        <v>44315</v>
      </c>
      <c r="C42" s="260" t="s">
        <v>810</v>
      </c>
      <c r="D42" s="259">
        <v>8400000</v>
      </c>
      <c r="E42" s="259"/>
      <c r="F42" s="259"/>
      <c r="H42" s="242">
        <f t="shared" si="0"/>
        <v>10200000</v>
      </c>
    </row>
    <row r="43" spans="1:8" x14ac:dyDescent="0.25">
      <c r="A43" s="262">
        <v>34</v>
      </c>
      <c r="B43" s="261">
        <v>44408</v>
      </c>
      <c r="C43" s="260" t="s">
        <v>1049</v>
      </c>
      <c r="D43" s="259"/>
      <c r="E43" s="259">
        <v>7200000</v>
      </c>
      <c r="F43" s="259"/>
      <c r="H43" s="242">
        <f t="shared" si="0"/>
        <v>3000000</v>
      </c>
    </row>
    <row r="44" spans="1:8" x14ac:dyDescent="0.25">
      <c r="A44" s="262">
        <v>35</v>
      </c>
      <c r="B44" s="261">
        <v>44439</v>
      </c>
      <c r="C44" s="260" t="s">
        <v>1047</v>
      </c>
      <c r="D44" s="259"/>
      <c r="E44" s="259">
        <v>68500000</v>
      </c>
      <c r="F44" s="259"/>
      <c r="H44" s="242">
        <f t="shared" si="0"/>
        <v>-65500000</v>
      </c>
    </row>
    <row r="45" spans="1:8" x14ac:dyDescent="0.25">
      <c r="A45" s="262">
        <v>36</v>
      </c>
      <c r="B45" s="261">
        <v>44469</v>
      </c>
      <c r="C45" s="260" t="s">
        <v>1047</v>
      </c>
      <c r="D45" s="259"/>
      <c r="E45" s="259">
        <v>7200000</v>
      </c>
      <c r="F45" s="259"/>
      <c r="H45" s="242">
        <f t="shared" si="0"/>
        <v>-72700000</v>
      </c>
    </row>
    <row r="46" spans="1:8" x14ac:dyDescent="0.25">
      <c r="A46" s="262">
        <v>37</v>
      </c>
      <c r="B46" s="261">
        <v>44500</v>
      </c>
      <c r="C46" s="260" t="s">
        <v>323</v>
      </c>
      <c r="D46" s="259">
        <v>22100000</v>
      </c>
      <c r="E46" s="259"/>
      <c r="F46" s="259"/>
      <c r="H46" s="242">
        <f t="shared" si="0"/>
        <v>-50600000</v>
      </c>
    </row>
    <row r="47" spans="1:8" x14ac:dyDescent="0.25">
      <c r="A47" s="262">
        <v>38</v>
      </c>
      <c r="B47" s="261">
        <v>44509</v>
      </c>
      <c r="C47" s="260" t="s">
        <v>1048</v>
      </c>
      <c r="D47" s="259">
        <v>65500000</v>
      </c>
      <c r="E47" s="259"/>
      <c r="F47" s="259"/>
      <c r="H47" s="242">
        <f t="shared" si="0"/>
        <v>14900000</v>
      </c>
    </row>
    <row r="48" spans="1:8" x14ac:dyDescent="0.25">
      <c r="A48" s="262">
        <v>39</v>
      </c>
      <c r="B48" s="261">
        <v>44530</v>
      </c>
      <c r="C48" s="260" t="s">
        <v>350</v>
      </c>
      <c r="D48" s="259">
        <v>34600000</v>
      </c>
      <c r="E48" s="259"/>
      <c r="F48" s="259"/>
      <c r="H48" s="242">
        <f t="shared" si="0"/>
        <v>49500000</v>
      </c>
    </row>
    <row r="49" spans="1:8" x14ac:dyDescent="0.25">
      <c r="A49" s="262">
        <v>40</v>
      </c>
      <c r="B49" s="261">
        <v>44569</v>
      </c>
      <c r="C49" s="260" t="s">
        <v>1050</v>
      </c>
      <c r="D49" s="259"/>
      <c r="E49" s="259">
        <v>14900000</v>
      </c>
      <c r="F49" s="259"/>
      <c r="H49" s="242">
        <f t="shared" si="0"/>
        <v>34600000</v>
      </c>
    </row>
    <row r="50" spans="1:8" x14ac:dyDescent="0.25">
      <c r="A50" s="262">
        <v>41</v>
      </c>
      <c r="B50" s="261">
        <v>44618</v>
      </c>
      <c r="C50" s="260" t="s">
        <v>1077</v>
      </c>
      <c r="D50" s="259"/>
      <c r="E50" s="259">
        <v>34600000</v>
      </c>
      <c r="F50" s="259"/>
      <c r="H50" s="242">
        <f t="shared" si="0"/>
        <v>0</v>
      </c>
    </row>
    <row r="51" spans="1:8" x14ac:dyDescent="0.25">
      <c r="A51" s="262">
        <v>42</v>
      </c>
      <c r="B51" s="261">
        <v>44680</v>
      </c>
      <c r="C51" s="260" t="s">
        <v>1116</v>
      </c>
      <c r="D51" s="259">
        <v>11900000</v>
      </c>
      <c r="E51" s="259"/>
      <c r="F51" s="259"/>
      <c r="H51" s="242">
        <f t="shared" si="0"/>
        <v>11900000</v>
      </c>
    </row>
    <row r="52" spans="1:8" x14ac:dyDescent="0.25">
      <c r="A52" s="262">
        <v>43</v>
      </c>
      <c r="B52" s="261">
        <v>44711</v>
      </c>
      <c r="C52" s="260" t="s">
        <v>1131</v>
      </c>
      <c r="D52" s="259">
        <v>11300000</v>
      </c>
      <c r="E52" s="259"/>
      <c r="F52" s="259"/>
      <c r="H52" s="242">
        <f t="shared" si="0"/>
        <v>23200000</v>
      </c>
    </row>
    <row r="53" spans="1:8" x14ac:dyDescent="0.25">
      <c r="A53" s="262">
        <v>44</v>
      </c>
      <c r="B53" s="261">
        <v>44742</v>
      </c>
      <c r="C53" s="260" t="s">
        <v>177</v>
      </c>
      <c r="D53" s="259">
        <v>11700000</v>
      </c>
      <c r="E53" s="259"/>
      <c r="F53" s="259"/>
      <c r="H53" s="242">
        <f t="shared" si="0"/>
        <v>34900000</v>
      </c>
    </row>
    <row r="54" spans="1:8" x14ac:dyDescent="0.25">
      <c r="A54" s="262">
        <v>45</v>
      </c>
      <c r="B54" s="261">
        <v>44774</v>
      </c>
      <c r="C54" s="260" t="s">
        <v>1190</v>
      </c>
      <c r="D54" s="259"/>
      <c r="E54" s="259">
        <f>23200000</f>
        <v>23200000</v>
      </c>
      <c r="F54" s="259"/>
      <c r="H54" s="242">
        <f t="shared" si="0"/>
        <v>11700000</v>
      </c>
    </row>
    <row r="55" spans="1:8" x14ac:dyDescent="0.25">
      <c r="A55" s="262">
        <v>46</v>
      </c>
      <c r="B55" s="261">
        <v>44774</v>
      </c>
      <c r="C55" s="260" t="s">
        <v>1043</v>
      </c>
      <c r="D55" s="259">
        <v>18900000</v>
      </c>
      <c r="E55" s="259"/>
      <c r="F55" s="259"/>
      <c r="H55" s="242">
        <f t="shared" si="0"/>
        <v>30600000</v>
      </c>
    </row>
    <row r="56" spans="1:8" x14ac:dyDescent="0.25">
      <c r="A56" s="262">
        <v>47</v>
      </c>
      <c r="B56" s="261">
        <v>44864</v>
      </c>
      <c r="C56" s="260" t="s">
        <v>1302</v>
      </c>
      <c r="D56" s="259">
        <v>7800000</v>
      </c>
      <c r="E56" s="259"/>
      <c r="F56" s="259"/>
      <c r="H56" s="242">
        <f t="shared" si="0"/>
        <v>38400000</v>
      </c>
    </row>
    <row r="57" spans="1:8" x14ac:dyDescent="0.25">
      <c r="A57" s="262">
        <v>48</v>
      </c>
      <c r="B57" s="261">
        <v>44887</v>
      </c>
      <c r="C57" s="260" t="s">
        <v>1303</v>
      </c>
      <c r="D57" s="259"/>
      <c r="E57" s="259">
        <v>30600000</v>
      </c>
      <c r="F57" s="259"/>
      <c r="H57" s="242">
        <f t="shared" si="0"/>
        <v>7800000</v>
      </c>
    </row>
    <row r="58" spans="1:8" x14ac:dyDescent="0.25">
      <c r="A58" s="262">
        <v>49</v>
      </c>
      <c r="B58" s="261">
        <v>44895</v>
      </c>
      <c r="C58" s="260" t="s">
        <v>350</v>
      </c>
      <c r="D58" s="259">
        <v>1800000</v>
      </c>
      <c r="E58" s="259"/>
      <c r="F58" s="259"/>
      <c r="H58" s="242">
        <f t="shared" si="0"/>
        <v>9600000</v>
      </c>
    </row>
    <row r="59" spans="1:8" x14ac:dyDescent="0.25">
      <c r="A59" s="262">
        <v>50</v>
      </c>
      <c r="B59" s="261">
        <v>44925</v>
      </c>
      <c r="C59" s="260" t="s">
        <v>365</v>
      </c>
      <c r="D59" s="259">
        <v>37900000</v>
      </c>
      <c r="E59" s="259"/>
      <c r="F59" s="259"/>
      <c r="H59" s="242">
        <f t="shared" si="0"/>
        <v>47500000</v>
      </c>
    </row>
    <row r="60" spans="1:8" x14ac:dyDescent="0.25">
      <c r="A60" s="262">
        <v>51</v>
      </c>
      <c r="B60" s="261">
        <v>44591</v>
      </c>
      <c r="C60" s="260" t="s">
        <v>1079</v>
      </c>
      <c r="D60" s="259">
        <v>31100000</v>
      </c>
      <c r="E60" s="259"/>
      <c r="F60" s="259"/>
      <c r="H60" s="242">
        <f t="shared" si="0"/>
        <v>78600000</v>
      </c>
    </row>
    <row r="61" spans="1:8" x14ac:dyDescent="0.25">
      <c r="A61" s="262">
        <v>52</v>
      </c>
      <c r="B61" s="261">
        <v>44985</v>
      </c>
      <c r="C61" s="260" t="s">
        <v>1390</v>
      </c>
      <c r="D61" s="259">
        <v>1600000</v>
      </c>
      <c r="E61" s="259"/>
      <c r="F61" s="259"/>
      <c r="H61" s="242">
        <f t="shared" si="0"/>
        <v>80200000</v>
      </c>
    </row>
    <row r="62" spans="1:8" x14ac:dyDescent="0.25">
      <c r="A62" s="262">
        <v>53</v>
      </c>
      <c r="B62" s="261">
        <v>45016</v>
      </c>
      <c r="C62" s="260" t="s">
        <v>1115</v>
      </c>
      <c r="D62" s="259">
        <v>13400000</v>
      </c>
      <c r="E62" s="259"/>
      <c r="F62" s="259"/>
      <c r="H62" s="242">
        <f t="shared" si="0"/>
        <v>93600000</v>
      </c>
    </row>
    <row r="63" spans="1:8" x14ac:dyDescent="0.25">
      <c r="A63" s="262">
        <v>54</v>
      </c>
      <c r="B63" s="261">
        <v>45019</v>
      </c>
      <c r="C63" s="260" t="s">
        <v>1458</v>
      </c>
      <c r="D63" s="259"/>
      <c r="E63" s="259">
        <v>9600000</v>
      </c>
      <c r="F63" s="259"/>
      <c r="H63" s="242">
        <f t="shared" si="0"/>
        <v>84000000</v>
      </c>
    </row>
    <row r="64" spans="1:8" x14ac:dyDescent="0.25">
      <c r="A64" s="262">
        <v>55</v>
      </c>
      <c r="B64" s="261">
        <v>45045</v>
      </c>
      <c r="C64" s="260" t="s">
        <v>1116</v>
      </c>
      <c r="D64" s="259">
        <v>12490000</v>
      </c>
      <c r="E64" s="259"/>
      <c r="F64" s="259"/>
      <c r="H64" s="242">
        <f t="shared" si="0"/>
        <v>96490000</v>
      </c>
    </row>
    <row r="65" spans="1:8" x14ac:dyDescent="0.25">
      <c r="A65" s="262">
        <v>56</v>
      </c>
      <c r="B65" s="261">
        <v>45064</v>
      </c>
      <c r="C65" s="260" t="s">
        <v>1474</v>
      </c>
      <c r="D65" s="259"/>
      <c r="E65" s="259">
        <v>37900000</v>
      </c>
      <c r="F65" s="259"/>
      <c r="H65" s="242">
        <f t="shared" si="0"/>
        <v>58590000</v>
      </c>
    </row>
    <row r="66" spans="1:8" x14ac:dyDescent="0.25">
      <c r="A66" s="262">
        <v>57</v>
      </c>
      <c r="B66" s="261">
        <v>45076</v>
      </c>
      <c r="C66" s="260" t="s">
        <v>1131</v>
      </c>
      <c r="D66" s="259">
        <v>54910000</v>
      </c>
      <c r="E66" s="259"/>
      <c r="F66" s="259"/>
      <c r="H66" s="242">
        <f t="shared" si="0"/>
        <v>113500000</v>
      </c>
    </row>
    <row r="67" spans="1:8" x14ac:dyDescent="0.25">
      <c r="A67" s="262">
        <v>58</v>
      </c>
      <c r="B67" s="261">
        <v>45097</v>
      </c>
      <c r="C67" s="260" t="s">
        <v>1474</v>
      </c>
      <c r="D67" s="259"/>
      <c r="E67" s="259">
        <v>10000000</v>
      </c>
      <c r="F67" s="259"/>
      <c r="H67" s="242">
        <f t="shared" si="0"/>
        <v>103500000</v>
      </c>
    </row>
    <row r="68" spans="1:8" x14ac:dyDescent="0.25">
      <c r="A68" s="262">
        <v>59</v>
      </c>
      <c r="B68" s="261">
        <v>45103</v>
      </c>
      <c r="C68" s="260" t="s">
        <v>1498</v>
      </c>
      <c r="D68" s="259"/>
      <c r="E68" s="259">
        <v>36100000</v>
      </c>
      <c r="F68" s="259"/>
      <c r="H68" s="242">
        <f t="shared" si="0"/>
        <v>67400000</v>
      </c>
    </row>
    <row r="69" spans="1:8" x14ac:dyDescent="0.25">
      <c r="A69" s="262">
        <v>60</v>
      </c>
      <c r="B69" s="261">
        <v>45107</v>
      </c>
      <c r="C69" s="260" t="s">
        <v>177</v>
      </c>
      <c r="D69" s="259">
        <v>45045000</v>
      </c>
      <c r="E69" s="259"/>
      <c r="F69" s="259"/>
      <c r="H69" s="242">
        <f t="shared" si="0"/>
        <v>112445000</v>
      </c>
    </row>
    <row r="70" spans="1:8" x14ac:dyDescent="0.25">
      <c r="A70" s="262">
        <v>61</v>
      </c>
      <c r="B70" s="261">
        <v>45138</v>
      </c>
      <c r="C70" s="260" t="s">
        <v>1540</v>
      </c>
      <c r="D70" s="259">
        <v>34401000</v>
      </c>
      <c r="E70" s="259"/>
      <c r="F70" s="259"/>
      <c r="H70" s="242">
        <f t="shared" si="0"/>
        <v>146846000</v>
      </c>
    </row>
    <row r="71" spans="1:8" x14ac:dyDescent="0.25">
      <c r="A71" s="262">
        <v>62</v>
      </c>
      <c r="B71" s="261">
        <v>45139</v>
      </c>
      <c r="C71" s="260" t="s">
        <v>1546</v>
      </c>
      <c r="D71" s="259"/>
      <c r="E71" s="259">
        <v>12490000</v>
      </c>
      <c r="F71" s="259"/>
      <c r="H71" s="242">
        <f t="shared" si="0"/>
        <v>134356000</v>
      </c>
    </row>
    <row r="72" spans="1:8" x14ac:dyDescent="0.25">
      <c r="A72" s="262">
        <v>63</v>
      </c>
      <c r="B72" s="261">
        <v>45169</v>
      </c>
      <c r="C72" s="260" t="s">
        <v>259</v>
      </c>
      <c r="D72" s="259">
        <v>48168000</v>
      </c>
      <c r="E72" s="259"/>
      <c r="F72" s="259"/>
      <c r="H72" s="242">
        <f t="shared" si="0"/>
        <v>182524000</v>
      </c>
    </row>
    <row r="73" spans="1:8" x14ac:dyDescent="0.25">
      <c r="A73" s="262">
        <v>64</v>
      </c>
      <c r="B73" s="261">
        <v>45188</v>
      </c>
      <c r="C73" s="260" t="s">
        <v>1595</v>
      </c>
      <c r="D73" s="259"/>
      <c r="E73" s="259">
        <v>43010000</v>
      </c>
      <c r="F73" s="259"/>
      <c r="H73" s="242">
        <f t="shared" si="0"/>
        <v>139514000</v>
      </c>
    </row>
    <row r="74" spans="1:8" x14ac:dyDescent="0.25">
      <c r="A74" s="262">
        <v>65</v>
      </c>
      <c r="B74" s="261">
        <v>45199</v>
      </c>
      <c r="C74" s="260" t="s">
        <v>299</v>
      </c>
      <c r="D74" s="259">
        <v>30405000</v>
      </c>
      <c r="E74" s="259"/>
      <c r="F74" s="259"/>
      <c r="H74" s="242">
        <f t="shared" si="0"/>
        <v>169919000</v>
      </c>
    </row>
    <row r="75" spans="1:8" x14ac:dyDescent="0.25">
      <c r="A75" s="262">
        <v>66</v>
      </c>
      <c r="B75" s="261">
        <v>45205</v>
      </c>
      <c r="C75" s="260" t="s">
        <v>1615</v>
      </c>
      <c r="D75" s="259"/>
      <c r="E75" s="259">
        <v>45045000</v>
      </c>
      <c r="F75" s="259"/>
      <c r="H75" s="242">
        <f t="shared" si="0"/>
        <v>124874000</v>
      </c>
    </row>
    <row r="76" spans="1:8" x14ac:dyDescent="0.25">
      <c r="A76" s="262">
        <v>67</v>
      </c>
      <c r="B76" s="261">
        <v>45213</v>
      </c>
      <c r="C76" s="260" t="s">
        <v>1595</v>
      </c>
      <c r="D76" s="259"/>
      <c r="E76" s="259">
        <v>11900000</v>
      </c>
      <c r="F76" s="259"/>
      <c r="H76" s="242">
        <f t="shared" ref="H76:H133" si="1">H75+D76-E76</f>
        <v>112974000</v>
      </c>
    </row>
    <row r="77" spans="1:8" x14ac:dyDescent="0.25">
      <c r="A77" s="262">
        <v>68</v>
      </c>
      <c r="B77" s="261">
        <v>45229</v>
      </c>
      <c r="C77" s="260" t="s">
        <v>323</v>
      </c>
      <c r="D77" s="259">
        <v>38124000</v>
      </c>
      <c r="E77" s="259"/>
      <c r="F77" s="259"/>
      <c r="H77" s="242">
        <f t="shared" si="1"/>
        <v>151098000</v>
      </c>
    </row>
    <row r="78" spans="1:8" x14ac:dyDescent="0.25">
      <c r="A78" s="262">
        <v>69</v>
      </c>
      <c r="B78" s="261">
        <v>45254</v>
      </c>
      <c r="C78" s="260" t="s">
        <v>1658</v>
      </c>
      <c r="D78" s="259"/>
      <c r="E78" s="259">
        <v>34401000</v>
      </c>
      <c r="F78" s="259"/>
      <c r="H78" s="242">
        <f t="shared" si="1"/>
        <v>116697000</v>
      </c>
    </row>
    <row r="79" spans="1:8" x14ac:dyDescent="0.25">
      <c r="A79" s="262">
        <v>70</v>
      </c>
      <c r="B79" s="261">
        <v>45260</v>
      </c>
      <c r="C79" s="260" t="s">
        <v>350</v>
      </c>
      <c r="D79" s="259">
        <v>86992000</v>
      </c>
      <c r="E79" s="259"/>
      <c r="F79" s="259"/>
      <c r="H79" s="242">
        <f t="shared" si="1"/>
        <v>203689000</v>
      </c>
    </row>
    <row r="80" spans="1:8" x14ac:dyDescent="0.25">
      <c r="A80" s="262">
        <v>71</v>
      </c>
      <c r="B80" s="261">
        <v>45271</v>
      </c>
      <c r="C80" s="260" t="s">
        <v>1671</v>
      </c>
      <c r="D80" s="259"/>
      <c r="E80" s="259">
        <v>48168000</v>
      </c>
      <c r="F80" s="259"/>
      <c r="H80" s="242">
        <f t="shared" si="1"/>
        <v>155521000</v>
      </c>
    </row>
    <row r="81" spans="1:12" x14ac:dyDescent="0.25">
      <c r="A81" s="262">
        <v>72</v>
      </c>
      <c r="B81" s="261">
        <v>45288</v>
      </c>
      <c r="C81" s="260" t="s">
        <v>1679</v>
      </c>
      <c r="D81" s="259"/>
      <c r="E81" s="259">
        <v>30405000</v>
      </c>
      <c r="F81" s="259"/>
      <c r="H81" s="242">
        <f t="shared" si="1"/>
        <v>125116000</v>
      </c>
    </row>
    <row r="82" spans="1:12" x14ac:dyDescent="0.25">
      <c r="A82" s="262">
        <v>73</v>
      </c>
      <c r="B82" s="261">
        <v>45291</v>
      </c>
      <c r="C82" s="260" t="s">
        <v>365</v>
      </c>
      <c r="D82" s="259">
        <v>78922333</v>
      </c>
      <c r="E82" s="259"/>
      <c r="F82" s="259"/>
      <c r="H82" s="242">
        <f t="shared" si="1"/>
        <v>204038333</v>
      </c>
    </row>
    <row r="83" spans="1:12" x14ac:dyDescent="0.25">
      <c r="A83" s="262">
        <v>74</v>
      </c>
      <c r="B83" s="261">
        <v>45322</v>
      </c>
      <c r="C83" s="260" t="s">
        <v>1706</v>
      </c>
      <c r="D83" s="259"/>
      <c r="E83" s="287">
        <v>38124000</v>
      </c>
      <c r="F83" s="259"/>
      <c r="H83" s="242">
        <f t="shared" si="1"/>
        <v>165914333</v>
      </c>
    </row>
    <row r="84" spans="1:12" x14ac:dyDescent="0.25">
      <c r="A84" s="262">
        <v>75</v>
      </c>
      <c r="B84" s="261">
        <v>45322</v>
      </c>
      <c r="C84" s="260" t="s">
        <v>1079</v>
      </c>
      <c r="D84" s="259">
        <v>68447000</v>
      </c>
      <c r="E84" s="259"/>
      <c r="F84" s="259"/>
      <c r="H84" s="242">
        <f t="shared" si="1"/>
        <v>234361333</v>
      </c>
    </row>
    <row r="85" spans="1:12" x14ac:dyDescent="0.25">
      <c r="A85" s="262">
        <v>76</v>
      </c>
      <c r="B85" s="261">
        <v>45350</v>
      </c>
      <c r="C85" s="260" t="s">
        <v>1390</v>
      </c>
      <c r="D85" s="259">
        <v>26298000</v>
      </c>
      <c r="E85" s="259"/>
      <c r="F85" s="259"/>
      <c r="H85" s="242">
        <f t="shared" si="1"/>
        <v>260659333</v>
      </c>
    </row>
    <row r="86" spans="1:12" x14ac:dyDescent="0.25">
      <c r="A86" s="262">
        <v>77</v>
      </c>
      <c r="B86" s="261">
        <v>45352</v>
      </c>
      <c r="C86" s="260" t="s">
        <v>1726</v>
      </c>
      <c r="D86" s="259"/>
      <c r="E86" s="287">
        <v>86992000</v>
      </c>
      <c r="F86" s="259"/>
      <c r="H86" s="242">
        <f t="shared" si="1"/>
        <v>173667333</v>
      </c>
    </row>
    <row r="87" spans="1:12" x14ac:dyDescent="0.25">
      <c r="A87" s="262">
        <v>78</v>
      </c>
      <c r="B87" s="261">
        <v>45379</v>
      </c>
      <c r="C87" s="260" t="s">
        <v>1741</v>
      </c>
      <c r="D87" s="259">
        <v>110160000</v>
      </c>
      <c r="E87" s="287"/>
      <c r="F87" s="259"/>
      <c r="H87" s="242">
        <f t="shared" si="1"/>
        <v>283827333</v>
      </c>
    </row>
    <row r="88" spans="1:12" x14ac:dyDescent="0.25">
      <c r="A88" s="262">
        <v>79</v>
      </c>
      <c r="B88" s="261">
        <v>45385</v>
      </c>
      <c r="C88" s="260" t="s">
        <v>1474</v>
      </c>
      <c r="D88" s="259"/>
      <c r="E88" s="287">
        <v>57564000</v>
      </c>
      <c r="F88" s="259"/>
      <c r="H88" s="242">
        <f t="shared" si="1"/>
        <v>226263333</v>
      </c>
    </row>
    <row r="89" spans="1:12" x14ac:dyDescent="0.25">
      <c r="A89" s="262">
        <v>80</v>
      </c>
      <c r="B89" s="261">
        <v>45393</v>
      </c>
      <c r="C89" s="260" t="s">
        <v>1474</v>
      </c>
      <c r="D89" s="259"/>
      <c r="E89" s="259">
        <v>21358333</v>
      </c>
      <c r="F89" s="259" t="s">
        <v>1971</v>
      </c>
      <c r="H89" s="242">
        <f t="shared" si="1"/>
        <v>204905000</v>
      </c>
    </row>
    <row r="90" spans="1:12" x14ac:dyDescent="0.25">
      <c r="A90" s="262">
        <v>81</v>
      </c>
      <c r="B90" s="261">
        <v>45402</v>
      </c>
      <c r="C90" s="260" t="s">
        <v>1760</v>
      </c>
      <c r="D90" s="259"/>
      <c r="E90" s="287">
        <v>10000000</v>
      </c>
      <c r="F90" s="259"/>
      <c r="H90" s="242">
        <f t="shared" si="1"/>
        <v>194905000</v>
      </c>
    </row>
    <row r="91" spans="1:12" x14ac:dyDescent="0.25">
      <c r="A91" s="262">
        <v>82</v>
      </c>
      <c r="B91" s="261">
        <v>45408</v>
      </c>
      <c r="C91" s="260" t="s">
        <v>1761</v>
      </c>
      <c r="D91" s="259"/>
      <c r="E91" s="287">
        <v>58447000</v>
      </c>
      <c r="F91" s="259"/>
      <c r="H91" s="242">
        <f t="shared" si="1"/>
        <v>136458000</v>
      </c>
    </row>
    <row r="92" spans="1:12" x14ac:dyDescent="0.25">
      <c r="A92" s="262">
        <v>83</v>
      </c>
      <c r="B92" s="261">
        <v>45412</v>
      </c>
      <c r="C92" s="260" t="s">
        <v>1794</v>
      </c>
      <c r="D92" s="259">
        <v>93018000</v>
      </c>
      <c r="E92" s="259"/>
      <c r="F92" s="259"/>
      <c r="H92" s="242">
        <f t="shared" si="1"/>
        <v>229476000</v>
      </c>
    </row>
    <row r="93" spans="1:12" x14ac:dyDescent="0.25">
      <c r="A93" s="262">
        <v>84</v>
      </c>
      <c r="B93" s="261">
        <v>45427</v>
      </c>
      <c r="C93" s="260" t="s">
        <v>1777</v>
      </c>
      <c r="D93" s="259"/>
      <c r="E93" s="287">
        <v>26298000</v>
      </c>
      <c r="F93" s="259"/>
      <c r="H93" s="242">
        <f t="shared" si="1"/>
        <v>203178000</v>
      </c>
    </row>
    <row r="94" spans="1:12" x14ac:dyDescent="0.25">
      <c r="A94" s="262">
        <v>85</v>
      </c>
      <c r="B94" s="261">
        <v>45443</v>
      </c>
      <c r="C94" s="260" t="s">
        <v>1131</v>
      </c>
      <c r="D94" s="259">
        <v>74070000</v>
      </c>
      <c r="E94" s="287"/>
      <c r="F94" s="259"/>
      <c r="H94" s="242">
        <f t="shared" si="1"/>
        <v>277248000</v>
      </c>
    </row>
    <row r="95" spans="1:12" x14ac:dyDescent="0.25">
      <c r="A95" s="262">
        <v>86</v>
      </c>
      <c r="B95" s="261">
        <v>45465</v>
      </c>
      <c r="C95" s="260" t="s">
        <v>1805</v>
      </c>
      <c r="D95" s="259"/>
      <c r="E95" s="287">
        <v>110160000</v>
      </c>
      <c r="F95" s="259"/>
      <c r="H95" s="242">
        <f t="shared" si="1"/>
        <v>167088000</v>
      </c>
      <c r="L95" s="2"/>
    </row>
    <row r="96" spans="1:12" x14ac:dyDescent="0.25">
      <c r="A96" s="262">
        <v>87</v>
      </c>
      <c r="B96" s="261">
        <v>45473</v>
      </c>
      <c r="C96" s="260" t="s">
        <v>177</v>
      </c>
      <c r="D96" s="259">
        <v>61344000</v>
      </c>
      <c r="E96" s="259"/>
      <c r="F96" s="259"/>
      <c r="H96" s="242">
        <f t="shared" si="1"/>
        <v>228432000</v>
      </c>
      <c r="L96" s="2"/>
    </row>
    <row r="97" spans="1:12" x14ac:dyDescent="0.25">
      <c r="A97" s="262">
        <v>88</v>
      </c>
      <c r="B97" s="261">
        <v>45490</v>
      </c>
      <c r="C97" s="260" t="s">
        <v>1823</v>
      </c>
      <c r="D97" s="259"/>
      <c r="E97" s="259">
        <v>93018000</v>
      </c>
      <c r="F97" s="259"/>
      <c r="H97" s="242">
        <f t="shared" si="1"/>
        <v>135414000</v>
      </c>
      <c r="L97" s="2">
        <v>15150000</v>
      </c>
    </row>
    <row r="98" spans="1:12" x14ac:dyDescent="0.25">
      <c r="A98" s="262">
        <v>89</v>
      </c>
      <c r="B98" s="261">
        <v>45504</v>
      </c>
      <c r="C98" s="260" t="s">
        <v>1595</v>
      </c>
      <c r="D98" s="259"/>
      <c r="E98" s="259">
        <v>74070000</v>
      </c>
      <c r="F98" s="259"/>
      <c r="H98" s="242">
        <f t="shared" si="1"/>
        <v>61344000</v>
      </c>
      <c r="L98" s="2">
        <v>15750000</v>
      </c>
    </row>
    <row r="99" spans="1:12" x14ac:dyDescent="0.25">
      <c r="A99" s="262">
        <v>90</v>
      </c>
      <c r="B99" s="261">
        <v>45504</v>
      </c>
      <c r="C99" s="260" t="s">
        <v>1043</v>
      </c>
      <c r="D99" s="259">
        <v>39204000</v>
      </c>
      <c r="E99" s="259"/>
      <c r="F99" s="259"/>
      <c r="H99" s="242">
        <f t="shared" si="1"/>
        <v>100548000</v>
      </c>
      <c r="L99" s="2">
        <v>21358333</v>
      </c>
    </row>
    <row r="100" spans="1:12" x14ac:dyDescent="0.25">
      <c r="A100" s="262">
        <v>91</v>
      </c>
      <c r="B100" s="261">
        <v>45532</v>
      </c>
      <c r="C100" s="260" t="s">
        <v>1850</v>
      </c>
      <c r="D100" s="259"/>
      <c r="E100" s="287">
        <v>61344000</v>
      </c>
      <c r="F100" s="259"/>
      <c r="H100" s="242">
        <f t="shared" si="1"/>
        <v>39204000</v>
      </c>
      <c r="L100" s="2">
        <v>5940000</v>
      </c>
    </row>
    <row r="101" spans="1:12" x14ac:dyDescent="0.25">
      <c r="A101" s="262">
        <v>92</v>
      </c>
      <c r="B101" s="261">
        <v>45534</v>
      </c>
      <c r="C101" s="260" t="s">
        <v>259</v>
      </c>
      <c r="D101" s="259">
        <f>5500000*1.08</f>
        <v>5940000</v>
      </c>
      <c r="E101" s="259"/>
      <c r="F101" s="259"/>
      <c r="H101" s="242">
        <f t="shared" si="1"/>
        <v>45144000</v>
      </c>
      <c r="L101" s="2"/>
    </row>
    <row r="102" spans="1:12" x14ac:dyDescent="0.25">
      <c r="A102" s="262">
        <v>93</v>
      </c>
      <c r="B102" s="261">
        <v>45565</v>
      </c>
      <c r="C102" s="260" t="s">
        <v>299</v>
      </c>
      <c r="D102" s="259">
        <v>12960000</v>
      </c>
      <c r="E102" s="259"/>
      <c r="F102" s="259"/>
      <c r="H102" s="242">
        <f t="shared" si="1"/>
        <v>58104000</v>
      </c>
      <c r="L102" s="2">
        <v>581198333</v>
      </c>
    </row>
    <row r="103" spans="1:12" x14ac:dyDescent="0.25">
      <c r="A103" s="262">
        <v>94</v>
      </c>
      <c r="B103" s="261">
        <v>45569</v>
      </c>
      <c r="C103" s="260" t="s">
        <v>1658</v>
      </c>
      <c r="D103" s="259"/>
      <c r="E103" s="287">
        <v>39204000</v>
      </c>
      <c r="F103" s="259"/>
      <c r="H103" s="242">
        <f t="shared" si="1"/>
        <v>18900000</v>
      </c>
      <c r="L103" s="2"/>
    </row>
    <row r="104" spans="1:12" x14ac:dyDescent="0.25">
      <c r="A104" s="262">
        <v>95</v>
      </c>
      <c r="B104" s="261">
        <v>45596</v>
      </c>
      <c r="C104" s="260" t="s">
        <v>323</v>
      </c>
      <c r="D104" s="259">
        <v>70740000</v>
      </c>
      <c r="E104" s="259"/>
      <c r="F104" s="259"/>
      <c r="H104" s="242">
        <f t="shared" si="1"/>
        <v>89640000</v>
      </c>
    </row>
    <row r="105" spans="1:12" x14ac:dyDescent="0.25">
      <c r="A105" s="262">
        <v>96</v>
      </c>
      <c r="B105" s="261">
        <v>45626</v>
      </c>
      <c r="C105" s="260" t="s">
        <v>350</v>
      </c>
      <c r="D105" s="259">
        <v>49194000</v>
      </c>
      <c r="E105" s="259"/>
      <c r="F105" s="259"/>
      <c r="H105" s="242">
        <f t="shared" si="1"/>
        <v>138834000</v>
      </c>
    </row>
    <row r="106" spans="1:12" x14ac:dyDescent="0.25">
      <c r="A106" s="262">
        <v>97</v>
      </c>
      <c r="B106" s="261">
        <v>45646</v>
      </c>
      <c r="C106" s="260" t="s">
        <v>1671</v>
      </c>
      <c r="D106" s="259"/>
      <c r="E106" s="259">
        <v>5940000</v>
      </c>
      <c r="F106" s="259" t="s">
        <v>1893</v>
      </c>
      <c r="H106" s="242">
        <f t="shared" si="1"/>
        <v>132894000</v>
      </c>
    </row>
    <row r="107" spans="1:12" x14ac:dyDescent="0.25">
      <c r="A107" s="262">
        <v>98</v>
      </c>
      <c r="B107" s="261">
        <v>45653</v>
      </c>
      <c r="C107" s="260" t="s">
        <v>1679</v>
      </c>
      <c r="D107" s="259"/>
      <c r="E107" s="287">
        <v>12960000</v>
      </c>
      <c r="F107" s="259"/>
      <c r="H107" s="242">
        <f t="shared" si="1"/>
        <v>119934000</v>
      </c>
    </row>
    <row r="108" spans="1:12" x14ac:dyDescent="0.25">
      <c r="A108" s="262">
        <v>99</v>
      </c>
      <c r="B108" s="261">
        <v>45656</v>
      </c>
      <c r="C108" s="260" t="s">
        <v>365</v>
      </c>
      <c r="D108" s="259">
        <v>110652000</v>
      </c>
      <c r="E108" s="259"/>
      <c r="F108" s="259"/>
      <c r="H108" s="242">
        <f t="shared" si="1"/>
        <v>230586000</v>
      </c>
    </row>
    <row r="109" spans="1:12" x14ac:dyDescent="0.25">
      <c r="A109" s="262">
        <v>100</v>
      </c>
      <c r="B109" s="261">
        <v>45678</v>
      </c>
      <c r="C109" s="260" t="s">
        <v>1079</v>
      </c>
      <c r="D109" s="259">
        <v>96228000</v>
      </c>
      <c r="E109" s="259"/>
      <c r="F109" s="259"/>
      <c r="H109" s="242">
        <f t="shared" si="1"/>
        <v>326814000</v>
      </c>
    </row>
    <row r="110" spans="1:12" x14ac:dyDescent="0.25">
      <c r="A110" s="262">
        <v>101</v>
      </c>
      <c r="B110" s="261">
        <v>45679</v>
      </c>
      <c r="C110" s="260" t="s">
        <v>1706</v>
      </c>
      <c r="D110" s="259"/>
      <c r="E110" s="259">
        <v>70740000</v>
      </c>
      <c r="F110" s="259"/>
      <c r="H110" s="242">
        <f t="shared" si="1"/>
        <v>256074000</v>
      </c>
    </row>
    <row r="111" spans="1:12" x14ac:dyDescent="0.25">
      <c r="A111" s="262">
        <v>102</v>
      </c>
      <c r="B111" s="261">
        <v>45716</v>
      </c>
      <c r="C111" s="260" t="s">
        <v>1390</v>
      </c>
      <c r="D111" s="259">
        <v>103140000</v>
      </c>
      <c r="E111" s="259"/>
      <c r="F111" s="259"/>
      <c r="H111" s="242">
        <f t="shared" si="1"/>
        <v>359214000</v>
      </c>
    </row>
    <row r="112" spans="1:12" x14ac:dyDescent="0.25">
      <c r="A112" s="262">
        <v>103</v>
      </c>
      <c r="B112" s="261">
        <v>45723</v>
      </c>
      <c r="C112" s="260" t="s">
        <v>1726</v>
      </c>
      <c r="D112" s="259"/>
      <c r="E112" s="259">
        <v>49194000</v>
      </c>
      <c r="F112" s="259"/>
      <c r="H112" s="242">
        <f t="shared" si="1"/>
        <v>310020000</v>
      </c>
    </row>
    <row r="113" spans="1:8" x14ac:dyDescent="0.25">
      <c r="A113" s="262">
        <v>104</v>
      </c>
      <c r="B113" s="261">
        <v>45741</v>
      </c>
      <c r="C113" s="260" t="s">
        <v>1474</v>
      </c>
      <c r="D113" s="259"/>
      <c r="E113" s="259">
        <v>110652000</v>
      </c>
      <c r="F113" s="259"/>
      <c r="H113" s="242">
        <f t="shared" si="1"/>
        <v>199368000</v>
      </c>
    </row>
    <row r="114" spans="1:8" x14ac:dyDescent="0.25">
      <c r="A114" s="262">
        <v>105</v>
      </c>
      <c r="B114" s="261">
        <v>45747</v>
      </c>
      <c r="C114" s="260" t="s">
        <v>1115</v>
      </c>
      <c r="D114" s="259">
        <v>46332000</v>
      </c>
      <c r="E114" s="259"/>
      <c r="F114" s="259"/>
      <c r="H114" s="242">
        <f t="shared" si="1"/>
        <v>245700000</v>
      </c>
    </row>
    <row r="115" spans="1:8" x14ac:dyDescent="0.25">
      <c r="A115" s="262">
        <v>106</v>
      </c>
      <c r="B115" s="261">
        <v>45777</v>
      </c>
      <c r="C115" s="260" t="s">
        <v>1116</v>
      </c>
      <c r="D115" s="259">
        <v>106866000</v>
      </c>
      <c r="E115" s="259"/>
      <c r="F115" s="259"/>
      <c r="H115" s="242">
        <f t="shared" si="1"/>
        <v>352566000</v>
      </c>
    </row>
    <row r="116" spans="1:8" x14ac:dyDescent="0.25">
      <c r="A116" s="262">
        <v>107</v>
      </c>
      <c r="B116" s="261">
        <v>45784</v>
      </c>
      <c r="C116" s="260" t="s">
        <v>1760</v>
      </c>
      <c r="D116" s="259"/>
      <c r="E116" s="259">
        <v>96228000</v>
      </c>
      <c r="F116" s="259"/>
      <c r="H116" s="242">
        <f t="shared" si="1"/>
        <v>256338000</v>
      </c>
    </row>
    <row r="117" spans="1:8" x14ac:dyDescent="0.25">
      <c r="A117" s="262">
        <v>108</v>
      </c>
      <c r="B117" s="261"/>
      <c r="C117" s="260"/>
      <c r="D117" s="259"/>
      <c r="E117" s="259"/>
      <c r="F117" s="259"/>
      <c r="H117" s="242">
        <f t="shared" si="1"/>
        <v>256338000</v>
      </c>
    </row>
    <row r="118" spans="1:8" x14ac:dyDescent="0.25">
      <c r="A118" s="262">
        <v>109</v>
      </c>
      <c r="B118" s="262"/>
      <c r="C118" s="260"/>
      <c r="D118" s="259"/>
      <c r="E118" s="259"/>
      <c r="F118" s="259"/>
      <c r="H118" s="242">
        <f t="shared" si="1"/>
        <v>256338000</v>
      </c>
    </row>
    <row r="119" spans="1:8" x14ac:dyDescent="0.25">
      <c r="A119" s="262">
        <v>110</v>
      </c>
      <c r="B119" s="262"/>
      <c r="C119" s="260"/>
      <c r="D119" s="259"/>
      <c r="E119" s="259"/>
      <c r="F119" s="259"/>
      <c r="H119" s="242">
        <f t="shared" si="1"/>
        <v>256338000</v>
      </c>
    </row>
    <row r="120" spans="1:8" x14ac:dyDescent="0.25">
      <c r="A120" s="262">
        <v>111</v>
      </c>
      <c r="B120" s="262"/>
      <c r="C120" s="260"/>
      <c r="D120" s="259"/>
      <c r="E120" s="259"/>
      <c r="F120" s="259"/>
      <c r="H120" s="242">
        <f t="shared" si="1"/>
        <v>256338000</v>
      </c>
    </row>
    <row r="121" spans="1:8" x14ac:dyDescent="0.25">
      <c r="A121" s="262">
        <v>112</v>
      </c>
      <c r="B121" s="262"/>
      <c r="C121" s="260"/>
      <c r="D121" s="259"/>
      <c r="E121" s="259"/>
      <c r="F121" s="259"/>
      <c r="H121" s="242">
        <f t="shared" si="1"/>
        <v>256338000</v>
      </c>
    </row>
    <row r="122" spans="1:8" x14ac:dyDescent="0.25">
      <c r="A122" s="262">
        <v>113</v>
      </c>
      <c r="B122" s="262"/>
      <c r="C122" s="260"/>
      <c r="D122" s="259"/>
      <c r="E122" s="259"/>
      <c r="F122" s="259"/>
      <c r="H122" s="242">
        <f t="shared" si="1"/>
        <v>256338000</v>
      </c>
    </row>
    <row r="123" spans="1:8" x14ac:dyDescent="0.25">
      <c r="A123" s="262">
        <v>114</v>
      </c>
      <c r="B123" s="262"/>
      <c r="C123" s="260"/>
      <c r="D123" s="259"/>
      <c r="E123" s="259"/>
      <c r="F123" s="259"/>
      <c r="H123" s="242">
        <f t="shared" si="1"/>
        <v>256338000</v>
      </c>
    </row>
    <row r="124" spans="1:8" x14ac:dyDescent="0.25">
      <c r="A124" s="262">
        <v>115</v>
      </c>
      <c r="B124" s="262"/>
      <c r="C124" s="260"/>
      <c r="D124" s="259"/>
      <c r="E124" s="259"/>
      <c r="F124" s="259"/>
      <c r="H124" s="242">
        <f t="shared" si="1"/>
        <v>256338000</v>
      </c>
    </row>
    <row r="125" spans="1:8" x14ac:dyDescent="0.25">
      <c r="A125" s="262">
        <v>116</v>
      </c>
      <c r="B125" s="262"/>
      <c r="C125" s="260"/>
      <c r="D125" s="259"/>
      <c r="E125" s="259"/>
      <c r="F125" s="259"/>
      <c r="H125" s="242">
        <f t="shared" si="1"/>
        <v>256338000</v>
      </c>
    </row>
    <row r="126" spans="1:8" x14ac:dyDescent="0.25">
      <c r="A126" s="262">
        <v>117</v>
      </c>
      <c r="B126" s="262"/>
      <c r="C126" s="260"/>
      <c r="D126" s="259"/>
      <c r="E126" s="259"/>
      <c r="F126" s="259"/>
      <c r="H126" s="242">
        <f t="shared" si="1"/>
        <v>256338000</v>
      </c>
    </row>
    <row r="127" spans="1:8" x14ac:dyDescent="0.25">
      <c r="A127" s="262">
        <v>118</v>
      </c>
      <c r="B127" s="262"/>
      <c r="C127" s="260"/>
      <c r="D127" s="259"/>
      <c r="E127" s="259"/>
      <c r="F127" s="259"/>
      <c r="H127" s="242">
        <f t="shared" si="1"/>
        <v>256338000</v>
      </c>
    </row>
    <row r="128" spans="1:8" x14ac:dyDescent="0.25">
      <c r="A128" s="262">
        <v>119</v>
      </c>
      <c r="B128" s="262"/>
      <c r="C128" s="260"/>
      <c r="D128" s="259"/>
      <c r="E128" s="259"/>
      <c r="F128" s="259"/>
      <c r="H128" s="242">
        <f t="shared" si="1"/>
        <v>256338000</v>
      </c>
    </row>
    <row r="129" spans="1:8" x14ac:dyDescent="0.25">
      <c r="A129" s="262">
        <v>120</v>
      </c>
      <c r="B129" s="262"/>
      <c r="C129" s="260"/>
      <c r="D129" s="259"/>
      <c r="E129" s="259"/>
      <c r="F129" s="259"/>
      <c r="H129" s="242">
        <f t="shared" si="1"/>
        <v>256338000</v>
      </c>
    </row>
    <row r="130" spans="1:8" x14ac:dyDescent="0.25">
      <c r="A130" s="262">
        <v>121</v>
      </c>
      <c r="B130" s="262"/>
      <c r="C130" s="260"/>
      <c r="D130" s="259"/>
      <c r="E130" s="259"/>
      <c r="F130" s="259"/>
      <c r="H130" s="242">
        <f t="shared" si="1"/>
        <v>256338000</v>
      </c>
    </row>
    <row r="131" spans="1:8" x14ac:dyDescent="0.25">
      <c r="A131" s="262">
        <v>122</v>
      </c>
      <c r="B131" s="262"/>
      <c r="C131" s="260"/>
      <c r="D131" s="259"/>
      <c r="E131" s="259"/>
      <c r="F131" s="259"/>
      <c r="H131" s="242">
        <f t="shared" si="1"/>
        <v>256338000</v>
      </c>
    </row>
    <row r="132" spans="1:8" x14ac:dyDescent="0.25">
      <c r="A132" s="262">
        <v>123</v>
      </c>
      <c r="B132" s="262"/>
      <c r="C132" s="260"/>
      <c r="D132" s="259"/>
      <c r="E132" s="259"/>
      <c r="F132" s="259"/>
      <c r="H132" s="242">
        <f t="shared" si="1"/>
        <v>256338000</v>
      </c>
    </row>
    <row r="133" spans="1:8" x14ac:dyDescent="0.25">
      <c r="A133" s="262">
        <v>124</v>
      </c>
      <c r="B133" s="262"/>
      <c r="C133" s="260"/>
      <c r="D133" s="259"/>
      <c r="E133" s="259"/>
      <c r="F133" s="259"/>
      <c r="H133" s="242">
        <f t="shared" si="1"/>
        <v>256338000</v>
      </c>
    </row>
    <row r="134" spans="1:8" x14ac:dyDescent="0.25">
      <c r="A134" s="260"/>
      <c r="B134" s="262"/>
      <c r="C134" s="260"/>
      <c r="D134" s="259"/>
      <c r="E134" s="259"/>
      <c r="F134" s="259"/>
    </row>
    <row r="135" spans="1:8" x14ac:dyDescent="0.25">
      <c r="A135" s="260"/>
      <c r="B135" s="262"/>
      <c r="C135" s="260"/>
      <c r="D135" s="259"/>
      <c r="E135" s="259"/>
      <c r="F135" s="259"/>
    </row>
    <row r="136" spans="1:8" x14ac:dyDescent="0.25">
      <c r="A136" s="260"/>
      <c r="B136" s="262"/>
      <c r="C136" s="260"/>
      <c r="D136" s="259"/>
      <c r="E136" s="259"/>
      <c r="F136" s="259"/>
    </row>
    <row r="137" spans="1:8" x14ac:dyDescent="0.25">
      <c r="A137" s="260"/>
      <c r="B137" s="262"/>
      <c r="C137" s="260"/>
      <c r="D137" s="259"/>
      <c r="E137" s="259"/>
      <c r="F137" s="259"/>
    </row>
    <row r="138" spans="1:8" x14ac:dyDescent="0.25">
      <c r="A138" s="260"/>
      <c r="B138" s="262"/>
      <c r="C138" s="260"/>
      <c r="D138" s="259"/>
      <c r="E138" s="259"/>
      <c r="F138" s="259"/>
    </row>
    <row r="139" spans="1:8" x14ac:dyDescent="0.25">
      <c r="A139" s="260"/>
      <c r="B139" s="262"/>
      <c r="C139" s="260"/>
      <c r="D139" s="259"/>
      <c r="E139" s="259"/>
      <c r="F139" s="259"/>
    </row>
    <row r="140" spans="1:8" x14ac:dyDescent="0.25">
      <c r="A140" s="260"/>
      <c r="B140" s="262"/>
      <c r="C140" s="260"/>
      <c r="D140" s="259"/>
      <c r="E140" s="259"/>
      <c r="F140" s="259"/>
    </row>
    <row r="141" spans="1:8" x14ac:dyDescent="0.25">
      <c r="A141" s="260"/>
      <c r="B141" s="262"/>
      <c r="C141" s="260"/>
      <c r="D141" s="259"/>
      <c r="E141" s="259"/>
      <c r="F141" s="259"/>
    </row>
    <row r="142" spans="1:8" x14ac:dyDescent="0.25">
      <c r="A142" s="260"/>
      <c r="B142" s="262"/>
      <c r="C142" s="260"/>
      <c r="D142" s="259"/>
      <c r="E142" s="259"/>
      <c r="F142" s="259"/>
    </row>
    <row r="143" spans="1:8" x14ac:dyDescent="0.25">
      <c r="A143" s="260"/>
      <c r="B143" s="262"/>
      <c r="C143" s="260"/>
      <c r="D143" s="259"/>
      <c r="E143" s="259"/>
      <c r="F143" s="259"/>
    </row>
    <row r="144" spans="1:8" x14ac:dyDescent="0.25">
      <c r="A144" s="260"/>
      <c r="B144" s="262"/>
      <c r="C144" s="260"/>
      <c r="D144" s="259"/>
      <c r="E144" s="259"/>
      <c r="F144" s="259"/>
    </row>
    <row r="145" spans="1:6" x14ac:dyDescent="0.25">
      <c r="A145" s="260"/>
      <c r="B145" s="262"/>
      <c r="C145" s="260"/>
      <c r="D145" s="259"/>
      <c r="E145" s="259"/>
      <c r="F145" s="259"/>
    </row>
    <row r="146" spans="1:6" x14ac:dyDescent="0.25">
      <c r="A146" s="260"/>
      <c r="B146" s="262"/>
      <c r="C146" s="260"/>
      <c r="D146" s="259"/>
      <c r="E146" s="259"/>
      <c r="F146" s="259"/>
    </row>
    <row r="147" spans="1:6" x14ac:dyDescent="0.25">
      <c r="A147" s="260"/>
      <c r="B147" s="262"/>
      <c r="C147" s="260"/>
      <c r="D147" s="259"/>
      <c r="E147" s="259"/>
      <c r="F147" s="259"/>
    </row>
    <row r="148" spans="1:6" x14ac:dyDescent="0.25">
      <c r="A148" s="260"/>
      <c r="B148" s="262"/>
      <c r="C148" s="260"/>
      <c r="D148" s="259"/>
      <c r="E148" s="259"/>
      <c r="F148" s="259"/>
    </row>
    <row r="149" spans="1:6" x14ac:dyDescent="0.25">
      <c r="A149" s="260"/>
      <c r="B149" s="262"/>
      <c r="C149" s="260"/>
      <c r="D149" s="259"/>
      <c r="E149" s="259"/>
      <c r="F149" s="259"/>
    </row>
    <row r="150" spans="1:6" x14ac:dyDescent="0.25">
      <c r="A150" s="260"/>
      <c r="B150" s="262"/>
      <c r="C150" s="260"/>
      <c r="D150" s="259"/>
      <c r="E150" s="259"/>
      <c r="F150" s="259"/>
    </row>
    <row r="151" spans="1:6" x14ac:dyDescent="0.25">
      <c r="A151" s="260"/>
      <c r="B151" s="262"/>
      <c r="C151" s="260"/>
      <c r="D151" s="259"/>
      <c r="E151" s="259"/>
      <c r="F151" s="259"/>
    </row>
    <row r="152" spans="1:6" x14ac:dyDescent="0.25">
      <c r="A152" s="260"/>
      <c r="B152" s="262"/>
      <c r="C152" s="260"/>
      <c r="D152" s="259"/>
      <c r="E152" s="259"/>
      <c r="F152" s="259"/>
    </row>
    <row r="153" spans="1:6" x14ac:dyDescent="0.25">
      <c r="A153" s="260"/>
      <c r="B153" s="262"/>
      <c r="C153" s="260"/>
      <c r="D153" s="259"/>
      <c r="E153" s="259"/>
      <c r="F153" s="259"/>
    </row>
    <row r="154" spans="1:6" x14ac:dyDescent="0.25">
      <c r="A154" s="260"/>
      <c r="B154" s="262"/>
      <c r="C154" s="260"/>
      <c r="D154" s="259"/>
      <c r="E154" s="259"/>
      <c r="F154" s="259"/>
    </row>
    <row r="155" spans="1:6" x14ac:dyDescent="0.25">
      <c r="A155" s="260"/>
      <c r="B155" s="262"/>
      <c r="C155" s="260"/>
      <c r="D155" s="259"/>
      <c r="E155" s="259"/>
      <c r="F155" s="259"/>
    </row>
    <row r="156" spans="1:6" x14ac:dyDescent="0.25">
      <c r="A156" s="260"/>
      <c r="B156" s="262"/>
      <c r="C156" s="260"/>
      <c r="D156" s="259"/>
      <c r="E156" s="259"/>
      <c r="F156" s="259"/>
    </row>
    <row r="157" spans="1:6" x14ac:dyDescent="0.25">
      <c r="A157" s="260"/>
      <c r="B157" s="262"/>
      <c r="C157" s="260"/>
      <c r="D157" s="259"/>
      <c r="E157" s="259"/>
      <c r="F157" s="259"/>
    </row>
    <row r="158" spans="1:6" x14ac:dyDescent="0.25">
      <c r="A158" s="260"/>
      <c r="B158" s="262"/>
      <c r="C158" s="260"/>
      <c r="D158" s="259"/>
      <c r="E158" s="259"/>
      <c r="F158" s="259"/>
    </row>
    <row r="159" spans="1:6" x14ac:dyDescent="0.25">
      <c r="A159" s="260"/>
      <c r="B159" s="262"/>
      <c r="C159" s="260"/>
      <c r="D159" s="259"/>
      <c r="E159" s="259"/>
      <c r="F159" s="259"/>
    </row>
    <row r="160" spans="1:6" x14ac:dyDescent="0.25">
      <c r="A160" s="260"/>
      <c r="B160" s="262"/>
      <c r="C160" s="260"/>
      <c r="D160" s="259"/>
      <c r="E160" s="259"/>
      <c r="F160" s="259"/>
    </row>
    <row r="161" spans="1:6" x14ac:dyDescent="0.25">
      <c r="A161" s="260"/>
      <c r="B161" s="262"/>
      <c r="C161" s="260"/>
      <c r="D161" s="259"/>
      <c r="E161" s="259"/>
      <c r="F161" s="259"/>
    </row>
    <row r="162" spans="1:6" x14ac:dyDescent="0.25">
      <c r="A162" s="260"/>
      <c r="B162" s="262"/>
      <c r="C162" s="260"/>
      <c r="D162" s="259"/>
      <c r="E162" s="259"/>
      <c r="F162" s="259"/>
    </row>
    <row r="163" spans="1:6" x14ac:dyDescent="0.25">
      <c r="A163" s="260"/>
      <c r="B163" s="262"/>
      <c r="C163" s="260"/>
      <c r="D163" s="259"/>
      <c r="E163" s="259"/>
      <c r="F163" s="259"/>
    </row>
    <row r="164" spans="1:6" x14ac:dyDescent="0.25">
      <c r="A164" s="260"/>
      <c r="B164" s="262"/>
      <c r="C164" s="260"/>
      <c r="D164" s="259"/>
      <c r="E164" s="259"/>
      <c r="F164" s="259"/>
    </row>
    <row r="165" spans="1:6" x14ac:dyDescent="0.25">
      <c r="A165" s="260"/>
      <c r="B165" s="262"/>
      <c r="C165" s="260"/>
      <c r="D165" s="259"/>
      <c r="E165" s="259"/>
      <c r="F165" s="259"/>
    </row>
    <row r="166" spans="1:6" x14ac:dyDescent="0.25">
      <c r="A166" s="260"/>
      <c r="B166" s="262"/>
      <c r="C166" s="260"/>
      <c r="D166" s="259"/>
      <c r="E166" s="259"/>
      <c r="F166" s="259"/>
    </row>
    <row r="167" spans="1:6" x14ac:dyDescent="0.25">
      <c r="A167" s="260"/>
      <c r="B167" s="262"/>
      <c r="C167" s="260"/>
      <c r="D167" s="259"/>
      <c r="E167" s="259"/>
      <c r="F167" s="259"/>
    </row>
    <row r="168" spans="1:6" x14ac:dyDescent="0.25">
      <c r="A168" s="260"/>
      <c r="B168" s="262"/>
      <c r="C168" s="260"/>
      <c r="D168" s="259"/>
      <c r="E168" s="259"/>
      <c r="F168" s="259"/>
    </row>
    <row r="169" spans="1:6" x14ac:dyDescent="0.25">
      <c r="A169" s="260"/>
      <c r="B169" s="262"/>
      <c r="C169" s="260"/>
      <c r="D169" s="259"/>
      <c r="E169" s="259"/>
      <c r="F169" s="259"/>
    </row>
    <row r="170" spans="1:6" x14ac:dyDescent="0.25">
      <c r="A170" s="260"/>
      <c r="B170" s="262"/>
      <c r="C170" s="260"/>
      <c r="D170" s="259"/>
      <c r="E170" s="259"/>
      <c r="F170" s="259"/>
    </row>
    <row r="171" spans="1:6" x14ac:dyDescent="0.25">
      <c r="A171" s="260"/>
      <c r="B171" s="262"/>
      <c r="C171" s="260"/>
      <c r="D171" s="259"/>
      <c r="E171" s="259"/>
      <c r="F171" s="259"/>
    </row>
    <row r="172" spans="1:6" x14ac:dyDescent="0.25">
      <c r="A172" s="260"/>
      <c r="B172" s="262"/>
      <c r="C172" s="260"/>
      <c r="D172" s="259"/>
      <c r="E172" s="259"/>
      <c r="F172" s="259"/>
    </row>
    <row r="173" spans="1:6" x14ac:dyDescent="0.25">
      <c r="A173" s="260"/>
      <c r="B173" s="262"/>
      <c r="C173" s="260"/>
      <c r="D173" s="259"/>
      <c r="E173" s="259"/>
      <c r="F173" s="259"/>
    </row>
    <row r="174" spans="1:6" x14ac:dyDescent="0.25">
      <c r="A174" s="260"/>
      <c r="B174" s="262"/>
      <c r="C174" s="260"/>
      <c r="D174" s="259"/>
      <c r="E174" s="259"/>
      <c r="F174" s="259"/>
    </row>
    <row r="175" spans="1:6" x14ac:dyDescent="0.25">
      <c r="A175" s="260"/>
      <c r="B175" s="262"/>
      <c r="C175" s="260"/>
      <c r="D175" s="259"/>
      <c r="E175" s="259"/>
      <c r="F175" s="259"/>
    </row>
    <row r="176" spans="1:6" x14ac:dyDescent="0.25">
      <c r="A176" s="260"/>
      <c r="B176" s="262"/>
      <c r="C176" s="260"/>
      <c r="D176" s="259"/>
      <c r="E176" s="259"/>
      <c r="F176" s="259"/>
    </row>
    <row r="177" spans="1:6" x14ac:dyDescent="0.25">
      <c r="A177" s="260"/>
      <c r="B177" s="262"/>
      <c r="C177" s="260"/>
      <c r="D177" s="259"/>
      <c r="E177" s="259"/>
      <c r="F177" s="259"/>
    </row>
    <row r="178" spans="1:6" x14ac:dyDescent="0.25">
      <c r="A178" s="260"/>
      <c r="B178" s="262"/>
      <c r="C178" s="260"/>
      <c r="D178" s="259"/>
      <c r="E178" s="259"/>
      <c r="F178" s="259"/>
    </row>
    <row r="179" spans="1:6" x14ac:dyDescent="0.25">
      <c r="A179" s="260"/>
      <c r="B179" s="262"/>
      <c r="C179" s="260"/>
      <c r="D179" s="259"/>
      <c r="E179" s="259"/>
      <c r="F179" s="259"/>
    </row>
    <row r="180" spans="1:6" x14ac:dyDescent="0.25">
      <c r="A180" s="260"/>
      <c r="B180" s="262"/>
      <c r="C180" s="260"/>
      <c r="D180" s="259"/>
      <c r="E180" s="259"/>
      <c r="F180" s="259"/>
    </row>
    <row r="181" spans="1:6" x14ac:dyDescent="0.25">
      <c r="A181" s="260"/>
      <c r="B181" s="262"/>
      <c r="C181" s="260"/>
      <c r="D181" s="259"/>
      <c r="E181" s="259"/>
      <c r="F181" s="259"/>
    </row>
    <row r="182" spans="1:6" x14ac:dyDescent="0.25">
      <c r="A182" s="260"/>
      <c r="B182" s="262"/>
      <c r="C182" s="260"/>
      <c r="D182" s="259"/>
      <c r="E182" s="259"/>
      <c r="F182" s="259"/>
    </row>
    <row r="183" spans="1:6" x14ac:dyDescent="0.25">
      <c r="A183" s="260"/>
      <c r="B183" s="262"/>
      <c r="C183" s="260"/>
      <c r="D183" s="259"/>
      <c r="E183" s="259"/>
      <c r="F183" s="259"/>
    </row>
    <row r="184" spans="1:6" x14ac:dyDescent="0.25">
      <c r="A184" s="260"/>
      <c r="B184" s="262"/>
      <c r="C184" s="260"/>
      <c r="D184" s="259"/>
      <c r="E184" s="259"/>
      <c r="F184" s="259"/>
    </row>
    <row r="185" spans="1:6" x14ac:dyDescent="0.25">
      <c r="A185" s="260"/>
      <c r="B185" s="262"/>
      <c r="C185" s="260"/>
      <c r="D185" s="259"/>
      <c r="E185" s="259"/>
      <c r="F185" s="259"/>
    </row>
    <row r="186" spans="1:6" x14ac:dyDescent="0.25">
      <c r="A186" s="260"/>
      <c r="B186" s="262"/>
      <c r="C186" s="260"/>
      <c r="D186" s="259"/>
      <c r="E186" s="259"/>
      <c r="F186" s="259"/>
    </row>
    <row r="187" spans="1:6" x14ac:dyDescent="0.25">
      <c r="A187" s="260"/>
      <c r="B187" s="262"/>
      <c r="C187" s="260"/>
      <c r="D187" s="259"/>
      <c r="E187" s="259"/>
      <c r="F187" s="259"/>
    </row>
    <row r="188" spans="1:6" x14ac:dyDescent="0.25">
      <c r="A188" s="260"/>
      <c r="B188" s="262"/>
      <c r="C188" s="260"/>
      <c r="D188" s="259"/>
      <c r="E188" s="259"/>
      <c r="F188" s="259"/>
    </row>
    <row r="189" spans="1:6" x14ac:dyDescent="0.25">
      <c r="A189" s="260"/>
      <c r="B189" s="262"/>
      <c r="C189" s="260"/>
      <c r="D189" s="259"/>
      <c r="E189" s="259"/>
      <c r="F189" s="259"/>
    </row>
    <row r="190" spans="1:6" x14ac:dyDescent="0.25">
      <c r="A190" s="260"/>
      <c r="B190" s="262"/>
      <c r="C190" s="260"/>
      <c r="D190" s="259"/>
      <c r="E190" s="259"/>
      <c r="F190" s="259"/>
    </row>
    <row r="191" spans="1:6" x14ac:dyDescent="0.25">
      <c r="A191" s="260"/>
      <c r="B191" s="262"/>
      <c r="C191" s="260"/>
      <c r="D191" s="259"/>
      <c r="E191" s="259"/>
      <c r="F191" s="259"/>
    </row>
    <row r="192" spans="1:6" x14ac:dyDescent="0.25">
      <c r="A192" s="260"/>
      <c r="B192" s="262"/>
      <c r="C192" s="260"/>
      <c r="D192" s="259"/>
      <c r="E192" s="259"/>
      <c r="F192" s="259"/>
    </row>
    <row r="193" spans="1:6" x14ac:dyDescent="0.25">
      <c r="A193" s="260"/>
      <c r="B193" s="262"/>
      <c r="C193" s="260"/>
      <c r="D193" s="259"/>
      <c r="E193" s="259"/>
      <c r="F193" s="259"/>
    </row>
    <row r="194" spans="1:6" x14ac:dyDescent="0.25">
      <c r="A194" s="260"/>
      <c r="B194" s="262"/>
      <c r="C194" s="260"/>
      <c r="D194" s="259"/>
      <c r="E194" s="259"/>
      <c r="F194" s="259"/>
    </row>
    <row r="195" spans="1:6" x14ac:dyDescent="0.25">
      <c r="A195" s="260"/>
      <c r="B195" s="262"/>
      <c r="C195" s="260"/>
      <c r="D195" s="259"/>
      <c r="E195" s="259"/>
      <c r="F195" s="259"/>
    </row>
    <row r="196" spans="1:6" x14ac:dyDescent="0.25">
      <c r="A196" s="260"/>
      <c r="B196" s="262"/>
      <c r="C196" s="260"/>
      <c r="D196" s="259"/>
      <c r="E196" s="259"/>
      <c r="F196" s="259"/>
    </row>
    <row r="197" spans="1:6" x14ac:dyDescent="0.25">
      <c r="A197" s="260"/>
      <c r="B197" s="262"/>
      <c r="C197" s="260"/>
      <c r="D197" s="259"/>
      <c r="E197" s="259"/>
      <c r="F197" s="259"/>
    </row>
    <row r="198" spans="1:6" x14ac:dyDescent="0.25">
      <c r="A198" s="260"/>
      <c r="B198" s="262"/>
      <c r="C198" s="260"/>
      <c r="D198" s="259"/>
      <c r="E198" s="259"/>
      <c r="F198" s="259"/>
    </row>
    <row r="199" spans="1:6" x14ac:dyDescent="0.25">
      <c r="A199" s="260"/>
      <c r="B199" s="262"/>
      <c r="C199" s="260"/>
      <c r="D199" s="259"/>
      <c r="E199" s="259"/>
      <c r="F199" s="259"/>
    </row>
    <row r="200" spans="1:6" x14ac:dyDescent="0.25">
      <c r="A200" s="260"/>
      <c r="B200" s="262"/>
      <c r="C200" s="260"/>
      <c r="D200" s="259"/>
      <c r="E200" s="259"/>
      <c r="F200" s="259"/>
    </row>
    <row r="201" spans="1:6" x14ac:dyDescent="0.25">
      <c r="A201" s="260"/>
      <c r="B201" s="262"/>
      <c r="C201" s="260"/>
      <c r="D201" s="259"/>
      <c r="E201" s="259"/>
      <c r="F201" s="259"/>
    </row>
    <row r="202" spans="1:6" x14ac:dyDescent="0.25">
      <c r="A202" s="260"/>
      <c r="B202" s="262"/>
      <c r="C202" s="260"/>
      <c r="D202" s="259"/>
      <c r="E202" s="259"/>
      <c r="F202" s="259"/>
    </row>
    <row r="203" spans="1:6" x14ac:dyDescent="0.25">
      <c r="A203" s="260"/>
      <c r="B203" s="262"/>
      <c r="C203" s="260"/>
      <c r="D203" s="259"/>
      <c r="E203" s="259"/>
      <c r="F203" s="259"/>
    </row>
    <row r="204" spans="1:6" x14ac:dyDescent="0.25">
      <c r="A204" s="260"/>
      <c r="B204" s="262"/>
      <c r="C204" s="260"/>
      <c r="D204" s="259"/>
      <c r="E204" s="259"/>
      <c r="F204" s="259"/>
    </row>
    <row r="205" spans="1:6" x14ac:dyDescent="0.25">
      <c r="A205" s="260"/>
      <c r="B205" s="262"/>
      <c r="C205" s="260"/>
      <c r="D205" s="259"/>
      <c r="E205" s="259"/>
      <c r="F205" s="259"/>
    </row>
    <row r="206" spans="1:6" x14ac:dyDescent="0.25">
      <c r="A206" s="260"/>
      <c r="B206" s="262"/>
      <c r="C206" s="260"/>
      <c r="D206" s="259"/>
      <c r="E206" s="259"/>
      <c r="F206" s="259"/>
    </row>
    <row r="207" spans="1:6" x14ac:dyDescent="0.25">
      <c r="A207" s="260"/>
      <c r="B207" s="262"/>
      <c r="C207" s="260"/>
      <c r="D207" s="259"/>
      <c r="E207" s="259"/>
      <c r="F207" s="259"/>
    </row>
    <row r="208" spans="1:6" x14ac:dyDescent="0.25">
      <c r="A208" s="260"/>
      <c r="B208" s="262"/>
      <c r="C208" s="260"/>
      <c r="D208" s="259"/>
      <c r="E208" s="259"/>
      <c r="F208" s="259"/>
    </row>
    <row r="209" spans="1:6" x14ac:dyDescent="0.25">
      <c r="A209" s="260"/>
      <c r="B209" s="262"/>
      <c r="C209" s="260"/>
      <c r="D209" s="259"/>
      <c r="E209" s="259"/>
      <c r="F209" s="259"/>
    </row>
    <row r="210" spans="1:6" x14ac:dyDescent="0.25">
      <c r="A210" s="260"/>
      <c r="B210" s="262"/>
      <c r="C210" s="260"/>
      <c r="D210" s="259"/>
      <c r="E210" s="259"/>
      <c r="F210" s="259"/>
    </row>
    <row r="211" spans="1:6" x14ac:dyDescent="0.25">
      <c r="A211" s="260"/>
      <c r="B211" s="262"/>
      <c r="C211" s="260"/>
      <c r="D211" s="259"/>
      <c r="E211" s="259"/>
      <c r="F211" s="259"/>
    </row>
    <row r="212" spans="1:6" x14ac:dyDescent="0.25">
      <c r="A212" s="260"/>
      <c r="B212" s="262"/>
      <c r="C212" s="260"/>
      <c r="D212" s="259"/>
      <c r="E212" s="259"/>
      <c r="F212" s="259"/>
    </row>
    <row r="213" spans="1:6" x14ac:dyDescent="0.25">
      <c r="A213" s="260"/>
      <c r="B213" s="262"/>
      <c r="C213" s="260"/>
      <c r="D213" s="259"/>
      <c r="E213" s="259"/>
      <c r="F213" s="259"/>
    </row>
    <row r="214" spans="1:6" x14ac:dyDescent="0.25">
      <c r="A214" s="260"/>
      <c r="B214" s="262"/>
      <c r="C214" s="260"/>
      <c r="D214" s="259"/>
      <c r="E214" s="259"/>
      <c r="F214" s="259"/>
    </row>
    <row r="215" spans="1:6" x14ac:dyDescent="0.25">
      <c r="A215" s="260"/>
      <c r="B215" s="262"/>
      <c r="C215" s="260"/>
      <c r="D215" s="259"/>
      <c r="E215" s="259"/>
      <c r="F215" s="259"/>
    </row>
    <row r="216" spans="1:6" x14ac:dyDescent="0.25">
      <c r="A216" s="260"/>
      <c r="B216" s="262"/>
      <c r="C216" s="260"/>
      <c r="D216" s="259"/>
      <c r="E216" s="259"/>
      <c r="F216" s="259"/>
    </row>
    <row r="217" spans="1:6" x14ac:dyDescent="0.25">
      <c r="A217" s="260"/>
      <c r="B217" s="262"/>
      <c r="C217" s="260"/>
      <c r="D217" s="259"/>
      <c r="E217" s="259"/>
      <c r="F217" s="259"/>
    </row>
    <row r="218" spans="1:6" x14ac:dyDescent="0.25">
      <c r="A218" s="260"/>
      <c r="B218" s="262"/>
      <c r="C218" s="260"/>
      <c r="D218" s="259"/>
      <c r="E218" s="259"/>
      <c r="F218" s="259"/>
    </row>
    <row r="219" spans="1:6" x14ac:dyDescent="0.25">
      <c r="A219" s="260"/>
      <c r="B219" s="262"/>
      <c r="C219" s="260"/>
      <c r="D219" s="259"/>
      <c r="E219" s="259"/>
      <c r="F219" s="259"/>
    </row>
    <row r="220" spans="1:6" x14ac:dyDescent="0.25">
      <c r="A220" s="260"/>
      <c r="B220" s="262"/>
      <c r="C220" s="260"/>
      <c r="D220" s="259"/>
      <c r="E220" s="259"/>
      <c r="F220" s="259"/>
    </row>
    <row r="221" spans="1:6" x14ac:dyDescent="0.25">
      <c r="A221" s="260"/>
      <c r="B221" s="262"/>
      <c r="C221" s="260"/>
      <c r="D221" s="259"/>
      <c r="E221" s="259"/>
      <c r="F221" s="259"/>
    </row>
    <row r="222" spans="1:6" x14ac:dyDescent="0.25">
      <c r="A222" s="260"/>
      <c r="B222" s="262"/>
      <c r="C222" s="260"/>
      <c r="D222" s="259"/>
      <c r="E222" s="259"/>
      <c r="F222" s="259"/>
    </row>
    <row r="223" spans="1:6" x14ac:dyDescent="0.25">
      <c r="A223" s="260"/>
      <c r="B223" s="262"/>
      <c r="C223" s="260"/>
      <c r="D223" s="259"/>
      <c r="E223" s="259"/>
      <c r="F223" s="259"/>
    </row>
    <row r="224" spans="1:6" x14ac:dyDescent="0.25">
      <c r="A224" s="260"/>
      <c r="B224" s="262"/>
      <c r="C224" s="260"/>
      <c r="D224" s="259"/>
      <c r="E224" s="259"/>
      <c r="F224" s="259"/>
    </row>
    <row r="225" spans="1:6" x14ac:dyDescent="0.25">
      <c r="A225" s="260"/>
      <c r="B225" s="262"/>
      <c r="C225" s="260"/>
      <c r="D225" s="259"/>
      <c r="E225" s="259"/>
      <c r="F225" s="259"/>
    </row>
    <row r="226" spans="1:6" x14ac:dyDescent="0.25">
      <c r="A226" s="260"/>
      <c r="B226" s="262"/>
      <c r="C226" s="260"/>
      <c r="D226" s="259"/>
      <c r="E226" s="259"/>
      <c r="F226" s="259"/>
    </row>
    <row r="227" spans="1:6" x14ac:dyDescent="0.25">
      <c r="A227" s="260"/>
      <c r="B227" s="262"/>
      <c r="C227" s="260"/>
      <c r="D227" s="259"/>
      <c r="E227" s="259"/>
      <c r="F227" s="259"/>
    </row>
    <row r="228" spans="1:6" x14ac:dyDescent="0.25">
      <c r="A228" s="260"/>
      <c r="B228" s="262"/>
      <c r="C228" s="260"/>
      <c r="D228" s="259"/>
      <c r="E228" s="259"/>
      <c r="F228" s="259"/>
    </row>
    <row r="229" spans="1:6" x14ac:dyDescent="0.25">
      <c r="A229" s="260"/>
      <c r="B229" s="262"/>
      <c r="C229" s="260"/>
      <c r="D229" s="259"/>
      <c r="E229" s="259"/>
      <c r="F229" s="259"/>
    </row>
    <row r="230" spans="1:6" x14ac:dyDescent="0.25">
      <c r="A230" s="260"/>
      <c r="B230" s="262"/>
      <c r="C230" s="260"/>
      <c r="D230" s="259"/>
      <c r="E230" s="259"/>
      <c r="F230" s="259"/>
    </row>
    <row r="231" spans="1:6" x14ac:dyDescent="0.25">
      <c r="A231" s="260"/>
      <c r="B231" s="262"/>
      <c r="C231" s="260"/>
      <c r="D231" s="259"/>
      <c r="E231" s="259"/>
      <c r="F231" s="259"/>
    </row>
    <row r="232" spans="1:6" x14ac:dyDescent="0.25">
      <c r="A232" s="260"/>
      <c r="B232" s="262"/>
      <c r="C232" s="260"/>
      <c r="D232" s="259"/>
      <c r="E232" s="259"/>
      <c r="F232" s="259"/>
    </row>
    <row r="233" spans="1:6" x14ac:dyDescent="0.25">
      <c r="A233" s="260"/>
      <c r="B233" s="262"/>
      <c r="C233" s="260"/>
      <c r="D233" s="259"/>
      <c r="E233" s="259"/>
      <c r="F233" s="259"/>
    </row>
    <row r="234" spans="1:6" x14ac:dyDescent="0.25">
      <c r="A234" s="260"/>
      <c r="B234" s="262"/>
      <c r="C234" s="260"/>
      <c r="D234" s="259"/>
      <c r="E234" s="259"/>
      <c r="F234" s="259"/>
    </row>
    <row r="235" spans="1:6" x14ac:dyDescent="0.25">
      <c r="A235" s="260"/>
      <c r="B235" s="262"/>
      <c r="C235" s="260"/>
      <c r="D235" s="259"/>
      <c r="E235" s="259"/>
      <c r="F235" s="259"/>
    </row>
    <row r="236" spans="1:6" x14ac:dyDescent="0.25">
      <c r="A236" s="260"/>
      <c r="B236" s="262"/>
      <c r="C236" s="260"/>
      <c r="D236" s="259"/>
      <c r="E236" s="259"/>
      <c r="F236" s="259"/>
    </row>
    <row r="237" spans="1:6" x14ac:dyDescent="0.25">
      <c r="A237" s="260"/>
      <c r="B237" s="262"/>
      <c r="C237" s="260"/>
      <c r="D237" s="259"/>
      <c r="E237" s="259"/>
      <c r="F237" s="259"/>
    </row>
    <row r="238" spans="1:6" x14ac:dyDescent="0.25">
      <c r="A238" s="260"/>
      <c r="B238" s="262"/>
      <c r="C238" s="260"/>
      <c r="D238" s="259"/>
      <c r="E238" s="259"/>
      <c r="F238" s="259"/>
    </row>
    <row r="239" spans="1:6" x14ac:dyDescent="0.25">
      <c r="A239" s="260"/>
      <c r="B239" s="262"/>
      <c r="C239" s="260"/>
      <c r="D239" s="259"/>
      <c r="E239" s="259"/>
      <c r="F239" s="259"/>
    </row>
    <row r="240" spans="1:6" x14ac:dyDescent="0.25">
      <c r="A240" s="260"/>
      <c r="B240" s="262"/>
      <c r="C240" s="260"/>
      <c r="D240" s="259"/>
      <c r="E240" s="259"/>
      <c r="F240" s="259"/>
    </row>
    <row r="241" spans="1:6" x14ac:dyDescent="0.25">
      <c r="A241" s="260"/>
      <c r="B241" s="262"/>
      <c r="C241" s="260"/>
      <c r="D241" s="259"/>
      <c r="E241" s="259"/>
      <c r="F241" s="259"/>
    </row>
    <row r="242" spans="1:6" x14ac:dyDescent="0.25">
      <c r="A242" s="260"/>
      <c r="B242" s="262"/>
      <c r="C242" s="260"/>
      <c r="D242" s="259"/>
      <c r="E242" s="259"/>
      <c r="F242" s="259"/>
    </row>
    <row r="243" spans="1:6" x14ac:dyDescent="0.25">
      <c r="A243" s="260"/>
      <c r="B243" s="262"/>
      <c r="C243" s="260"/>
      <c r="D243" s="259"/>
      <c r="E243" s="259"/>
      <c r="F243" s="259"/>
    </row>
    <row r="244" spans="1:6" x14ac:dyDescent="0.25">
      <c r="A244" s="260"/>
      <c r="B244" s="262"/>
      <c r="C244" s="260"/>
      <c r="D244" s="259"/>
      <c r="E244" s="259"/>
      <c r="F244" s="259"/>
    </row>
    <row r="245" spans="1:6" x14ac:dyDescent="0.25">
      <c r="A245" s="260"/>
      <c r="B245" s="262"/>
      <c r="C245" s="260"/>
      <c r="D245" s="259"/>
      <c r="E245" s="259"/>
      <c r="F245" s="259"/>
    </row>
    <row r="246" spans="1:6" x14ac:dyDescent="0.25">
      <c r="A246" s="260"/>
      <c r="B246" s="262"/>
      <c r="C246" s="260"/>
      <c r="D246" s="259"/>
      <c r="E246" s="259"/>
      <c r="F246" s="259"/>
    </row>
    <row r="247" spans="1:6" x14ac:dyDescent="0.25">
      <c r="A247" s="260"/>
      <c r="B247" s="262"/>
      <c r="C247" s="260"/>
      <c r="D247" s="259"/>
      <c r="E247" s="259"/>
      <c r="F247" s="259"/>
    </row>
    <row r="248" spans="1:6" x14ac:dyDescent="0.25">
      <c r="A248" s="260"/>
      <c r="B248" s="262"/>
      <c r="C248" s="260"/>
      <c r="D248" s="259"/>
      <c r="E248" s="259"/>
      <c r="F248" s="259"/>
    </row>
    <row r="249" spans="1:6" x14ac:dyDescent="0.25">
      <c r="A249" s="260"/>
      <c r="B249" s="262"/>
      <c r="C249" s="260"/>
      <c r="D249" s="259"/>
      <c r="E249" s="259"/>
      <c r="F249" s="259"/>
    </row>
    <row r="250" spans="1:6" x14ac:dyDescent="0.25">
      <c r="A250" s="260"/>
      <c r="B250" s="262"/>
      <c r="C250" s="260"/>
      <c r="D250" s="259"/>
      <c r="E250" s="259"/>
      <c r="F250" s="259"/>
    </row>
    <row r="251" spans="1:6" x14ac:dyDescent="0.25">
      <c r="A251" s="260"/>
      <c r="B251" s="262"/>
      <c r="C251" s="260"/>
      <c r="D251" s="259"/>
      <c r="E251" s="259"/>
      <c r="F251" s="259"/>
    </row>
    <row r="252" spans="1:6" x14ac:dyDescent="0.25">
      <c r="A252" s="260"/>
      <c r="B252" s="262"/>
      <c r="C252" s="260"/>
      <c r="D252" s="259"/>
      <c r="E252" s="259"/>
      <c r="F252" s="259"/>
    </row>
    <row r="253" spans="1:6" x14ac:dyDescent="0.25">
      <c r="A253" s="260"/>
      <c r="B253" s="262"/>
      <c r="C253" s="260"/>
      <c r="D253" s="259"/>
      <c r="E253" s="259"/>
      <c r="F253" s="259"/>
    </row>
    <row r="254" spans="1:6" x14ac:dyDescent="0.25">
      <c r="A254" s="260"/>
      <c r="B254" s="262"/>
      <c r="C254" s="260"/>
      <c r="D254" s="259"/>
      <c r="E254" s="259"/>
      <c r="F254" s="259"/>
    </row>
    <row r="255" spans="1:6" x14ac:dyDescent="0.25">
      <c r="A255" s="260"/>
      <c r="B255" s="262"/>
      <c r="C255" s="260"/>
      <c r="D255" s="259"/>
      <c r="E255" s="259"/>
      <c r="F255" s="259"/>
    </row>
    <row r="256" spans="1:6" x14ac:dyDescent="0.25">
      <c r="A256" s="260"/>
      <c r="B256" s="262"/>
      <c r="C256" s="260"/>
      <c r="D256" s="259"/>
      <c r="E256" s="259"/>
      <c r="F256" s="259"/>
    </row>
    <row r="257" spans="1:6" x14ac:dyDescent="0.25">
      <c r="A257" s="260"/>
      <c r="B257" s="262"/>
      <c r="C257" s="260"/>
      <c r="D257" s="259"/>
      <c r="E257" s="259"/>
      <c r="F257" s="259"/>
    </row>
    <row r="258" spans="1:6" x14ac:dyDescent="0.25">
      <c r="A258" s="260"/>
      <c r="B258" s="262"/>
      <c r="C258" s="260"/>
      <c r="D258" s="259"/>
      <c r="E258" s="259"/>
      <c r="F258" s="259"/>
    </row>
    <row r="259" spans="1:6" x14ac:dyDescent="0.25">
      <c r="A259" s="260"/>
      <c r="B259" s="262"/>
      <c r="C259" s="260"/>
      <c r="D259" s="259"/>
      <c r="E259" s="259"/>
      <c r="F259" s="259"/>
    </row>
    <row r="260" spans="1:6" x14ac:dyDescent="0.25">
      <c r="A260" s="260"/>
      <c r="B260" s="262"/>
      <c r="C260" s="260"/>
      <c r="D260" s="259"/>
      <c r="E260" s="259"/>
      <c r="F260" s="259"/>
    </row>
    <row r="261" spans="1:6" x14ac:dyDescent="0.25">
      <c r="A261" s="260"/>
      <c r="B261" s="262"/>
      <c r="C261" s="260"/>
      <c r="D261" s="259"/>
      <c r="E261" s="259"/>
      <c r="F261" s="259"/>
    </row>
    <row r="262" spans="1:6" x14ac:dyDescent="0.25">
      <c r="A262" s="260"/>
      <c r="B262" s="262"/>
      <c r="C262" s="260"/>
      <c r="D262" s="259"/>
      <c r="E262" s="259"/>
      <c r="F262" s="259"/>
    </row>
    <row r="263" spans="1:6" x14ac:dyDescent="0.25">
      <c r="A263" s="260"/>
      <c r="B263" s="262"/>
      <c r="C263" s="260"/>
      <c r="D263" s="259"/>
      <c r="E263" s="259"/>
      <c r="F263" s="259"/>
    </row>
    <row r="264" spans="1:6" x14ac:dyDescent="0.25">
      <c r="A264" s="260"/>
      <c r="B264" s="262"/>
      <c r="C264" s="260"/>
      <c r="D264" s="259"/>
      <c r="E264" s="259"/>
      <c r="F264" s="259"/>
    </row>
    <row r="265" spans="1:6" x14ac:dyDescent="0.25">
      <c r="A265" s="260"/>
      <c r="B265" s="262"/>
      <c r="C265" s="260"/>
      <c r="D265" s="259"/>
      <c r="E265" s="259"/>
      <c r="F265" s="259"/>
    </row>
    <row r="266" spans="1:6" x14ac:dyDescent="0.25">
      <c r="A266" s="260"/>
      <c r="B266" s="262"/>
      <c r="C266" s="260"/>
      <c r="D266" s="259"/>
      <c r="E266" s="259"/>
      <c r="F266" s="259"/>
    </row>
    <row r="267" spans="1:6" x14ac:dyDescent="0.25">
      <c r="A267" s="260"/>
      <c r="B267" s="262"/>
      <c r="C267" s="260"/>
      <c r="D267" s="259"/>
      <c r="E267" s="259"/>
      <c r="F267" s="259"/>
    </row>
    <row r="268" spans="1:6" x14ac:dyDescent="0.25">
      <c r="A268" s="260"/>
      <c r="B268" s="262"/>
      <c r="C268" s="260"/>
      <c r="D268" s="259"/>
      <c r="E268" s="259"/>
      <c r="F268" s="259"/>
    </row>
    <row r="269" spans="1:6" x14ac:dyDescent="0.25">
      <c r="A269" s="260"/>
      <c r="B269" s="262"/>
      <c r="C269" s="260"/>
      <c r="D269" s="259"/>
      <c r="E269" s="259"/>
      <c r="F269" s="259"/>
    </row>
    <row r="270" spans="1:6" x14ac:dyDescent="0.25">
      <c r="A270" s="260"/>
      <c r="B270" s="262"/>
      <c r="C270" s="260"/>
      <c r="D270" s="259"/>
      <c r="E270" s="259"/>
      <c r="F270" s="259"/>
    </row>
    <row r="271" spans="1:6" x14ac:dyDescent="0.25">
      <c r="A271" s="260"/>
      <c r="B271" s="262"/>
      <c r="C271" s="260"/>
      <c r="D271" s="259"/>
      <c r="E271" s="259"/>
      <c r="F271" s="259"/>
    </row>
    <row r="272" spans="1:6" x14ac:dyDescent="0.25">
      <c r="A272" s="260"/>
      <c r="B272" s="262"/>
      <c r="C272" s="260"/>
      <c r="D272" s="259"/>
      <c r="E272" s="259"/>
      <c r="F272" s="259"/>
    </row>
    <row r="273" spans="1:6" x14ac:dyDescent="0.25">
      <c r="A273" s="260"/>
      <c r="B273" s="262"/>
      <c r="C273" s="260"/>
      <c r="D273" s="259"/>
      <c r="E273" s="259"/>
      <c r="F273" s="259"/>
    </row>
    <row r="274" spans="1:6" x14ac:dyDescent="0.25">
      <c r="A274" s="260"/>
      <c r="B274" s="262"/>
      <c r="C274" s="260"/>
      <c r="D274" s="259"/>
      <c r="E274" s="259"/>
      <c r="F274" s="259"/>
    </row>
    <row r="275" spans="1:6" x14ac:dyDescent="0.25">
      <c r="A275" s="260"/>
      <c r="B275" s="262"/>
      <c r="C275" s="260"/>
      <c r="D275" s="259"/>
      <c r="E275" s="259"/>
      <c r="F275" s="259"/>
    </row>
    <row r="276" spans="1:6" x14ac:dyDescent="0.25">
      <c r="A276" s="260"/>
      <c r="B276" s="262"/>
      <c r="C276" s="260"/>
      <c r="D276" s="259"/>
      <c r="E276" s="259"/>
      <c r="F276" s="259"/>
    </row>
    <row r="277" spans="1:6" x14ac:dyDescent="0.25">
      <c r="A277" s="260"/>
      <c r="B277" s="262"/>
      <c r="C277" s="260"/>
      <c r="D277" s="259"/>
      <c r="E277" s="259"/>
      <c r="F277" s="259"/>
    </row>
    <row r="278" spans="1:6" x14ac:dyDescent="0.25">
      <c r="A278" s="260"/>
      <c r="B278" s="262"/>
      <c r="C278" s="260"/>
      <c r="D278" s="259"/>
      <c r="E278" s="259"/>
      <c r="F278" s="259"/>
    </row>
    <row r="279" spans="1:6" x14ac:dyDescent="0.25">
      <c r="A279" s="260"/>
      <c r="B279" s="262"/>
      <c r="C279" s="260"/>
      <c r="D279" s="259"/>
      <c r="E279" s="259"/>
      <c r="F279" s="259"/>
    </row>
    <row r="280" spans="1:6" x14ac:dyDescent="0.25">
      <c r="A280" s="260"/>
      <c r="B280" s="262"/>
      <c r="C280" s="260"/>
      <c r="D280" s="259"/>
      <c r="E280" s="259"/>
      <c r="F280" s="259"/>
    </row>
    <row r="281" spans="1:6" x14ac:dyDescent="0.25">
      <c r="A281" s="260"/>
      <c r="B281" s="262"/>
      <c r="C281" s="260"/>
      <c r="D281" s="259"/>
      <c r="E281" s="259"/>
      <c r="F281" s="259"/>
    </row>
    <row r="282" spans="1:6" x14ac:dyDescent="0.25">
      <c r="A282" s="260"/>
      <c r="B282" s="262"/>
      <c r="C282" s="260"/>
      <c r="D282" s="259"/>
      <c r="E282" s="259"/>
      <c r="F282" s="259"/>
    </row>
    <row r="283" spans="1:6" x14ac:dyDescent="0.25">
      <c r="A283" s="260"/>
      <c r="B283" s="262"/>
      <c r="C283" s="260"/>
      <c r="D283" s="259"/>
      <c r="E283" s="259"/>
      <c r="F283" s="259"/>
    </row>
    <row r="284" spans="1:6" x14ac:dyDescent="0.25">
      <c r="A284" s="260"/>
      <c r="B284" s="262"/>
      <c r="C284" s="260"/>
      <c r="D284" s="259"/>
      <c r="E284" s="259"/>
      <c r="F284" s="259"/>
    </row>
    <row r="285" spans="1:6" x14ac:dyDescent="0.25">
      <c r="A285" s="260"/>
      <c r="B285" s="262"/>
      <c r="C285" s="260"/>
      <c r="D285" s="259"/>
      <c r="E285" s="259"/>
      <c r="F285" s="259"/>
    </row>
    <row r="286" spans="1:6" x14ac:dyDescent="0.25">
      <c r="A286" s="260"/>
      <c r="B286" s="262"/>
      <c r="C286" s="260"/>
      <c r="D286" s="259"/>
      <c r="E286" s="259"/>
      <c r="F286" s="259"/>
    </row>
    <row r="287" spans="1:6" x14ac:dyDescent="0.25">
      <c r="A287" s="260"/>
      <c r="B287" s="262"/>
      <c r="C287" s="260"/>
      <c r="D287" s="259"/>
      <c r="E287" s="259"/>
      <c r="F287" s="259"/>
    </row>
    <row r="288" spans="1:6" x14ac:dyDescent="0.25">
      <c r="A288" s="260"/>
      <c r="B288" s="262"/>
      <c r="C288" s="260"/>
      <c r="D288" s="259"/>
      <c r="E288" s="259"/>
      <c r="F288" s="259"/>
    </row>
    <row r="289" spans="1:6" x14ac:dyDescent="0.25">
      <c r="A289" s="260"/>
      <c r="B289" s="262"/>
      <c r="C289" s="260"/>
      <c r="D289" s="259"/>
      <c r="E289" s="259"/>
      <c r="F289" s="259"/>
    </row>
    <row r="290" spans="1:6" x14ac:dyDescent="0.25">
      <c r="A290" s="260"/>
      <c r="B290" s="262"/>
      <c r="C290" s="260"/>
      <c r="D290" s="259"/>
      <c r="E290" s="259"/>
      <c r="F290" s="259"/>
    </row>
    <row r="291" spans="1:6" x14ac:dyDescent="0.25">
      <c r="A291" s="260"/>
      <c r="B291" s="262"/>
      <c r="C291" s="260"/>
      <c r="D291" s="259"/>
      <c r="E291" s="259"/>
      <c r="F291" s="259"/>
    </row>
    <row r="292" spans="1:6" x14ac:dyDescent="0.25">
      <c r="A292" s="260"/>
      <c r="B292" s="262"/>
      <c r="C292" s="260"/>
      <c r="D292" s="259"/>
      <c r="E292" s="259"/>
      <c r="F292" s="259"/>
    </row>
    <row r="293" spans="1:6" x14ac:dyDescent="0.25">
      <c r="A293" s="260"/>
      <c r="B293" s="262"/>
      <c r="C293" s="260"/>
      <c r="D293" s="259"/>
      <c r="E293" s="259"/>
      <c r="F293" s="259"/>
    </row>
    <row r="294" spans="1:6" x14ac:dyDescent="0.25">
      <c r="A294" s="260"/>
      <c r="B294" s="262"/>
      <c r="C294" s="260"/>
      <c r="D294" s="259"/>
      <c r="E294" s="259"/>
      <c r="F294" s="259"/>
    </row>
    <row r="295" spans="1:6" x14ac:dyDescent="0.25">
      <c r="A295" s="260"/>
      <c r="B295" s="262"/>
      <c r="C295" s="260"/>
      <c r="D295" s="259"/>
      <c r="E295" s="259"/>
      <c r="F295" s="259"/>
    </row>
    <row r="296" spans="1:6" x14ac:dyDescent="0.25">
      <c r="A296" s="260"/>
      <c r="B296" s="262"/>
      <c r="C296" s="260"/>
      <c r="D296" s="259"/>
      <c r="E296" s="259"/>
      <c r="F296" s="259"/>
    </row>
    <row r="297" spans="1:6" x14ac:dyDescent="0.25">
      <c r="A297" s="260"/>
      <c r="B297" s="262"/>
      <c r="C297" s="260"/>
      <c r="D297" s="259"/>
      <c r="E297" s="259"/>
      <c r="F297" s="259"/>
    </row>
    <row r="298" spans="1:6" x14ac:dyDescent="0.25">
      <c r="A298" s="260"/>
      <c r="B298" s="262"/>
      <c r="C298" s="260"/>
      <c r="D298" s="259"/>
      <c r="E298" s="259"/>
      <c r="F298" s="259"/>
    </row>
    <row r="299" spans="1:6" x14ac:dyDescent="0.25">
      <c r="A299" s="260"/>
      <c r="B299" s="262"/>
      <c r="C299" s="260"/>
      <c r="D299" s="259"/>
      <c r="E299" s="259"/>
      <c r="F299" s="259"/>
    </row>
    <row r="300" spans="1:6" x14ac:dyDescent="0.25">
      <c r="A300" s="260"/>
      <c r="B300" s="262"/>
      <c r="C300" s="260"/>
      <c r="D300" s="259"/>
      <c r="E300" s="259"/>
      <c r="F300" s="259"/>
    </row>
    <row r="301" spans="1:6" x14ac:dyDescent="0.25">
      <c r="A301" s="260"/>
      <c r="B301" s="262"/>
      <c r="C301" s="260"/>
      <c r="D301" s="259"/>
      <c r="E301" s="259"/>
      <c r="F301" s="259"/>
    </row>
    <row r="302" spans="1:6" x14ac:dyDescent="0.25">
      <c r="A302" s="260"/>
      <c r="B302" s="262"/>
      <c r="C302" s="260"/>
      <c r="D302" s="259"/>
      <c r="E302" s="259"/>
      <c r="F302" s="259"/>
    </row>
    <row r="303" spans="1:6" x14ac:dyDescent="0.25">
      <c r="A303" s="260"/>
      <c r="B303" s="262"/>
      <c r="C303" s="260"/>
      <c r="D303" s="259"/>
      <c r="E303" s="259"/>
      <c r="F303" s="259"/>
    </row>
    <row r="304" spans="1:6" x14ac:dyDescent="0.25">
      <c r="A304" s="260"/>
      <c r="B304" s="262"/>
      <c r="C304" s="260"/>
      <c r="D304" s="259"/>
      <c r="E304" s="259"/>
      <c r="F304" s="259"/>
    </row>
    <row r="305" spans="1:6" x14ac:dyDescent="0.25">
      <c r="A305" s="260"/>
      <c r="B305" s="262"/>
      <c r="C305" s="260"/>
      <c r="D305" s="259"/>
      <c r="E305" s="259"/>
      <c r="F305" s="259"/>
    </row>
    <row r="306" spans="1:6" x14ac:dyDescent="0.25">
      <c r="A306" s="260"/>
      <c r="B306" s="262"/>
      <c r="C306" s="260"/>
      <c r="D306" s="259"/>
      <c r="E306" s="259"/>
      <c r="F306" s="259"/>
    </row>
    <row r="307" spans="1:6" x14ac:dyDescent="0.25">
      <c r="A307" s="260"/>
      <c r="B307" s="262"/>
      <c r="C307" s="260"/>
      <c r="D307" s="259"/>
      <c r="E307" s="259"/>
      <c r="F307" s="259"/>
    </row>
    <row r="308" spans="1:6" x14ac:dyDescent="0.25">
      <c r="A308" s="260"/>
      <c r="B308" s="262"/>
      <c r="C308" s="260"/>
      <c r="D308" s="259"/>
      <c r="E308" s="259"/>
      <c r="F308" s="259"/>
    </row>
    <row r="309" spans="1:6" x14ac:dyDescent="0.25">
      <c r="A309" s="260"/>
      <c r="B309" s="262"/>
      <c r="C309" s="260"/>
      <c r="D309" s="259"/>
      <c r="E309" s="259"/>
      <c r="F309" s="259"/>
    </row>
    <row r="310" spans="1:6" x14ac:dyDescent="0.25">
      <c r="A310" s="260"/>
      <c r="B310" s="262"/>
      <c r="C310" s="260"/>
      <c r="D310" s="259"/>
      <c r="E310" s="259"/>
      <c r="F310" s="259"/>
    </row>
    <row r="311" spans="1:6" x14ac:dyDescent="0.25">
      <c r="A311" s="260"/>
      <c r="B311" s="262"/>
      <c r="C311" s="260"/>
      <c r="D311" s="259"/>
      <c r="E311" s="259"/>
      <c r="F311" s="259"/>
    </row>
    <row r="312" spans="1:6" x14ac:dyDescent="0.25">
      <c r="A312" s="260"/>
      <c r="B312" s="262"/>
      <c r="C312" s="260"/>
      <c r="D312" s="259"/>
      <c r="E312" s="259"/>
      <c r="F312" s="259"/>
    </row>
    <row r="313" spans="1:6" x14ac:dyDescent="0.25">
      <c r="A313" s="260"/>
      <c r="B313" s="262"/>
      <c r="C313" s="260"/>
      <c r="D313" s="259"/>
      <c r="E313" s="259"/>
      <c r="F313" s="259"/>
    </row>
    <row r="314" spans="1:6" x14ac:dyDescent="0.25">
      <c r="A314" s="260"/>
      <c r="B314" s="262"/>
      <c r="C314" s="260"/>
      <c r="D314" s="259"/>
      <c r="E314" s="259"/>
      <c r="F314" s="259"/>
    </row>
    <row r="315" spans="1:6" x14ac:dyDescent="0.25">
      <c r="A315" s="260"/>
      <c r="B315" s="262"/>
      <c r="C315" s="260"/>
      <c r="D315" s="259"/>
      <c r="E315" s="259"/>
      <c r="F315" s="259"/>
    </row>
    <row r="316" spans="1:6" x14ac:dyDescent="0.25">
      <c r="A316" s="260"/>
      <c r="B316" s="262"/>
      <c r="C316" s="260"/>
      <c r="D316" s="259"/>
      <c r="E316" s="259"/>
      <c r="F316" s="259"/>
    </row>
    <row r="317" spans="1:6" x14ac:dyDescent="0.25">
      <c r="A317" s="260"/>
      <c r="B317" s="262"/>
      <c r="C317" s="260"/>
      <c r="D317" s="259"/>
      <c r="E317" s="259"/>
      <c r="F317" s="259"/>
    </row>
    <row r="318" spans="1:6" x14ac:dyDescent="0.25">
      <c r="A318" s="260"/>
      <c r="B318" s="262"/>
      <c r="C318" s="260"/>
      <c r="D318" s="259"/>
      <c r="E318" s="259"/>
      <c r="F318" s="259"/>
    </row>
    <row r="319" spans="1:6" x14ac:dyDescent="0.25">
      <c r="A319" s="260"/>
      <c r="B319" s="262"/>
      <c r="C319" s="260"/>
      <c r="D319" s="259"/>
      <c r="E319" s="259"/>
      <c r="F319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0C00-000000000000}"/>
  </hyperlink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97"/>
  <sheetViews>
    <sheetView workbookViewId="0">
      <pane ySplit="1" topLeftCell="A134" activePane="bottomLeft" state="frozen"/>
      <selection pane="bottomLeft"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.140625" style="2" customWidth="1"/>
    <col min="8" max="8" width="12.5703125" bestFit="1" customWidth="1"/>
    <col min="10" max="10" width="14.28515625" bestFit="1" customWidth="1"/>
    <col min="12" max="12" width="13.28515625" bestFit="1" customWidth="1"/>
    <col min="13" max="13" width="12.5703125" bestFit="1" customWidth="1"/>
  </cols>
  <sheetData>
    <row r="1" spans="1:12" x14ac:dyDescent="0.25">
      <c r="A1" s="1"/>
      <c r="B1" s="252"/>
      <c r="G1" s="1" t="s">
        <v>16</v>
      </c>
    </row>
    <row r="2" spans="1:12" x14ac:dyDescent="0.25">
      <c r="A2" s="411" t="s">
        <v>3</v>
      </c>
      <c r="B2" s="411"/>
      <c r="C2" s="411"/>
      <c r="D2" s="411"/>
      <c r="E2" s="411"/>
      <c r="F2" s="411"/>
      <c r="J2" s="245" t="s">
        <v>191</v>
      </c>
      <c r="K2" t="s">
        <v>192</v>
      </c>
    </row>
    <row r="3" spans="1:12" x14ac:dyDescent="0.25">
      <c r="A3" t="s">
        <v>4</v>
      </c>
      <c r="D3" s="2" t="s">
        <v>30</v>
      </c>
      <c r="J3" s="245" t="s">
        <v>434</v>
      </c>
      <c r="K3" t="s">
        <v>424</v>
      </c>
    </row>
    <row r="4" spans="1:12" x14ac:dyDescent="0.25">
      <c r="E4" s="2" t="s">
        <v>9</v>
      </c>
      <c r="F4" s="2">
        <v>88654000</v>
      </c>
      <c r="J4" s="245" t="s">
        <v>455</v>
      </c>
      <c r="K4" t="s">
        <v>456</v>
      </c>
      <c r="L4" t="s">
        <v>457</v>
      </c>
    </row>
    <row r="5" spans="1:12" x14ac:dyDescent="0.25">
      <c r="A5" t="s">
        <v>13</v>
      </c>
      <c r="D5" s="3">
        <f ca="1">+'Tổng hợp'!$G$2</f>
        <v>45784</v>
      </c>
      <c r="E5" s="2" t="s">
        <v>10</v>
      </c>
      <c r="F5" s="2">
        <f>SUM(D10:D500)</f>
        <v>5562332279</v>
      </c>
    </row>
    <row r="6" spans="1:12" x14ac:dyDescent="0.25">
      <c r="E6" s="2" t="s">
        <v>11</v>
      </c>
      <c r="F6" s="2">
        <f>SUM(E10:E1500)</f>
        <v>5543013479</v>
      </c>
    </row>
    <row r="7" spans="1:12" x14ac:dyDescent="0.25">
      <c r="E7" s="2" t="s">
        <v>12</v>
      </c>
      <c r="F7" s="2">
        <f>+F4+F5-F6</f>
        <v>107972800</v>
      </c>
    </row>
    <row r="8" spans="1:12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12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12" x14ac:dyDescent="0.25">
      <c r="A10" s="262">
        <v>1</v>
      </c>
      <c r="B10" s="261">
        <v>43630</v>
      </c>
      <c r="C10" s="260" t="s">
        <v>31</v>
      </c>
      <c r="D10" s="259"/>
      <c r="E10" s="259">
        <v>32058000</v>
      </c>
      <c r="F10" s="259"/>
      <c r="H10" s="242">
        <f>F4+D10-E10</f>
        <v>56596000</v>
      </c>
    </row>
    <row r="11" spans="1:12" x14ac:dyDescent="0.25">
      <c r="A11" s="262">
        <v>2</v>
      </c>
      <c r="B11" s="261">
        <v>43645</v>
      </c>
      <c r="C11" s="260" t="s">
        <v>164</v>
      </c>
      <c r="D11" s="259">
        <v>44935000</v>
      </c>
      <c r="E11" s="259"/>
      <c r="F11" s="259"/>
      <c r="H11" s="242">
        <f>H10+D11-E11</f>
        <v>101531000</v>
      </c>
    </row>
    <row r="12" spans="1:12" x14ac:dyDescent="0.25">
      <c r="A12" s="262">
        <v>3</v>
      </c>
      <c r="B12" s="261">
        <v>43654</v>
      </c>
      <c r="C12" s="260" t="s">
        <v>179</v>
      </c>
      <c r="D12" s="259"/>
      <c r="E12" s="259">
        <v>56596000</v>
      </c>
      <c r="F12" s="259"/>
      <c r="H12" s="242">
        <f t="shared" ref="H12:H78" si="0">H11+D12-E12</f>
        <v>44935000</v>
      </c>
    </row>
    <row r="13" spans="1:12" x14ac:dyDescent="0.25">
      <c r="A13" s="262">
        <v>4</v>
      </c>
      <c r="B13" s="261">
        <v>43677</v>
      </c>
      <c r="C13" s="260" t="s">
        <v>194</v>
      </c>
      <c r="D13" s="259"/>
      <c r="E13" s="259">
        <v>44935000</v>
      </c>
      <c r="F13" s="259"/>
      <c r="H13" s="242">
        <f t="shared" si="0"/>
        <v>0</v>
      </c>
    </row>
    <row r="14" spans="1:12" x14ac:dyDescent="0.25">
      <c r="A14" s="262">
        <v>5</v>
      </c>
      <c r="B14" s="261">
        <v>43677</v>
      </c>
      <c r="C14" s="260" t="s">
        <v>206</v>
      </c>
      <c r="D14" s="259">
        <v>89430000</v>
      </c>
      <c r="E14" s="259"/>
      <c r="F14" s="259"/>
      <c r="H14" s="242">
        <f t="shared" si="0"/>
        <v>89430000</v>
      </c>
    </row>
    <row r="15" spans="1:12" x14ac:dyDescent="0.25">
      <c r="A15" s="262">
        <v>6</v>
      </c>
      <c r="B15" s="261">
        <v>43708</v>
      </c>
      <c r="C15" s="260" t="s">
        <v>239</v>
      </c>
      <c r="D15" s="259">
        <v>145929000</v>
      </c>
      <c r="E15" s="259"/>
      <c r="F15" s="259"/>
      <c r="H15" s="242">
        <f t="shared" si="0"/>
        <v>235359000</v>
      </c>
    </row>
    <row r="16" spans="1:12" x14ac:dyDescent="0.25">
      <c r="A16" s="262">
        <v>7</v>
      </c>
      <c r="B16" s="261">
        <v>43625</v>
      </c>
      <c r="C16" s="260" t="s">
        <v>246</v>
      </c>
      <c r="D16" s="259"/>
      <c r="E16" s="259">
        <v>89430000</v>
      </c>
      <c r="F16" s="259"/>
      <c r="H16" s="242">
        <f t="shared" si="0"/>
        <v>145929000</v>
      </c>
    </row>
    <row r="17" spans="1:12" x14ac:dyDescent="0.25">
      <c r="A17" s="262">
        <v>8</v>
      </c>
      <c r="B17" s="262" t="s">
        <v>275</v>
      </c>
      <c r="C17" s="260" t="s">
        <v>276</v>
      </c>
      <c r="D17" s="259"/>
      <c r="E17" s="259">
        <v>145929000</v>
      </c>
      <c r="F17" s="259"/>
      <c r="H17" s="242">
        <f t="shared" si="0"/>
        <v>0</v>
      </c>
      <c r="J17" s="2"/>
    </row>
    <row r="18" spans="1:12" x14ac:dyDescent="0.25">
      <c r="A18" s="262">
        <v>9</v>
      </c>
      <c r="B18" s="262" t="s">
        <v>277</v>
      </c>
      <c r="C18" s="260" t="s">
        <v>280</v>
      </c>
      <c r="D18" s="259">
        <v>100714000</v>
      </c>
      <c r="E18" s="259"/>
      <c r="F18" s="259"/>
      <c r="H18" s="242">
        <f t="shared" si="0"/>
        <v>100714000</v>
      </c>
    </row>
    <row r="19" spans="1:12" x14ac:dyDescent="0.25">
      <c r="A19" s="262">
        <v>10</v>
      </c>
      <c r="B19" s="262" t="s">
        <v>306</v>
      </c>
      <c r="C19" s="260" t="s">
        <v>308</v>
      </c>
      <c r="D19" s="259"/>
      <c r="E19" s="259">
        <v>100714000</v>
      </c>
      <c r="F19" s="259"/>
      <c r="H19" s="242">
        <f t="shared" si="0"/>
        <v>0</v>
      </c>
      <c r="L19" s="242"/>
    </row>
    <row r="20" spans="1:12" x14ac:dyDescent="0.25">
      <c r="A20" s="262">
        <v>11</v>
      </c>
      <c r="B20" s="262" t="s">
        <v>309</v>
      </c>
      <c r="C20" s="260" t="s">
        <v>311</v>
      </c>
      <c r="D20" s="259">
        <v>101721000</v>
      </c>
      <c r="E20" s="259"/>
      <c r="F20" s="259"/>
      <c r="H20" s="242">
        <f t="shared" si="0"/>
        <v>101721000</v>
      </c>
    </row>
    <row r="21" spans="1:12" x14ac:dyDescent="0.25">
      <c r="A21" s="262">
        <v>12</v>
      </c>
      <c r="B21" s="262" t="s">
        <v>342</v>
      </c>
      <c r="C21" s="260" t="s">
        <v>351</v>
      </c>
      <c r="D21" s="259">
        <v>100477000</v>
      </c>
      <c r="E21" s="259"/>
      <c r="F21" s="259"/>
      <c r="H21" s="242">
        <f t="shared" si="0"/>
        <v>202198000</v>
      </c>
    </row>
    <row r="22" spans="1:12" x14ac:dyDescent="0.25">
      <c r="A22" s="262">
        <v>13</v>
      </c>
      <c r="B22" s="261">
        <v>43720</v>
      </c>
      <c r="C22" s="260" t="s">
        <v>355</v>
      </c>
      <c r="D22" s="259"/>
      <c r="E22" s="259">
        <v>101721000</v>
      </c>
      <c r="F22" s="259"/>
      <c r="H22" s="242">
        <f t="shared" si="0"/>
        <v>100477000</v>
      </c>
    </row>
    <row r="23" spans="1:12" x14ac:dyDescent="0.25">
      <c r="A23" s="262">
        <v>14</v>
      </c>
      <c r="B23" s="262" t="s">
        <v>376</v>
      </c>
      <c r="C23" s="260" t="s">
        <v>384</v>
      </c>
      <c r="D23" s="259">
        <v>101181000</v>
      </c>
      <c r="E23" s="259"/>
      <c r="F23" s="259"/>
      <c r="H23" s="242">
        <f t="shared" si="0"/>
        <v>201658000</v>
      </c>
    </row>
    <row r="24" spans="1:12" x14ac:dyDescent="0.25">
      <c r="A24" s="262">
        <v>15</v>
      </c>
      <c r="B24" s="262" t="s">
        <v>395</v>
      </c>
      <c r="C24" s="260" t="s">
        <v>399</v>
      </c>
      <c r="D24" s="259"/>
      <c r="E24" s="259">
        <v>210474091</v>
      </c>
      <c r="F24" s="259"/>
      <c r="H24" s="242">
        <f t="shared" si="0"/>
        <v>-8816091</v>
      </c>
    </row>
    <row r="25" spans="1:12" x14ac:dyDescent="0.25">
      <c r="A25" s="262">
        <v>16</v>
      </c>
      <c r="B25" s="262" t="s">
        <v>400</v>
      </c>
      <c r="C25" s="260" t="s">
        <v>401</v>
      </c>
      <c r="D25" s="259">
        <v>68311000</v>
      </c>
      <c r="E25" s="259"/>
      <c r="F25" s="259"/>
      <c r="H25" s="242">
        <f t="shared" si="0"/>
        <v>59494909</v>
      </c>
    </row>
    <row r="26" spans="1:12" x14ac:dyDescent="0.25">
      <c r="A26" s="262">
        <v>17</v>
      </c>
      <c r="B26" s="262" t="s">
        <v>420</v>
      </c>
      <c r="C26" s="260" t="s">
        <v>421</v>
      </c>
      <c r="D26" s="259">
        <v>45832000</v>
      </c>
      <c r="E26" s="259"/>
      <c r="F26" s="259"/>
      <c r="H26" s="242">
        <f t="shared" si="0"/>
        <v>105326909</v>
      </c>
    </row>
    <row r="27" spans="1:12" x14ac:dyDescent="0.25">
      <c r="A27" s="262">
        <v>18</v>
      </c>
      <c r="B27" s="262" t="s">
        <v>444</v>
      </c>
      <c r="C27" s="260" t="s">
        <v>445</v>
      </c>
      <c r="D27" s="259"/>
      <c r="E27" s="259">
        <v>105326909</v>
      </c>
      <c r="F27" s="259"/>
      <c r="H27" s="242">
        <f t="shared" si="0"/>
        <v>0</v>
      </c>
    </row>
    <row r="28" spans="1:12" x14ac:dyDescent="0.25">
      <c r="A28" s="262">
        <v>19</v>
      </c>
      <c r="B28" s="261">
        <v>43865</v>
      </c>
      <c r="C28" s="260" t="s">
        <v>469</v>
      </c>
      <c r="D28" s="259">
        <v>10735000</v>
      </c>
      <c r="E28" s="259"/>
      <c r="F28" s="259"/>
      <c r="H28" s="242">
        <f t="shared" si="0"/>
        <v>10735000</v>
      </c>
    </row>
    <row r="29" spans="1:12" x14ac:dyDescent="0.25">
      <c r="A29" s="262">
        <v>20</v>
      </c>
      <c r="B29" s="262" t="s">
        <v>458</v>
      </c>
      <c r="C29" s="260" t="s">
        <v>470</v>
      </c>
      <c r="D29" s="259"/>
      <c r="E29" s="259">
        <v>10235000</v>
      </c>
      <c r="F29" s="259"/>
      <c r="H29" s="242">
        <f t="shared" si="0"/>
        <v>500000</v>
      </c>
    </row>
    <row r="30" spans="1:12" x14ac:dyDescent="0.25">
      <c r="A30" s="262">
        <v>21</v>
      </c>
      <c r="B30" s="262" t="s">
        <v>478</v>
      </c>
      <c r="C30" s="260" t="s">
        <v>479</v>
      </c>
      <c r="D30" s="259"/>
      <c r="E30" s="259">
        <v>500000</v>
      </c>
      <c r="F30" s="259"/>
      <c r="H30" s="242">
        <f t="shared" si="0"/>
        <v>0</v>
      </c>
    </row>
    <row r="31" spans="1:12" x14ac:dyDescent="0.25">
      <c r="A31" s="262">
        <v>22</v>
      </c>
      <c r="B31" s="262" t="s">
        <v>505</v>
      </c>
      <c r="C31" s="260" t="s">
        <v>506</v>
      </c>
      <c r="D31" s="259">
        <v>57301890</v>
      </c>
      <c r="E31" s="259"/>
      <c r="F31" s="259"/>
      <c r="H31" s="242">
        <f t="shared" si="0"/>
        <v>57301890</v>
      </c>
    </row>
    <row r="32" spans="1:12" x14ac:dyDescent="0.25">
      <c r="A32" s="262">
        <v>23</v>
      </c>
      <c r="B32" s="262" t="s">
        <v>542</v>
      </c>
      <c r="C32" s="260" t="s">
        <v>548</v>
      </c>
      <c r="D32" s="259">
        <v>84950000</v>
      </c>
      <c r="E32" s="259"/>
      <c r="F32" s="259"/>
      <c r="H32" s="242">
        <f t="shared" si="0"/>
        <v>142251890</v>
      </c>
      <c r="J32" s="242"/>
    </row>
    <row r="33" spans="1:12" x14ac:dyDescent="0.25">
      <c r="A33" s="262">
        <v>24</v>
      </c>
      <c r="B33" s="261">
        <v>44020</v>
      </c>
      <c r="C33" s="260" t="s">
        <v>551</v>
      </c>
      <c r="D33" s="259"/>
      <c r="E33" s="259">
        <v>132251890</v>
      </c>
      <c r="F33" s="259"/>
      <c r="H33" s="242">
        <f t="shared" si="0"/>
        <v>10000000</v>
      </c>
      <c r="J33" s="242"/>
    </row>
    <row r="34" spans="1:12" x14ac:dyDescent="0.25">
      <c r="A34" s="262">
        <v>25</v>
      </c>
      <c r="B34" s="261">
        <v>44043</v>
      </c>
      <c r="C34" s="260" t="s">
        <v>567</v>
      </c>
      <c r="D34" s="259">
        <v>148443000</v>
      </c>
      <c r="E34" s="259"/>
      <c r="F34" s="259" t="s">
        <v>568</v>
      </c>
      <c r="H34" s="242">
        <f t="shared" si="0"/>
        <v>158443000</v>
      </c>
    </row>
    <row r="35" spans="1:12" x14ac:dyDescent="0.25">
      <c r="A35" s="262">
        <v>26</v>
      </c>
      <c r="B35" s="261">
        <v>44075</v>
      </c>
      <c r="C35" s="260" t="s">
        <v>594</v>
      </c>
      <c r="D35" s="259"/>
      <c r="E35" s="259">
        <v>140043000</v>
      </c>
      <c r="F35" s="259"/>
      <c r="H35" s="242">
        <f t="shared" si="0"/>
        <v>18400000</v>
      </c>
    </row>
    <row r="36" spans="1:12" x14ac:dyDescent="0.25">
      <c r="A36" s="262">
        <v>27</v>
      </c>
      <c r="B36" s="261">
        <v>44074</v>
      </c>
      <c r="C36" s="260" t="s">
        <v>597</v>
      </c>
      <c r="D36" s="259">
        <v>53228000</v>
      </c>
      <c r="E36" s="259"/>
      <c r="F36" s="259"/>
      <c r="H36" s="242">
        <f t="shared" si="0"/>
        <v>71628000</v>
      </c>
    </row>
    <row r="37" spans="1:12" x14ac:dyDescent="0.25">
      <c r="A37" s="262">
        <v>28</v>
      </c>
      <c r="B37" s="261">
        <v>44103</v>
      </c>
      <c r="C37" s="260" t="s">
        <v>621</v>
      </c>
      <c r="D37" s="259"/>
      <c r="E37" s="259">
        <v>63628000</v>
      </c>
      <c r="F37" s="259"/>
      <c r="H37" s="242">
        <f t="shared" si="0"/>
        <v>8000000</v>
      </c>
    </row>
    <row r="38" spans="1:12" x14ac:dyDescent="0.25">
      <c r="A38" s="262">
        <v>29</v>
      </c>
      <c r="B38" s="261">
        <v>44104</v>
      </c>
      <c r="C38" s="260" t="s">
        <v>626</v>
      </c>
      <c r="D38" s="259">
        <v>116602000</v>
      </c>
      <c r="E38" s="259"/>
      <c r="F38" s="259"/>
      <c r="H38" s="242">
        <f t="shared" si="0"/>
        <v>124602000</v>
      </c>
    </row>
    <row r="39" spans="1:12" x14ac:dyDescent="0.25">
      <c r="A39" s="262">
        <v>30</v>
      </c>
      <c r="B39" s="261">
        <v>44130</v>
      </c>
      <c r="C39" s="260" t="s">
        <v>645</v>
      </c>
      <c r="D39" s="259"/>
      <c r="E39" s="259">
        <v>124602000</v>
      </c>
      <c r="F39" s="259"/>
      <c r="H39" s="242">
        <f t="shared" si="0"/>
        <v>0</v>
      </c>
      <c r="J39" s="245"/>
    </row>
    <row r="40" spans="1:12" x14ac:dyDescent="0.25">
      <c r="A40" s="262">
        <v>31</v>
      </c>
      <c r="B40" s="261">
        <v>44135</v>
      </c>
      <c r="C40" s="260" t="s">
        <v>664</v>
      </c>
      <c r="D40" s="259">
        <v>98775000</v>
      </c>
      <c r="E40" s="259"/>
      <c r="F40" s="259"/>
      <c r="H40" s="242">
        <f t="shared" si="0"/>
        <v>98775000</v>
      </c>
    </row>
    <row r="41" spans="1:12" x14ac:dyDescent="0.25">
      <c r="A41" s="262">
        <v>32</v>
      </c>
      <c r="B41" s="261">
        <v>44167</v>
      </c>
      <c r="C41" s="260" t="s">
        <v>676</v>
      </c>
      <c r="D41" s="259"/>
      <c r="E41" s="259">
        <v>98775000</v>
      </c>
      <c r="F41" s="259"/>
      <c r="H41" s="242">
        <f t="shared" si="0"/>
        <v>0</v>
      </c>
      <c r="L41" s="2"/>
    </row>
    <row r="42" spans="1:12" x14ac:dyDescent="0.25">
      <c r="A42" s="262">
        <v>33</v>
      </c>
      <c r="B42" s="261">
        <v>44165</v>
      </c>
      <c r="C42" s="260" t="s">
        <v>677</v>
      </c>
      <c r="D42" s="259">
        <v>93933000</v>
      </c>
      <c r="E42" s="259"/>
      <c r="F42" s="259"/>
      <c r="H42" s="242">
        <f t="shared" si="0"/>
        <v>93933000</v>
      </c>
      <c r="L42" s="2"/>
    </row>
    <row r="43" spans="1:12" x14ac:dyDescent="0.25">
      <c r="A43" s="262">
        <v>34</v>
      </c>
      <c r="B43" s="261">
        <v>44196</v>
      </c>
      <c r="C43" s="260" t="s">
        <v>697</v>
      </c>
      <c r="D43" s="259">
        <v>116806000</v>
      </c>
      <c r="E43" s="259"/>
      <c r="F43" s="259"/>
      <c r="H43" s="242">
        <f t="shared" si="0"/>
        <v>210739000</v>
      </c>
    </row>
    <row r="44" spans="1:12" x14ac:dyDescent="0.25">
      <c r="A44" s="262">
        <v>35</v>
      </c>
      <c r="B44" s="261">
        <v>44202</v>
      </c>
      <c r="C44" s="260" t="s">
        <v>703</v>
      </c>
      <c r="D44" s="259"/>
      <c r="E44" s="259">
        <v>93933000</v>
      </c>
      <c r="F44" s="259"/>
      <c r="H44" s="242">
        <f t="shared" si="0"/>
        <v>116806000</v>
      </c>
      <c r="L44" s="2"/>
    </row>
    <row r="45" spans="1:12" x14ac:dyDescent="0.25">
      <c r="A45" s="262">
        <v>36</v>
      </c>
      <c r="B45" s="261">
        <v>44227</v>
      </c>
      <c r="C45" s="260" t="s">
        <v>744</v>
      </c>
      <c r="D45" s="259">
        <v>56170000</v>
      </c>
      <c r="E45" s="259"/>
      <c r="F45" s="259"/>
      <c r="H45" s="242">
        <f t="shared" si="0"/>
        <v>172976000</v>
      </c>
      <c r="L45" s="242"/>
    </row>
    <row r="46" spans="1:12" x14ac:dyDescent="0.25">
      <c r="A46" s="262">
        <v>37</v>
      </c>
      <c r="B46" s="261">
        <v>44228</v>
      </c>
      <c r="C46" s="260" t="s">
        <v>731</v>
      </c>
      <c r="D46" s="259"/>
      <c r="E46" s="259">
        <v>116806000</v>
      </c>
      <c r="F46" s="259"/>
      <c r="H46" s="242">
        <f t="shared" si="0"/>
        <v>56170000</v>
      </c>
      <c r="L46" s="242"/>
    </row>
    <row r="47" spans="1:12" x14ac:dyDescent="0.25">
      <c r="A47" s="262">
        <v>38</v>
      </c>
      <c r="B47" s="261">
        <v>44257</v>
      </c>
      <c r="C47" s="260" t="s">
        <v>742</v>
      </c>
      <c r="D47" s="259"/>
      <c r="E47" s="259">
        <v>56170000</v>
      </c>
      <c r="F47" s="259"/>
      <c r="H47" s="242">
        <f t="shared" si="0"/>
        <v>0</v>
      </c>
    </row>
    <row r="48" spans="1:12" x14ac:dyDescent="0.25">
      <c r="A48" s="262">
        <v>39</v>
      </c>
      <c r="B48" s="261">
        <v>44255</v>
      </c>
      <c r="C48" s="260" t="s">
        <v>743</v>
      </c>
      <c r="D48" s="259">
        <v>80945000</v>
      </c>
      <c r="E48" s="259"/>
      <c r="F48" s="259"/>
      <c r="H48" s="242">
        <f t="shared" si="0"/>
        <v>80945000</v>
      </c>
    </row>
    <row r="49" spans="1:8" x14ac:dyDescent="0.25">
      <c r="A49" s="262">
        <v>40</v>
      </c>
      <c r="B49" s="261">
        <v>44286</v>
      </c>
      <c r="C49" s="260" t="s">
        <v>759</v>
      </c>
      <c r="D49" s="259"/>
      <c r="E49" s="259">
        <v>80945000</v>
      </c>
      <c r="F49" s="259"/>
      <c r="H49" s="242">
        <f t="shared" si="0"/>
        <v>0</v>
      </c>
    </row>
    <row r="50" spans="1:8" x14ac:dyDescent="0.25">
      <c r="A50" s="262">
        <v>41</v>
      </c>
      <c r="B50" s="261">
        <v>44286</v>
      </c>
      <c r="C50" s="260" t="s">
        <v>760</v>
      </c>
      <c r="D50" s="259">
        <v>80525000</v>
      </c>
      <c r="E50" s="259"/>
      <c r="F50" s="259"/>
      <c r="H50" s="242">
        <f t="shared" si="0"/>
        <v>80525000</v>
      </c>
    </row>
    <row r="51" spans="1:8" x14ac:dyDescent="0.25">
      <c r="A51" s="262">
        <v>42</v>
      </c>
      <c r="B51" s="261">
        <v>44315</v>
      </c>
      <c r="C51" s="260" t="s">
        <v>788</v>
      </c>
      <c r="D51" s="259">
        <v>34902000</v>
      </c>
      <c r="E51" s="259"/>
      <c r="F51" s="259"/>
      <c r="H51" s="242">
        <f t="shared" si="0"/>
        <v>115427000</v>
      </c>
    </row>
    <row r="52" spans="1:8" x14ac:dyDescent="0.25">
      <c r="A52" s="262">
        <v>43</v>
      </c>
      <c r="B52" s="261">
        <v>44323</v>
      </c>
      <c r="C52" s="260" t="s">
        <v>796</v>
      </c>
      <c r="D52" s="259"/>
      <c r="E52" s="259">
        <v>80525000</v>
      </c>
      <c r="F52" s="259"/>
      <c r="H52" s="242">
        <f t="shared" si="0"/>
        <v>34902000</v>
      </c>
    </row>
    <row r="53" spans="1:8" x14ac:dyDescent="0.25">
      <c r="A53" s="262">
        <v>44</v>
      </c>
      <c r="B53" s="261">
        <v>44347</v>
      </c>
      <c r="C53" s="260" t="s">
        <v>845</v>
      </c>
      <c r="D53" s="259">
        <v>23866000</v>
      </c>
      <c r="E53" s="259"/>
      <c r="F53" s="259"/>
      <c r="H53" s="242">
        <f t="shared" si="0"/>
        <v>58768000</v>
      </c>
    </row>
    <row r="54" spans="1:8" x14ac:dyDescent="0.25">
      <c r="A54" s="262">
        <v>45</v>
      </c>
      <c r="B54" s="261">
        <v>44348</v>
      </c>
      <c r="C54" s="260" t="s">
        <v>829</v>
      </c>
      <c r="D54" s="259"/>
      <c r="E54" s="259">
        <v>34902000</v>
      </c>
      <c r="F54" s="259"/>
      <c r="H54" s="242">
        <f t="shared" si="0"/>
        <v>23866000</v>
      </c>
    </row>
    <row r="55" spans="1:8" x14ac:dyDescent="0.25">
      <c r="A55" s="262">
        <v>46</v>
      </c>
      <c r="B55" s="261">
        <v>44376</v>
      </c>
      <c r="C55" s="260" t="s">
        <v>853</v>
      </c>
      <c r="D55" s="259"/>
      <c r="E55" s="259">
        <v>23616000</v>
      </c>
      <c r="F55" s="259"/>
      <c r="H55" s="242">
        <f t="shared" si="0"/>
        <v>250000</v>
      </c>
    </row>
    <row r="56" spans="1:8" x14ac:dyDescent="0.25">
      <c r="A56" s="262">
        <v>47</v>
      </c>
      <c r="B56" s="261">
        <v>44377</v>
      </c>
      <c r="C56" s="260" t="s">
        <v>859</v>
      </c>
      <c r="D56" s="259">
        <v>79917110</v>
      </c>
      <c r="E56" s="259"/>
      <c r="F56" s="259"/>
      <c r="H56" s="242">
        <f t="shared" si="0"/>
        <v>80167110</v>
      </c>
    </row>
    <row r="57" spans="1:8" x14ac:dyDescent="0.25">
      <c r="A57" s="262">
        <v>48</v>
      </c>
      <c r="B57" s="261">
        <v>44407</v>
      </c>
      <c r="C57" s="260" t="s">
        <v>879</v>
      </c>
      <c r="D57" s="259">
        <v>129318800</v>
      </c>
      <c r="E57" s="259"/>
      <c r="F57" s="259"/>
      <c r="H57" s="242">
        <f t="shared" si="0"/>
        <v>209485910</v>
      </c>
    </row>
    <row r="58" spans="1:8" x14ac:dyDescent="0.25">
      <c r="A58" s="262">
        <v>49</v>
      </c>
      <c r="B58" s="261">
        <v>44411</v>
      </c>
      <c r="C58" s="260" t="s">
        <v>888</v>
      </c>
      <c r="D58" s="259"/>
      <c r="E58" s="259">
        <v>80167110</v>
      </c>
      <c r="F58" s="259"/>
      <c r="H58" s="242">
        <f t="shared" si="0"/>
        <v>129318800</v>
      </c>
    </row>
    <row r="59" spans="1:8" x14ac:dyDescent="0.25">
      <c r="A59" s="262">
        <v>50</v>
      </c>
      <c r="B59" s="261">
        <v>44438</v>
      </c>
      <c r="C59" s="260" t="s">
        <v>920</v>
      </c>
      <c r="D59" s="259"/>
      <c r="E59" s="259">
        <v>129318800</v>
      </c>
      <c r="F59" s="259"/>
      <c r="H59" s="242">
        <f t="shared" si="0"/>
        <v>0</v>
      </c>
    </row>
    <row r="60" spans="1:8" x14ac:dyDescent="0.25">
      <c r="A60" s="262">
        <v>51</v>
      </c>
      <c r="B60" s="261">
        <v>44438</v>
      </c>
      <c r="C60" s="260" t="s">
        <v>926</v>
      </c>
      <c r="D60" s="259">
        <v>131258000</v>
      </c>
      <c r="E60" s="259"/>
      <c r="F60" s="259"/>
      <c r="H60" s="242">
        <f t="shared" si="0"/>
        <v>131258000</v>
      </c>
    </row>
    <row r="61" spans="1:8" x14ac:dyDescent="0.25">
      <c r="A61" s="262">
        <v>52</v>
      </c>
      <c r="B61" s="261">
        <v>44469</v>
      </c>
      <c r="C61" s="260" t="s">
        <v>953</v>
      </c>
      <c r="D61" s="259"/>
      <c r="E61" s="259">
        <v>131258000</v>
      </c>
      <c r="F61" s="259"/>
      <c r="H61" s="242">
        <f t="shared" si="0"/>
        <v>0</v>
      </c>
    </row>
    <row r="62" spans="1:8" x14ac:dyDescent="0.25">
      <c r="A62" s="262">
        <v>53</v>
      </c>
      <c r="B62" s="261">
        <v>44469</v>
      </c>
      <c r="C62" s="260" t="s">
        <v>954</v>
      </c>
      <c r="D62" s="259">
        <v>114974400</v>
      </c>
      <c r="E62" s="259"/>
      <c r="F62" s="259"/>
      <c r="H62" s="242">
        <f t="shared" si="0"/>
        <v>114974400</v>
      </c>
    </row>
    <row r="63" spans="1:8" x14ac:dyDescent="0.25">
      <c r="A63" s="262">
        <v>54</v>
      </c>
      <c r="B63" s="261">
        <v>44499</v>
      </c>
      <c r="C63" s="260" t="s">
        <v>1000</v>
      </c>
      <c r="D63" s="259">
        <v>173678150</v>
      </c>
      <c r="E63" s="259"/>
      <c r="F63" s="259"/>
      <c r="H63" s="242">
        <f t="shared" si="0"/>
        <v>288652550</v>
      </c>
    </row>
    <row r="64" spans="1:8" x14ac:dyDescent="0.25">
      <c r="A64" s="262">
        <v>55</v>
      </c>
      <c r="B64" s="261"/>
      <c r="C64" s="260" t="s">
        <v>1002</v>
      </c>
      <c r="D64" s="279">
        <v>342750</v>
      </c>
      <c r="E64" s="259"/>
      <c r="F64" s="259"/>
      <c r="H64" s="242">
        <f t="shared" si="0"/>
        <v>288995300</v>
      </c>
    </row>
    <row r="65" spans="1:12" x14ac:dyDescent="0.25">
      <c r="A65" s="262">
        <v>56</v>
      </c>
      <c r="B65" s="261">
        <v>44497</v>
      </c>
      <c r="C65" s="260" t="s">
        <v>1075</v>
      </c>
      <c r="D65" s="279">
        <v>160006650</v>
      </c>
      <c r="E65" s="259"/>
      <c r="F65" s="259"/>
      <c r="H65" s="242">
        <f t="shared" si="0"/>
        <v>449001950</v>
      </c>
    </row>
    <row r="66" spans="1:12" x14ac:dyDescent="0.25">
      <c r="A66" s="262">
        <v>57</v>
      </c>
      <c r="B66" s="261">
        <v>44498</v>
      </c>
      <c r="C66" s="260" t="s">
        <v>1074</v>
      </c>
      <c r="D66" s="279"/>
      <c r="E66" s="259">
        <v>160006650</v>
      </c>
      <c r="F66" s="259"/>
      <c r="H66" s="242">
        <f t="shared" si="0"/>
        <v>288995300</v>
      </c>
    </row>
    <row r="67" spans="1:12" x14ac:dyDescent="0.25">
      <c r="A67" s="262">
        <v>58</v>
      </c>
      <c r="B67" s="261">
        <v>44508</v>
      </c>
      <c r="C67" s="260" t="s">
        <v>1001</v>
      </c>
      <c r="D67" s="259"/>
      <c r="E67" s="259">
        <v>114974400</v>
      </c>
      <c r="F67" s="259"/>
      <c r="H67" s="242">
        <f t="shared" si="0"/>
        <v>174020900</v>
      </c>
    </row>
    <row r="68" spans="1:12" x14ac:dyDescent="0.25">
      <c r="A68" s="262">
        <v>57</v>
      </c>
      <c r="B68" s="261">
        <v>44530</v>
      </c>
      <c r="C68" s="260" t="s">
        <v>1004</v>
      </c>
      <c r="D68" s="259">
        <v>60088000</v>
      </c>
      <c r="E68" s="259"/>
      <c r="F68" s="259"/>
      <c r="H68" s="242">
        <f t="shared" si="0"/>
        <v>234108900</v>
      </c>
    </row>
    <row r="69" spans="1:12" x14ac:dyDescent="0.25">
      <c r="A69" s="262">
        <v>58</v>
      </c>
      <c r="B69" s="261">
        <v>44540</v>
      </c>
      <c r="C69" s="260" t="s">
        <v>676</v>
      </c>
      <c r="D69" s="259"/>
      <c r="E69" s="259">
        <v>114974400</v>
      </c>
      <c r="F69" s="259"/>
      <c r="H69" s="242">
        <f t="shared" si="0"/>
        <v>119134500</v>
      </c>
    </row>
    <row r="70" spans="1:12" x14ac:dyDescent="0.25">
      <c r="A70" s="262">
        <v>59</v>
      </c>
      <c r="B70" s="261">
        <v>44560</v>
      </c>
      <c r="C70" s="260" t="s">
        <v>1022</v>
      </c>
      <c r="D70" s="259">
        <v>83639500</v>
      </c>
      <c r="E70" s="259"/>
      <c r="F70" s="259"/>
      <c r="H70" s="242">
        <f t="shared" si="0"/>
        <v>202774000</v>
      </c>
      <c r="J70" s="242"/>
    </row>
    <row r="71" spans="1:12" x14ac:dyDescent="0.25">
      <c r="A71" s="262">
        <v>60</v>
      </c>
      <c r="B71" s="261">
        <v>44560</v>
      </c>
      <c r="C71" s="260" t="s">
        <v>676</v>
      </c>
      <c r="D71" s="259"/>
      <c r="E71" s="259">
        <v>58703750</v>
      </c>
      <c r="F71" s="259"/>
      <c r="H71" s="242">
        <f t="shared" si="0"/>
        <v>144070250</v>
      </c>
      <c r="L71" s="242"/>
    </row>
    <row r="72" spans="1:12" x14ac:dyDescent="0.25">
      <c r="A72" s="262">
        <v>61</v>
      </c>
      <c r="B72" s="261">
        <v>44220</v>
      </c>
      <c r="C72" s="260" t="s">
        <v>1039</v>
      </c>
      <c r="D72" s="279"/>
      <c r="E72" s="259">
        <v>143727500</v>
      </c>
      <c r="F72" s="259"/>
      <c r="H72" s="242">
        <f t="shared" si="0"/>
        <v>342750</v>
      </c>
    </row>
    <row r="73" spans="1:12" x14ac:dyDescent="0.25">
      <c r="A73" s="262">
        <v>62</v>
      </c>
      <c r="B73" s="261">
        <v>44588</v>
      </c>
      <c r="C73" s="260" t="s">
        <v>1054</v>
      </c>
      <c r="D73" s="279">
        <v>84589000</v>
      </c>
      <c r="E73" s="259"/>
      <c r="F73" s="259"/>
      <c r="H73" s="242">
        <f t="shared" si="0"/>
        <v>84931750</v>
      </c>
    </row>
    <row r="74" spans="1:12" x14ac:dyDescent="0.25">
      <c r="A74" s="262">
        <v>63</v>
      </c>
      <c r="B74" s="261">
        <v>44620</v>
      </c>
      <c r="C74" s="260" t="s">
        <v>1066</v>
      </c>
      <c r="D74" s="279">
        <v>24315200</v>
      </c>
      <c r="E74" s="259"/>
      <c r="F74" s="259"/>
      <c r="H74" s="242">
        <f t="shared" si="0"/>
        <v>109246950</v>
      </c>
    </row>
    <row r="75" spans="1:12" x14ac:dyDescent="0.25">
      <c r="A75" s="262">
        <v>64</v>
      </c>
      <c r="B75" s="261">
        <v>44622</v>
      </c>
      <c r="C75" s="260" t="s">
        <v>1078</v>
      </c>
      <c r="D75" s="279"/>
      <c r="E75" s="259">
        <v>84589000</v>
      </c>
      <c r="F75" s="259"/>
      <c r="H75" s="242">
        <f t="shared" si="0"/>
        <v>24657950</v>
      </c>
    </row>
    <row r="76" spans="1:12" x14ac:dyDescent="0.25">
      <c r="A76" s="262">
        <v>65</v>
      </c>
      <c r="B76" s="261">
        <v>44638</v>
      </c>
      <c r="C76" s="260" t="s">
        <v>1078</v>
      </c>
      <c r="D76" s="279"/>
      <c r="E76" s="259">
        <v>84589000</v>
      </c>
      <c r="F76" s="259"/>
      <c r="H76" s="242">
        <f t="shared" si="0"/>
        <v>-59931050</v>
      </c>
    </row>
    <row r="77" spans="1:12" x14ac:dyDescent="0.25">
      <c r="A77" s="262">
        <v>66</v>
      </c>
      <c r="B77" s="261">
        <v>44651</v>
      </c>
      <c r="C77" s="260" t="s">
        <v>1084</v>
      </c>
      <c r="D77" s="279">
        <v>38212800</v>
      </c>
      <c r="E77" s="259"/>
      <c r="F77" s="259"/>
      <c r="H77" s="242">
        <f t="shared" si="0"/>
        <v>-21718250</v>
      </c>
    </row>
    <row r="78" spans="1:12" x14ac:dyDescent="0.25">
      <c r="A78" s="262">
        <v>67</v>
      </c>
      <c r="B78" s="261">
        <v>44708</v>
      </c>
      <c r="C78" s="260" t="s">
        <v>1132</v>
      </c>
      <c r="D78" s="279">
        <v>41615600</v>
      </c>
      <c r="E78" s="259"/>
      <c r="F78" s="259"/>
      <c r="H78" s="242">
        <f t="shared" si="0"/>
        <v>19897350</v>
      </c>
    </row>
    <row r="79" spans="1:12" x14ac:dyDescent="0.25">
      <c r="A79" s="262">
        <v>68</v>
      </c>
      <c r="B79" s="261">
        <v>44742</v>
      </c>
      <c r="C79" s="260" t="s">
        <v>1155</v>
      </c>
      <c r="D79" s="279">
        <v>12749600</v>
      </c>
      <c r="E79" s="259"/>
      <c r="F79" s="259"/>
      <c r="H79" s="242">
        <f t="shared" ref="H79:H86" si="1">H78+D79-E79</f>
        <v>32646950</v>
      </c>
      <c r="L79" s="242"/>
    </row>
    <row r="80" spans="1:12" x14ac:dyDescent="0.25">
      <c r="A80" s="262">
        <v>69</v>
      </c>
      <c r="B80" s="261">
        <v>44772</v>
      </c>
      <c r="C80" s="260" t="s">
        <v>1188</v>
      </c>
      <c r="D80" s="259">
        <v>111107400</v>
      </c>
      <c r="E80" s="259"/>
      <c r="F80" s="259"/>
      <c r="H80" s="242">
        <f t="shared" si="1"/>
        <v>143754350</v>
      </c>
    </row>
    <row r="81" spans="1:13" x14ac:dyDescent="0.25">
      <c r="A81" s="262">
        <v>70</v>
      </c>
      <c r="B81" s="261">
        <v>44772</v>
      </c>
      <c r="C81" s="260" t="s">
        <v>1189</v>
      </c>
      <c r="D81" s="259">
        <v>14720750</v>
      </c>
      <c r="E81" s="259"/>
      <c r="F81" s="259"/>
      <c r="H81" s="242">
        <f t="shared" si="1"/>
        <v>158475100</v>
      </c>
    </row>
    <row r="82" spans="1:13" x14ac:dyDescent="0.25">
      <c r="A82" s="262">
        <v>71</v>
      </c>
      <c r="B82" s="261">
        <v>44782</v>
      </c>
      <c r="C82" s="260" t="s">
        <v>1074</v>
      </c>
      <c r="D82" s="259"/>
      <c r="E82" s="259">
        <v>32304200</v>
      </c>
      <c r="F82" s="259"/>
      <c r="H82" s="242">
        <f t="shared" si="1"/>
        <v>126170900</v>
      </c>
    </row>
    <row r="83" spans="1:13" x14ac:dyDescent="0.25">
      <c r="A83" s="262">
        <v>72</v>
      </c>
      <c r="B83" s="261">
        <v>44802</v>
      </c>
      <c r="C83" s="260" t="s">
        <v>1219</v>
      </c>
      <c r="D83" s="259">
        <v>54817200</v>
      </c>
      <c r="E83" s="259"/>
      <c r="F83" s="259"/>
      <c r="H83" s="242">
        <f t="shared" si="1"/>
        <v>180988100</v>
      </c>
      <c r="L83" s="242"/>
    </row>
    <row r="84" spans="1:13" x14ac:dyDescent="0.25">
      <c r="A84" s="262">
        <v>73</v>
      </c>
      <c r="B84" s="261">
        <v>44810</v>
      </c>
      <c r="C84" s="260" t="s">
        <v>1229</v>
      </c>
      <c r="D84" s="259"/>
      <c r="E84" s="259">
        <v>119069400</v>
      </c>
      <c r="F84" s="259"/>
      <c r="H84" s="242">
        <f t="shared" si="1"/>
        <v>61918700</v>
      </c>
      <c r="L84" s="242"/>
    </row>
    <row r="85" spans="1:13" x14ac:dyDescent="0.25">
      <c r="A85" s="262">
        <v>74</v>
      </c>
      <c r="B85" s="261">
        <v>44832</v>
      </c>
      <c r="C85" s="260" t="s">
        <v>1239</v>
      </c>
      <c r="D85" s="259">
        <v>83218400</v>
      </c>
      <c r="E85" s="259"/>
      <c r="F85" s="259"/>
      <c r="H85" s="242">
        <f t="shared" si="1"/>
        <v>145137100</v>
      </c>
    </row>
    <row r="86" spans="1:13" x14ac:dyDescent="0.25">
      <c r="A86" s="262">
        <v>75</v>
      </c>
      <c r="B86" s="261">
        <v>44847</v>
      </c>
      <c r="C86" s="260" t="s">
        <v>1250</v>
      </c>
      <c r="D86" s="259"/>
      <c r="E86" s="259">
        <v>114794350</v>
      </c>
      <c r="F86" s="259"/>
      <c r="H86" s="242">
        <f t="shared" si="1"/>
        <v>30342750</v>
      </c>
    </row>
    <row r="87" spans="1:13" x14ac:dyDescent="0.25">
      <c r="A87" s="262">
        <v>76</v>
      </c>
      <c r="B87" s="261">
        <v>44864</v>
      </c>
      <c r="C87" s="260" t="s">
        <v>1265</v>
      </c>
      <c r="D87" s="259">
        <v>148622000</v>
      </c>
      <c r="E87" s="259"/>
      <c r="F87" s="259"/>
      <c r="H87" s="242">
        <f t="shared" ref="H87:H142" si="2">H86+D87-E87</f>
        <v>178964750</v>
      </c>
    </row>
    <row r="88" spans="1:13" x14ac:dyDescent="0.25">
      <c r="A88" s="262">
        <v>77</v>
      </c>
      <c r="B88" s="261">
        <v>44894</v>
      </c>
      <c r="C88" s="260" t="s">
        <v>1291</v>
      </c>
      <c r="D88" s="259">
        <v>54924000</v>
      </c>
      <c r="E88" s="259"/>
      <c r="F88" s="259"/>
      <c r="H88" s="242">
        <f t="shared" si="2"/>
        <v>233888750</v>
      </c>
    </row>
    <row r="89" spans="1:13" x14ac:dyDescent="0.25">
      <c r="A89" s="262">
        <v>78</v>
      </c>
      <c r="B89" s="261">
        <v>44896</v>
      </c>
      <c r="C89" s="260" t="s">
        <v>1250</v>
      </c>
      <c r="D89" s="259"/>
      <c r="E89" s="259">
        <v>100000000</v>
      </c>
      <c r="F89" s="259"/>
      <c r="H89" s="242">
        <f t="shared" si="2"/>
        <v>133888750</v>
      </c>
    </row>
    <row r="90" spans="1:13" x14ac:dyDescent="0.25">
      <c r="A90" s="262">
        <v>79</v>
      </c>
      <c r="B90" s="261">
        <v>44925</v>
      </c>
      <c r="C90" s="260" t="s">
        <v>1343</v>
      </c>
      <c r="D90" s="259">
        <v>147555200</v>
      </c>
      <c r="E90" s="259"/>
      <c r="F90" s="259"/>
      <c r="H90" s="242">
        <f t="shared" si="2"/>
        <v>281443950</v>
      </c>
    </row>
    <row r="91" spans="1:13" x14ac:dyDescent="0.25">
      <c r="A91" s="262">
        <v>80</v>
      </c>
      <c r="B91" s="261">
        <v>44940</v>
      </c>
      <c r="C91" s="260" t="s">
        <v>1074</v>
      </c>
      <c r="D91" s="259"/>
      <c r="E91" s="259">
        <v>200000000</v>
      </c>
      <c r="F91" s="259"/>
      <c r="H91" s="242">
        <f t="shared" si="2"/>
        <v>81443950</v>
      </c>
    </row>
    <row r="92" spans="1:13" x14ac:dyDescent="0.25">
      <c r="A92" s="262">
        <v>81</v>
      </c>
      <c r="B92" s="261">
        <v>44956</v>
      </c>
      <c r="C92" s="260" t="s">
        <v>1370</v>
      </c>
      <c r="D92" s="259">
        <f>53843025-342750</f>
        <v>53500275</v>
      </c>
      <c r="E92" s="259"/>
      <c r="F92" s="259"/>
      <c r="H92" s="242">
        <f t="shared" si="2"/>
        <v>134944225</v>
      </c>
      <c r="L92" s="297"/>
      <c r="M92" s="242"/>
    </row>
    <row r="93" spans="1:13" x14ac:dyDescent="0.25">
      <c r="A93" s="262">
        <v>82</v>
      </c>
      <c r="B93" s="261">
        <v>44973</v>
      </c>
      <c r="C93" s="260" t="s">
        <v>1250</v>
      </c>
      <c r="D93" s="259"/>
      <c r="E93" s="259">
        <v>81101200</v>
      </c>
      <c r="F93" s="259"/>
      <c r="H93" s="242">
        <f t="shared" si="2"/>
        <v>53843025</v>
      </c>
    </row>
    <row r="94" spans="1:13" x14ac:dyDescent="0.25">
      <c r="A94" s="262">
        <v>83</v>
      </c>
      <c r="B94" s="261">
        <v>44985</v>
      </c>
      <c r="C94" s="260" t="s">
        <v>1387</v>
      </c>
      <c r="D94" s="259">
        <v>81414000</v>
      </c>
      <c r="E94" s="259"/>
      <c r="F94" s="259"/>
      <c r="H94" s="242">
        <f t="shared" si="2"/>
        <v>135257025</v>
      </c>
      <c r="M94" s="242"/>
    </row>
    <row r="95" spans="1:13" x14ac:dyDescent="0.25">
      <c r="A95" s="262">
        <v>84</v>
      </c>
      <c r="B95" s="261">
        <v>44995</v>
      </c>
      <c r="C95" s="260" t="s">
        <v>1250</v>
      </c>
      <c r="D95" s="259"/>
      <c r="E95" s="259">
        <v>53843025</v>
      </c>
      <c r="F95" s="259"/>
      <c r="H95" s="242">
        <f t="shared" si="2"/>
        <v>81414000</v>
      </c>
      <c r="M95" s="242"/>
    </row>
    <row r="96" spans="1:13" x14ac:dyDescent="0.25">
      <c r="A96" s="262">
        <v>85</v>
      </c>
      <c r="B96" s="261">
        <v>45015</v>
      </c>
      <c r="C96" s="260" t="s">
        <v>1413</v>
      </c>
      <c r="D96" s="259">
        <v>38227000</v>
      </c>
      <c r="E96" s="259"/>
      <c r="F96" s="259"/>
      <c r="H96" s="242">
        <f t="shared" si="2"/>
        <v>119641000</v>
      </c>
    </row>
    <row r="97" spans="1:10" x14ac:dyDescent="0.25">
      <c r="A97" s="262">
        <v>86</v>
      </c>
      <c r="B97" s="261">
        <v>45045</v>
      </c>
      <c r="C97" s="260" t="s">
        <v>1434</v>
      </c>
      <c r="D97" s="259">
        <v>12549000</v>
      </c>
      <c r="E97" s="259"/>
      <c r="F97" s="259"/>
      <c r="H97" s="242">
        <f t="shared" si="2"/>
        <v>132190000</v>
      </c>
    </row>
    <row r="98" spans="1:10" x14ac:dyDescent="0.25">
      <c r="A98" s="262">
        <v>87</v>
      </c>
      <c r="B98" s="261">
        <v>45044</v>
      </c>
      <c r="C98" s="260" t="s">
        <v>1250</v>
      </c>
      <c r="D98" s="259"/>
      <c r="E98" s="259">
        <v>50000000</v>
      </c>
      <c r="F98" s="259"/>
      <c r="H98" s="242">
        <f t="shared" si="2"/>
        <v>82190000</v>
      </c>
    </row>
    <row r="99" spans="1:10" x14ac:dyDescent="0.25">
      <c r="A99" s="262">
        <v>88</v>
      </c>
      <c r="B99" s="261">
        <v>45076</v>
      </c>
      <c r="C99" s="260" t="s">
        <v>1074</v>
      </c>
      <c r="D99" s="259"/>
      <c r="E99" s="259">
        <v>82190000</v>
      </c>
      <c r="F99" s="259"/>
      <c r="H99" s="242">
        <f t="shared" si="2"/>
        <v>0</v>
      </c>
    </row>
    <row r="100" spans="1:10" x14ac:dyDescent="0.25">
      <c r="A100" s="262">
        <v>89</v>
      </c>
      <c r="B100" s="261">
        <v>45107</v>
      </c>
      <c r="C100" s="260" t="s">
        <v>1514</v>
      </c>
      <c r="D100" s="259">
        <v>37507000</v>
      </c>
      <c r="E100" s="259"/>
      <c r="F100" s="259"/>
      <c r="H100" s="242">
        <f t="shared" si="2"/>
        <v>37507000</v>
      </c>
    </row>
    <row r="101" spans="1:10" x14ac:dyDescent="0.25">
      <c r="A101" s="262">
        <v>90</v>
      </c>
      <c r="B101" s="261">
        <v>45138</v>
      </c>
      <c r="C101" s="260" t="s">
        <v>1550</v>
      </c>
      <c r="D101" s="259">
        <v>62796164</v>
      </c>
      <c r="E101" s="259"/>
      <c r="F101" s="259"/>
      <c r="H101" s="242">
        <f t="shared" si="2"/>
        <v>100303164</v>
      </c>
    </row>
    <row r="102" spans="1:10" x14ac:dyDescent="0.25">
      <c r="A102" s="262">
        <v>91</v>
      </c>
      <c r="B102" s="261">
        <v>45141</v>
      </c>
      <c r="C102" s="260" t="s">
        <v>1250</v>
      </c>
      <c r="D102" s="259"/>
      <c r="E102" s="259">
        <v>37507000</v>
      </c>
      <c r="F102" s="259"/>
      <c r="H102" s="242">
        <f t="shared" si="2"/>
        <v>62796164</v>
      </c>
    </row>
    <row r="103" spans="1:10" x14ac:dyDescent="0.25">
      <c r="A103" s="262">
        <v>92</v>
      </c>
      <c r="B103" s="261">
        <v>45169</v>
      </c>
      <c r="C103" s="260" t="s">
        <v>1569</v>
      </c>
      <c r="D103" s="259">
        <v>76873200</v>
      </c>
      <c r="E103" s="259"/>
      <c r="F103" s="259"/>
      <c r="H103" s="242">
        <f t="shared" si="2"/>
        <v>139669364</v>
      </c>
    </row>
    <row r="104" spans="1:10" x14ac:dyDescent="0.25">
      <c r="A104" s="262">
        <v>93</v>
      </c>
      <c r="B104" s="261">
        <v>45180</v>
      </c>
      <c r="C104" s="260" t="s">
        <v>1074</v>
      </c>
      <c r="D104" s="259"/>
      <c r="E104" s="259">
        <v>62796164</v>
      </c>
      <c r="F104" s="259"/>
      <c r="H104" s="242">
        <f t="shared" si="2"/>
        <v>76873200</v>
      </c>
    </row>
    <row r="105" spans="1:10" x14ac:dyDescent="0.25">
      <c r="A105" s="262">
        <v>94</v>
      </c>
      <c r="B105" s="261">
        <v>45199</v>
      </c>
      <c r="C105" s="260" t="s">
        <v>1600</v>
      </c>
      <c r="D105" s="259">
        <v>129484000</v>
      </c>
      <c r="E105" s="259"/>
      <c r="F105" s="259"/>
      <c r="H105" s="242">
        <f t="shared" si="2"/>
        <v>206357200</v>
      </c>
    </row>
    <row r="106" spans="1:10" x14ac:dyDescent="0.25">
      <c r="A106" s="262">
        <v>95</v>
      </c>
      <c r="B106" s="261">
        <v>45230</v>
      </c>
      <c r="C106" s="260" t="s">
        <v>1638</v>
      </c>
      <c r="D106" s="259">
        <v>146020800</v>
      </c>
      <c r="E106" s="259"/>
      <c r="F106" s="259"/>
      <c r="H106" s="242">
        <f t="shared" si="2"/>
        <v>352378000</v>
      </c>
    </row>
    <row r="107" spans="1:10" x14ac:dyDescent="0.25">
      <c r="A107" s="262">
        <v>96</v>
      </c>
      <c r="B107" s="261">
        <v>45238</v>
      </c>
      <c r="C107" s="260" t="s">
        <v>1074</v>
      </c>
      <c r="D107" s="259"/>
      <c r="E107" s="259">
        <v>198357200</v>
      </c>
      <c r="F107" s="259"/>
      <c r="H107" s="242">
        <f t="shared" si="2"/>
        <v>154020800</v>
      </c>
      <c r="J107" s="242"/>
    </row>
    <row r="108" spans="1:10" x14ac:dyDescent="0.25">
      <c r="A108" s="262">
        <v>97</v>
      </c>
      <c r="B108" s="261">
        <v>45260</v>
      </c>
      <c r="C108" s="260" t="s">
        <v>1660</v>
      </c>
      <c r="D108" s="259">
        <v>116040200</v>
      </c>
      <c r="E108" s="259"/>
      <c r="F108" s="259"/>
      <c r="H108" s="242">
        <f t="shared" si="2"/>
        <v>270061000</v>
      </c>
    </row>
    <row r="109" spans="1:10" x14ac:dyDescent="0.25">
      <c r="A109" s="262">
        <v>98</v>
      </c>
      <c r="B109" s="261">
        <v>45268</v>
      </c>
      <c r="C109" s="260" t="s">
        <v>1250</v>
      </c>
      <c r="D109" s="259"/>
      <c r="E109" s="259">
        <v>154020800</v>
      </c>
      <c r="F109" s="259"/>
      <c r="H109" s="242">
        <f t="shared" si="2"/>
        <v>116040200</v>
      </c>
    </row>
    <row r="110" spans="1:10" x14ac:dyDescent="0.25">
      <c r="A110" s="262">
        <v>99</v>
      </c>
      <c r="B110" s="261">
        <v>45291</v>
      </c>
      <c r="C110" s="260" t="s">
        <v>1676</v>
      </c>
      <c r="D110" s="259">
        <v>63540000</v>
      </c>
      <c r="E110" s="259"/>
      <c r="F110" s="259"/>
      <c r="H110" s="333">
        <f t="shared" si="2"/>
        <v>179580200</v>
      </c>
    </row>
    <row r="111" spans="1:10" x14ac:dyDescent="0.25">
      <c r="A111" s="262">
        <v>100</v>
      </c>
      <c r="B111" s="261">
        <v>45309</v>
      </c>
      <c r="C111" s="260" t="s">
        <v>1074</v>
      </c>
      <c r="D111" s="259"/>
      <c r="E111" s="259">
        <v>111790200</v>
      </c>
      <c r="F111" s="259"/>
      <c r="H111" s="242">
        <f t="shared" si="2"/>
        <v>67790000</v>
      </c>
    </row>
    <row r="112" spans="1:10" x14ac:dyDescent="0.25">
      <c r="A112" s="262">
        <v>101</v>
      </c>
      <c r="B112" s="261">
        <v>45322</v>
      </c>
      <c r="C112" s="260" t="s">
        <v>1707</v>
      </c>
      <c r="D112" s="287">
        <v>115587200</v>
      </c>
      <c r="E112" s="259"/>
      <c r="F112" s="259"/>
      <c r="H112" s="242">
        <f t="shared" si="2"/>
        <v>183377200</v>
      </c>
    </row>
    <row r="113" spans="1:10" x14ac:dyDescent="0.25">
      <c r="A113" s="262">
        <v>102</v>
      </c>
      <c r="B113" s="261">
        <v>45323</v>
      </c>
      <c r="C113" s="260" t="s">
        <v>1074</v>
      </c>
      <c r="D113" s="259"/>
      <c r="E113" s="287">
        <f>61040000+6750000</f>
        <v>67790000</v>
      </c>
      <c r="F113" s="259"/>
      <c r="H113" s="333">
        <f t="shared" si="2"/>
        <v>115587200</v>
      </c>
      <c r="J113" s="242"/>
    </row>
    <row r="114" spans="1:10" x14ac:dyDescent="0.25">
      <c r="A114" s="262">
        <v>103</v>
      </c>
      <c r="B114" s="261">
        <v>45350</v>
      </c>
      <c r="C114" s="260" t="s">
        <v>1718</v>
      </c>
      <c r="D114" s="259">
        <v>11731200</v>
      </c>
      <c r="E114" s="259"/>
      <c r="F114" s="259"/>
      <c r="H114" s="242">
        <f t="shared" si="2"/>
        <v>127318400</v>
      </c>
    </row>
    <row r="115" spans="1:10" x14ac:dyDescent="0.25">
      <c r="A115" s="262">
        <v>104</v>
      </c>
      <c r="B115" s="261">
        <v>45381</v>
      </c>
      <c r="C115" s="260" t="s">
        <v>1740</v>
      </c>
      <c r="D115" s="259">
        <v>52484000</v>
      </c>
      <c r="E115" s="259"/>
      <c r="F115" s="259"/>
      <c r="H115" s="242">
        <f t="shared" si="2"/>
        <v>179802400</v>
      </c>
    </row>
    <row r="116" spans="1:10" x14ac:dyDescent="0.25">
      <c r="A116" s="262">
        <v>105</v>
      </c>
      <c r="B116" s="261">
        <v>45387</v>
      </c>
      <c r="C116" s="260" t="s">
        <v>1250</v>
      </c>
      <c r="D116" s="259"/>
      <c r="E116" s="259">
        <v>122568400</v>
      </c>
      <c r="F116" s="259"/>
      <c r="H116" s="242">
        <f t="shared" si="2"/>
        <v>57234000</v>
      </c>
    </row>
    <row r="117" spans="1:10" x14ac:dyDescent="0.25">
      <c r="A117" s="262">
        <v>106</v>
      </c>
      <c r="B117" s="261">
        <v>45392</v>
      </c>
      <c r="C117" s="260" t="s">
        <v>1250</v>
      </c>
      <c r="D117" s="259"/>
      <c r="E117" s="259">
        <v>4750000</v>
      </c>
      <c r="F117" s="259"/>
      <c r="H117" s="242">
        <f t="shared" si="2"/>
        <v>52484000</v>
      </c>
    </row>
    <row r="118" spans="1:10" x14ac:dyDescent="0.25">
      <c r="A118" s="262">
        <v>107</v>
      </c>
      <c r="B118" s="261">
        <v>45412</v>
      </c>
      <c r="C118" s="260" t="s">
        <v>1771</v>
      </c>
      <c r="D118" s="259">
        <v>26008400</v>
      </c>
      <c r="E118" s="259"/>
      <c r="F118" s="259"/>
      <c r="H118" s="242">
        <f t="shared" si="2"/>
        <v>78492400</v>
      </c>
    </row>
    <row r="119" spans="1:10" x14ac:dyDescent="0.25">
      <c r="A119" s="262">
        <v>108</v>
      </c>
      <c r="B119" s="261">
        <v>45420</v>
      </c>
      <c r="C119" s="260" t="s">
        <v>1775</v>
      </c>
      <c r="D119" s="259">
        <v>9445140</v>
      </c>
      <c r="E119" s="259"/>
      <c r="F119" s="259"/>
      <c r="H119" s="242">
        <f t="shared" si="2"/>
        <v>87937540</v>
      </c>
    </row>
    <row r="120" spans="1:10" x14ac:dyDescent="0.25">
      <c r="A120" s="262">
        <v>109</v>
      </c>
      <c r="B120" s="261">
        <v>45428</v>
      </c>
      <c r="C120" s="260" t="s">
        <v>1250</v>
      </c>
      <c r="D120" s="259"/>
      <c r="E120" s="259">
        <v>50484000</v>
      </c>
      <c r="F120" s="259"/>
      <c r="H120" s="242">
        <f t="shared" si="2"/>
        <v>37453540</v>
      </c>
    </row>
    <row r="121" spans="1:10" x14ac:dyDescent="0.25">
      <c r="A121" s="262">
        <v>110</v>
      </c>
      <c r="B121" s="261">
        <v>45442</v>
      </c>
      <c r="C121" s="260" t="s">
        <v>1790</v>
      </c>
      <c r="D121" s="259">
        <v>38403200</v>
      </c>
      <c r="E121" s="259"/>
      <c r="F121" s="259"/>
      <c r="H121" s="242">
        <f t="shared" si="2"/>
        <v>75856740</v>
      </c>
    </row>
    <row r="122" spans="1:10" x14ac:dyDescent="0.25">
      <c r="A122" s="262">
        <v>111</v>
      </c>
      <c r="B122" s="261">
        <v>45453</v>
      </c>
      <c r="C122" s="260" t="s">
        <v>1074</v>
      </c>
      <c r="D122" s="259"/>
      <c r="E122" s="259">
        <v>28008400</v>
      </c>
      <c r="F122" s="259"/>
      <c r="H122" s="242">
        <f t="shared" si="2"/>
        <v>47848340</v>
      </c>
    </row>
    <row r="123" spans="1:10" x14ac:dyDescent="0.25">
      <c r="A123" s="262">
        <v>112</v>
      </c>
      <c r="B123" s="261">
        <v>45473</v>
      </c>
      <c r="C123" s="260" t="s">
        <v>1810</v>
      </c>
      <c r="D123" s="259">
        <v>157126300</v>
      </c>
      <c r="E123" s="259"/>
      <c r="F123" s="259"/>
      <c r="H123" s="242">
        <f t="shared" si="2"/>
        <v>204974640</v>
      </c>
    </row>
    <row r="124" spans="1:10" x14ac:dyDescent="0.25">
      <c r="A124" s="262">
        <v>113</v>
      </c>
      <c r="B124" s="261">
        <v>45485</v>
      </c>
      <c r="C124" s="260" t="s">
        <v>1250</v>
      </c>
      <c r="D124" s="259"/>
      <c r="E124" s="259">
        <v>37153200</v>
      </c>
      <c r="F124" s="259"/>
      <c r="H124" s="242">
        <f t="shared" si="2"/>
        <v>167821440</v>
      </c>
    </row>
    <row r="125" spans="1:10" x14ac:dyDescent="0.25">
      <c r="A125" s="262">
        <v>114</v>
      </c>
      <c r="B125" s="261">
        <v>45490</v>
      </c>
      <c r="C125" s="260" t="s">
        <v>1250</v>
      </c>
      <c r="D125" s="259"/>
      <c r="E125" s="259">
        <v>10695150</v>
      </c>
      <c r="F125" s="259"/>
      <c r="H125" s="242">
        <f t="shared" si="2"/>
        <v>157126290</v>
      </c>
      <c r="J125" s="242"/>
    </row>
    <row r="126" spans="1:10" x14ac:dyDescent="0.25">
      <c r="A126" s="262">
        <v>115</v>
      </c>
      <c r="B126" s="261">
        <v>45504</v>
      </c>
      <c r="C126" s="260" t="s">
        <v>1828</v>
      </c>
      <c r="D126" s="259">
        <v>90303600</v>
      </c>
      <c r="E126" s="259"/>
      <c r="F126" s="259"/>
      <c r="H126" s="242">
        <f t="shared" si="2"/>
        <v>247429890</v>
      </c>
    </row>
    <row r="127" spans="1:10" x14ac:dyDescent="0.25">
      <c r="A127" s="262">
        <v>116</v>
      </c>
      <c r="B127" s="261">
        <v>45505</v>
      </c>
      <c r="C127" s="260" t="s">
        <v>1250</v>
      </c>
      <c r="D127" s="259"/>
      <c r="E127" s="259">
        <v>151376300</v>
      </c>
      <c r="F127" s="259">
        <f>D123-E127</f>
        <v>5750000</v>
      </c>
      <c r="H127" s="242">
        <f t="shared" si="2"/>
        <v>96053590</v>
      </c>
    </row>
    <row r="128" spans="1:10" x14ac:dyDescent="0.25">
      <c r="A128" s="262">
        <v>117</v>
      </c>
      <c r="B128" s="261">
        <v>45534</v>
      </c>
      <c r="C128" s="260" t="s">
        <v>1862</v>
      </c>
      <c r="D128" s="259">
        <v>121218600</v>
      </c>
      <c r="E128" s="259"/>
      <c r="F128" s="259">
        <v>4750000</v>
      </c>
      <c r="H128" s="242">
        <f t="shared" si="2"/>
        <v>217272190</v>
      </c>
      <c r="J128" s="242"/>
    </row>
    <row r="129" spans="1:10" x14ac:dyDescent="0.25">
      <c r="A129" s="262">
        <v>118</v>
      </c>
      <c r="B129" s="261">
        <v>45555</v>
      </c>
      <c r="C129" s="260" t="s">
        <v>1074</v>
      </c>
      <c r="D129" s="259"/>
      <c r="E129" s="259">
        <v>87553600</v>
      </c>
      <c r="F129" s="259"/>
      <c r="H129" s="242">
        <f t="shared" si="2"/>
        <v>129718590</v>
      </c>
    </row>
    <row r="130" spans="1:10" x14ac:dyDescent="0.25">
      <c r="A130" s="262">
        <v>119</v>
      </c>
      <c r="B130" s="261">
        <v>45562</v>
      </c>
      <c r="C130" s="260" t="s">
        <v>1875</v>
      </c>
      <c r="D130" s="259">
        <v>36784000</v>
      </c>
      <c r="E130" s="259"/>
      <c r="F130" s="259"/>
      <c r="H130" s="242">
        <f t="shared" si="2"/>
        <v>166502590</v>
      </c>
    </row>
    <row r="131" spans="1:10" x14ac:dyDescent="0.25">
      <c r="A131" s="262">
        <v>120</v>
      </c>
      <c r="B131" s="261">
        <v>45579</v>
      </c>
      <c r="C131" s="260" t="s">
        <v>1903</v>
      </c>
      <c r="D131" s="259">
        <v>14574000</v>
      </c>
      <c r="E131" s="259"/>
      <c r="F131" s="259"/>
      <c r="H131" s="242">
        <f t="shared" si="2"/>
        <v>181076590</v>
      </c>
    </row>
    <row r="132" spans="1:10" x14ac:dyDescent="0.25">
      <c r="A132" s="262">
        <v>121</v>
      </c>
      <c r="B132" s="261">
        <v>45590</v>
      </c>
      <c r="C132" s="260" t="s">
        <v>1250</v>
      </c>
      <c r="D132" s="259"/>
      <c r="E132" s="259">
        <v>152002600</v>
      </c>
      <c r="F132" s="259">
        <v>1250000</v>
      </c>
      <c r="H132" s="242">
        <f t="shared" si="2"/>
        <v>29073990</v>
      </c>
    </row>
    <row r="133" spans="1:10" x14ac:dyDescent="0.25">
      <c r="A133" s="262">
        <v>122</v>
      </c>
      <c r="B133" s="261">
        <v>45596</v>
      </c>
      <c r="C133" s="260" t="s">
        <v>1894</v>
      </c>
      <c r="D133" s="259">
        <v>99626000</v>
      </c>
      <c r="E133" s="259"/>
      <c r="F133" s="259"/>
      <c r="H133" s="242">
        <f t="shared" si="2"/>
        <v>128699990</v>
      </c>
      <c r="J133" s="242"/>
    </row>
    <row r="134" spans="1:10" x14ac:dyDescent="0.25">
      <c r="A134" s="262">
        <v>123</v>
      </c>
      <c r="B134" s="261">
        <v>45600</v>
      </c>
      <c r="C134" s="260" t="s">
        <v>1907</v>
      </c>
      <c r="D134" s="259"/>
      <c r="E134" s="259">
        <v>14499990</v>
      </c>
      <c r="F134" s="259"/>
      <c r="H134" s="242">
        <f t="shared" si="2"/>
        <v>114200000</v>
      </c>
    </row>
    <row r="135" spans="1:10" x14ac:dyDescent="0.25">
      <c r="A135" s="262">
        <v>124</v>
      </c>
      <c r="B135" s="261">
        <v>45626</v>
      </c>
      <c r="C135" s="260" t="s">
        <v>1925</v>
      </c>
      <c r="D135" s="259">
        <v>78647600</v>
      </c>
      <c r="E135" s="259"/>
      <c r="F135" s="259"/>
      <c r="H135" s="242">
        <f t="shared" si="2"/>
        <v>192847600</v>
      </c>
    </row>
    <row r="136" spans="1:10" x14ac:dyDescent="0.25">
      <c r="A136" s="262">
        <v>125</v>
      </c>
      <c r="B136" s="261">
        <v>45631</v>
      </c>
      <c r="C136" s="260" t="s">
        <v>1250</v>
      </c>
      <c r="D136" s="259"/>
      <c r="E136" s="259">
        <v>95876000</v>
      </c>
      <c r="F136" s="259"/>
      <c r="H136" s="242">
        <f t="shared" si="2"/>
        <v>96971600</v>
      </c>
    </row>
    <row r="137" spans="1:10" x14ac:dyDescent="0.25">
      <c r="A137" s="262">
        <v>126</v>
      </c>
      <c r="B137" s="261">
        <v>45656</v>
      </c>
      <c r="C137" s="260" t="s">
        <v>1940</v>
      </c>
      <c r="D137" s="259">
        <v>76872400</v>
      </c>
      <c r="E137" s="259"/>
      <c r="F137" s="259"/>
      <c r="H137" s="242">
        <f t="shared" si="2"/>
        <v>173844000</v>
      </c>
    </row>
    <row r="138" spans="1:10" x14ac:dyDescent="0.25">
      <c r="A138" s="262">
        <v>127</v>
      </c>
      <c r="B138" s="261">
        <v>45664</v>
      </c>
      <c r="C138" s="260" t="s">
        <v>1250</v>
      </c>
      <c r="D138" s="259"/>
      <c r="E138" s="259">
        <v>150020000</v>
      </c>
      <c r="F138" s="259"/>
      <c r="H138" s="242">
        <f t="shared" si="2"/>
        <v>23824000</v>
      </c>
    </row>
    <row r="139" spans="1:10" x14ac:dyDescent="0.25">
      <c r="A139" s="262">
        <v>128</v>
      </c>
      <c r="B139" s="261">
        <v>45674</v>
      </c>
      <c r="C139" s="260" t="s">
        <v>1250</v>
      </c>
      <c r="D139" s="259"/>
      <c r="E139" s="259">
        <v>23824000</v>
      </c>
      <c r="F139" s="259"/>
      <c r="H139" s="242">
        <f t="shared" si="2"/>
        <v>0</v>
      </c>
    </row>
    <row r="140" spans="1:10" x14ac:dyDescent="0.25">
      <c r="A140" s="262">
        <v>129</v>
      </c>
      <c r="B140" s="261">
        <v>45688</v>
      </c>
      <c r="C140" s="260" t="s">
        <v>1962</v>
      </c>
      <c r="D140" s="259">
        <v>15138400</v>
      </c>
      <c r="E140" s="259"/>
      <c r="F140" s="259"/>
      <c r="H140" s="242">
        <f t="shared" si="2"/>
        <v>15138400</v>
      </c>
    </row>
    <row r="141" spans="1:10" x14ac:dyDescent="0.25">
      <c r="A141" s="262">
        <v>130</v>
      </c>
      <c r="B141" s="261">
        <v>45716</v>
      </c>
      <c r="C141" s="260" t="s">
        <v>1977</v>
      </c>
      <c r="D141" s="259">
        <v>91075400</v>
      </c>
      <c r="E141" s="259"/>
      <c r="F141" s="259"/>
      <c r="H141" s="242">
        <f t="shared" si="2"/>
        <v>106213800</v>
      </c>
    </row>
    <row r="142" spans="1:10" x14ac:dyDescent="0.25">
      <c r="A142" s="262">
        <v>131</v>
      </c>
      <c r="B142" s="261">
        <v>45747</v>
      </c>
      <c r="C142" s="260" t="s">
        <v>1989</v>
      </c>
      <c r="D142" s="259">
        <v>52606800</v>
      </c>
      <c r="E142" s="259"/>
      <c r="F142" s="259"/>
      <c r="H142" s="242">
        <f t="shared" si="2"/>
        <v>158820600</v>
      </c>
    </row>
    <row r="143" spans="1:10" x14ac:dyDescent="0.25">
      <c r="A143" s="262">
        <v>132</v>
      </c>
      <c r="B143" s="261">
        <v>45758</v>
      </c>
      <c r="C143" s="260" t="s">
        <v>1074</v>
      </c>
      <c r="D143" s="259"/>
      <c r="E143" s="259">
        <v>102213800</v>
      </c>
      <c r="F143" s="259"/>
      <c r="H143" s="242">
        <f t="shared" ref="H143:H168" si="3">H142+D143-E143</f>
        <v>56606800</v>
      </c>
    </row>
    <row r="144" spans="1:10" x14ac:dyDescent="0.25">
      <c r="A144" s="262">
        <v>133</v>
      </c>
      <c r="B144" s="261">
        <v>45776</v>
      </c>
      <c r="C144" s="260" t="s">
        <v>2010</v>
      </c>
      <c r="D144" s="259">
        <v>51366000</v>
      </c>
      <c r="E144" s="259"/>
      <c r="F144" s="259"/>
      <c r="H144" s="242">
        <f t="shared" si="3"/>
        <v>107972800</v>
      </c>
    </row>
    <row r="145" spans="1:10" x14ac:dyDescent="0.25">
      <c r="A145" s="262">
        <v>134</v>
      </c>
      <c r="B145" s="261"/>
      <c r="C145" s="260"/>
      <c r="D145" s="259"/>
      <c r="E145" s="259"/>
      <c r="F145" s="259"/>
      <c r="H145" s="242">
        <f t="shared" si="3"/>
        <v>107972800</v>
      </c>
    </row>
    <row r="146" spans="1:10" x14ac:dyDescent="0.25">
      <c r="A146" s="260"/>
      <c r="B146" s="261"/>
      <c r="C146" s="260"/>
      <c r="D146" s="259"/>
      <c r="E146" s="259"/>
      <c r="F146" s="259"/>
      <c r="H146" s="242">
        <f t="shared" si="3"/>
        <v>107972800</v>
      </c>
    </row>
    <row r="147" spans="1:10" x14ac:dyDescent="0.25">
      <c r="A147" s="260"/>
      <c r="B147" s="261"/>
      <c r="C147" s="260"/>
      <c r="D147" s="259"/>
      <c r="E147" s="259"/>
      <c r="F147" s="259"/>
      <c r="H147" s="242">
        <f t="shared" si="3"/>
        <v>107972800</v>
      </c>
      <c r="J147" s="242">
        <f>H147-D131</f>
        <v>93398800</v>
      </c>
    </row>
    <row r="148" spans="1:10" x14ac:dyDescent="0.25">
      <c r="A148" s="260"/>
      <c r="B148" s="261"/>
      <c r="C148" s="260"/>
      <c r="D148" s="259"/>
      <c r="E148" s="259"/>
      <c r="F148" s="259"/>
      <c r="H148" s="242">
        <f t="shared" si="3"/>
        <v>107972800</v>
      </c>
    </row>
    <row r="149" spans="1:10" x14ac:dyDescent="0.25">
      <c r="A149" s="260"/>
      <c r="B149" s="261"/>
      <c r="C149" s="260"/>
      <c r="D149" s="259"/>
      <c r="E149" s="259"/>
      <c r="F149" s="259"/>
      <c r="H149" s="242">
        <f t="shared" si="3"/>
        <v>107972800</v>
      </c>
    </row>
    <row r="150" spans="1:10" x14ac:dyDescent="0.25">
      <c r="A150" s="260"/>
      <c r="B150" s="261"/>
      <c r="C150" s="260"/>
      <c r="D150" s="259"/>
      <c r="E150" s="259"/>
      <c r="F150" s="259"/>
      <c r="H150" s="242">
        <f t="shared" si="3"/>
        <v>107972800</v>
      </c>
    </row>
    <row r="151" spans="1:10" x14ac:dyDescent="0.25">
      <c r="A151" s="260"/>
      <c r="B151" s="262"/>
      <c r="C151" s="260"/>
      <c r="D151" s="259"/>
      <c r="E151" s="259"/>
      <c r="F151" s="259"/>
      <c r="H151" s="242">
        <f t="shared" si="3"/>
        <v>107972800</v>
      </c>
    </row>
    <row r="152" spans="1:10" x14ac:dyDescent="0.25">
      <c r="A152" s="260"/>
      <c r="B152" s="262"/>
      <c r="C152" s="260"/>
      <c r="D152" s="259"/>
      <c r="E152" s="259"/>
      <c r="F152" s="259"/>
      <c r="H152" s="242">
        <f t="shared" si="3"/>
        <v>107972800</v>
      </c>
    </row>
    <row r="153" spans="1:10" x14ac:dyDescent="0.25">
      <c r="A153" s="260"/>
      <c r="B153" s="262"/>
      <c r="C153" s="260"/>
      <c r="D153" s="259"/>
      <c r="E153" s="259"/>
      <c r="F153" s="259"/>
      <c r="H153" s="242">
        <f t="shared" si="3"/>
        <v>107972800</v>
      </c>
    </row>
    <row r="154" spans="1:10" x14ac:dyDescent="0.25">
      <c r="A154" s="260"/>
      <c r="B154" s="262"/>
      <c r="C154" s="260"/>
      <c r="D154" s="259"/>
      <c r="E154" s="259"/>
      <c r="F154" s="259"/>
      <c r="H154" s="242">
        <f t="shared" si="3"/>
        <v>107972800</v>
      </c>
    </row>
    <row r="155" spans="1:10" x14ac:dyDescent="0.25">
      <c r="A155" s="260"/>
      <c r="B155" s="262"/>
      <c r="C155" s="260"/>
      <c r="D155" s="259"/>
      <c r="E155" s="259"/>
      <c r="F155" s="259"/>
      <c r="H155" s="242">
        <f t="shared" si="3"/>
        <v>107972800</v>
      </c>
    </row>
    <row r="156" spans="1:10" x14ac:dyDescent="0.25">
      <c r="A156" s="260"/>
      <c r="B156" s="262"/>
      <c r="C156" s="260"/>
      <c r="D156" s="259"/>
      <c r="E156" s="259"/>
      <c r="F156" s="259"/>
      <c r="H156" s="242">
        <f t="shared" si="3"/>
        <v>107972800</v>
      </c>
    </row>
    <row r="157" spans="1:10" x14ac:dyDescent="0.25">
      <c r="A157" s="260"/>
      <c r="B157" s="262"/>
      <c r="C157" s="260"/>
      <c r="D157" s="259"/>
      <c r="E157" s="259"/>
      <c r="F157" s="259"/>
      <c r="H157" s="242">
        <f t="shared" si="3"/>
        <v>107972800</v>
      </c>
    </row>
    <row r="158" spans="1:10" x14ac:dyDescent="0.25">
      <c r="A158" s="260"/>
      <c r="B158" s="262"/>
      <c r="C158" s="260"/>
      <c r="D158" s="259"/>
      <c r="E158" s="259"/>
      <c r="F158" s="259"/>
      <c r="H158" s="242">
        <f t="shared" si="3"/>
        <v>107972800</v>
      </c>
    </row>
    <row r="159" spans="1:10" x14ac:dyDescent="0.25">
      <c r="A159" s="260"/>
      <c r="B159" s="262"/>
      <c r="C159" s="260"/>
      <c r="D159" s="259"/>
      <c r="E159" s="259"/>
      <c r="F159" s="259"/>
      <c r="H159" s="242">
        <f t="shared" si="3"/>
        <v>107972800</v>
      </c>
    </row>
    <row r="160" spans="1:10" x14ac:dyDescent="0.25">
      <c r="A160" s="260"/>
      <c r="B160" s="262"/>
      <c r="C160" s="260"/>
      <c r="D160" s="259"/>
      <c r="E160" s="259"/>
      <c r="F160" s="259"/>
      <c r="H160" s="242">
        <f t="shared" si="3"/>
        <v>107972800</v>
      </c>
    </row>
    <row r="161" spans="1:8" x14ac:dyDescent="0.25">
      <c r="A161" s="260"/>
      <c r="B161" s="262"/>
      <c r="C161" s="260"/>
      <c r="D161" s="259"/>
      <c r="E161" s="259"/>
      <c r="F161" s="259"/>
      <c r="H161" s="242">
        <f t="shared" si="3"/>
        <v>107972800</v>
      </c>
    </row>
    <row r="162" spans="1:8" x14ac:dyDescent="0.25">
      <c r="A162" s="260"/>
      <c r="B162" s="262"/>
      <c r="C162" s="260"/>
      <c r="D162" s="259"/>
      <c r="E162" s="259"/>
      <c r="F162" s="259"/>
      <c r="H162" s="242">
        <f t="shared" si="3"/>
        <v>107972800</v>
      </c>
    </row>
    <row r="163" spans="1:8" x14ac:dyDescent="0.25">
      <c r="A163" s="260"/>
      <c r="B163" s="262"/>
      <c r="C163" s="260"/>
      <c r="D163" s="259"/>
      <c r="E163" s="259"/>
      <c r="F163" s="259"/>
      <c r="H163" s="242">
        <f t="shared" si="3"/>
        <v>107972800</v>
      </c>
    </row>
    <row r="164" spans="1:8" x14ac:dyDescent="0.25">
      <c r="A164" s="260"/>
      <c r="B164" s="262"/>
      <c r="C164" s="260"/>
      <c r="D164" s="259"/>
      <c r="E164" s="259"/>
      <c r="F164" s="259"/>
      <c r="H164" s="242">
        <f t="shared" si="3"/>
        <v>107972800</v>
      </c>
    </row>
    <row r="165" spans="1:8" x14ac:dyDescent="0.25">
      <c r="A165" s="260"/>
      <c r="B165" s="262"/>
      <c r="C165" s="260"/>
      <c r="D165" s="259"/>
      <c r="E165" s="259"/>
      <c r="F165" s="259"/>
      <c r="H165" s="242">
        <f t="shared" si="3"/>
        <v>107972800</v>
      </c>
    </row>
    <row r="166" spans="1:8" x14ac:dyDescent="0.25">
      <c r="A166" s="260"/>
      <c r="B166" s="262"/>
      <c r="C166" s="260"/>
      <c r="D166" s="259"/>
      <c r="E166" s="259"/>
      <c r="F166" s="259"/>
      <c r="H166" s="242">
        <f t="shared" si="3"/>
        <v>107972800</v>
      </c>
    </row>
    <row r="167" spans="1:8" x14ac:dyDescent="0.25">
      <c r="A167" s="260"/>
      <c r="B167" s="262"/>
      <c r="C167" s="260"/>
      <c r="D167" s="259"/>
      <c r="E167" s="259"/>
      <c r="F167" s="259"/>
      <c r="H167" s="242">
        <f t="shared" si="3"/>
        <v>107972800</v>
      </c>
    </row>
    <row r="168" spans="1:8" x14ac:dyDescent="0.25">
      <c r="A168" s="260"/>
      <c r="B168" s="262"/>
      <c r="C168" s="260"/>
      <c r="D168" s="259"/>
      <c r="E168" s="259"/>
      <c r="F168" s="259"/>
      <c r="H168" s="242">
        <f t="shared" si="3"/>
        <v>107972800</v>
      </c>
    </row>
    <row r="169" spans="1:8" x14ac:dyDescent="0.25">
      <c r="A169" s="260"/>
      <c r="B169" s="262"/>
      <c r="C169" s="260"/>
      <c r="D169" s="259"/>
      <c r="E169" s="259"/>
      <c r="F169" s="259"/>
    </row>
    <row r="170" spans="1:8" x14ac:dyDescent="0.25">
      <c r="A170" s="260"/>
      <c r="B170" s="262"/>
      <c r="C170" s="260"/>
      <c r="D170" s="259"/>
      <c r="E170" s="259"/>
      <c r="F170" s="259"/>
    </row>
    <row r="171" spans="1:8" x14ac:dyDescent="0.25">
      <c r="A171" s="260"/>
      <c r="B171" s="262"/>
      <c r="C171" s="260"/>
      <c r="D171" s="259"/>
      <c r="E171" s="259"/>
      <c r="F171" s="259"/>
    </row>
    <row r="172" spans="1:8" x14ac:dyDescent="0.25">
      <c r="A172" s="260"/>
      <c r="B172" s="262"/>
      <c r="C172" s="260"/>
      <c r="D172" s="259"/>
      <c r="E172" s="259"/>
      <c r="F172" s="259"/>
    </row>
    <row r="173" spans="1:8" x14ac:dyDescent="0.25">
      <c r="A173" s="260"/>
      <c r="B173" s="262"/>
      <c r="C173" s="260"/>
      <c r="D173" s="259"/>
      <c r="E173" s="259"/>
      <c r="F173" s="259"/>
    </row>
    <row r="174" spans="1:8" x14ac:dyDescent="0.25">
      <c r="A174" s="260"/>
      <c r="B174" s="262"/>
      <c r="C174" s="260"/>
      <c r="D174" s="259"/>
      <c r="E174" s="259"/>
      <c r="F174" s="259"/>
    </row>
    <row r="175" spans="1:8" x14ac:dyDescent="0.25">
      <c r="A175" s="260"/>
      <c r="B175" s="262"/>
      <c r="C175" s="260"/>
      <c r="D175" s="259"/>
      <c r="E175" s="259"/>
      <c r="F175" s="259"/>
    </row>
    <row r="176" spans="1:8" x14ac:dyDescent="0.25">
      <c r="A176" s="260"/>
      <c r="B176" s="262"/>
      <c r="C176" s="260"/>
      <c r="D176" s="259"/>
      <c r="E176" s="259"/>
      <c r="F176" s="259"/>
    </row>
    <row r="177" spans="1:6" x14ac:dyDescent="0.25">
      <c r="A177" s="260"/>
      <c r="B177" s="262"/>
      <c r="C177" s="260"/>
      <c r="D177" s="259"/>
      <c r="E177" s="259"/>
      <c r="F177" s="259"/>
    </row>
    <row r="178" spans="1:6" x14ac:dyDescent="0.25">
      <c r="A178" s="260"/>
      <c r="B178" s="262"/>
      <c r="C178" s="260"/>
      <c r="D178" s="259"/>
      <c r="E178" s="259"/>
      <c r="F178" s="259"/>
    </row>
    <row r="179" spans="1:6" x14ac:dyDescent="0.25">
      <c r="A179" s="260"/>
      <c r="B179" s="262"/>
      <c r="C179" s="260"/>
      <c r="D179" s="259"/>
      <c r="E179" s="259"/>
      <c r="F179" s="259"/>
    </row>
    <row r="180" spans="1:6" x14ac:dyDescent="0.25">
      <c r="A180" s="260"/>
      <c r="B180" s="262"/>
      <c r="C180" s="260"/>
      <c r="D180" s="259"/>
      <c r="E180" s="259"/>
      <c r="F180" s="259"/>
    </row>
    <row r="181" spans="1:6" x14ac:dyDescent="0.25">
      <c r="A181" s="260"/>
      <c r="B181" s="262"/>
      <c r="C181" s="260"/>
      <c r="D181" s="259"/>
      <c r="E181" s="259"/>
      <c r="F181" s="259"/>
    </row>
    <row r="182" spans="1:6" x14ac:dyDescent="0.25">
      <c r="A182" s="260"/>
      <c r="B182" s="262"/>
      <c r="C182" s="260"/>
      <c r="D182" s="259"/>
      <c r="E182" s="259"/>
      <c r="F182" s="259"/>
    </row>
    <row r="183" spans="1:6" x14ac:dyDescent="0.25">
      <c r="A183" s="260"/>
      <c r="B183" s="262"/>
      <c r="C183" s="260"/>
      <c r="D183" s="259"/>
      <c r="E183" s="259"/>
      <c r="F183" s="259"/>
    </row>
    <row r="184" spans="1:6" x14ac:dyDescent="0.25">
      <c r="A184" s="260"/>
      <c r="B184" s="262"/>
      <c r="C184" s="260"/>
      <c r="D184" s="259"/>
      <c r="E184" s="259"/>
      <c r="F184" s="259"/>
    </row>
    <row r="185" spans="1:6" x14ac:dyDescent="0.25">
      <c r="A185" s="260"/>
      <c r="B185" s="262"/>
      <c r="C185" s="260"/>
      <c r="D185" s="259"/>
      <c r="E185" s="259"/>
      <c r="F185" s="259"/>
    </row>
    <row r="186" spans="1:6" x14ac:dyDescent="0.25">
      <c r="A186" s="260"/>
      <c r="B186" s="262"/>
      <c r="C186" s="260"/>
      <c r="D186" s="259"/>
      <c r="E186" s="259"/>
      <c r="F186" s="259"/>
    </row>
    <row r="187" spans="1:6" x14ac:dyDescent="0.25">
      <c r="A187" s="260"/>
      <c r="B187" s="262"/>
      <c r="C187" s="260"/>
      <c r="D187" s="259"/>
      <c r="E187" s="259"/>
      <c r="F187" s="259"/>
    </row>
    <row r="188" spans="1:6" x14ac:dyDescent="0.25">
      <c r="A188" s="260"/>
      <c r="B188" s="262"/>
      <c r="C188" s="260"/>
      <c r="D188" s="259"/>
      <c r="E188" s="259"/>
      <c r="F188" s="259"/>
    </row>
    <row r="189" spans="1:6" x14ac:dyDescent="0.25">
      <c r="A189" s="260"/>
      <c r="B189" s="262"/>
      <c r="C189" s="260"/>
      <c r="D189" s="259"/>
      <c r="E189" s="259"/>
      <c r="F189" s="259"/>
    </row>
    <row r="190" spans="1:6" x14ac:dyDescent="0.25">
      <c r="A190" s="260"/>
      <c r="B190" s="262"/>
      <c r="C190" s="260"/>
      <c r="D190" s="259"/>
      <c r="E190" s="259"/>
      <c r="F190" s="259"/>
    </row>
    <row r="191" spans="1:6" x14ac:dyDescent="0.25">
      <c r="A191" s="260"/>
      <c r="B191" s="262"/>
      <c r="C191" s="260"/>
      <c r="D191" s="259"/>
      <c r="E191" s="259"/>
      <c r="F191" s="259"/>
    </row>
    <row r="192" spans="1:6" x14ac:dyDescent="0.25">
      <c r="A192" s="260"/>
      <c r="B192" s="262"/>
      <c r="C192" s="260"/>
      <c r="D192" s="259"/>
      <c r="E192" s="259"/>
      <c r="F192" s="259"/>
    </row>
    <row r="193" spans="1:6" x14ac:dyDescent="0.25">
      <c r="A193" s="260"/>
      <c r="B193" s="262"/>
      <c r="C193" s="260"/>
      <c r="D193" s="259"/>
      <c r="E193" s="259"/>
      <c r="F193" s="259"/>
    </row>
    <row r="194" spans="1:6" x14ac:dyDescent="0.25">
      <c r="A194" s="260"/>
      <c r="B194" s="262"/>
      <c r="C194" s="260"/>
      <c r="D194" s="259"/>
      <c r="E194" s="259"/>
      <c r="F194" s="259"/>
    </row>
    <row r="195" spans="1:6" x14ac:dyDescent="0.25">
      <c r="A195" s="260"/>
      <c r="B195" s="262"/>
      <c r="C195" s="260"/>
      <c r="D195" s="259"/>
      <c r="E195" s="259"/>
      <c r="F195" s="259"/>
    </row>
    <row r="196" spans="1:6" x14ac:dyDescent="0.25">
      <c r="A196" s="260"/>
      <c r="B196" s="262"/>
      <c r="C196" s="260"/>
      <c r="D196" s="259"/>
      <c r="E196" s="259"/>
      <c r="F196" s="259"/>
    </row>
    <row r="197" spans="1:6" x14ac:dyDescent="0.25">
      <c r="A197" s="260"/>
      <c r="B197" s="262"/>
      <c r="C197" s="260"/>
      <c r="D197" s="259"/>
      <c r="E197" s="259"/>
      <c r="F197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0D00-000000000000}"/>
  </hyperlinks>
  <pageMargins left="0.7" right="0.7" top="0.75" bottom="0.75" header="0.3" footer="0.3"/>
  <pageSetup orientation="portrait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08"/>
  <sheetViews>
    <sheetView workbookViewId="0">
      <selection activeCell="G1" sqref="G1"/>
    </sheetView>
  </sheetViews>
  <sheetFormatPr defaultRowHeight="15" x14ac:dyDescent="0.25"/>
  <cols>
    <col min="1" max="1" width="9.140625" style="251"/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8.85546875" style="2" customWidth="1"/>
    <col min="7" max="7" width="10.5703125" bestFit="1" customWidth="1"/>
    <col min="8" max="8" width="11.5703125" bestFit="1" customWidth="1"/>
    <col min="10" max="10" width="14.28515625" bestFit="1" customWidth="1"/>
    <col min="12" max="12" width="14.28515625" bestFit="1" customWidth="1"/>
  </cols>
  <sheetData>
    <row r="1" spans="1:12" x14ac:dyDescent="0.25">
      <c r="A1" s="252"/>
      <c r="B1" s="252"/>
      <c r="G1" s="1" t="s">
        <v>16</v>
      </c>
    </row>
    <row r="2" spans="1:12" x14ac:dyDescent="0.25">
      <c r="A2" s="411" t="s">
        <v>3</v>
      </c>
      <c r="B2" s="411"/>
      <c r="C2" s="411"/>
      <c r="D2" s="411"/>
      <c r="E2" s="411"/>
      <c r="F2" s="411"/>
    </row>
    <row r="3" spans="1:12" x14ac:dyDescent="0.25">
      <c r="A3" s="251" t="s">
        <v>4</v>
      </c>
      <c r="D3" s="2" t="s">
        <v>32</v>
      </c>
    </row>
    <row r="4" spans="1:12" x14ac:dyDescent="0.25">
      <c r="E4" s="2" t="s">
        <v>9</v>
      </c>
      <c r="F4" s="2">
        <v>23056450</v>
      </c>
    </row>
    <row r="5" spans="1:12" x14ac:dyDescent="0.25">
      <c r="A5" s="251" t="s">
        <v>13</v>
      </c>
      <c r="D5" s="3">
        <f ca="1">+'Tổng hợp'!$G$2</f>
        <v>45784</v>
      </c>
      <c r="E5" s="2" t="s">
        <v>10</v>
      </c>
      <c r="F5" s="2">
        <f>SUM(D10:D500)</f>
        <v>2274867269</v>
      </c>
    </row>
    <row r="6" spans="1:12" x14ac:dyDescent="0.25">
      <c r="E6" s="2" t="s">
        <v>11</v>
      </c>
      <c r="F6" s="2">
        <f>SUM(E10:E500)</f>
        <v>2254182919</v>
      </c>
    </row>
    <row r="7" spans="1:12" x14ac:dyDescent="0.25">
      <c r="E7" s="2" t="s">
        <v>12</v>
      </c>
      <c r="F7" s="2">
        <f>+F4+F5-F6</f>
        <v>43740800</v>
      </c>
    </row>
    <row r="8" spans="1:12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12" x14ac:dyDescent="0.25">
      <c r="A9" s="412"/>
      <c r="B9" s="412"/>
      <c r="C9" s="412"/>
      <c r="D9" s="263" t="s">
        <v>6</v>
      </c>
      <c r="E9" s="263" t="s">
        <v>7</v>
      </c>
      <c r="F9" s="415"/>
    </row>
    <row r="10" spans="1:12" x14ac:dyDescent="0.25">
      <c r="A10" s="262">
        <v>1</v>
      </c>
      <c r="B10" s="261">
        <v>43619</v>
      </c>
      <c r="C10" s="275" t="s">
        <v>33</v>
      </c>
      <c r="D10" s="259"/>
      <c r="E10" s="259">
        <v>23056450</v>
      </c>
      <c r="F10" s="259"/>
      <c r="J10" s="242">
        <f>F4+D10-E10</f>
        <v>0</v>
      </c>
      <c r="L10" s="242"/>
    </row>
    <row r="11" spans="1:12" x14ac:dyDescent="0.25">
      <c r="A11" s="262">
        <v>2</v>
      </c>
      <c r="B11" s="261">
        <v>43622</v>
      </c>
      <c r="C11" s="275" t="s">
        <v>171</v>
      </c>
      <c r="D11" s="259">
        <v>23060650</v>
      </c>
      <c r="E11" s="259"/>
      <c r="F11" s="259"/>
      <c r="J11" s="242">
        <f>J10+D11-E11</f>
        <v>23060650</v>
      </c>
      <c r="L11" s="242"/>
    </row>
    <row r="12" spans="1:12" x14ac:dyDescent="0.25">
      <c r="A12" s="262">
        <v>3</v>
      </c>
      <c r="B12" s="261">
        <v>43642</v>
      </c>
      <c r="C12" s="275" t="s">
        <v>163</v>
      </c>
      <c r="D12" s="259">
        <v>25973150</v>
      </c>
      <c r="E12" s="259"/>
      <c r="F12" s="259"/>
      <c r="J12" s="242">
        <f t="shared" ref="J12:J75" si="0">J11+D12-E12</f>
        <v>49033800</v>
      </c>
      <c r="L12" s="242"/>
    </row>
    <row r="13" spans="1:12" x14ac:dyDescent="0.25">
      <c r="A13" s="262">
        <v>4</v>
      </c>
      <c r="B13" s="261">
        <v>43655</v>
      </c>
      <c r="C13" s="275" t="s">
        <v>183</v>
      </c>
      <c r="D13" s="259"/>
      <c r="E13" s="259">
        <v>23060650</v>
      </c>
      <c r="F13" s="259"/>
      <c r="J13" s="242">
        <f t="shared" si="0"/>
        <v>25973150</v>
      </c>
      <c r="L13" s="242"/>
    </row>
    <row r="14" spans="1:12" x14ac:dyDescent="0.25">
      <c r="A14" s="262">
        <v>5</v>
      </c>
      <c r="B14" s="261">
        <v>43655</v>
      </c>
      <c r="C14" s="275" t="s">
        <v>188</v>
      </c>
      <c r="D14" s="259">
        <v>23052650</v>
      </c>
      <c r="E14" s="259"/>
      <c r="F14" s="259"/>
      <c r="J14" s="242">
        <f t="shared" si="0"/>
        <v>49025800</v>
      </c>
      <c r="L14" s="242"/>
    </row>
    <row r="15" spans="1:12" x14ac:dyDescent="0.25">
      <c r="A15" s="262">
        <v>6</v>
      </c>
      <c r="B15" s="261">
        <v>43675</v>
      </c>
      <c r="C15" s="275" t="s">
        <v>193</v>
      </c>
      <c r="D15" s="259"/>
      <c r="E15" s="259"/>
      <c r="F15" s="259">
        <v>25000000</v>
      </c>
      <c r="H15" t="s">
        <v>209</v>
      </c>
      <c r="J15" s="242">
        <f t="shared" si="0"/>
        <v>49025800</v>
      </c>
      <c r="L15" s="242"/>
    </row>
    <row r="16" spans="1:12" x14ac:dyDescent="0.25">
      <c r="A16" s="262">
        <v>7</v>
      </c>
      <c r="B16" s="261">
        <v>43686</v>
      </c>
      <c r="C16" s="275" t="s">
        <v>208</v>
      </c>
      <c r="D16" s="259"/>
      <c r="E16" s="259">
        <v>25961150</v>
      </c>
      <c r="F16" s="259"/>
      <c r="H16" t="s">
        <v>210</v>
      </c>
      <c r="J16" s="242">
        <f t="shared" si="0"/>
        <v>23064650</v>
      </c>
      <c r="L16" s="242"/>
    </row>
    <row r="17" spans="1:12" x14ac:dyDescent="0.25">
      <c r="A17" s="262">
        <v>8</v>
      </c>
      <c r="B17" s="261" t="s">
        <v>241</v>
      </c>
      <c r="C17" s="275" t="s">
        <v>242</v>
      </c>
      <c r="D17" s="259">
        <v>23064450</v>
      </c>
      <c r="E17" s="259"/>
      <c r="F17" s="259"/>
      <c r="J17" s="242">
        <f t="shared" si="0"/>
        <v>46129100</v>
      </c>
      <c r="L17" s="242"/>
    </row>
    <row r="18" spans="1:12" x14ac:dyDescent="0.25">
      <c r="A18" s="262">
        <v>9</v>
      </c>
      <c r="B18" s="262" t="s">
        <v>243</v>
      </c>
      <c r="C18" s="275" t="s">
        <v>244</v>
      </c>
      <c r="D18" s="259">
        <v>27052050</v>
      </c>
      <c r="E18" s="259">
        <v>23052650</v>
      </c>
      <c r="F18" s="259"/>
      <c r="J18" s="242">
        <f t="shared" si="0"/>
        <v>50128500</v>
      </c>
      <c r="L18" s="242"/>
    </row>
    <row r="19" spans="1:12" x14ac:dyDescent="0.25">
      <c r="A19" s="262">
        <v>10</v>
      </c>
      <c r="B19" s="261">
        <v>43625</v>
      </c>
      <c r="C19" s="275" t="s">
        <v>245</v>
      </c>
      <c r="D19" s="259"/>
      <c r="E19" s="259">
        <v>23064450</v>
      </c>
      <c r="F19" s="259"/>
      <c r="J19" s="242">
        <f t="shared" si="0"/>
        <v>27064050</v>
      </c>
      <c r="L19" s="242"/>
    </row>
    <row r="20" spans="1:12" x14ac:dyDescent="0.25">
      <c r="A20" s="262">
        <v>11</v>
      </c>
      <c r="B20" s="261">
        <v>43808</v>
      </c>
      <c r="C20" s="275" t="s">
        <v>284</v>
      </c>
      <c r="D20" s="259"/>
      <c r="E20" s="259">
        <v>4000000</v>
      </c>
      <c r="F20" s="259"/>
      <c r="J20" s="242">
        <f t="shared" si="0"/>
        <v>23064050</v>
      </c>
      <c r="L20" s="242"/>
    </row>
    <row r="21" spans="1:12" x14ac:dyDescent="0.25">
      <c r="A21" s="262">
        <v>12</v>
      </c>
      <c r="B21" s="262" t="s">
        <v>263</v>
      </c>
      <c r="C21" s="275" t="s">
        <v>268</v>
      </c>
      <c r="D21" s="259">
        <v>25969650</v>
      </c>
      <c r="E21" s="259"/>
      <c r="F21" s="259"/>
      <c r="J21" s="242">
        <f t="shared" si="0"/>
        <v>49033700</v>
      </c>
      <c r="L21" s="242"/>
    </row>
    <row r="22" spans="1:12" x14ac:dyDescent="0.25">
      <c r="A22" s="262">
        <v>13</v>
      </c>
      <c r="B22" s="274">
        <v>43740</v>
      </c>
      <c r="C22" s="275" t="s">
        <v>291</v>
      </c>
      <c r="D22" s="259">
        <v>23052050</v>
      </c>
      <c r="E22" s="259"/>
      <c r="F22" s="259"/>
      <c r="J22" s="242">
        <f t="shared" si="0"/>
        <v>72085750</v>
      </c>
      <c r="L22" s="242"/>
    </row>
    <row r="23" spans="1:12" x14ac:dyDescent="0.25">
      <c r="A23" s="262">
        <v>14</v>
      </c>
      <c r="B23" s="274">
        <v>43742</v>
      </c>
      <c r="C23" s="275" t="s">
        <v>283</v>
      </c>
      <c r="D23" s="259"/>
      <c r="E23" s="259">
        <v>46116500</v>
      </c>
      <c r="F23" s="259"/>
      <c r="J23" s="242">
        <f t="shared" si="0"/>
        <v>25969250</v>
      </c>
      <c r="L23" s="242"/>
    </row>
    <row r="24" spans="1:12" x14ac:dyDescent="0.25">
      <c r="A24" s="262">
        <v>15</v>
      </c>
      <c r="B24" s="274">
        <v>43746</v>
      </c>
      <c r="C24" s="275" t="s">
        <v>283</v>
      </c>
      <c r="D24" s="259"/>
      <c r="E24" s="259">
        <v>2917200</v>
      </c>
      <c r="F24" s="259"/>
      <c r="J24" s="242">
        <f t="shared" si="0"/>
        <v>23052050</v>
      </c>
      <c r="L24" s="242"/>
    </row>
    <row r="25" spans="1:12" x14ac:dyDescent="0.25">
      <c r="A25" s="262">
        <v>16</v>
      </c>
      <c r="B25" s="262" t="s">
        <v>300</v>
      </c>
      <c r="C25" s="275" t="s">
        <v>305</v>
      </c>
      <c r="D25" s="259">
        <v>27052450</v>
      </c>
      <c r="E25" s="259"/>
      <c r="F25" s="259"/>
      <c r="J25" s="242">
        <f t="shared" si="0"/>
        <v>50104500</v>
      </c>
      <c r="L25" s="242"/>
    </row>
    <row r="26" spans="1:12" x14ac:dyDescent="0.25">
      <c r="A26" s="262">
        <v>17</v>
      </c>
      <c r="B26" s="261">
        <v>43627</v>
      </c>
      <c r="C26" s="275" t="s">
        <v>321</v>
      </c>
      <c r="D26" s="259">
        <v>23576650</v>
      </c>
      <c r="E26" s="259"/>
      <c r="F26" s="259"/>
      <c r="J26" s="242">
        <f t="shared" si="0"/>
        <v>73681150</v>
      </c>
      <c r="L26" s="242"/>
    </row>
    <row r="27" spans="1:12" x14ac:dyDescent="0.25">
      <c r="A27" s="262">
        <v>18</v>
      </c>
      <c r="B27" s="261" t="s">
        <v>315</v>
      </c>
      <c r="C27" s="275" t="s">
        <v>316</v>
      </c>
      <c r="D27" s="259"/>
      <c r="E27" s="259">
        <v>23052050</v>
      </c>
      <c r="F27" s="259"/>
      <c r="J27" s="242">
        <f t="shared" si="0"/>
        <v>50629100</v>
      </c>
      <c r="L27" s="242"/>
    </row>
    <row r="28" spans="1:12" x14ac:dyDescent="0.25">
      <c r="A28" s="262">
        <v>19</v>
      </c>
      <c r="B28" s="261">
        <v>43780</v>
      </c>
      <c r="C28" s="275" t="s">
        <v>316</v>
      </c>
      <c r="D28" s="259"/>
      <c r="E28" s="259">
        <v>23052450</v>
      </c>
      <c r="F28" s="259"/>
      <c r="J28" s="242">
        <f t="shared" si="0"/>
        <v>27576650</v>
      </c>
      <c r="L28" s="242"/>
    </row>
    <row r="29" spans="1:12" x14ac:dyDescent="0.25">
      <c r="A29" s="262">
        <v>20</v>
      </c>
      <c r="B29" s="262" t="s">
        <v>336</v>
      </c>
      <c r="C29" s="275" t="s">
        <v>337</v>
      </c>
      <c r="D29" s="259">
        <v>28333200</v>
      </c>
      <c r="E29" s="259"/>
      <c r="F29" s="276"/>
      <c r="J29" s="242">
        <f t="shared" si="0"/>
        <v>55909850</v>
      </c>
      <c r="L29" s="242"/>
    </row>
    <row r="30" spans="1:12" x14ac:dyDescent="0.25">
      <c r="A30" s="262">
        <v>21</v>
      </c>
      <c r="B30" s="262" t="s">
        <v>338</v>
      </c>
      <c r="C30" s="275" t="s">
        <v>339</v>
      </c>
      <c r="D30" s="259"/>
      <c r="E30" s="259">
        <v>4000000</v>
      </c>
      <c r="F30" s="259"/>
      <c r="J30" s="242">
        <f t="shared" si="0"/>
        <v>51909850</v>
      </c>
      <c r="L30" s="242"/>
    </row>
    <row r="31" spans="1:12" x14ac:dyDescent="0.25">
      <c r="A31" s="262">
        <v>22</v>
      </c>
      <c r="B31" s="261">
        <v>43567</v>
      </c>
      <c r="C31" s="275" t="s">
        <v>352</v>
      </c>
      <c r="D31" s="259"/>
      <c r="E31" s="259">
        <v>23576650</v>
      </c>
      <c r="F31" s="259"/>
      <c r="J31" s="242">
        <f t="shared" si="0"/>
        <v>28333200</v>
      </c>
      <c r="L31" s="242"/>
    </row>
    <row r="32" spans="1:12" x14ac:dyDescent="0.25">
      <c r="A32" s="262">
        <v>23</v>
      </c>
      <c r="B32" s="261">
        <v>43536</v>
      </c>
      <c r="C32" s="275" t="s">
        <v>357</v>
      </c>
      <c r="D32" s="259">
        <v>23319950</v>
      </c>
      <c r="E32" s="259"/>
      <c r="F32" s="259"/>
      <c r="J32" s="242">
        <f t="shared" si="0"/>
        <v>51653150</v>
      </c>
      <c r="L32" s="242"/>
    </row>
    <row r="33" spans="1:12" x14ac:dyDescent="0.25">
      <c r="A33" s="262">
        <v>24</v>
      </c>
      <c r="B33" s="262" t="s">
        <v>366</v>
      </c>
      <c r="C33" s="275" t="s">
        <v>367</v>
      </c>
      <c r="D33" s="259"/>
      <c r="E33" s="259">
        <v>47653150</v>
      </c>
      <c r="F33" s="259"/>
      <c r="J33" s="242">
        <f t="shared" si="0"/>
        <v>4000000</v>
      </c>
      <c r="L33" s="242"/>
    </row>
    <row r="34" spans="1:12" x14ac:dyDescent="0.25">
      <c r="A34" s="262">
        <v>25</v>
      </c>
      <c r="B34" s="262" t="s">
        <v>369</v>
      </c>
      <c r="C34" s="275" t="s">
        <v>371</v>
      </c>
      <c r="D34" s="259">
        <f>23049450+4000000</f>
        <v>27049450</v>
      </c>
      <c r="E34" s="259"/>
      <c r="F34" s="276"/>
      <c r="J34" s="242">
        <f t="shared" si="0"/>
        <v>31049450</v>
      </c>
      <c r="L34" s="242"/>
    </row>
    <row r="35" spans="1:12" x14ac:dyDescent="0.25">
      <c r="A35" s="262">
        <v>26</v>
      </c>
      <c r="B35" s="262" t="s">
        <v>376</v>
      </c>
      <c r="C35" s="275" t="s">
        <v>377</v>
      </c>
      <c r="D35" s="259"/>
      <c r="E35" s="259">
        <v>23049450</v>
      </c>
      <c r="F35" s="259"/>
      <c r="J35" s="242">
        <f t="shared" si="0"/>
        <v>8000000</v>
      </c>
      <c r="L35" s="242"/>
    </row>
    <row r="36" spans="1:12" x14ac:dyDescent="0.25">
      <c r="A36" s="262">
        <v>27</v>
      </c>
      <c r="B36" s="261">
        <v>43617</v>
      </c>
      <c r="C36" s="275" t="s">
        <v>380</v>
      </c>
      <c r="D36" s="259"/>
      <c r="E36" s="259">
        <v>8000000</v>
      </c>
      <c r="F36" s="259"/>
      <c r="J36" s="242">
        <f t="shared" si="0"/>
        <v>0</v>
      </c>
      <c r="L36" s="242"/>
    </row>
    <row r="37" spans="1:12" x14ac:dyDescent="0.25">
      <c r="A37" s="262">
        <v>28</v>
      </c>
      <c r="B37" s="261">
        <v>43900</v>
      </c>
      <c r="C37" s="275" t="s">
        <v>425</v>
      </c>
      <c r="D37" s="259">
        <v>26745620</v>
      </c>
      <c r="E37" s="259"/>
      <c r="F37" s="259"/>
      <c r="J37" s="242">
        <f t="shared" si="0"/>
        <v>26745620</v>
      </c>
      <c r="L37" s="242"/>
    </row>
    <row r="38" spans="1:12" x14ac:dyDescent="0.25">
      <c r="A38" s="262">
        <v>29</v>
      </c>
      <c r="B38" s="277">
        <v>43900</v>
      </c>
      <c r="C38" s="275" t="s">
        <v>426</v>
      </c>
      <c r="D38" s="182">
        <v>4500000</v>
      </c>
      <c r="E38" s="182"/>
      <c r="F38" s="182"/>
      <c r="J38" s="242">
        <f t="shared" si="0"/>
        <v>31245620</v>
      </c>
      <c r="L38" s="242"/>
    </row>
    <row r="39" spans="1:12" x14ac:dyDescent="0.25">
      <c r="A39" s="262">
        <v>30</v>
      </c>
      <c r="B39" s="277">
        <v>43928</v>
      </c>
      <c r="C39" s="275" t="s">
        <v>316</v>
      </c>
      <c r="D39" s="182"/>
      <c r="E39" s="182">
        <v>26745620</v>
      </c>
      <c r="F39" s="182"/>
      <c r="J39" s="242">
        <f t="shared" si="0"/>
        <v>4500000</v>
      </c>
      <c r="L39" s="242"/>
    </row>
    <row r="40" spans="1:12" x14ac:dyDescent="0.25">
      <c r="A40" s="262">
        <v>31</v>
      </c>
      <c r="B40" s="277">
        <v>43923</v>
      </c>
      <c r="C40" s="275" t="s">
        <v>472</v>
      </c>
      <c r="D40" s="182">
        <v>27068550</v>
      </c>
      <c r="E40" s="182"/>
      <c r="F40" s="182"/>
      <c r="J40" s="242">
        <f t="shared" si="0"/>
        <v>31568550</v>
      </c>
      <c r="L40" s="242"/>
    </row>
    <row r="41" spans="1:12" x14ac:dyDescent="0.25">
      <c r="A41" s="262">
        <v>32</v>
      </c>
      <c r="B41" s="277">
        <v>43923</v>
      </c>
      <c r="C41" s="275" t="s">
        <v>473</v>
      </c>
      <c r="D41" s="182">
        <v>26370150</v>
      </c>
      <c r="E41" s="182"/>
      <c r="F41" s="182" t="s">
        <v>481</v>
      </c>
      <c r="J41" s="242">
        <f t="shared" si="0"/>
        <v>57938700</v>
      </c>
      <c r="L41" s="242"/>
    </row>
    <row r="42" spans="1:12" x14ac:dyDescent="0.25">
      <c r="A42" s="262">
        <v>33</v>
      </c>
      <c r="B42" s="262" t="s">
        <v>480</v>
      </c>
      <c r="C42" s="275" t="s">
        <v>316</v>
      </c>
      <c r="D42" s="259"/>
      <c r="E42" s="259">
        <v>49638700</v>
      </c>
      <c r="F42" s="259"/>
      <c r="J42" s="242">
        <f t="shared" si="0"/>
        <v>8300000</v>
      </c>
      <c r="L42" s="242"/>
    </row>
    <row r="43" spans="1:12" x14ac:dyDescent="0.25">
      <c r="A43" s="262">
        <v>34</v>
      </c>
      <c r="B43" s="262" t="s">
        <v>480</v>
      </c>
      <c r="C43" s="275" t="s">
        <v>482</v>
      </c>
      <c r="D43" s="182">
        <v>22863400</v>
      </c>
      <c r="E43" s="182"/>
      <c r="F43" s="182"/>
      <c r="J43" s="242">
        <f t="shared" si="0"/>
        <v>31163400</v>
      </c>
      <c r="L43" s="242"/>
    </row>
    <row r="44" spans="1:12" x14ac:dyDescent="0.25">
      <c r="A44" s="262">
        <v>35</v>
      </c>
      <c r="B44" s="261">
        <v>43957</v>
      </c>
      <c r="C44" s="275" t="s">
        <v>486</v>
      </c>
      <c r="D44" s="259"/>
      <c r="E44" s="259">
        <v>8300000</v>
      </c>
      <c r="F44" s="259"/>
      <c r="J44" s="242">
        <f t="shared" si="0"/>
        <v>22863400</v>
      </c>
      <c r="L44" s="242"/>
    </row>
    <row r="45" spans="1:12" x14ac:dyDescent="0.25">
      <c r="A45" s="262">
        <v>36</v>
      </c>
      <c r="B45" s="261">
        <v>43963</v>
      </c>
      <c r="C45" s="275" t="s">
        <v>487</v>
      </c>
      <c r="D45" s="259">
        <v>25020250</v>
      </c>
      <c r="E45" s="259"/>
      <c r="F45" s="259"/>
      <c r="J45" s="242">
        <f t="shared" si="0"/>
        <v>47883650</v>
      </c>
      <c r="L45" s="242"/>
    </row>
    <row r="46" spans="1:12" x14ac:dyDescent="0.25">
      <c r="A46" s="262">
        <v>37</v>
      </c>
      <c r="B46" s="262" t="s">
        <v>499</v>
      </c>
      <c r="C46" s="275" t="s">
        <v>500</v>
      </c>
      <c r="D46" s="259">
        <v>25012450</v>
      </c>
      <c r="E46" s="259"/>
      <c r="F46" s="259" t="s">
        <v>524</v>
      </c>
      <c r="J46" s="242">
        <f t="shared" si="0"/>
        <v>72896100</v>
      </c>
      <c r="L46" s="242"/>
    </row>
    <row r="47" spans="1:12" x14ac:dyDescent="0.25">
      <c r="A47" s="262">
        <v>38</v>
      </c>
      <c r="B47" s="262" t="s">
        <v>499</v>
      </c>
      <c r="C47" s="275" t="s">
        <v>501</v>
      </c>
      <c r="D47" s="259">
        <v>20862450</v>
      </c>
      <c r="E47" s="259"/>
      <c r="F47" s="259"/>
      <c r="J47" s="242">
        <f t="shared" si="0"/>
        <v>93758550</v>
      </c>
      <c r="L47" s="242"/>
    </row>
    <row r="48" spans="1:12" x14ac:dyDescent="0.25">
      <c r="A48" s="262">
        <v>39</v>
      </c>
      <c r="B48" s="261">
        <v>44049</v>
      </c>
      <c r="C48" s="275" t="s">
        <v>283</v>
      </c>
      <c r="D48" s="259"/>
      <c r="E48" s="259">
        <v>70453800</v>
      </c>
      <c r="F48" s="259"/>
      <c r="J48" s="242">
        <f t="shared" si="0"/>
        <v>23304750</v>
      </c>
      <c r="L48" s="242"/>
    </row>
    <row r="49" spans="1:12" x14ac:dyDescent="0.25">
      <c r="A49" s="262">
        <v>40</v>
      </c>
      <c r="B49" s="261">
        <v>43991</v>
      </c>
      <c r="C49" s="275" t="s">
        <v>514</v>
      </c>
      <c r="D49" s="259">
        <v>21200550</v>
      </c>
      <c r="E49" s="259"/>
      <c r="F49" s="259"/>
      <c r="J49" s="242">
        <f t="shared" si="0"/>
        <v>44505300</v>
      </c>
      <c r="L49" s="242"/>
    </row>
    <row r="50" spans="1:12" x14ac:dyDescent="0.25">
      <c r="A50" s="262">
        <v>41</v>
      </c>
      <c r="B50" s="261">
        <v>43991</v>
      </c>
      <c r="C50" s="275" t="s">
        <v>515</v>
      </c>
      <c r="D50" s="259">
        <v>27003750</v>
      </c>
      <c r="E50" s="259"/>
      <c r="F50" s="259" t="s">
        <v>432</v>
      </c>
      <c r="J50" s="242">
        <f t="shared" si="0"/>
        <v>71509050</v>
      </c>
      <c r="L50" s="242"/>
    </row>
    <row r="51" spans="1:12" x14ac:dyDescent="0.25">
      <c r="A51" s="262">
        <v>42</v>
      </c>
      <c r="B51" s="262" t="s">
        <v>532</v>
      </c>
      <c r="C51" s="275" t="s">
        <v>535</v>
      </c>
      <c r="D51" s="259">
        <v>18130950</v>
      </c>
      <c r="E51" s="259"/>
      <c r="F51" s="270" t="s">
        <v>536</v>
      </c>
      <c r="J51" s="242">
        <f t="shared" si="0"/>
        <v>89640000</v>
      </c>
      <c r="L51" s="242"/>
    </row>
    <row r="52" spans="1:12" x14ac:dyDescent="0.25">
      <c r="A52" s="262">
        <v>43</v>
      </c>
      <c r="B52" s="261">
        <v>44025</v>
      </c>
      <c r="C52" s="260" t="s">
        <v>557</v>
      </c>
      <c r="D52" s="259"/>
      <c r="E52" s="259">
        <v>65709050</v>
      </c>
      <c r="F52" s="259"/>
      <c r="J52" s="242">
        <f t="shared" si="0"/>
        <v>23930950</v>
      </c>
      <c r="L52" s="242"/>
    </row>
    <row r="53" spans="1:12" x14ac:dyDescent="0.25">
      <c r="A53" s="262">
        <v>44</v>
      </c>
      <c r="B53" s="261">
        <v>44040</v>
      </c>
      <c r="C53" s="260" t="s">
        <v>562</v>
      </c>
      <c r="D53" s="259">
        <v>23726450</v>
      </c>
      <c r="E53" s="259"/>
      <c r="F53" s="270" t="s">
        <v>563</v>
      </c>
      <c r="G53" s="242"/>
      <c r="J53" s="242">
        <f t="shared" si="0"/>
        <v>47657400</v>
      </c>
      <c r="L53" s="242"/>
    </row>
    <row r="54" spans="1:12" x14ac:dyDescent="0.25">
      <c r="A54" s="262">
        <v>45</v>
      </c>
      <c r="B54" s="261">
        <v>44050</v>
      </c>
      <c r="C54" s="260" t="s">
        <v>557</v>
      </c>
      <c r="D54" s="259"/>
      <c r="E54" s="259">
        <v>19580950</v>
      </c>
      <c r="F54" s="259"/>
      <c r="J54" s="242">
        <f t="shared" si="0"/>
        <v>28076450</v>
      </c>
      <c r="L54" s="242"/>
    </row>
    <row r="55" spans="1:12" x14ac:dyDescent="0.25">
      <c r="A55" s="262">
        <v>46</v>
      </c>
      <c r="B55" s="261">
        <v>44068</v>
      </c>
      <c r="C55" s="260" t="s">
        <v>585</v>
      </c>
      <c r="D55" s="259">
        <v>22715350</v>
      </c>
      <c r="E55" s="259"/>
      <c r="F55" s="259"/>
      <c r="J55" s="242">
        <f t="shared" si="0"/>
        <v>50791800</v>
      </c>
      <c r="L55" s="242"/>
    </row>
    <row r="56" spans="1:12" x14ac:dyDescent="0.25">
      <c r="A56" s="262">
        <v>47</v>
      </c>
      <c r="B56" s="261">
        <v>44068</v>
      </c>
      <c r="C56" s="260" t="s">
        <v>586</v>
      </c>
      <c r="D56" s="259">
        <v>23356450</v>
      </c>
      <c r="E56" s="259"/>
      <c r="F56" s="270" t="s">
        <v>587</v>
      </c>
      <c r="J56" s="242">
        <f t="shared" si="0"/>
        <v>74148250</v>
      </c>
      <c r="L56" s="242"/>
    </row>
    <row r="57" spans="1:12" x14ac:dyDescent="0.25">
      <c r="A57" s="262">
        <v>48</v>
      </c>
      <c r="B57" s="261">
        <v>44082</v>
      </c>
      <c r="C57" s="260" t="s">
        <v>557</v>
      </c>
      <c r="D57" s="259"/>
      <c r="E57" s="259">
        <v>39482900</v>
      </c>
      <c r="F57" s="259"/>
      <c r="J57" s="242">
        <f t="shared" si="0"/>
        <v>34665350</v>
      </c>
      <c r="L57" s="242"/>
    </row>
    <row r="58" spans="1:12" x14ac:dyDescent="0.25">
      <c r="A58" s="262">
        <v>49</v>
      </c>
      <c r="B58" s="261">
        <v>44086</v>
      </c>
      <c r="C58" s="260" t="s">
        <v>608</v>
      </c>
      <c r="D58" s="259">
        <v>22715350</v>
      </c>
      <c r="E58" s="259"/>
      <c r="F58" s="259"/>
      <c r="J58" s="242">
        <f t="shared" si="0"/>
        <v>57380700</v>
      </c>
      <c r="L58" s="242"/>
    </row>
    <row r="59" spans="1:12" x14ac:dyDescent="0.25">
      <c r="A59" s="262">
        <v>50</v>
      </c>
      <c r="B59" s="261">
        <v>44089</v>
      </c>
      <c r="C59" s="260" t="s">
        <v>283</v>
      </c>
      <c r="D59" s="259"/>
      <c r="E59" s="259">
        <v>22715350</v>
      </c>
      <c r="F59" s="259"/>
      <c r="J59" s="242">
        <f t="shared" si="0"/>
        <v>34665350</v>
      </c>
      <c r="L59" s="242"/>
    </row>
    <row r="60" spans="1:12" x14ac:dyDescent="0.25">
      <c r="A60" s="262">
        <v>51</v>
      </c>
      <c r="B60" s="261">
        <v>44095</v>
      </c>
      <c r="C60" s="260" t="s">
        <v>638</v>
      </c>
      <c r="D60" s="259"/>
      <c r="E60" s="259">
        <v>9950000</v>
      </c>
      <c r="F60" s="259" t="s">
        <v>637</v>
      </c>
      <c r="J60" s="242">
        <f t="shared" si="0"/>
        <v>24715350</v>
      </c>
      <c r="L60" s="242"/>
    </row>
    <row r="61" spans="1:12" x14ac:dyDescent="0.25">
      <c r="A61" s="262">
        <v>52</v>
      </c>
      <c r="B61" s="261">
        <v>44117</v>
      </c>
      <c r="C61" s="260" t="s">
        <v>635</v>
      </c>
      <c r="D61" s="259">
        <v>18157950</v>
      </c>
      <c r="E61" s="259"/>
      <c r="F61" s="270" t="s">
        <v>636</v>
      </c>
      <c r="J61" s="242">
        <f t="shared" si="0"/>
        <v>42873300</v>
      </c>
      <c r="L61" s="242"/>
    </row>
    <row r="62" spans="1:12" x14ac:dyDescent="0.25">
      <c r="A62" s="262">
        <v>53</v>
      </c>
      <c r="B62" s="261">
        <v>44144</v>
      </c>
      <c r="C62" s="260" t="s">
        <v>283</v>
      </c>
      <c r="D62" s="259"/>
      <c r="E62" s="259">
        <v>42873300</v>
      </c>
      <c r="F62" s="259"/>
      <c r="J62" s="242">
        <f t="shared" si="0"/>
        <v>0</v>
      </c>
      <c r="L62" s="242"/>
    </row>
    <row r="63" spans="1:12" x14ac:dyDescent="0.25">
      <c r="A63" s="262">
        <v>54</v>
      </c>
      <c r="B63" s="261">
        <v>44148</v>
      </c>
      <c r="C63" s="260" t="s">
        <v>673</v>
      </c>
      <c r="D63" s="259">
        <v>22715350</v>
      </c>
      <c r="E63" s="259"/>
      <c r="F63" s="259"/>
      <c r="J63" s="242">
        <f t="shared" si="0"/>
        <v>22715350</v>
      </c>
      <c r="L63" s="242"/>
    </row>
    <row r="64" spans="1:12" x14ac:dyDescent="0.25">
      <c r="A64" s="262">
        <v>55</v>
      </c>
      <c r="B64" s="261">
        <v>44173</v>
      </c>
      <c r="C64" s="260" t="s">
        <v>283</v>
      </c>
      <c r="D64" s="259"/>
      <c r="E64" s="259">
        <v>22715350</v>
      </c>
      <c r="F64" s="259"/>
      <c r="J64" s="242">
        <f t="shared" si="0"/>
        <v>0</v>
      </c>
      <c r="L64" s="242"/>
    </row>
    <row r="65" spans="1:12" x14ac:dyDescent="0.25">
      <c r="A65" s="262">
        <v>56</v>
      </c>
      <c r="B65" s="261">
        <v>44170</v>
      </c>
      <c r="C65" s="260" t="s">
        <v>687</v>
      </c>
      <c r="D65" s="259">
        <v>20883450</v>
      </c>
      <c r="E65" s="259"/>
      <c r="F65" s="259"/>
      <c r="H65" s="242"/>
      <c r="J65" s="242">
        <f t="shared" si="0"/>
        <v>20883450</v>
      </c>
      <c r="L65" s="242"/>
    </row>
    <row r="66" spans="1:12" x14ac:dyDescent="0.25">
      <c r="A66" s="262">
        <v>57</v>
      </c>
      <c r="B66" s="261">
        <v>44263</v>
      </c>
      <c r="C66" s="260" t="s">
        <v>283</v>
      </c>
      <c r="D66" s="259"/>
      <c r="E66" s="259">
        <v>20883450</v>
      </c>
      <c r="F66" s="259"/>
      <c r="J66" s="242">
        <f t="shared" si="0"/>
        <v>0</v>
      </c>
      <c r="L66" s="242"/>
    </row>
    <row r="67" spans="1:12" x14ac:dyDescent="0.25">
      <c r="A67" s="262">
        <v>58</v>
      </c>
      <c r="B67" s="261">
        <v>44300</v>
      </c>
      <c r="C67" s="260" t="s">
        <v>773</v>
      </c>
      <c r="D67" s="259">
        <v>27218950</v>
      </c>
      <c r="E67" s="259"/>
      <c r="F67" s="259"/>
      <c r="J67" s="242">
        <f t="shared" si="0"/>
        <v>27218950</v>
      </c>
      <c r="L67" s="242"/>
    </row>
    <row r="68" spans="1:12" x14ac:dyDescent="0.25">
      <c r="A68" s="262">
        <v>59</v>
      </c>
      <c r="B68" s="261">
        <v>44300</v>
      </c>
      <c r="C68" s="260" t="s">
        <v>774</v>
      </c>
      <c r="D68" s="259">
        <v>63140150</v>
      </c>
      <c r="E68" s="259"/>
      <c r="F68" s="259" t="s">
        <v>775</v>
      </c>
      <c r="J68" s="242">
        <f t="shared" si="0"/>
        <v>90359100</v>
      </c>
      <c r="L68" s="242"/>
    </row>
    <row r="69" spans="1:12" x14ac:dyDescent="0.25">
      <c r="A69" s="262">
        <v>60</v>
      </c>
      <c r="B69" s="261">
        <v>44305</v>
      </c>
      <c r="C69" s="260" t="s">
        <v>783</v>
      </c>
      <c r="D69" s="259">
        <v>35833700</v>
      </c>
      <c r="E69" s="259"/>
      <c r="F69" s="259"/>
      <c r="J69" s="242">
        <f t="shared" si="0"/>
        <v>126192800</v>
      </c>
      <c r="L69" s="242"/>
    </row>
    <row r="70" spans="1:12" x14ac:dyDescent="0.25">
      <c r="A70" s="262">
        <v>61</v>
      </c>
      <c r="B70" s="261">
        <v>44305</v>
      </c>
      <c r="C70" s="260" t="s">
        <v>784</v>
      </c>
      <c r="D70" s="259">
        <v>25270450</v>
      </c>
      <c r="E70" s="259"/>
      <c r="F70" s="259"/>
      <c r="J70" s="242">
        <f t="shared" si="0"/>
        <v>151463250</v>
      </c>
      <c r="L70" s="242"/>
    </row>
    <row r="71" spans="1:12" x14ac:dyDescent="0.25">
      <c r="A71" s="262">
        <v>62</v>
      </c>
      <c r="B71" s="261">
        <v>44312</v>
      </c>
      <c r="C71" s="260" t="s">
        <v>785</v>
      </c>
      <c r="D71" s="279">
        <v>35825450</v>
      </c>
      <c r="E71" s="279"/>
      <c r="F71" s="279"/>
      <c r="J71" s="242">
        <f t="shared" si="0"/>
        <v>187288700</v>
      </c>
      <c r="L71" s="242"/>
    </row>
    <row r="72" spans="1:12" x14ac:dyDescent="0.25">
      <c r="A72" s="262">
        <v>63</v>
      </c>
      <c r="B72" s="261">
        <v>44322</v>
      </c>
      <c r="C72" s="260" t="s">
        <v>283</v>
      </c>
      <c r="D72" s="259"/>
      <c r="E72" s="259">
        <v>140463250</v>
      </c>
      <c r="F72" s="259"/>
      <c r="J72" s="242">
        <f t="shared" si="0"/>
        <v>46825450</v>
      </c>
      <c r="L72" s="242"/>
    </row>
    <row r="73" spans="1:12" x14ac:dyDescent="0.25">
      <c r="A73" s="262">
        <v>64</v>
      </c>
      <c r="B73" s="261">
        <v>44342</v>
      </c>
      <c r="C73" s="260" t="s">
        <v>283</v>
      </c>
      <c r="D73" s="285"/>
      <c r="E73" s="259">
        <v>11000000</v>
      </c>
      <c r="F73" s="259" t="s">
        <v>637</v>
      </c>
      <c r="J73" s="242">
        <f t="shared" si="0"/>
        <v>35825450</v>
      </c>
      <c r="L73" s="242"/>
    </row>
    <row r="74" spans="1:12" x14ac:dyDescent="0.25">
      <c r="A74" s="262">
        <v>65</v>
      </c>
      <c r="B74" s="261">
        <v>44347</v>
      </c>
      <c r="C74" s="260" t="s">
        <v>828</v>
      </c>
      <c r="D74" s="259">
        <v>35922700</v>
      </c>
      <c r="E74" s="259"/>
      <c r="F74" s="259"/>
      <c r="J74" s="242">
        <f t="shared" si="0"/>
        <v>71748150</v>
      </c>
      <c r="L74" s="242"/>
    </row>
    <row r="75" spans="1:12" x14ac:dyDescent="0.25">
      <c r="A75" s="262">
        <v>66</v>
      </c>
      <c r="B75" s="261">
        <v>44354</v>
      </c>
      <c r="C75" s="260" t="s">
        <v>846</v>
      </c>
      <c r="D75" s="259">
        <v>31209950</v>
      </c>
      <c r="E75" s="259"/>
      <c r="F75" s="259" t="s">
        <v>892</v>
      </c>
      <c r="J75" s="242">
        <f t="shared" si="0"/>
        <v>102958100</v>
      </c>
      <c r="L75" s="242"/>
    </row>
    <row r="76" spans="1:12" x14ac:dyDescent="0.25">
      <c r="A76" s="262">
        <v>67</v>
      </c>
      <c r="B76" s="261">
        <v>44356</v>
      </c>
      <c r="C76" s="260" t="s">
        <v>283</v>
      </c>
      <c r="D76" s="259"/>
      <c r="E76" s="259">
        <v>35825450</v>
      </c>
      <c r="F76" s="259"/>
      <c r="J76" s="242">
        <f t="shared" ref="J76:J139" si="1">J75+D76-E76</f>
        <v>67132650</v>
      </c>
      <c r="L76" s="242"/>
    </row>
    <row r="77" spans="1:12" x14ac:dyDescent="0.25">
      <c r="A77" s="262">
        <v>68</v>
      </c>
      <c r="B77" s="261">
        <v>44376</v>
      </c>
      <c r="C77" s="260" t="s">
        <v>283</v>
      </c>
      <c r="D77" s="259"/>
      <c r="E77" s="259">
        <v>63232650</v>
      </c>
      <c r="F77" s="259"/>
      <c r="J77" s="242">
        <f t="shared" si="1"/>
        <v>3900000</v>
      </c>
      <c r="L77" s="242"/>
    </row>
    <row r="78" spans="1:12" x14ac:dyDescent="0.25">
      <c r="A78" s="262">
        <v>69</v>
      </c>
      <c r="B78" s="261">
        <v>44386</v>
      </c>
      <c r="C78" s="260" t="s">
        <v>868</v>
      </c>
      <c r="D78" s="259">
        <v>71995900</v>
      </c>
      <c r="E78" s="259"/>
      <c r="F78" s="259"/>
      <c r="J78" s="242">
        <f t="shared" si="1"/>
        <v>75895900</v>
      </c>
      <c r="L78" s="242"/>
    </row>
    <row r="79" spans="1:12" x14ac:dyDescent="0.25">
      <c r="A79" s="262">
        <v>70</v>
      </c>
      <c r="B79" s="261">
        <v>44389</v>
      </c>
      <c r="C79" s="260" t="s">
        <v>869</v>
      </c>
      <c r="D79" s="259">
        <v>27306950</v>
      </c>
      <c r="E79" s="259"/>
      <c r="F79" s="259"/>
      <c r="J79" s="242">
        <f t="shared" si="1"/>
        <v>103202850</v>
      </c>
      <c r="L79" s="242"/>
    </row>
    <row r="80" spans="1:12" x14ac:dyDescent="0.25">
      <c r="A80" s="262">
        <v>71</v>
      </c>
      <c r="B80" s="261">
        <v>44407</v>
      </c>
      <c r="C80" s="260" t="s">
        <v>878</v>
      </c>
      <c r="D80" s="259"/>
      <c r="E80" s="259">
        <v>71995900</v>
      </c>
      <c r="F80" s="259"/>
      <c r="J80" s="242">
        <f t="shared" si="1"/>
        <v>31206950</v>
      </c>
      <c r="L80" s="242"/>
    </row>
    <row r="81" spans="1:12" x14ac:dyDescent="0.25">
      <c r="A81" s="262">
        <v>72</v>
      </c>
      <c r="B81" s="261">
        <v>44412</v>
      </c>
      <c r="C81" s="260" t="s">
        <v>900</v>
      </c>
      <c r="D81" s="259">
        <v>31902950</v>
      </c>
      <c r="E81" s="259"/>
      <c r="F81" s="259" t="s">
        <v>893</v>
      </c>
      <c r="J81" s="242">
        <f t="shared" si="1"/>
        <v>63109900</v>
      </c>
      <c r="L81" s="242"/>
    </row>
    <row r="82" spans="1:12" x14ac:dyDescent="0.25">
      <c r="A82" s="262">
        <v>73</v>
      </c>
      <c r="B82" s="261">
        <v>44414</v>
      </c>
      <c r="C82" s="260" t="s">
        <v>894</v>
      </c>
      <c r="D82" s="259"/>
      <c r="E82" s="259">
        <v>27306950</v>
      </c>
      <c r="F82" s="259"/>
      <c r="J82" s="242">
        <f t="shared" si="1"/>
        <v>35802950</v>
      </c>
      <c r="L82" s="242"/>
    </row>
    <row r="83" spans="1:12" x14ac:dyDescent="0.25">
      <c r="A83" s="262">
        <v>74</v>
      </c>
      <c r="B83" s="261">
        <v>44428</v>
      </c>
      <c r="C83" s="260" t="s">
        <v>899</v>
      </c>
      <c r="D83" s="259">
        <v>48245900</v>
      </c>
      <c r="E83" s="259"/>
      <c r="F83" s="259"/>
      <c r="J83" s="242">
        <f t="shared" si="1"/>
        <v>84048850</v>
      </c>
      <c r="L83" s="242"/>
    </row>
    <row r="84" spans="1:12" x14ac:dyDescent="0.25">
      <c r="A84" s="262">
        <v>75</v>
      </c>
      <c r="B84" s="261">
        <v>44431</v>
      </c>
      <c r="C84" s="260" t="s">
        <v>901</v>
      </c>
      <c r="D84" s="259">
        <v>42824200</v>
      </c>
      <c r="E84" s="259"/>
      <c r="F84" s="259" t="s">
        <v>902</v>
      </c>
      <c r="J84" s="242">
        <f t="shared" si="1"/>
        <v>126873050</v>
      </c>
      <c r="L84" s="242"/>
    </row>
    <row r="85" spans="1:12" x14ac:dyDescent="0.25">
      <c r="A85" s="262">
        <v>76</v>
      </c>
      <c r="B85" s="261">
        <v>44446</v>
      </c>
      <c r="C85" s="260" t="s">
        <v>316</v>
      </c>
      <c r="D85" s="259"/>
      <c r="E85" s="259">
        <v>108151800</v>
      </c>
      <c r="F85" s="259"/>
      <c r="J85" s="242">
        <f t="shared" si="1"/>
        <v>18721250</v>
      </c>
      <c r="L85" s="242"/>
    </row>
    <row r="86" spans="1:12" x14ac:dyDescent="0.25">
      <c r="A86" s="262">
        <v>77</v>
      </c>
      <c r="B86" s="261">
        <v>44446</v>
      </c>
      <c r="C86" s="260" t="s">
        <v>933</v>
      </c>
      <c r="D86" s="259">
        <v>26666950</v>
      </c>
      <c r="E86" s="259"/>
      <c r="F86" s="259"/>
      <c r="J86" s="242">
        <f t="shared" si="1"/>
        <v>45388200</v>
      </c>
      <c r="L86" s="242"/>
    </row>
    <row r="87" spans="1:12" x14ac:dyDescent="0.25">
      <c r="A87" s="262">
        <v>78</v>
      </c>
      <c r="B87" s="261">
        <v>44473</v>
      </c>
      <c r="C87" s="260" t="s">
        <v>949</v>
      </c>
      <c r="D87" s="259"/>
      <c r="E87" s="259">
        <v>12200000</v>
      </c>
      <c r="F87" s="259"/>
      <c r="J87" s="242">
        <f t="shared" si="1"/>
        <v>33188200</v>
      </c>
    </row>
    <row r="88" spans="1:12" x14ac:dyDescent="0.25">
      <c r="A88" s="262">
        <v>79</v>
      </c>
      <c r="B88" s="261">
        <v>44495</v>
      </c>
      <c r="C88" s="260" t="s">
        <v>986</v>
      </c>
      <c r="D88" s="259">
        <v>42949700</v>
      </c>
      <c r="E88" s="259"/>
      <c r="F88" s="259"/>
      <c r="J88" s="242">
        <f t="shared" si="1"/>
        <v>76137900</v>
      </c>
    </row>
    <row r="89" spans="1:12" x14ac:dyDescent="0.25">
      <c r="A89" s="262">
        <v>80</v>
      </c>
      <c r="B89" s="261">
        <v>44512</v>
      </c>
      <c r="C89" s="260" t="s">
        <v>316</v>
      </c>
      <c r="D89" s="259"/>
      <c r="E89" s="259">
        <v>32666950</v>
      </c>
      <c r="F89" s="259"/>
      <c r="J89" s="242">
        <f t="shared" si="1"/>
        <v>43470950</v>
      </c>
    </row>
    <row r="90" spans="1:12" x14ac:dyDescent="0.25">
      <c r="A90" s="262">
        <v>81</v>
      </c>
      <c r="B90" s="261">
        <v>44525</v>
      </c>
      <c r="C90" s="260" t="s">
        <v>999</v>
      </c>
      <c r="D90" s="259">
        <v>36385950</v>
      </c>
      <c r="E90" s="259"/>
      <c r="F90" s="259"/>
      <c r="J90" s="242">
        <f t="shared" si="1"/>
        <v>79856900</v>
      </c>
    </row>
    <row r="91" spans="1:12" x14ac:dyDescent="0.25">
      <c r="A91" s="262">
        <v>82</v>
      </c>
      <c r="B91" s="261">
        <v>44538</v>
      </c>
      <c r="C91" s="260" t="s">
        <v>316</v>
      </c>
      <c r="D91" s="259"/>
      <c r="E91" s="259">
        <v>42949700</v>
      </c>
      <c r="F91" s="259"/>
      <c r="J91" s="242">
        <f t="shared" si="1"/>
        <v>36907200</v>
      </c>
    </row>
    <row r="92" spans="1:12" x14ac:dyDescent="0.25">
      <c r="A92" s="262">
        <v>83</v>
      </c>
      <c r="B92" s="261">
        <v>44551</v>
      </c>
      <c r="C92" s="260" t="s">
        <v>1014</v>
      </c>
      <c r="D92" s="259">
        <v>34694950</v>
      </c>
      <c r="E92" s="259"/>
      <c r="F92" s="259"/>
      <c r="J92" s="242">
        <f t="shared" si="1"/>
        <v>71602150</v>
      </c>
    </row>
    <row r="93" spans="1:12" x14ac:dyDescent="0.25">
      <c r="A93" s="262">
        <v>84</v>
      </c>
      <c r="B93" s="261">
        <v>44551</v>
      </c>
      <c r="C93" s="260" t="s">
        <v>1015</v>
      </c>
      <c r="D93" s="259">
        <v>51640950</v>
      </c>
      <c r="E93" s="259"/>
      <c r="F93" s="259"/>
      <c r="J93" s="242">
        <f t="shared" si="1"/>
        <v>123243100</v>
      </c>
    </row>
    <row r="94" spans="1:12" x14ac:dyDescent="0.25">
      <c r="A94" s="262">
        <v>85</v>
      </c>
      <c r="B94" s="261">
        <v>44559</v>
      </c>
      <c r="C94" s="260" t="s">
        <v>1030</v>
      </c>
      <c r="D94" s="259">
        <v>51568950</v>
      </c>
      <c r="E94" s="259"/>
      <c r="F94" s="259"/>
      <c r="J94" s="242">
        <f t="shared" si="1"/>
        <v>174812050</v>
      </c>
    </row>
    <row r="95" spans="1:12" x14ac:dyDescent="0.25">
      <c r="A95" s="262">
        <v>86</v>
      </c>
      <c r="B95" s="261">
        <v>44566</v>
      </c>
      <c r="C95" s="260" t="s">
        <v>1029</v>
      </c>
      <c r="D95" s="259"/>
      <c r="E95" s="259">
        <v>137906850</v>
      </c>
      <c r="F95" s="259"/>
      <c r="J95" s="242">
        <f t="shared" si="1"/>
        <v>36905200</v>
      </c>
    </row>
    <row r="96" spans="1:12" x14ac:dyDescent="0.25">
      <c r="A96" s="262">
        <v>87</v>
      </c>
      <c r="B96" s="261">
        <v>44586</v>
      </c>
      <c r="C96" s="260" t="s">
        <v>1040</v>
      </c>
      <c r="D96" s="259"/>
      <c r="E96" s="259">
        <v>36905200</v>
      </c>
      <c r="F96" s="259"/>
      <c r="J96" s="242">
        <f t="shared" si="1"/>
        <v>0</v>
      </c>
    </row>
    <row r="97" spans="1:12" x14ac:dyDescent="0.25">
      <c r="A97" s="262">
        <v>88</v>
      </c>
      <c r="B97" s="261">
        <v>44651</v>
      </c>
      <c r="C97" s="260" t="s">
        <v>1089</v>
      </c>
      <c r="D97" s="259">
        <v>57024950</v>
      </c>
      <c r="E97" s="259"/>
      <c r="F97" s="259"/>
      <c r="J97" s="242">
        <f t="shared" si="1"/>
        <v>57024950</v>
      </c>
    </row>
    <row r="98" spans="1:12" x14ac:dyDescent="0.25">
      <c r="A98" s="262">
        <v>89</v>
      </c>
      <c r="B98" s="261">
        <v>44679</v>
      </c>
      <c r="C98" s="260" t="s">
        <v>1112</v>
      </c>
      <c r="D98" s="259"/>
      <c r="E98" s="259">
        <v>57092950</v>
      </c>
      <c r="F98" s="259"/>
      <c r="J98" s="242">
        <f t="shared" si="1"/>
        <v>-68000</v>
      </c>
    </row>
    <row r="99" spans="1:12" x14ac:dyDescent="0.25">
      <c r="A99" s="262">
        <v>90</v>
      </c>
      <c r="B99" s="261">
        <v>44728</v>
      </c>
      <c r="C99" s="260" t="s">
        <v>1145</v>
      </c>
      <c r="D99" s="259">
        <v>51595950</v>
      </c>
      <c r="E99" s="259"/>
      <c r="F99" s="259"/>
      <c r="J99" s="242">
        <f t="shared" si="1"/>
        <v>51527950</v>
      </c>
    </row>
    <row r="100" spans="1:12" x14ac:dyDescent="0.25">
      <c r="A100" s="262">
        <v>91</v>
      </c>
      <c r="B100" s="261">
        <v>44733</v>
      </c>
      <c r="C100" s="260" t="s">
        <v>1162</v>
      </c>
      <c r="D100" s="259">
        <v>51210950</v>
      </c>
      <c r="E100" s="259"/>
      <c r="F100" s="259"/>
      <c r="J100" s="242">
        <f t="shared" si="1"/>
        <v>102738900</v>
      </c>
    </row>
    <row r="101" spans="1:12" x14ac:dyDescent="0.25">
      <c r="A101" s="262">
        <v>92</v>
      </c>
      <c r="B101" s="261">
        <v>44745</v>
      </c>
      <c r="C101" s="260" t="s">
        <v>1163</v>
      </c>
      <c r="D101" s="259">
        <v>37126450</v>
      </c>
      <c r="E101" s="259"/>
      <c r="F101" s="259"/>
      <c r="J101" s="242">
        <f t="shared" si="1"/>
        <v>139865350</v>
      </c>
    </row>
    <row r="102" spans="1:12" x14ac:dyDescent="0.25">
      <c r="A102" s="262">
        <v>93</v>
      </c>
      <c r="B102" s="261">
        <v>44748</v>
      </c>
      <c r="C102" s="260" t="s">
        <v>1112</v>
      </c>
      <c r="D102" s="259"/>
      <c r="E102" s="259">
        <v>102806900</v>
      </c>
      <c r="F102" s="259"/>
      <c r="J102" s="242">
        <f t="shared" si="1"/>
        <v>37058450</v>
      </c>
    </row>
    <row r="103" spans="1:12" x14ac:dyDescent="0.25">
      <c r="A103" s="262">
        <v>94</v>
      </c>
      <c r="B103" s="261">
        <v>44782</v>
      </c>
      <c r="C103" s="260" t="s">
        <v>1112</v>
      </c>
      <c r="D103" s="259"/>
      <c r="E103" s="259">
        <v>37374450</v>
      </c>
      <c r="F103" s="259"/>
      <c r="J103" s="242">
        <f t="shared" si="1"/>
        <v>-316000</v>
      </c>
      <c r="L103">
        <v>248000</v>
      </c>
    </row>
    <row r="104" spans="1:12" x14ac:dyDescent="0.25">
      <c r="A104" s="262">
        <v>95</v>
      </c>
      <c r="B104" s="261">
        <v>44787</v>
      </c>
      <c r="C104" s="260" t="s">
        <v>1209</v>
      </c>
      <c r="D104" s="259">
        <v>53328950</v>
      </c>
      <c r="E104" s="259"/>
      <c r="F104" s="259"/>
      <c r="J104" s="242">
        <f t="shared" si="1"/>
        <v>53012950</v>
      </c>
    </row>
    <row r="105" spans="1:12" x14ac:dyDescent="0.25">
      <c r="A105" s="262">
        <v>96</v>
      </c>
      <c r="B105" s="261">
        <v>44791</v>
      </c>
      <c r="C105" s="260" t="s">
        <v>1208</v>
      </c>
      <c r="D105" s="259">
        <v>37110200</v>
      </c>
      <c r="E105" s="259"/>
      <c r="F105" s="259"/>
      <c r="J105" s="242">
        <f t="shared" si="1"/>
        <v>90123150</v>
      </c>
    </row>
    <row r="106" spans="1:12" x14ac:dyDescent="0.25">
      <c r="A106" s="262">
        <v>97</v>
      </c>
      <c r="B106" s="261">
        <v>44812</v>
      </c>
      <c r="C106" s="260" t="s">
        <v>1230</v>
      </c>
      <c r="D106" s="259">
        <v>57408950</v>
      </c>
      <c r="E106" s="259"/>
      <c r="F106" s="259"/>
      <c r="J106" s="242">
        <f t="shared" si="1"/>
        <v>147532100</v>
      </c>
    </row>
    <row r="107" spans="1:12" x14ac:dyDescent="0.25">
      <c r="A107" s="262">
        <v>98</v>
      </c>
      <c r="B107" s="261">
        <v>44813</v>
      </c>
      <c r="C107" s="260" t="s">
        <v>1112</v>
      </c>
      <c r="D107" s="259"/>
      <c r="E107" s="259">
        <v>90439150</v>
      </c>
      <c r="F107" s="259"/>
      <c r="J107" s="242">
        <f t="shared" si="1"/>
        <v>57092950</v>
      </c>
    </row>
    <row r="108" spans="1:12" x14ac:dyDescent="0.25">
      <c r="A108" s="262">
        <v>99</v>
      </c>
      <c r="B108" s="261">
        <v>44840</v>
      </c>
      <c r="C108" s="260" t="s">
        <v>1112</v>
      </c>
      <c r="D108" s="259"/>
      <c r="E108" s="259">
        <v>57408950</v>
      </c>
      <c r="F108" s="259"/>
      <c r="J108" s="242">
        <f t="shared" si="1"/>
        <v>-316000</v>
      </c>
    </row>
    <row r="109" spans="1:12" x14ac:dyDescent="0.25">
      <c r="A109" s="262">
        <v>100</v>
      </c>
      <c r="B109" s="261">
        <v>45013</v>
      </c>
      <c r="C109" s="260" t="s">
        <v>1420</v>
      </c>
      <c r="D109" s="259">
        <v>38450950</v>
      </c>
      <c r="E109" s="259"/>
      <c r="F109" s="259"/>
      <c r="J109" s="242">
        <f t="shared" si="1"/>
        <v>38134950</v>
      </c>
    </row>
    <row r="110" spans="1:12" x14ac:dyDescent="0.25">
      <c r="A110" s="262">
        <v>101</v>
      </c>
      <c r="B110" s="261">
        <v>45029</v>
      </c>
      <c r="C110" s="260" t="s">
        <v>1112</v>
      </c>
      <c r="D110" s="259"/>
      <c r="E110" s="259">
        <v>38450950</v>
      </c>
      <c r="F110" s="259"/>
      <c r="J110" s="242">
        <f t="shared" si="1"/>
        <v>-316000</v>
      </c>
    </row>
    <row r="111" spans="1:12" x14ac:dyDescent="0.25">
      <c r="A111" s="262">
        <v>102</v>
      </c>
      <c r="B111" s="261">
        <v>45026</v>
      </c>
      <c r="C111" s="260" t="s">
        <v>1427</v>
      </c>
      <c r="D111" s="259">
        <v>27956950</v>
      </c>
      <c r="E111" s="259"/>
      <c r="F111" s="259"/>
      <c r="J111" s="242">
        <f t="shared" si="1"/>
        <v>27640950</v>
      </c>
    </row>
    <row r="112" spans="1:12" x14ac:dyDescent="0.25">
      <c r="A112" s="262">
        <v>103</v>
      </c>
      <c r="B112" s="261">
        <v>45050</v>
      </c>
      <c r="C112" s="260" t="s">
        <v>1112</v>
      </c>
      <c r="D112" s="259"/>
      <c r="E112" s="259">
        <v>27956950</v>
      </c>
      <c r="F112" s="259"/>
      <c r="J112" s="242">
        <f t="shared" si="1"/>
        <v>-316000</v>
      </c>
    </row>
    <row r="113" spans="1:10" x14ac:dyDescent="0.25">
      <c r="A113" s="262">
        <v>104</v>
      </c>
      <c r="B113" s="261">
        <v>45117</v>
      </c>
      <c r="C113" s="260" t="s">
        <v>1530</v>
      </c>
      <c r="D113" s="259">
        <v>30593800</v>
      </c>
      <c r="E113" s="259"/>
      <c r="F113" s="259"/>
      <c r="J113" s="242">
        <f t="shared" si="1"/>
        <v>30277800</v>
      </c>
    </row>
    <row r="114" spans="1:10" x14ac:dyDescent="0.25">
      <c r="A114" s="262">
        <v>105</v>
      </c>
      <c r="B114" s="261">
        <v>45147</v>
      </c>
      <c r="C114" s="260" t="s">
        <v>1040</v>
      </c>
      <c r="D114" s="259"/>
      <c r="E114" s="259">
        <v>30593800</v>
      </c>
      <c r="F114" s="259"/>
      <c r="J114" s="242">
        <f t="shared" si="1"/>
        <v>-316000</v>
      </c>
    </row>
    <row r="115" spans="1:10" x14ac:dyDescent="0.25">
      <c r="A115" s="262">
        <v>106</v>
      </c>
      <c r="B115" s="261">
        <v>45181</v>
      </c>
      <c r="C115" s="260" t="s">
        <v>1581</v>
      </c>
      <c r="D115" s="259">
        <v>26722800</v>
      </c>
      <c r="E115" s="259"/>
      <c r="F115" s="259"/>
      <c r="J115" s="242">
        <f t="shared" si="1"/>
        <v>26406800</v>
      </c>
    </row>
    <row r="116" spans="1:10" x14ac:dyDescent="0.25">
      <c r="A116" s="262">
        <v>107</v>
      </c>
      <c r="B116" s="261">
        <v>45210</v>
      </c>
      <c r="C116" s="260" t="s">
        <v>1112</v>
      </c>
      <c r="D116" s="259"/>
      <c r="E116" s="259">
        <v>26722800</v>
      </c>
      <c r="F116" s="259"/>
      <c r="J116" s="242">
        <f t="shared" si="1"/>
        <v>-316000</v>
      </c>
    </row>
    <row r="117" spans="1:10" x14ac:dyDescent="0.25">
      <c r="A117" s="262">
        <v>108</v>
      </c>
      <c r="B117" s="261">
        <v>45251</v>
      </c>
      <c r="C117" s="260" t="s">
        <v>1665</v>
      </c>
      <c r="D117" s="259">
        <v>29265300</v>
      </c>
      <c r="E117" s="259"/>
      <c r="F117" s="259"/>
      <c r="J117" s="242">
        <f t="shared" si="1"/>
        <v>28949300</v>
      </c>
    </row>
    <row r="118" spans="1:10" x14ac:dyDescent="0.25">
      <c r="A118" s="262">
        <v>109</v>
      </c>
      <c r="B118" s="261">
        <v>45272</v>
      </c>
      <c r="C118" s="260" t="s">
        <v>1112</v>
      </c>
      <c r="D118" s="259"/>
      <c r="E118" s="259">
        <v>29265300</v>
      </c>
      <c r="F118" s="259"/>
      <c r="J118" s="242">
        <f t="shared" si="1"/>
        <v>-316000</v>
      </c>
    </row>
    <row r="119" spans="1:10" x14ac:dyDescent="0.25">
      <c r="A119" s="262">
        <v>110</v>
      </c>
      <c r="B119" s="261"/>
      <c r="C119" s="260" t="s">
        <v>1733</v>
      </c>
      <c r="D119" s="259">
        <v>316000</v>
      </c>
      <c r="E119" s="259"/>
      <c r="F119" s="259"/>
      <c r="J119" s="242">
        <f t="shared" si="1"/>
        <v>0</v>
      </c>
    </row>
    <row r="120" spans="1:10" x14ac:dyDescent="0.25">
      <c r="A120" s="262">
        <v>111</v>
      </c>
      <c r="B120" s="261">
        <v>45371</v>
      </c>
      <c r="C120" s="260" t="s">
        <v>1734</v>
      </c>
      <c r="D120" s="259">
        <v>32693500</v>
      </c>
      <c r="E120" s="259"/>
      <c r="F120" s="259"/>
      <c r="J120" s="242">
        <f t="shared" si="1"/>
        <v>32693500</v>
      </c>
    </row>
    <row r="121" spans="1:10" x14ac:dyDescent="0.25">
      <c r="A121" s="262">
        <v>112</v>
      </c>
      <c r="B121" s="261">
        <v>45387</v>
      </c>
      <c r="C121" s="260" t="s">
        <v>1112</v>
      </c>
      <c r="D121" s="259"/>
      <c r="E121" s="259">
        <v>32693500</v>
      </c>
      <c r="F121" s="259"/>
      <c r="J121" s="242">
        <f t="shared" si="1"/>
        <v>0</v>
      </c>
    </row>
    <row r="122" spans="1:10" x14ac:dyDescent="0.25">
      <c r="A122" s="262">
        <v>113</v>
      </c>
      <c r="B122" s="261"/>
      <c r="C122" s="260" t="s">
        <v>1768</v>
      </c>
      <c r="D122" s="259">
        <v>24581200</v>
      </c>
      <c r="E122" s="259"/>
      <c r="F122" s="259"/>
      <c r="J122" s="242">
        <f t="shared" si="1"/>
        <v>24581200</v>
      </c>
    </row>
    <row r="123" spans="1:10" x14ac:dyDescent="0.25">
      <c r="A123" s="262">
        <v>114</v>
      </c>
      <c r="B123" s="261">
        <v>45411</v>
      </c>
      <c r="C123" s="260" t="s">
        <v>1112</v>
      </c>
      <c r="D123" s="259"/>
      <c r="E123" s="259">
        <v>24581200</v>
      </c>
      <c r="F123" s="259"/>
      <c r="J123" s="242">
        <f t="shared" si="1"/>
        <v>0</v>
      </c>
    </row>
    <row r="124" spans="1:10" x14ac:dyDescent="0.25">
      <c r="A124" s="262">
        <v>115</v>
      </c>
      <c r="B124" s="261">
        <v>45456</v>
      </c>
      <c r="C124" s="260" t="s">
        <v>1802</v>
      </c>
      <c r="D124" s="259">
        <v>31800710</v>
      </c>
      <c r="E124" s="259"/>
      <c r="F124" s="259"/>
      <c r="J124" s="242">
        <f t="shared" si="1"/>
        <v>31800710</v>
      </c>
    </row>
    <row r="125" spans="1:10" x14ac:dyDescent="0.25">
      <c r="A125" s="262">
        <v>116</v>
      </c>
      <c r="B125" s="261">
        <v>45491</v>
      </c>
      <c r="C125" s="260" t="s">
        <v>1112</v>
      </c>
      <c r="D125" s="259"/>
      <c r="E125" s="259">
        <v>31800710</v>
      </c>
      <c r="F125" s="259"/>
      <c r="J125" s="242">
        <f t="shared" si="1"/>
        <v>0</v>
      </c>
    </row>
    <row r="126" spans="1:10" x14ac:dyDescent="0.25">
      <c r="A126" s="262">
        <v>117</v>
      </c>
      <c r="B126" s="261">
        <v>45534</v>
      </c>
      <c r="C126" s="260" t="s">
        <v>1857</v>
      </c>
      <c r="D126" s="259">
        <v>27751600</v>
      </c>
      <c r="E126" s="259"/>
      <c r="F126" s="259"/>
      <c r="J126" s="242">
        <f t="shared" si="1"/>
        <v>27751600</v>
      </c>
    </row>
    <row r="127" spans="1:10" x14ac:dyDescent="0.25">
      <c r="A127" s="262">
        <v>118</v>
      </c>
      <c r="B127" s="261">
        <v>45548</v>
      </c>
      <c r="C127" s="260" t="s">
        <v>1040</v>
      </c>
      <c r="D127" s="259"/>
      <c r="E127" s="259">
        <v>27751600</v>
      </c>
      <c r="F127" s="259"/>
      <c r="J127" s="242">
        <f t="shared" si="1"/>
        <v>0</v>
      </c>
    </row>
    <row r="128" spans="1:10" x14ac:dyDescent="0.25">
      <c r="A128" s="262">
        <v>119</v>
      </c>
      <c r="B128" s="261">
        <v>45553</v>
      </c>
      <c r="C128" s="260" t="s">
        <v>1871</v>
      </c>
      <c r="D128" s="259">
        <v>26507800</v>
      </c>
      <c r="E128" s="259"/>
      <c r="F128" s="259"/>
      <c r="J128" s="242">
        <f t="shared" si="1"/>
        <v>26507800</v>
      </c>
    </row>
    <row r="129" spans="1:10" x14ac:dyDescent="0.25">
      <c r="A129" s="262">
        <v>120</v>
      </c>
      <c r="B129" s="261">
        <v>45576</v>
      </c>
      <c r="C129" s="260" t="s">
        <v>1040</v>
      </c>
      <c r="D129" s="259"/>
      <c r="E129" s="259">
        <v>26507800</v>
      </c>
      <c r="F129" s="259"/>
      <c r="J129" s="242">
        <f t="shared" si="1"/>
        <v>0</v>
      </c>
    </row>
    <row r="130" spans="1:10" x14ac:dyDescent="0.25">
      <c r="A130" s="262">
        <v>121</v>
      </c>
      <c r="B130" s="261">
        <v>45583</v>
      </c>
      <c r="C130" s="260" t="s">
        <v>1904</v>
      </c>
      <c r="D130" s="259">
        <v>35112400</v>
      </c>
      <c r="E130" s="259"/>
      <c r="F130" s="259"/>
      <c r="J130" s="242">
        <f t="shared" si="1"/>
        <v>35112400</v>
      </c>
    </row>
    <row r="131" spans="1:10" x14ac:dyDescent="0.25">
      <c r="A131" s="262">
        <v>122</v>
      </c>
      <c r="B131" s="261">
        <v>45621</v>
      </c>
      <c r="C131" s="260" t="s">
        <v>1040</v>
      </c>
      <c r="D131" s="259"/>
      <c r="E131" s="259">
        <v>35112400</v>
      </c>
      <c r="F131" s="259"/>
      <c r="J131" s="242">
        <f t="shared" si="1"/>
        <v>0</v>
      </c>
    </row>
    <row r="132" spans="1:10" x14ac:dyDescent="0.25">
      <c r="A132" s="262">
        <v>123</v>
      </c>
      <c r="B132" s="261">
        <v>45615</v>
      </c>
      <c r="C132" s="260" t="s">
        <v>1918</v>
      </c>
      <c r="D132" s="259">
        <v>26458939</v>
      </c>
      <c r="E132" s="259"/>
      <c r="F132" s="259"/>
      <c r="J132" s="242">
        <f t="shared" si="1"/>
        <v>26458939</v>
      </c>
    </row>
    <row r="133" spans="1:10" x14ac:dyDescent="0.25">
      <c r="A133" s="262">
        <v>124</v>
      </c>
      <c r="B133" s="261">
        <v>45639</v>
      </c>
      <c r="C133" s="260" t="s">
        <v>1112</v>
      </c>
      <c r="D133" s="259"/>
      <c r="E133" s="259">
        <v>26458939</v>
      </c>
      <c r="F133" s="259"/>
      <c r="J133" s="242">
        <f t="shared" si="1"/>
        <v>0</v>
      </c>
    </row>
    <row r="134" spans="1:10" x14ac:dyDescent="0.25">
      <c r="A134" s="262">
        <v>125</v>
      </c>
      <c r="B134" s="261">
        <v>45712</v>
      </c>
      <c r="C134" s="260" t="s">
        <v>1973</v>
      </c>
      <c r="D134" s="259">
        <v>36066200</v>
      </c>
      <c r="E134" s="259"/>
      <c r="F134" s="259"/>
      <c r="J134" s="242">
        <f t="shared" si="1"/>
        <v>36066200</v>
      </c>
    </row>
    <row r="135" spans="1:10" x14ac:dyDescent="0.25">
      <c r="A135" s="262">
        <v>126</v>
      </c>
      <c r="B135" s="261">
        <v>45712</v>
      </c>
      <c r="C135" s="260" t="s">
        <v>1974</v>
      </c>
      <c r="D135" s="259">
        <v>35766200</v>
      </c>
      <c r="E135" s="259"/>
      <c r="F135" s="259"/>
      <c r="J135" s="242">
        <f t="shared" si="1"/>
        <v>71832400</v>
      </c>
    </row>
    <row r="136" spans="1:10" x14ac:dyDescent="0.25">
      <c r="A136" s="262">
        <v>127</v>
      </c>
      <c r="B136" s="261">
        <v>45712</v>
      </c>
      <c r="C136" s="260" t="s">
        <v>1975</v>
      </c>
      <c r="D136" s="259">
        <v>36066200</v>
      </c>
      <c r="E136" s="259"/>
      <c r="F136" s="259"/>
      <c r="J136" s="242">
        <f t="shared" si="1"/>
        <v>107898600</v>
      </c>
    </row>
    <row r="137" spans="1:10" x14ac:dyDescent="0.25">
      <c r="A137" s="262">
        <v>128</v>
      </c>
      <c r="B137" s="261">
        <v>45726</v>
      </c>
      <c r="C137" s="260" t="s">
        <v>1983</v>
      </c>
      <c r="D137" s="259">
        <v>23303600</v>
      </c>
      <c r="E137" s="259"/>
      <c r="F137" s="259"/>
      <c r="J137" s="242">
        <f t="shared" si="1"/>
        <v>131202200</v>
      </c>
    </row>
    <row r="138" spans="1:10" x14ac:dyDescent="0.25">
      <c r="A138" s="262">
        <v>129</v>
      </c>
      <c r="B138" s="261">
        <v>45728</v>
      </c>
      <c r="C138" s="260" t="s">
        <v>1112</v>
      </c>
      <c r="D138" s="259"/>
      <c r="E138" s="259">
        <v>107898600</v>
      </c>
      <c r="F138" s="259"/>
      <c r="J138" s="242">
        <f t="shared" si="1"/>
        <v>23303600</v>
      </c>
    </row>
    <row r="139" spans="1:10" x14ac:dyDescent="0.25">
      <c r="A139" s="262">
        <v>130</v>
      </c>
      <c r="B139" s="261">
        <v>45773</v>
      </c>
      <c r="C139" s="260" t="s">
        <v>2005</v>
      </c>
      <c r="D139" s="259">
        <v>20437200</v>
      </c>
      <c r="E139" s="259"/>
      <c r="F139" s="259"/>
      <c r="J139" s="242">
        <f t="shared" si="1"/>
        <v>43740800</v>
      </c>
    </row>
    <row r="140" spans="1:10" x14ac:dyDescent="0.25">
      <c r="A140" s="262"/>
      <c r="B140" s="261"/>
      <c r="C140" s="260"/>
      <c r="D140" s="259"/>
      <c r="E140" s="259"/>
      <c r="F140" s="259"/>
      <c r="J140" s="242">
        <f t="shared" ref="J140:J145" si="2">J139+D140-E140</f>
        <v>43740800</v>
      </c>
    </row>
    <row r="141" spans="1:10" x14ac:dyDescent="0.25">
      <c r="A141" s="262"/>
      <c r="B141" s="261"/>
      <c r="C141" s="260"/>
      <c r="D141" s="259"/>
      <c r="E141" s="259"/>
      <c r="F141" s="259"/>
      <c r="J141" s="242">
        <f t="shared" si="2"/>
        <v>43740800</v>
      </c>
    </row>
    <row r="142" spans="1:10" x14ac:dyDescent="0.25">
      <c r="A142" s="262"/>
      <c r="B142" s="261"/>
      <c r="C142" s="260"/>
      <c r="D142" s="259"/>
      <c r="E142" s="259"/>
      <c r="F142" s="259"/>
      <c r="J142" s="242">
        <f t="shared" si="2"/>
        <v>43740800</v>
      </c>
    </row>
    <row r="143" spans="1:10" x14ac:dyDescent="0.25">
      <c r="A143" s="262"/>
      <c r="B143" s="261"/>
      <c r="C143" s="260"/>
      <c r="D143" s="259"/>
      <c r="E143" s="259"/>
      <c r="F143" s="259"/>
      <c r="J143" s="242">
        <f t="shared" si="2"/>
        <v>43740800</v>
      </c>
    </row>
    <row r="144" spans="1:10" x14ac:dyDescent="0.25">
      <c r="A144" s="262"/>
      <c r="B144" s="262"/>
      <c r="C144" s="260"/>
      <c r="D144" s="259"/>
      <c r="E144" s="259"/>
      <c r="F144" s="259"/>
      <c r="J144" s="242">
        <f t="shared" si="2"/>
        <v>43740800</v>
      </c>
    </row>
    <row r="145" spans="1:10" x14ac:dyDescent="0.25">
      <c r="A145" s="262"/>
      <c r="B145" s="262"/>
      <c r="C145" s="260"/>
      <c r="D145" s="259"/>
      <c r="E145" s="259"/>
      <c r="F145" s="259"/>
      <c r="J145" s="242">
        <f t="shared" si="2"/>
        <v>43740800</v>
      </c>
    </row>
    <row r="146" spans="1:10" x14ac:dyDescent="0.25">
      <c r="A146" s="262"/>
      <c r="B146" s="262"/>
      <c r="C146" s="260"/>
      <c r="D146" s="259"/>
      <c r="E146" s="259"/>
      <c r="F146" s="259"/>
    </row>
    <row r="147" spans="1:10" x14ac:dyDescent="0.25">
      <c r="A147" s="262"/>
      <c r="B147" s="262"/>
      <c r="C147" s="260"/>
      <c r="D147" s="259"/>
      <c r="E147" s="259"/>
      <c r="F147" s="259"/>
    </row>
    <row r="148" spans="1:10" x14ac:dyDescent="0.25">
      <c r="A148" s="262"/>
      <c r="B148" s="262"/>
      <c r="C148" s="260"/>
      <c r="D148" s="259"/>
      <c r="E148" s="259"/>
      <c r="F148" s="259"/>
    </row>
    <row r="149" spans="1:10" x14ac:dyDescent="0.25">
      <c r="A149" s="262"/>
      <c r="B149" s="262"/>
      <c r="C149" s="260"/>
      <c r="D149" s="259"/>
      <c r="E149" s="259"/>
      <c r="F149" s="259"/>
    </row>
    <row r="150" spans="1:10" x14ac:dyDescent="0.25">
      <c r="A150" s="262"/>
      <c r="B150" s="262"/>
      <c r="C150" s="260"/>
      <c r="D150" s="259"/>
      <c r="E150" s="259"/>
      <c r="F150" s="259"/>
    </row>
    <row r="151" spans="1:10" x14ac:dyDescent="0.25">
      <c r="A151" s="262"/>
      <c r="B151" s="262"/>
      <c r="C151" s="260"/>
      <c r="D151" s="259"/>
      <c r="E151" s="259"/>
      <c r="F151" s="259"/>
    </row>
    <row r="152" spans="1:10" x14ac:dyDescent="0.25">
      <c r="A152" s="262"/>
      <c r="B152" s="262"/>
      <c r="C152" s="260"/>
      <c r="D152" s="259"/>
      <c r="E152" s="259"/>
      <c r="F152" s="259"/>
    </row>
    <row r="153" spans="1:10" x14ac:dyDescent="0.25">
      <c r="A153" s="262"/>
      <c r="B153" s="262"/>
      <c r="C153" s="260"/>
      <c r="D153" s="259"/>
      <c r="E153" s="259"/>
      <c r="F153" s="259"/>
    </row>
    <row r="154" spans="1:10" x14ac:dyDescent="0.25">
      <c r="A154" s="262"/>
      <c r="B154" s="262"/>
      <c r="C154" s="260"/>
      <c r="D154" s="259"/>
      <c r="E154" s="259"/>
      <c r="F154" s="259"/>
    </row>
    <row r="155" spans="1:10" x14ac:dyDescent="0.25">
      <c r="A155" s="262"/>
      <c r="B155" s="262"/>
      <c r="C155" s="260"/>
      <c r="D155" s="259"/>
      <c r="E155" s="259"/>
      <c r="F155" s="259"/>
    </row>
    <row r="156" spans="1:10" x14ac:dyDescent="0.25">
      <c r="A156" s="262"/>
      <c r="B156" s="262"/>
      <c r="C156" s="260"/>
      <c r="D156" s="259"/>
      <c r="E156" s="259"/>
      <c r="F156" s="259"/>
    </row>
    <row r="157" spans="1:10" x14ac:dyDescent="0.25">
      <c r="A157" s="262"/>
      <c r="B157" s="262"/>
      <c r="C157" s="260"/>
      <c r="D157" s="259"/>
      <c r="E157" s="259"/>
      <c r="F157" s="259"/>
    </row>
    <row r="158" spans="1:10" x14ac:dyDescent="0.25">
      <c r="A158" s="262"/>
      <c r="B158" s="262"/>
      <c r="C158" s="260"/>
      <c r="D158" s="259"/>
      <c r="E158" s="259"/>
      <c r="F158" s="259"/>
    </row>
    <row r="159" spans="1:10" x14ac:dyDescent="0.25">
      <c r="A159" s="262"/>
      <c r="B159" s="262"/>
      <c r="C159" s="260"/>
      <c r="D159" s="259"/>
      <c r="E159" s="259"/>
      <c r="F159" s="259"/>
    </row>
    <row r="160" spans="1:10" x14ac:dyDescent="0.25">
      <c r="A160" s="262"/>
      <c r="B160" s="262"/>
      <c r="C160" s="260"/>
      <c r="D160" s="259"/>
      <c r="E160" s="259"/>
      <c r="F160" s="259"/>
    </row>
    <row r="161" spans="1:6" x14ac:dyDescent="0.25">
      <c r="A161" s="262"/>
      <c r="B161" s="262"/>
      <c r="C161" s="260"/>
      <c r="D161" s="259"/>
      <c r="E161" s="259"/>
      <c r="F161" s="259"/>
    </row>
    <row r="162" spans="1:6" x14ac:dyDescent="0.25">
      <c r="A162" s="262"/>
      <c r="B162" s="262"/>
      <c r="C162" s="260"/>
      <c r="D162" s="259"/>
      <c r="E162" s="259"/>
      <c r="F162" s="259"/>
    </row>
    <row r="163" spans="1:6" x14ac:dyDescent="0.25">
      <c r="A163" s="262"/>
      <c r="B163" s="262"/>
      <c r="C163" s="260"/>
      <c r="D163" s="259"/>
      <c r="E163" s="259"/>
      <c r="F163" s="259"/>
    </row>
    <row r="164" spans="1:6" x14ac:dyDescent="0.25">
      <c r="A164" s="262"/>
      <c r="B164" s="262"/>
      <c r="C164" s="260"/>
      <c r="D164" s="259"/>
      <c r="E164" s="259"/>
      <c r="F164" s="259"/>
    </row>
    <row r="165" spans="1:6" x14ac:dyDescent="0.25">
      <c r="A165" s="262"/>
      <c r="B165" s="262"/>
      <c r="C165" s="260"/>
      <c r="D165" s="259"/>
      <c r="E165" s="259"/>
      <c r="F165" s="259"/>
    </row>
    <row r="166" spans="1:6" x14ac:dyDescent="0.25">
      <c r="A166" s="262"/>
      <c r="B166" s="262"/>
      <c r="C166" s="260"/>
      <c r="D166" s="259"/>
      <c r="E166" s="259"/>
      <c r="F166" s="259"/>
    </row>
    <row r="167" spans="1:6" x14ac:dyDescent="0.25">
      <c r="A167" s="262"/>
      <c r="B167" s="262"/>
      <c r="C167" s="260"/>
      <c r="D167" s="259"/>
      <c r="E167" s="259"/>
      <c r="F167" s="259"/>
    </row>
    <row r="168" spans="1:6" x14ac:dyDescent="0.25">
      <c r="A168" s="262"/>
      <c r="B168" s="262"/>
      <c r="C168" s="260"/>
      <c r="D168" s="259"/>
      <c r="E168" s="259"/>
      <c r="F168" s="259"/>
    </row>
    <row r="169" spans="1:6" x14ac:dyDescent="0.25">
      <c r="A169" s="262"/>
      <c r="B169" s="262"/>
      <c r="C169" s="260"/>
      <c r="D169" s="259"/>
      <c r="E169" s="259"/>
      <c r="F169" s="259"/>
    </row>
    <row r="170" spans="1:6" x14ac:dyDescent="0.25">
      <c r="A170" s="262"/>
      <c r="B170" s="262"/>
      <c r="C170" s="260"/>
      <c r="D170" s="259"/>
      <c r="E170" s="259"/>
      <c r="F170" s="259"/>
    </row>
    <row r="171" spans="1:6" x14ac:dyDescent="0.25">
      <c r="A171" s="262"/>
      <c r="B171" s="262"/>
      <c r="C171" s="260"/>
      <c r="D171" s="259"/>
      <c r="E171" s="259"/>
      <c r="F171" s="259"/>
    </row>
    <row r="172" spans="1:6" x14ac:dyDescent="0.25">
      <c r="A172" s="262"/>
      <c r="B172" s="262"/>
      <c r="C172" s="260"/>
      <c r="D172" s="259"/>
      <c r="E172" s="259"/>
      <c r="F172" s="259"/>
    </row>
    <row r="173" spans="1:6" x14ac:dyDescent="0.25">
      <c r="A173" s="262"/>
      <c r="B173" s="262"/>
      <c r="C173" s="260"/>
      <c r="D173" s="259"/>
      <c r="E173" s="259"/>
      <c r="F173" s="259"/>
    </row>
    <row r="174" spans="1:6" x14ac:dyDescent="0.25">
      <c r="A174" s="262"/>
      <c r="B174" s="262"/>
      <c r="C174" s="260"/>
      <c r="D174" s="259"/>
      <c r="E174" s="259"/>
      <c r="F174" s="259"/>
    </row>
    <row r="175" spans="1:6" x14ac:dyDescent="0.25">
      <c r="A175" s="262"/>
      <c r="B175" s="262"/>
      <c r="C175" s="260"/>
      <c r="D175" s="259"/>
      <c r="E175" s="259"/>
      <c r="F175" s="259"/>
    </row>
    <row r="176" spans="1:6" x14ac:dyDescent="0.25">
      <c r="A176" s="262"/>
      <c r="B176" s="262"/>
      <c r="C176" s="260"/>
      <c r="D176" s="259"/>
      <c r="E176" s="259"/>
      <c r="F176" s="259"/>
    </row>
    <row r="177" spans="1:6" x14ac:dyDescent="0.25">
      <c r="A177" s="262"/>
      <c r="B177" s="262"/>
      <c r="C177" s="260"/>
      <c r="D177" s="259"/>
      <c r="E177" s="259"/>
      <c r="F177" s="259"/>
    </row>
    <row r="178" spans="1:6" x14ac:dyDescent="0.25">
      <c r="A178" s="262"/>
      <c r="B178" s="262"/>
      <c r="C178" s="260"/>
      <c r="D178" s="259"/>
      <c r="E178" s="259"/>
      <c r="F178" s="259"/>
    </row>
    <row r="179" spans="1:6" x14ac:dyDescent="0.25">
      <c r="A179" s="262"/>
      <c r="B179" s="262"/>
      <c r="C179" s="260"/>
      <c r="D179" s="259"/>
      <c r="E179" s="259"/>
      <c r="F179" s="259"/>
    </row>
    <row r="180" spans="1:6" x14ac:dyDescent="0.25">
      <c r="A180" s="262"/>
      <c r="B180" s="262"/>
      <c r="C180" s="260"/>
      <c r="D180" s="259"/>
      <c r="E180" s="259"/>
      <c r="F180" s="259"/>
    </row>
    <row r="181" spans="1:6" x14ac:dyDescent="0.25">
      <c r="A181" s="262"/>
      <c r="B181" s="262"/>
      <c r="C181" s="260"/>
      <c r="D181" s="259"/>
      <c r="E181" s="259"/>
      <c r="F181" s="259"/>
    </row>
    <row r="182" spans="1:6" x14ac:dyDescent="0.25">
      <c r="A182" s="262"/>
      <c r="B182" s="262"/>
      <c r="C182" s="260"/>
      <c r="D182" s="259"/>
      <c r="E182" s="259"/>
      <c r="F182" s="259"/>
    </row>
    <row r="183" spans="1:6" x14ac:dyDescent="0.25">
      <c r="A183" s="262"/>
      <c r="B183" s="262"/>
      <c r="C183" s="260"/>
      <c r="D183" s="259"/>
      <c r="E183" s="259"/>
      <c r="F183" s="259"/>
    </row>
    <row r="184" spans="1:6" x14ac:dyDescent="0.25">
      <c r="A184" s="262"/>
      <c r="B184" s="262"/>
      <c r="C184" s="260"/>
      <c r="D184" s="259"/>
      <c r="E184" s="259"/>
      <c r="F184" s="259"/>
    </row>
    <row r="185" spans="1:6" x14ac:dyDescent="0.25">
      <c r="A185" s="262"/>
      <c r="B185" s="262"/>
      <c r="C185" s="260"/>
      <c r="D185" s="259"/>
      <c r="E185" s="259"/>
      <c r="F185" s="259"/>
    </row>
    <row r="186" spans="1:6" x14ac:dyDescent="0.25">
      <c r="A186" s="262"/>
      <c r="B186" s="262"/>
      <c r="C186" s="260"/>
      <c r="D186" s="259"/>
      <c r="E186" s="259"/>
      <c r="F186" s="259"/>
    </row>
    <row r="187" spans="1:6" x14ac:dyDescent="0.25">
      <c r="A187" s="262"/>
      <c r="B187" s="262"/>
      <c r="C187" s="260"/>
      <c r="D187" s="259"/>
      <c r="E187" s="259"/>
      <c r="F187" s="259"/>
    </row>
    <row r="188" spans="1:6" x14ac:dyDescent="0.25">
      <c r="A188" s="262"/>
      <c r="B188" s="262"/>
      <c r="C188" s="260"/>
      <c r="D188" s="259"/>
      <c r="E188" s="259"/>
      <c r="F188" s="259"/>
    </row>
    <row r="189" spans="1:6" x14ac:dyDescent="0.25">
      <c r="A189" s="262"/>
      <c r="B189" s="262"/>
      <c r="C189" s="260"/>
      <c r="D189" s="259"/>
      <c r="E189" s="259"/>
      <c r="F189" s="259"/>
    </row>
    <row r="190" spans="1:6" x14ac:dyDescent="0.25">
      <c r="A190" s="262"/>
      <c r="B190" s="262"/>
      <c r="C190" s="260"/>
      <c r="D190" s="259"/>
      <c r="E190" s="259"/>
      <c r="F190" s="259"/>
    </row>
    <row r="191" spans="1:6" x14ac:dyDescent="0.25">
      <c r="A191" s="262"/>
      <c r="B191" s="262"/>
      <c r="C191" s="260"/>
      <c r="D191" s="259"/>
      <c r="E191" s="259"/>
      <c r="F191" s="259"/>
    </row>
    <row r="192" spans="1:6" x14ac:dyDescent="0.25">
      <c r="A192" s="262"/>
      <c r="B192" s="262"/>
      <c r="C192" s="260"/>
      <c r="D192" s="259"/>
      <c r="E192" s="259"/>
      <c r="F192" s="259"/>
    </row>
    <row r="193" spans="1:6" x14ac:dyDescent="0.25">
      <c r="A193" s="262"/>
      <c r="B193" s="262"/>
      <c r="C193" s="260"/>
      <c r="D193" s="259"/>
      <c r="E193" s="259"/>
      <c r="F193" s="259"/>
    </row>
    <row r="194" spans="1:6" x14ac:dyDescent="0.25">
      <c r="A194" s="262"/>
      <c r="B194" s="262"/>
      <c r="C194" s="260"/>
      <c r="D194" s="259"/>
      <c r="E194" s="259"/>
      <c r="F194" s="259"/>
    </row>
    <row r="195" spans="1:6" x14ac:dyDescent="0.25">
      <c r="A195" s="262"/>
      <c r="B195" s="262"/>
      <c r="C195" s="260"/>
      <c r="D195" s="259"/>
      <c r="E195" s="259"/>
      <c r="F195" s="259"/>
    </row>
    <row r="196" spans="1:6" x14ac:dyDescent="0.25">
      <c r="A196" s="262"/>
      <c r="B196" s="262"/>
      <c r="C196" s="260"/>
      <c r="D196" s="259"/>
      <c r="E196" s="259"/>
      <c r="F196" s="259"/>
    </row>
    <row r="197" spans="1:6" x14ac:dyDescent="0.25">
      <c r="A197" s="262"/>
      <c r="B197" s="262"/>
      <c r="C197" s="260"/>
      <c r="D197" s="259"/>
      <c r="E197" s="259"/>
      <c r="F197" s="259"/>
    </row>
    <row r="198" spans="1:6" x14ac:dyDescent="0.25">
      <c r="A198" s="262"/>
      <c r="B198" s="262"/>
      <c r="C198" s="260"/>
      <c r="D198" s="259"/>
      <c r="E198" s="259"/>
      <c r="F198" s="259"/>
    </row>
    <row r="199" spans="1:6" x14ac:dyDescent="0.25">
      <c r="A199" s="262"/>
      <c r="B199" s="262"/>
      <c r="C199" s="260"/>
      <c r="D199" s="259"/>
      <c r="E199" s="259"/>
      <c r="F199" s="259"/>
    </row>
    <row r="200" spans="1:6" x14ac:dyDescent="0.25">
      <c r="A200" s="262"/>
      <c r="B200" s="262"/>
      <c r="C200" s="260"/>
      <c r="D200" s="259"/>
      <c r="E200" s="259"/>
      <c r="F200" s="259"/>
    </row>
    <row r="201" spans="1:6" x14ac:dyDescent="0.25">
      <c r="A201" s="262"/>
      <c r="B201" s="262"/>
      <c r="C201" s="260"/>
      <c r="D201" s="259"/>
      <c r="E201" s="259"/>
      <c r="F201" s="259"/>
    </row>
    <row r="202" spans="1:6" x14ac:dyDescent="0.25">
      <c r="A202" s="262"/>
      <c r="B202" s="262"/>
      <c r="C202" s="260"/>
      <c r="D202" s="259"/>
      <c r="E202" s="259"/>
      <c r="F202" s="259"/>
    </row>
    <row r="203" spans="1:6" x14ac:dyDescent="0.25">
      <c r="A203" s="262"/>
      <c r="B203" s="262"/>
      <c r="C203" s="260"/>
      <c r="D203" s="259"/>
      <c r="E203" s="259"/>
      <c r="F203" s="259"/>
    </row>
    <row r="204" spans="1:6" x14ac:dyDescent="0.25">
      <c r="A204" s="262"/>
      <c r="B204" s="262"/>
      <c r="C204" s="260"/>
      <c r="D204" s="259"/>
      <c r="E204" s="259"/>
      <c r="F204" s="259"/>
    </row>
    <row r="205" spans="1:6" x14ac:dyDescent="0.25">
      <c r="A205" s="262"/>
      <c r="B205" s="262"/>
      <c r="C205" s="260"/>
      <c r="D205" s="259"/>
      <c r="E205" s="259"/>
      <c r="F205" s="259"/>
    </row>
    <row r="206" spans="1:6" x14ac:dyDescent="0.25">
      <c r="A206" s="262"/>
      <c r="B206" s="262"/>
      <c r="C206" s="260"/>
      <c r="D206" s="259"/>
      <c r="E206" s="259"/>
      <c r="F206" s="259"/>
    </row>
    <row r="207" spans="1:6" x14ac:dyDescent="0.25">
      <c r="A207" s="262"/>
      <c r="B207" s="262"/>
      <c r="C207" s="260"/>
      <c r="D207" s="259"/>
      <c r="E207" s="259"/>
      <c r="F207" s="259"/>
    </row>
    <row r="208" spans="1:6" x14ac:dyDescent="0.25">
      <c r="A208" s="262"/>
      <c r="B208" s="262"/>
      <c r="C208" s="260"/>
      <c r="D208" s="259"/>
      <c r="E208" s="259"/>
      <c r="F208" s="259"/>
    </row>
    <row r="209" spans="1:6" x14ac:dyDescent="0.25">
      <c r="A209" s="262"/>
      <c r="B209" s="262"/>
      <c r="C209" s="260"/>
      <c r="D209" s="259"/>
      <c r="E209" s="259"/>
      <c r="F209" s="259"/>
    </row>
    <row r="210" spans="1:6" x14ac:dyDescent="0.25">
      <c r="A210" s="262"/>
      <c r="B210" s="262"/>
      <c r="C210" s="260"/>
      <c r="D210" s="259"/>
      <c r="E210" s="259"/>
      <c r="F210" s="259"/>
    </row>
    <row r="211" spans="1:6" x14ac:dyDescent="0.25">
      <c r="A211" s="262"/>
      <c r="B211" s="262"/>
      <c r="C211" s="260"/>
      <c r="D211" s="259"/>
      <c r="E211" s="259"/>
      <c r="F211" s="259"/>
    </row>
    <row r="212" spans="1:6" x14ac:dyDescent="0.25">
      <c r="A212" s="262"/>
      <c r="B212" s="262"/>
      <c r="C212" s="260"/>
      <c r="D212" s="259"/>
      <c r="E212" s="259"/>
      <c r="F212" s="259"/>
    </row>
    <row r="213" spans="1:6" x14ac:dyDescent="0.25">
      <c r="A213" s="262"/>
      <c r="B213" s="262"/>
      <c r="C213" s="260"/>
      <c r="D213" s="259"/>
      <c r="E213" s="259"/>
      <c r="F213" s="259"/>
    </row>
    <row r="214" spans="1:6" x14ac:dyDescent="0.25">
      <c r="A214" s="262"/>
      <c r="B214" s="262"/>
      <c r="C214" s="260"/>
      <c r="D214" s="259"/>
      <c r="E214" s="259"/>
      <c r="F214" s="259"/>
    </row>
    <row r="215" spans="1:6" x14ac:dyDescent="0.25">
      <c r="A215" s="262"/>
      <c r="B215" s="262"/>
      <c r="C215" s="260"/>
      <c r="D215" s="259"/>
      <c r="E215" s="259"/>
      <c r="F215" s="259"/>
    </row>
    <row r="216" spans="1:6" x14ac:dyDescent="0.25">
      <c r="A216" s="262"/>
      <c r="B216" s="262"/>
      <c r="C216" s="260"/>
      <c r="D216" s="259"/>
      <c r="E216" s="259"/>
      <c r="F216" s="259"/>
    </row>
    <row r="217" spans="1:6" x14ac:dyDescent="0.25">
      <c r="A217" s="262"/>
      <c r="B217" s="262"/>
      <c r="C217" s="260"/>
      <c r="D217" s="259"/>
      <c r="E217" s="259"/>
      <c r="F217" s="259"/>
    </row>
    <row r="218" spans="1:6" x14ac:dyDescent="0.25">
      <c r="A218" s="262"/>
      <c r="B218" s="262"/>
      <c r="C218" s="260"/>
      <c r="D218" s="259"/>
      <c r="E218" s="259"/>
      <c r="F218" s="259"/>
    </row>
    <row r="219" spans="1:6" x14ac:dyDescent="0.25">
      <c r="A219" s="262"/>
      <c r="B219" s="262"/>
      <c r="C219" s="260"/>
      <c r="D219" s="259"/>
      <c r="E219" s="259"/>
      <c r="F219" s="259"/>
    </row>
    <row r="220" spans="1:6" x14ac:dyDescent="0.25">
      <c r="A220" s="262"/>
      <c r="B220" s="262"/>
      <c r="C220" s="260"/>
      <c r="D220" s="259"/>
      <c r="E220" s="259"/>
      <c r="F220" s="259"/>
    </row>
    <row r="221" spans="1:6" x14ac:dyDescent="0.25">
      <c r="A221" s="262"/>
      <c r="B221" s="262"/>
      <c r="C221" s="260"/>
      <c r="D221" s="259"/>
      <c r="E221" s="259"/>
      <c r="F221" s="259"/>
    </row>
    <row r="222" spans="1:6" x14ac:dyDescent="0.25">
      <c r="A222" s="262"/>
      <c r="B222" s="262"/>
      <c r="C222" s="260"/>
      <c r="D222" s="259"/>
      <c r="E222" s="259"/>
      <c r="F222" s="259"/>
    </row>
    <row r="223" spans="1:6" x14ac:dyDescent="0.25">
      <c r="A223" s="262"/>
      <c r="B223" s="262"/>
      <c r="C223" s="260"/>
      <c r="D223" s="259"/>
      <c r="E223" s="259"/>
      <c r="F223" s="259"/>
    </row>
    <row r="224" spans="1:6" x14ac:dyDescent="0.25">
      <c r="A224" s="262"/>
      <c r="B224" s="262"/>
      <c r="C224" s="260"/>
      <c r="D224" s="259"/>
      <c r="E224" s="259"/>
      <c r="F224" s="259"/>
    </row>
    <row r="225" spans="1:6" x14ac:dyDescent="0.25">
      <c r="A225" s="262"/>
      <c r="B225" s="262"/>
      <c r="C225" s="260"/>
      <c r="D225" s="259"/>
      <c r="E225" s="259"/>
      <c r="F225" s="259"/>
    </row>
    <row r="226" spans="1:6" x14ac:dyDescent="0.25">
      <c r="A226" s="262"/>
      <c r="B226" s="262"/>
      <c r="C226" s="260"/>
      <c r="D226" s="259"/>
      <c r="E226" s="259"/>
      <c r="F226" s="259"/>
    </row>
    <row r="227" spans="1:6" x14ac:dyDescent="0.25">
      <c r="A227" s="262"/>
      <c r="B227" s="262"/>
      <c r="C227" s="260"/>
      <c r="D227" s="259"/>
      <c r="E227" s="259"/>
      <c r="F227" s="259"/>
    </row>
    <row r="228" spans="1:6" x14ac:dyDescent="0.25">
      <c r="A228" s="262"/>
      <c r="B228" s="262"/>
      <c r="C228" s="260"/>
      <c r="D228" s="259"/>
      <c r="E228" s="259"/>
      <c r="F228" s="259"/>
    </row>
    <row r="229" spans="1:6" x14ac:dyDescent="0.25">
      <c r="A229" s="262"/>
      <c r="B229" s="262"/>
      <c r="C229" s="260"/>
      <c r="D229" s="259"/>
      <c r="E229" s="259"/>
      <c r="F229" s="259"/>
    </row>
    <row r="230" spans="1:6" x14ac:dyDescent="0.25">
      <c r="A230" s="262"/>
      <c r="B230" s="262"/>
      <c r="C230" s="260"/>
      <c r="D230" s="259"/>
      <c r="E230" s="259"/>
      <c r="F230" s="259"/>
    </row>
    <row r="231" spans="1:6" x14ac:dyDescent="0.25">
      <c r="A231" s="262"/>
      <c r="B231" s="262"/>
      <c r="C231" s="260"/>
      <c r="D231" s="259"/>
      <c r="E231" s="259"/>
      <c r="F231" s="259"/>
    </row>
    <row r="232" spans="1:6" x14ac:dyDescent="0.25">
      <c r="A232" s="262"/>
      <c r="B232" s="262"/>
      <c r="C232" s="260"/>
      <c r="D232" s="259"/>
      <c r="E232" s="259"/>
      <c r="F232" s="259"/>
    </row>
    <row r="233" spans="1:6" x14ac:dyDescent="0.25">
      <c r="A233" s="262"/>
      <c r="B233" s="262"/>
      <c r="C233" s="260"/>
      <c r="D233" s="259"/>
      <c r="E233" s="259"/>
      <c r="F233" s="259"/>
    </row>
    <row r="234" spans="1:6" x14ac:dyDescent="0.25">
      <c r="A234" s="262"/>
      <c r="B234" s="262"/>
      <c r="C234" s="260"/>
      <c r="D234" s="259"/>
      <c r="E234" s="259"/>
      <c r="F234" s="259"/>
    </row>
    <row r="235" spans="1:6" x14ac:dyDescent="0.25">
      <c r="A235" s="262"/>
      <c r="B235" s="262"/>
      <c r="C235" s="260"/>
      <c r="D235" s="259"/>
      <c r="E235" s="259"/>
      <c r="F235" s="259"/>
    </row>
    <row r="236" spans="1:6" x14ac:dyDescent="0.25">
      <c r="A236" s="262"/>
      <c r="B236" s="262"/>
      <c r="C236" s="260"/>
      <c r="D236" s="259"/>
      <c r="E236" s="259"/>
      <c r="F236" s="259"/>
    </row>
    <row r="237" spans="1:6" x14ac:dyDescent="0.25">
      <c r="A237" s="262"/>
      <c r="B237" s="262"/>
      <c r="C237" s="260"/>
      <c r="D237" s="259"/>
      <c r="E237" s="259"/>
      <c r="F237" s="259"/>
    </row>
    <row r="238" spans="1:6" x14ac:dyDescent="0.25">
      <c r="A238" s="262"/>
      <c r="B238" s="262"/>
      <c r="C238" s="260"/>
      <c r="D238" s="259"/>
      <c r="E238" s="259"/>
      <c r="F238" s="259"/>
    </row>
    <row r="239" spans="1:6" x14ac:dyDescent="0.25">
      <c r="A239" s="262"/>
      <c r="B239" s="262"/>
      <c r="C239" s="260"/>
      <c r="D239" s="259"/>
      <c r="E239" s="259"/>
      <c r="F239" s="259"/>
    </row>
    <row r="240" spans="1:6" x14ac:dyDescent="0.25">
      <c r="A240" s="262"/>
      <c r="B240" s="262"/>
      <c r="C240" s="260"/>
      <c r="D240" s="259"/>
      <c r="E240" s="259"/>
      <c r="F240" s="259"/>
    </row>
    <row r="241" spans="1:6" x14ac:dyDescent="0.25">
      <c r="A241" s="262"/>
      <c r="B241" s="262"/>
      <c r="C241" s="260"/>
      <c r="D241" s="259"/>
      <c r="E241" s="259"/>
      <c r="F241" s="259"/>
    </row>
    <row r="242" spans="1:6" x14ac:dyDescent="0.25">
      <c r="A242" s="262"/>
      <c r="B242" s="262"/>
      <c r="C242" s="260"/>
      <c r="D242" s="259"/>
      <c r="E242" s="259"/>
      <c r="F242" s="259"/>
    </row>
    <row r="243" spans="1:6" x14ac:dyDescent="0.25">
      <c r="A243" s="262"/>
      <c r="B243" s="262"/>
      <c r="C243" s="260"/>
      <c r="D243" s="259"/>
      <c r="E243" s="259"/>
      <c r="F243" s="259"/>
    </row>
    <row r="244" spans="1:6" x14ac:dyDescent="0.25">
      <c r="A244" s="262"/>
      <c r="B244" s="262"/>
      <c r="C244" s="260"/>
      <c r="D244" s="259"/>
      <c r="E244" s="259"/>
      <c r="F244" s="259"/>
    </row>
    <row r="245" spans="1:6" x14ac:dyDescent="0.25">
      <c r="A245" s="262"/>
      <c r="B245" s="262"/>
      <c r="C245" s="260"/>
      <c r="D245" s="259"/>
      <c r="E245" s="259"/>
      <c r="F245" s="259"/>
    </row>
    <row r="246" spans="1:6" x14ac:dyDescent="0.25">
      <c r="A246" s="262"/>
      <c r="B246" s="262"/>
      <c r="C246" s="260"/>
      <c r="D246" s="259"/>
      <c r="E246" s="259"/>
      <c r="F246" s="259"/>
    </row>
    <row r="247" spans="1:6" x14ac:dyDescent="0.25">
      <c r="A247" s="262"/>
      <c r="B247" s="262"/>
      <c r="C247" s="260"/>
      <c r="D247" s="259"/>
      <c r="E247" s="259"/>
      <c r="F247" s="259"/>
    </row>
    <row r="248" spans="1:6" x14ac:dyDescent="0.25">
      <c r="A248" s="262"/>
      <c r="B248" s="262"/>
      <c r="C248" s="260"/>
      <c r="D248" s="259"/>
      <c r="E248" s="259"/>
      <c r="F248" s="259"/>
    </row>
    <row r="249" spans="1:6" x14ac:dyDescent="0.25">
      <c r="A249" s="262"/>
      <c r="B249" s="262"/>
      <c r="C249" s="260"/>
      <c r="D249" s="259"/>
      <c r="E249" s="259"/>
      <c r="F249" s="259"/>
    </row>
    <row r="250" spans="1:6" x14ac:dyDescent="0.25">
      <c r="A250" s="262"/>
      <c r="B250" s="262"/>
      <c r="C250" s="260"/>
      <c r="D250" s="259"/>
      <c r="E250" s="259"/>
      <c r="F250" s="259"/>
    </row>
    <row r="251" spans="1:6" x14ac:dyDescent="0.25">
      <c r="A251" s="262"/>
      <c r="B251" s="262"/>
      <c r="C251" s="260"/>
      <c r="D251" s="259"/>
      <c r="E251" s="259"/>
      <c r="F251" s="259"/>
    </row>
    <row r="252" spans="1:6" x14ac:dyDescent="0.25">
      <c r="A252" s="262"/>
      <c r="B252" s="262"/>
      <c r="C252" s="260"/>
      <c r="D252" s="259"/>
      <c r="E252" s="259"/>
      <c r="F252" s="259"/>
    </row>
    <row r="253" spans="1:6" x14ac:dyDescent="0.25">
      <c r="A253" s="262"/>
      <c r="B253" s="262"/>
      <c r="C253" s="260"/>
      <c r="D253" s="259"/>
      <c r="E253" s="259"/>
      <c r="F253" s="259"/>
    </row>
    <row r="254" spans="1:6" x14ac:dyDescent="0.25">
      <c r="A254" s="262"/>
      <c r="B254" s="262"/>
      <c r="C254" s="260"/>
      <c r="D254" s="259"/>
      <c r="E254" s="259"/>
      <c r="F254" s="259"/>
    </row>
    <row r="255" spans="1:6" x14ac:dyDescent="0.25">
      <c r="A255" s="262"/>
      <c r="B255" s="262"/>
      <c r="C255" s="260"/>
      <c r="D255" s="259"/>
      <c r="E255" s="259"/>
      <c r="F255" s="259"/>
    </row>
    <row r="256" spans="1:6" x14ac:dyDescent="0.25">
      <c r="A256" s="262"/>
      <c r="B256" s="262"/>
      <c r="C256" s="260"/>
      <c r="D256" s="259"/>
      <c r="E256" s="259"/>
      <c r="F256" s="259"/>
    </row>
    <row r="257" spans="1:6" x14ac:dyDescent="0.25">
      <c r="A257" s="262"/>
      <c r="B257" s="262"/>
      <c r="C257" s="260"/>
      <c r="D257" s="259"/>
      <c r="E257" s="259"/>
      <c r="F257" s="259"/>
    </row>
    <row r="258" spans="1:6" x14ac:dyDescent="0.25">
      <c r="A258" s="262"/>
      <c r="B258" s="262"/>
      <c r="C258" s="260"/>
      <c r="D258" s="259"/>
      <c r="E258" s="259"/>
      <c r="F258" s="259"/>
    </row>
    <row r="259" spans="1:6" x14ac:dyDescent="0.25">
      <c r="A259" s="262"/>
      <c r="B259" s="262"/>
      <c r="C259" s="260"/>
      <c r="D259" s="259"/>
      <c r="E259" s="259"/>
      <c r="F259" s="259"/>
    </row>
    <row r="260" spans="1:6" x14ac:dyDescent="0.25">
      <c r="A260" s="262"/>
      <c r="B260" s="262"/>
      <c r="C260" s="260"/>
      <c r="D260" s="259"/>
      <c r="E260" s="259"/>
      <c r="F260" s="259"/>
    </row>
    <row r="261" spans="1:6" x14ac:dyDescent="0.25">
      <c r="A261" s="262"/>
      <c r="B261" s="262"/>
      <c r="C261" s="260"/>
      <c r="D261" s="259"/>
      <c r="E261" s="259"/>
      <c r="F261" s="259"/>
    </row>
    <row r="262" spans="1:6" x14ac:dyDescent="0.25">
      <c r="A262" s="262"/>
      <c r="B262" s="262"/>
      <c r="C262" s="260"/>
      <c r="D262" s="259"/>
      <c r="E262" s="259"/>
      <c r="F262" s="259"/>
    </row>
    <row r="263" spans="1:6" x14ac:dyDescent="0.25">
      <c r="A263" s="262"/>
      <c r="B263" s="262"/>
      <c r="C263" s="260"/>
      <c r="D263" s="259"/>
      <c r="E263" s="259"/>
      <c r="F263" s="259"/>
    </row>
    <row r="264" spans="1:6" x14ac:dyDescent="0.25">
      <c r="A264" s="262"/>
      <c r="B264" s="262"/>
      <c r="C264" s="260"/>
      <c r="D264" s="259"/>
      <c r="E264" s="259"/>
      <c r="F264" s="259"/>
    </row>
    <row r="265" spans="1:6" x14ac:dyDescent="0.25">
      <c r="A265" s="262"/>
      <c r="B265" s="262"/>
      <c r="C265" s="260"/>
      <c r="D265" s="259"/>
      <c r="E265" s="259"/>
      <c r="F265" s="259"/>
    </row>
    <row r="266" spans="1:6" x14ac:dyDescent="0.25">
      <c r="A266" s="262"/>
      <c r="B266" s="262"/>
      <c r="C266" s="260"/>
      <c r="D266" s="259"/>
      <c r="E266" s="259"/>
      <c r="F266" s="259"/>
    </row>
    <row r="267" spans="1:6" x14ac:dyDescent="0.25">
      <c r="A267" s="262"/>
      <c r="B267" s="262"/>
      <c r="C267" s="260"/>
      <c r="D267" s="259"/>
      <c r="E267" s="259"/>
      <c r="F267" s="259"/>
    </row>
    <row r="268" spans="1:6" x14ac:dyDescent="0.25">
      <c r="A268" s="262"/>
      <c r="B268" s="262"/>
      <c r="C268" s="260"/>
      <c r="D268" s="259"/>
      <c r="E268" s="259"/>
      <c r="F268" s="259"/>
    </row>
    <row r="269" spans="1:6" x14ac:dyDescent="0.25">
      <c r="A269" s="262"/>
      <c r="B269" s="262"/>
      <c r="C269" s="260"/>
      <c r="D269" s="259"/>
      <c r="E269" s="259"/>
      <c r="F269" s="259"/>
    </row>
    <row r="270" spans="1:6" x14ac:dyDescent="0.25">
      <c r="A270" s="262"/>
      <c r="B270" s="262"/>
      <c r="C270" s="260"/>
      <c r="D270" s="259"/>
      <c r="E270" s="259"/>
      <c r="F270" s="259"/>
    </row>
    <row r="271" spans="1:6" x14ac:dyDescent="0.25">
      <c r="A271" s="262"/>
      <c r="B271" s="262"/>
      <c r="C271" s="260"/>
      <c r="D271" s="259"/>
      <c r="E271" s="259"/>
      <c r="F271" s="259"/>
    </row>
    <row r="272" spans="1:6" x14ac:dyDescent="0.25">
      <c r="A272" s="262"/>
      <c r="B272" s="262"/>
      <c r="C272" s="260"/>
      <c r="D272" s="259"/>
      <c r="E272" s="259"/>
      <c r="F272" s="259"/>
    </row>
    <row r="273" spans="1:6" x14ac:dyDescent="0.25">
      <c r="A273" s="262"/>
      <c r="B273" s="262"/>
      <c r="C273" s="260"/>
      <c r="D273" s="259"/>
      <c r="E273" s="259"/>
      <c r="F273" s="259"/>
    </row>
    <row r="274" spans="1:6" x14ac:dyDescent="0.25">
      <c r="A274" s="262"/>
      <c r="B274" s="262"/>
      <c r="C274" s="260"/>
      <c r="D274" s="259"/>
      <c r="E274" s="259"/>
      <c r="F274" s="259"/>
    </row>
    <row r="275" spans="1:6" x14ac:dyDescent="0.25">
      <c r="A275" s="262"/>
      <c r="B275" s="262"/>
      <c r="C275" s="260"/>
      <c r="D275" s="259"/>
      <c r="E275" s="259"/>
      <c r="F275" s="259"/>
    </row>
    <row r="276" spans="1:6" x14ac:dyDescent="0.25">
      <c r="A276" s="262"/>
      <c r="B276" s="262"/>
      <c r="C276" s="260"/>
      <c r="D276" s="259"/>
      <c r="E276" s="259"/>
      <c r="F276" s="259"/>
    </row>
    <row r="277" spans="1:6" x14ac:dyDescent="0.25">
      <c r="A277" s="262"/>
      <c r="B277" s="262"/>
      <c r="C277" s="260"/>
      <c r="D277" s="259"/>
      <c r="E277" s="259"/>
      <c r="F277" s="259"/>
    </row>
    <row r="278" spans="1:6" x14ac:dyDescent="0.25">
      <c r="A278" s="262"/>
      <c r="B278" s="262"/>
      <c r="C278" s="260"/>
      <c r="D278" s="259"/>
      <c r="E278" s="259"/>
      <c r="F278" s="259"/>
    </row>
    <row r="279" spans="1:6" x14ac:dyDescent="0.25">
      <c r="A279" s="262"/>
      <c r="B279" s="262"/>
      <c r="C279" s="260"/>
      <c r="D279" s="259"/>
      <c r="E279" s="259"/>
      <c r="F279" s="259"/>
    </row>
    <row r="280" spans="1:6" x14ac:dyDescent="0.25">
      <c r="A280" s="262"/>
      <c r="B280" s="262"/>
      <c r="C280" s="260"/>
      <c r="D280" s="259"/>
      <c r="E280" s="259"/>
      <c r="F280" s="259"/>
    </row>
    <row r="281" spans="1:6" x14ac:dyDescent="0.25">
      <c r="A281" s="262"/>
      <c r="B281" s="262"/>
      <c r="C281" s="260"/>
      <c r="D281" s="259"/>
      <c r="E281" s="259"/>
      <c r="F281" s="259"/>
    </row>
    <row r="282" spans="1:6" x14ac:dyDescent="0.25">
      <c r="A282" s="262"/>
      <c r="B282" s="262"/>
      <c r="C282" s="260"/>
      <c r="D282" s="259"/>
      <c r="E282" s="259"/>
      <c r="F282" s="259"/>
    </row>
    <row r="283" spans="1:6" x14ac:dyDescent="0.25">
      <c r="A283" s="262"/>
      <c r="B283" s="262"/>
      <c r="C283" s="260"/>
      <c r="D283" s="259"/>
      <c r="E283" s="259"/>
      <c r="F283" s="259"/>
    </row>
    <row r="284" spans="1:6" x14ac:dyDescent="0.25">
      <c r="A284" s="262"/>
      <c r="B284" s="262"/>
      <c r="C284" s="260"/>
      <c r="D284" s="259"/>
      <c r="E284" s="259"/>
      <c r="F284" s="259"/>
    </row>
    <row r="285" spans="1:6" x14ac:dyDescent="0.25">
      <c r="A285" s="262"/>
      <c r="B285" s="262"/>
      <c r="C285" s="260"/>
      <c r="D285" s="259"/>
      <c r="E285" s="259"/>
      <c r="F285" s="259"/>
    </row>
    <row r="286" spans="1:6" x14ac:dyDescent="0.25">
      <c r="A286" s="262"/>
      <c r="B286" s="262"/>
      <c r="C286" s="260"/>
      <c r="D286" s="259"/>
      <c r="E286" s="259"/>
      <c r="F286" s="259"/>
    </row>
    <row r="287" spans="1:6" x14ac:dyDescent="0.25">
      <c r="A287" s="262"/>
      <c r="B287" s="262"/>
      <c r="C287" s="260"/>
      <c r="D287" s="259"/>
      <c r="E287" s="259"/>
      <c r="F287" s="259"/>
    </row>
    <row r="288" spans="1:6" x14ac:dyDescent="0.25">
      <c r="A288" s="262"/>
      <c r="B288" s="262"/>
      <c r="C288" s="260"/>
      <c r="D288" s="259"/>
      <c r="E288" s="259"/>
      <c r="F288" s="259"/>
    </row>
    <row r="289" spans="1:6" x14ac:dyDescent="0.25">
      <c r="A289" s="262"/>
      <c r="B289" s="262"/>
      <c r="C289" s="260"/>
      <c r="D289" s="259"/>
      <c r="E289" s="259"/>
      <c r="F289" s="259"/>
    </row>
    <row r="290" spans="1:6" x14ac:dyDescent="0.25">
      <c r="A290" s="262"/>
      <c r="B290" s="262"/>
      <c r="C290" s="260"/>
      <c r="D290" s="259"/>
      <c r="E290" s="259"/>
      <c r="F290" s="259"/>
    </row>
    <row r="291" spans="1:6" x14ac:dyDescent="0.25">
      <c r="A291" s="262"/>
      <c r="B291" s="262"/>
      <c r="C291" s="260"/>
      <c r="D291" s="259"/>
      <c r="E291" s="259"/>
      <c r="F291" s="259"/>
    </row>
    <row r="292" spans="1:6" x14ac:dyDescent="0.25">
      <c r="A292" s="262"/>
      <c r="B292" s="262"/>
      <c r="C292" s="260"/>
      <c r="D292" s="259"/>
      <c r="E292" s="259"/>
      <c r="F292" s="259"/>
    </row>
    <row r="293" spans="1:6" x14ac:dyDescent="0.25">
      <c r="A293" s="262"/>
      <c r="B293" s="262"/>
      <c r="C293" s="260"/>
      <c r="D293" s="259"/>
      <c r="E293" s="259"/>
      <c r="F293" s="259"/>
    </row>
    <row r="294" spans="1:6" x14ac:dyDescent="0.25">
      <c r="A294" s="262"/>
      <c r="B294" s="262"/>
      <c r="C294" s="260"/>
      <c r="D294" s="259"/>
      <c r="E294" s="259"/>
      <c r="F294" s="259"/>
    </row>
    <row r="295" spans="1:6" x14ac:dyDescent="0.25">
      <c r="A295" s="262"/>
      <c r="B295" s="262"/>
      <c r="C295" s="260"/>
      <c r="D295" s="259"/>
      <c r="E295" s="259"/>
      <c r="F295" s="259"/>
    </row>
    <row r="296" spans="1:6" x14ac:dyDescent="0.25">
      <c r="A296" s="262"/>
      <c r="B296" s="262"/>
      <c r="C296" s="260"/>
      <c r="D296" s="259"/>
      <c r="E296" s="259"/>
      <c r="F296" s="259"/>
    </row>
    <row r="297" spans="1:6" x14ac:dyDescent="0.25">
      <c r="A297" s="262"/>
      <c r="B297" s="262"/>
      <c r="C297" s="260"/>
      <c r="D297" s="259"/>
      <c r="E297" s="259"/>
      <c r="F297" s="259"/>
    </row>
    <row r="298" spans="1:6" x14ac:dyDescent="0.25">
      <c r="A298" s="262"/>
      <c r="B298" s="262"/>
      <c r="C298" s="260"/>
      <c r="D298" s="259"/>
      <c r="E298" s="259"/>
      <c r="F298" s="259"/>
    </row>
    <row r="299" spans="1:6" x14ac:dyDescent="0.25">
      <c r="A299" s="262"/>
      <c r="B299" s="262"/>
      <c r="C299" s="260"/>
      <c r="D299" s="259"/>
      <c r="E299" s="259"/>
      <c r="F299" s="259"/>
    </row>
    <row r="300" spans="1:6" x14ac:dyDescent="0.25">
      <c r="A300" s="262"/>
      <c r="B300" s="262"/>
      <c r="C300" s="260"/>
      <c r="D300" s="259"/>
      <c r="E300" s="259"/>
      <c r="F300" s="259"/>
    </row>
    <row r="301" spans="1:6" x14ac:dyDescent="0.25">
      <c r="A301" s="262"/>
      <c r="B301" s="262"/>
      <c r="C301" s="260"/>
      <c r="D301" s="259"/>
      <c r="E301" s="259"/>
      <c r="F301" s="259"/>
    </row>
    <row r="302" spans="1:6" x14ac:dyDescent="0.25">
      <c r="A302" s="262"/>
      <c r="B302" s="262"/>
      <c r="C302" s="260"/>
      <c r="D302" s="259"/>
      <c r="E302" s="259"/>
      <c r="F302" s="259"/>
    </row>
    <row r="303" spans="1:6" x14ac:dyDescent="0.25">
      <c r="A303" s="262"/>
      <c r="B303" s="262"/>
      <c r="C303" s="260"/>
      <c r="D303" s="259"/>
      <c r="E303" s="259"/>
      <c r="F303" s="259"/>
    </row>
    <row r="304" spans="1:6" x14ac:dyDescent="0.25">
      <c r="A304" s="262"/>
      <c r="B304" s="262"/>
      <c r="C304" s="260"/>
      <c r="D304" s="259"/>
      <c r="E304" s="259"/>
      <c r="F304" s="259"/>
    </row>
    <row r="305" spans="1:6" x14ac:dyDescent="0.25">
      <c r="A305" s="262"/>
      <c r="B305" s="262"/>
      <c r="C305" s="260"/>
      <c r="D305" s="259"/>
      <c r="E305" s="259"/>
      <c r="F305" s="259"/>
    </row>
    <row r="306" spans="1:6" x14ac:dyDescent="0.25">
      <c r="A306" s="262"/>
      <c r="B306" s="262"/>
      <c r="C306" s="260"/>
      <c r="D306" s="259"/>
      <c r="E306" s="259"/>
      <c r="F306" s="259"/>
    </row>
    <row r="307" spans="1:6" x14ac:dyDescent="0.25">
      <c r="A307" s="262"/>
      <c r="B307" s="262"/>
      <c r="C307" s="260"/>
      <c r="D307" s="259"/>
      <c r="E307" s="259"/>
      <c r="F307" s="259"/>
    </row>
    <row r="308" spans="1:6" x14ac:dyDescent="0.25">
      <c r="A308" s="262"/>
      <c r="B308" s="262"/>
      <c r="C308" s="260"/>
      <c r="D308" s="259"/>
      <c r="E308" s="259"/>
      <c r="F308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0E00-000000000000}"/>
  </hyperlinks>
  <pageMargins left="0" right="0" top="0.25" bottom="0.2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73"/>
  <sheetViews>
    <sheetView workbookViewId="0">
      <pane ySplit="7" topLeftCell="A105" activePane="bottomLeft" state="frozen"/>
      <selection pane="bottomLeft" activeCell="G1" sqref="G1"/>
    </sheetView>
  </sheetViews>
  <sheetFormatPr defaultRowHeight="15" x14ac:dyDescent="0.25"/>
  <cols>
    <col min="1" max="1" width="9.28515625" style="301" bestFit="1" customWidth="1"/>
    <col min="2" max="2" width="12.5703125" style="301" customWidth="1"/>
    <col min="3" max="3" width="38.28515625" style="301" customWidth="1"/>
    <col min="4" max="4" width="19.85546875" style="286" customWidth="1"/>
    <col min="5" max="5" width="17.28515625" style="286" customWidth="1"/>
    <col min="6" max="6" width="16" style="286" customWidth="1"/>
    <col min="7" max="9" width="9.140625" style="301"/>
    <col min="10" max="10" width="12" style="301" bestFit="1" customWidth="1"/>
    <col min="11" max="11" width="11.28515625" style="301" bestFit="1" customWidth="1"/>
    <col min="12" max="12" width="11" style="301" bestFit="1" customWidth="1"/>
    <col min="13" max="16384" width="9.140625" style="301"/>
  </cols>
  <sheetData>
    <row r="1" spans="1:12" x14ac:dyDescent="0.25">
      <c r="A1" s="300"/>
      <c r="B1" s="300"/>
      <c r="G1" s="300" t="s">
        <v>16</v>
      </c>
    </row>
    <row r="2" spans="1:12" x14ac:dyDescent="0.25">
      <c r="A2" s="424" t="s">
        <v>3</v>
      </c>
      <c r="B2" s="424"/>
      <c r="C2" s="424"/>
      <c r="D2" s="424"/>
      <c r="E2" s="424"/>
      <c r="F2" s="424"/>
    </row>
    <row r="3" spans="1:12" x14ac:dyDescent="0.25">
      <c r="A3" s="301" t="s">
        <v>4</v>
      </c>
      <c r="D3" s="286" t="s">
        <v>155</v>
      </c>
    </row>
    <row r="4" spans="1:12" x14ac:dyDescent="0.25">
      <c r="E4" s="286" t="s">
        <v>9</v>
      </c>
      <c r="F4" s="286">
        <v>46800000</v>
      </c>
      <c r="L4" s="301" t="s">
        <v>207</v>
      </c>
    </row>
    <row r="5" spans="1:12" x14ac:dyDescent="0.25">
      <c r="A5" s="301" t="s">
        <v>13</v>
      </c>
      <c r="D5" s="302">
        <f ca="1">+'Tổng hợp'!$G$2</f>
        <v>45784</v>
      </c>
      <c r="E5" s="286" t="s">
        <v>10</v>
      </c>
      <c r="F5" s="286">
        <f>SUM(D10:D200)</f>
        <v>1465376996</v>
      </c>
    </row>
    <row r="6" spans="1:12" x14ac:dyDescent="0.25">
      <c r="E6" s="286" t="s">
        <v>11</v>
      </c>
      <c r="F6" s="286">
        <f>SUM(E10:E200)</f>
        <v>1432868996</v>
      </c>
      <c r="L6" s="301" t="s">
        <v>213</v>
      </c>
    </row>
    <row r="7" spans="1:12" x14ac:dyDescent="0.25">
      <c r="E7" s="286" t="s">
        <v>12</v>
      </c>
      <c r="F7" s="286">
        <f>+F4+F5-F6</f>
        <v>79308000</v>
      </c>
    </row>
    <row r="8" spans="1:12" x14ac:dyDescent="0.25">
      <c r="A8" s="425" t="s">
        <v>0</v>
      </c>
      <c r="B8" s="425" t="s">
        <v>13</v>
      </c>
      <c r="C8" s="425" t="s">
        <v>5</v>
      </c>
      <c r="D8" s="426" t="s">
        <v>8</v>
      </c>
      <c r="E8" s="426"/>
      <c r="F8" s="426" t="s">
        <v>555</v>
      </c>
      <c r="G8" s="422" t="s">
        <v>2</v>
      </c>
    </row>
    <row r="9" spans="1:12" x14ac:dyDescent="0.25">
      <c r="A9" s="425"/>
      <c r="B9" s="425"/>
      <c r="C9" s="425"/>
      <c r="D9" s="303" t="s">
        <v>6</v>
      </c>
      <c r="E9" s="303" t="s">
        <v>7</v>
      </c>
      <c r="F9" s="426"/>
      <c r="G9" s="423"/>
    </row>
    <row r="10" spans="1:12" ht="30.75" customHeight="1" x14ac:dyDescent="0.25">
      <c r="A10" s="304">
        <v>1</v>
      </c>
      <c r="B10" s="305">
        <v>43645</v>
      </c>
      <c r="C10" s="306" t="s">
        <v>184</v>
      </c>
      <c r="D10" s="307">
        <v>40000</v>
      </c>
      <c r="E10" s="307"/>
      <c r="F10" s="307">
        <f>F4+D10-E10</f>
        <v>46840000</v>
      </c>
      <c r="G10" s="306"/>
    </row>
    <row r="11" spans="1:12" ht="30.75" customHeight="1" x14ac:dyDescent="0.25">
      <c r="A11" s="304">
        <v>2</v>
      </c>
      <c r="B11" s="305">
        <v>43677</v>
      </c>
      <c r="C11" s="306" t="s">
        <v>211</v>
      </c>
      <c r="D11" s="307"/>
      <c r="E11" s="307">
        <v>8700000</v>
      </c>
      <c r="F11" s="307">
        <f>F10+D11-E11</f>
        <v>38140000</v>
      </c>
      <c r="G11" s="306"/>
    </row>
    <row r="12" spans="1:12" ht="30.75" customHeight="1" x14ac:dyDescent="0.25">
      <c r="A12" s="304">
        <v>3</v>
      </c>
      <c r="B12" s="305">
        <v>43686</v>
      </c>
      <c r="C12" s="308" t="s">
        <v>212</v>
      </c>
      <c r="D12" s="307"/>
      <c r="E12" s="307">
        <v>38140000</v>
      </c>
      <c r="F12" s="307">
        <f t="shared" ref="F12:F18" si="0">F11+D12-E12</f>
        <v>0</v>
      </c>
      <c r="G12" s="306"/>
    </row>
    <row r="13" spans="1:12" ht="30.75" customHeight="1" x14ac:dyDescent="0.25">
      <c r="A13" s="304">
        <v>4</v>
      </c>
      <c r="B13" s="304" t="s">
        <v>238</v>
      </c>
      <c r="C13" s="306" t="s">
        <v>252</v>
      </c>
      <c r="D13" s="307">
        <v>290909</v>
      </c>
      <c r="E13" s="307"/>
      <c r="F13" s="307">
        <f t="shared" si="0"/>
        <v>290909</v>
      </c>
      <c r="G13" s="306"/>
    </row>
    <row r="14" spans="1:12" ht="30.75" customHeight="1" x14ac:dyDescent="0.25">
      <c r="A14" s="304">
        <v>5</v>
      </c>
      <c r="B14" s="304" t="s">
        <v>325</v>
      </c>
      <c r="C14" s="306" t="s">
        <v>326</v>
      </c>
      <c r="D14" s="307"/>
      <c r="E14" s="307">
        <v>290909</v>
      </c>
      <c r="F14" s="307">
        <f t="shared" si="0"/>
        <v>0</v>
      </c>
      <c r="G14" s="306"/>
    </row>
    <row r="15" spans="1:12" ht="30.75" customHeight="1" x14ac:dyDescent="0.25">
      <c r="A15" s="304">
        <v>6</v>
      </c>
      <c r="B15" s="304" t="s">
        <v>400</v>
      </c>
      <c r="C15" s="306" t="s">
        <v>404</v>
      </c>
      <c r="D15" s="307">
        <v>22300000</v>
      </c>
      <c r="E15" s="307"/>
      <c r="F15" s="307">
        <f t="shared" si="0"/>
        <v>22300000</v>
      </c>
      <c r="G15" s="306"/>
      <c r="H15" s="286"/>
    </row>
    <row r="16" spans="1:12" ht="30.75" customHeight="1" x14ac:dyDescent="0.25">
      <c r="A16" s="304">
        <v>7</v>
      </c>
      <c r="B16" s="304" t="s">
        <v>420</v>
      </c>
      <c r="C16" s="306" t="s">
        <v>422</v>
      </c>
      <c r="D16" s="307">
        <v>5480909</v>
      </c>
      <c r="E16" s="307"/>
      <c r="F16" s="307">
        <f t="shared" si="0"/>
        <v>27780909</v>
      </c>
      <c r="G16" s="306"/>
      <c r="H16" s="286"/>
    </row>
    <row r="17" spans="1:12" ht="30.75" customHeight="1" x14ac:dyDescent="0.25">
      <c r="A17" s="304">
        <v>8</v>
      </c>
      <c r="B17" s="304" t="s">
        <v>420</v>
      </c>
      <c r="C17" s="306" t="s">
        <v>436</v>
      </c>
      <c r="D17" s="307"/>
      <c r="E17" s="307">
        <v>26021817</v>
      </c>
      <c r="F17" s="307">
        <f t="shared" si="0"/>
        <v>1759092</v>
      </c>
      <c r="G17" s="306"/>
      <c r="H17" s="286"/>
    </row>
    <row r="18" spans="1:12" ht="30.75" customHeight="1" x14ac:dyDescent="0.25">
      <c r="A18" s="304">
        <v>9</v>
      </c>
      <c r="B18" s="304" t="s">
        <v>439</v>
      </c>
      <c r="C18" s="306" t="s">
        <v>440</v>
      </c>
      <c r="D18" s="311"/>
      <c r="E18" s="311">
        <v>1759092</v>
      </c>
      <c r="F18" s="311">
        <f t="shared" si="0"/>
        <v>0</v>
      </c>
      <c r="G18" s="306"/>
      <c r="L18" s="301" t="s">
        <v>441</v>
      </c>
    </row>
    <row r="19" spans="1:12" ht="30.75" customHeight="1" x14ac:dyDescent="0.25">
      <c r="A19" s="304">
        <v>10</v>
      </c>
      <c r="B19" s="304" t="s">
        <v>449</v>
      </c>
      <c r="C19" s="306" t="s">
        <v>460</v>
      </c>
      <c r="D19" s="311">
        <v>41506364</v>
      </c>
      <c r="E19" s="311"/>
      <c r="F19" s="311">
        <f>F18+D19-E19</f>
        <v>41506364</v>
      </c>
      <c r="G19" s="306"/>
    </row>
    <row r="20" spans="1:12" ht="30.75" customHeight="1" x14ac:dyDescent="0.25">
      <c r="A20" s="304">
        <v>11</v>
      </c>
      <c r="B20" s="304" t="s">
        <v>485</v>
      </c>
      <c r="C20" s="306" t="s">
        <v>493</v>
      </c>
      <c r="D20" s="311">
        <v>10513636</v>
      </c>
      <c r="E20" s="311"/>
      <c r="F20" s="311">
        <f t="shared" ref="F20:F83" si="1">F19+D20-E20</f>
        <v>52020000</v>
      </c>
      <c r="G20" s="306"/>
    </row>
    <row r="21" spans="1:12" ht="30.75" customHeight="1" x14ac:dyDescent="0.25">
      <c r="A21" s="304">
        <v>12</v>
      </c>
      <c r="B21" s="313">
        <v>44346</v>
      </c>
      <c r="C21" s="306" t="s">
        <v>961</v>
      </c>
      <c r="D21" s="311"/>
      <c r="E21" s="311">
        <v>29950000</v>
      </c>
      <c r="F21" s="311">
        <f t="shared" si="1"/>
        <v>22070000</v>
      </c>
      <c r="G21" s="306"/>
    </row>
    <row r="22" spans="1:12" ht="30.75" customHeight="1" x14ac:dyDescent="0.25">
      <c r="A22" s="304">
        <v>13</v>
      </c>
      <c r="B22" s="304" t="s">
        <v>538</v>
      </c>
      <c r="C22" s="306" t="s">
        <v>540</v>
      </c>
      <c r="D22" s="311"/>
      <c r="E22" s="311">
        <v>41506364</v>
      </c>
      <c r="F22" s="311">
        <f t="shared" si="1"/>
        <v>-19436364</v>
      </c>
      <c r="G22" s="306"/>
    </row>
    <row r="23" spans="1:12" ht="30.75" customHeight="1" x14ac:dyDescent="0.25">
      <c r="A23" s="304">
        <v>14</v>
      </c>
      <c r="B23" s="305">
        <v>44012</v>
      </c>
      <c r="C23" s="306" t="s">
        <v>962</v>
      </c>
      <c r="D23" s="311"/>
      <c r="E23" s="311">
        <v>6674546</v>
      </c>
      <c r="F23" s="311">
        <f t="shared" ref="F23:F33" si="2">F22+D23-E23</f>
        <v>-26110910</v>
      </c>
      <c r="G23" s="306"/>
    </row>
    <row r="24" spans="1:12" ht="30.75" customHeight="1" x14ac:dyDescent="0.25">
      <c r="A24" s="304">
        <v>15</v>
      </c>
      <c r="B24" s="313">
        <v>44043</v>
      </c>
      <c r="C24" s="306" t="s">
        <v>964</v>
      </c>
      <c r="D24" s="311"/>
      <c r="E24" s="311">
        <f>25900000+1200000</f>
        <v>27100000</v>
      </c>
      <c r="F24" s="311">
        <f t="shared" si="2"/>
        <v>-53210910</v>
      </c>
      <c r="G24" s="306"/>
    </row>
    <row r="25" spans="1:12" ht="30.75" customHeight="1" x14ac:dyDescent="0.25">
      <c r="A25" s="304">
        <v>16</v>
      </c>
      <c r="B25" s="313">
        <v>44073</v>
      </c>
      <c r="C25" s="306" t="s">
        <v>963</v>
      </c>
      <c r="D25" s="311"/>
      <c r="E25" s="311">
        <f>8800000+4935000</f>
        <v>13735000</v>
      </c>
      <c r="F25" s="311">
        <f t="shared" si="2"/>
        <v>-66945910</v>
      </c>
      <c r="G25" s="306"/>
    </row>
    <row r="26" spans="1:12" ht="30.75" customHeight="1" x14ac:dyDescent="0.25">
      <c r="A26" s="304">
        <v>17</v>
      </c>
      <c r="B26" s="305">
        <v>44462</v>
      </c>
      <c r="C26" s="306" t="s">
        <v>965</v>
      </c>
      <c r="D26" s="311">
        <v>19436364</v>
      </c>
      <c r="E26" s="311"/>
      <c r="F26" s="311">
        <f t="shared" si="2"/>
        <v>-47509546</v>
      </c>
      <c r="G26" s="306"/>
    </row>
    <row r="27" spans="1:12" ht="30.75" customHeight="1" x14ac:dyDescent="0.25">
      <c r="A27" s="304">
        <v>18</v>
      </c>
      <c r="B27" s="305">
        <v>44097</v>
      </c>
      <c r="C27" s="306" t="s">
        <v>966</v>
      </c>
      <c r="D27" s="311">
        <v>4935000</v>
      </c>
      <c r="E27" s="311"/>
      <c r="F27" s="311">
        <f t="shared" si="2"/>
        <v>-42574546</v>
      </c>
      <c r="G27" s="306"/>
    </row>
    <row r="28" spans="1:12" ht="30.75" customHeight="1" x14ac:dyDescent="0.25">
      <c r="A28" s="304">
        <v>19</v>
      </c>
      <c r="B28" s="305">
        <v>44104</v>
      </c>
      <c r="C28" s="306" t="s">
        <v>967</v>
      </c>
      <c r="D28" s="311">
        <v>26900000</v>
      </c>
      <c r="E28" s="311"/>
      <c r="F28" s="311">
        <f t="shared" si="2"/>
        <v>-15674546</v>
      </c>
      <c r="G28" s="306"/>
    </row>
    <row r="29" spans="1:12" ht="30.75" customHeight="1" x14ac:dyDescent="0.25">
      <c r="A29" s="304">
        <v>20</v>
      </c>
      <c r="B29" s="305">
        <v>44112</v>
      </c>
      <c r="C29" s="306" t="s">
        <v>968</v>
      </c>
      <c r="D29" s="311">
        <v>6674546</v>
      </c>
      <c r="E29" s="311"/>
      <c r="F29" s="311">
        <f t="shared" si="2"/>
        <v>-9000000</v>
      </c>
      <c r="G29" s="306"/>
    </row>
    <row r="30" spans="1:12" ht="36.75" customHeight="1" x14ac:dyDescent="0.25">
      <c r="A30" s="304">
        <v>21</v>
      </c>
      <c r="B30" s="309">
        <v>44135</v>
      </c>
      <c r="C30" s="306" t="s">
        <v>663</v>
      </c>
      <c r="D30" s="311">
        <v>13800000</v>
      </c>
      <c r="E30" s="311"/>
      <c r="F30" s="311">
        <f t="shared" si="2"/>
        <v>4800000</v>
      </c>
      <c r="G30" s="306"/>
    </row>
    <row r="31" spans="1:12" ht="36.75" customHeight="1" x14ac:dyDescent="0.25">
      <c r="A31" s="304">
        <v>22</v>
      </c>
      <c r="B31" s="309">
        <v>44151</v>
      </c>
      <c r="C31" s="306" t="s">
        <v>969</v>
      </c>
      <c r="D31" s="311">
        <v>25900000</v>
      </c>
      <c r="E31" s="311"/>
      <c r="F31" s="311">
        <f t="shared" si="2"/>
        <v>30700000</v>
      </c>
      <c r="G31" s="306"/>
    </row>
    <row r="32" spans="1:12" ht="36.75" customHeight="1" x14ac:dyDescent="0.25">
      <c r="A32" s="304">
        <v>23</v>
      </c>
      <c r="B32" s="309">
        <v>44151</v>
      </c>
      <c r="C32" s="306" t="s">
        <v>970</v>
      </c>
      <c r="D32" s="311">
        <v>1200000</v>
      </c>
      <c r="E32" s="311"/>
      <c r="F32" s="311">
        <f t="shared" si="2"/>
        <v>31900000</v>
      </c>
      <c r="G32" s="306"/>
    </row>
    <row r="33" spans="1:12" ht="36.75" customHeight="1" x14ac:dyDescent="0.25">
      <c r="A33" s="304">
        <v>24</v>
      </c>
      <c r="B33" s="309">
        <v>44165</v>
      </c>
      <c r="C33" s="306" t="s">
        <v>680</v>
      </c>
      <c r="D33" s="311">
        <v>11336364</v>
      </c>
      <c r="E33" s="311"/>
      <c r="F33" s="311">
        <f t="shared" si="2"/>
        <v>43236364</v>
      </c>
      <c r="G33" s="306"/>
      <c r="K33" s="310"/>
    </row>
    <row r="34" spans="1:12" ht="36.75" customHeight="1" x14ac:dyDescent="0.25">
      <c r="A34" s="304">
        <v>25</v>
      </c>
      <c r="B34" s="309">
        <v>44196</v>
      </c>
      <c r="C34" s="306" t="s">
        <v>696</v>
      </c>
      <c r="D34" s="311">
        <v>25200000</v>
      </c>
      <c r="E34" s="311"/>
      <c r="F34" s="311">
        <f t="shared" si="1"/>
        <v>68436364</v>
      </c>
      <c r="G34" s="306"/>
    </row>
    <row r="35" spans="1:12" ht="36.75" customHeight="1" x14ac:dyDescent="0.25">
      <c r="A35" s="304">
        <v>26</v>
      </c>
      <c r="B35" s="309">
        <v>44196</v>
      </c>
      <c r="C35" s="306" t="s">
        <v>813</v>
      </c>
      <c r="D35" s="311"/>
      <c r="E35" s="311">
        <v>3800000</v>
      </c>
      <c r="F35" s="311">
        <f t="shared" si="1"/>
        <v>64636364</v>
      </c>
      <c r="G35" s="306"/>
    </row>
    <row r="36" spans="1:12" ht="36.75" customHeight="1" x14ac:dyDescent="0.25">
      <c r="A36" s="304">
        <v>27</v>
      </c>
      <c r="B36" s="309">
        <v>44225</v>
      </c>
      <c r="C36" s="306" t="s">
        <v>736</v>
      </c>
      <c r="D36" s="311"/>
      <c r="E36" s="311">
        <v>43236364</v>
      </c>
      <c r="F36" s="311">
        <f t="shared" si="1"/>
        <v>21400000</v>
      </c>
      <c r="G36" s="306"/>
      <c r="K36" s="310"/>
      <c r="L36" s="310"/>
    </row>
    <row r="37" spans="1:12" ht="36.75" customHeight="1" x14ac:dyDescent="0.25">
      <c r="A37" s="304">
        <v>28</v>
      </c>
      <c r="B37" s="309">
        <v>44227</v>
      </c>
      <c r="C37" s="306" t="s">
        <v>811</v>
      </c>
      <c r="D37" s="311">
        <v>71900000</v>
      </c>
      <c r="E37" s="311"/>
      <c r="F37" s="311">
        <f t="shared" si="1"/>
        <v>93300000</v>
      </c>
      <c r="G37" s="306"/>
    </row>
    <row r="38" spans="1:12" ht="36.75" customHeight="1" x14ac:dyDescent="0.25">
      <c r="A38" s="304">
        <v>29</v>
      </c>
      <c r="B38" s="309">
        <v>44255</v>
      </c>
      <c r="C38" s="306" t="s">
        <v>812</v>
      </c>
      <c r="D38" s="311">
        <v>32700000</v>
      </c>
      <c r="E38" s="311"/>
      <c r="F38" s="311">
        <f t="shared" si="1"/>
        <v>126000000</v>
      </c>
      <c r="G38" s="306"/>
    </row>
    <row r="39" spans="1:12" ht="36.75" customHeight="1" x14ac:dyDescent="0.25">
      <c r="A39" s="304">
        <v>30</v>
      </c>
      <c r="B39" s="309">
        <v>44286</v>
      </c>
      <c r="C39" s="306" t="s">
        <v>971</v>
      </c>
      <c r="D39" s="311"/>
      <c r="E39" s="311">
        <v>1600000</v>
      </c>
      <c r="F39" s="311">
        <f t="shared" si="1"/>
        <v>124400000</v>
      </c>
      <c r="G39" s="306"/>
    </row>
    <row r="40" spans="1:12" ht="36.75" customHeight="1" x14ac:dyDescent="0.25">
      <c r="A40" s="304">
        <v>31</v>
      </c>
      <c r="B40" s="309">
        <v>44301</v>
      </c>
      <c r="C40" s="306" t="s">
        <v>876</v>
      </c>
      <c r="D40" s="311"/>
      <c r="E40" s="311">
        <v>21400000</v>
      </c>
      <c r="F40" s="311">
        <f t="shared" si="1"/>
        <v>103000000</v>
      </c>
      <c r="G40" s="306"/>
    </row>
    <row r="41" spans="1:12" ht="36.75" customHeight="1" x14ac:dyDescent="0.25">
      <c r="A41" s="304">
        <v>32</v>
      </c>
      <c r="B41" s="309">
        <v>44301</v>
      </c>
      <c r="C41" s="306" t="s">
        <v>875</v>
      </c>
      <c r="D41" s="311"/>
      <c r="E41" s="311">
        <v>68728500</v>
      </c>
      <c r="F41" s="311">
        <f t="shared" si="1"/>
        <v>34271500</v>
      </c>
      <c r="G41" s="306"/>
    </row>
    <row r="42" spans="1:12" ht="36.75" customHeight="1" x14ac:dyDescent="0.25">
      <c r="A42" s="304">
        <v>33</v>
      </c>
      <c r="B42" s="309">
        <v>44316</v>
      </c>
      <c r="C42" s="306" t="s">
        <v>872</v>
      </c>
      <c r="D42" s="311">
        <v>22863636</v>
      </c>
      <c r="E42" s="311"/>
      <c r="F42" s="311">
        <f t="shared" si="1"/>
        <v>57135136</v>
      </c>
      <c r="G42" s="306"/>
    </row>
    <row r="43" spans="1:12" ht="36.75" customHeight="1" x14ac:dyDescent="0.25">
      <c r="A43" s="304">
        <v>34</v>
      </c>
      <c r="B43" s="309">
        <v>44347</v>
      </c>
      <c r="C43" s="306" t="s">
        <v>873</v>
      </c>
      <c r="D43" s="311">
        <v>45481819</v>
      </c>
      <c r="E43" s="311"/>
      <c r="F43" s="311">
        <f t="shared" si="1"/>
        <v>102616955</v>
      </c>
      <c r="G43" s="306"/>
    </row>
    <row r="44" spans="1:12" ht="36.75" customHeight="1" x14ac:dyDescent="0.25">
      <c r="A44" s="304">
        <v>35</v>
      </c>
      <c r="B44" s="309">
        <v>44362</v>
      </c>
      <c r="C44" s="306" t="s">
        <v>877</v>
      </c>
      <c r="D44" s="311"/>
      <c r="E44" s="311">
        <v>35871500</v>
      </c>
      <c r="F44" s="311">
        <f t="shared" si="1"/>
        <v>66745455</v>
      </c>
      <c r="G44" s="306"/>
    </row>
    <row r="45" spans="1:12" ht="36.75" customHeight="1" x14ac:dyDescent="0.25">
      <c r="A45" s="304">
        <v>36</v>
      </c>
      <c r="B45" s="309">
        <v>44377</v>
      </c>
      <c r="C45" s="306" t="s">
        <v>874</v>
      </c>
      <c r="D45" s="311">
        <v>9030909</v>
      </c>
      <c r="E45" s="311"/>
      <c r="F45" s="311">
        <f t="shared" si="1"/>
        <v>75776364</v>
      </c>
      <c r="G45" s="306"/>
      <c r="J45" s="310"/>
    </row>
    <row r="46" spans="1:12" ht="36.75" customHeight="1" x14ac:dyDescent="0.25">
      <c r="A46" s="304">
        <v>37</v>
      </c>
      <c r="B46" s="309">
        <v>44386</v>
      </c>
      <c r="C46" s="306" t="s">
        <v>972</v>
      </c>
      <c r="D46" s="311">
        <v>1600000</v>
      </c>
      <c r="E46" s="311"/>
      <c r="F46" s="311">
        <f t="shared" si="1"/>
        <v>77376364</v>
      </c>
      <c r="G46" s="306"/>
      <c r="J46" s="310"/>
    </row>
    <row r="47" spans="1:12" ht="36.75" customHeight="1" x14ac:dyDescent="0.25">
      <c r="A47" s="304">
        <v>38</v>
      </c>
      <c r="B47" s="309">
        <v>44408</v>
      </c>
      <c r="C47" s="306" t="s">
        <v>896</v>
      </c>
      <c r="D47" s="311">
        <v>22775000</v>
      </c>
      <c r="E47" s="311"/>
      <c r="F47" s="311">
        <f t="shared" si="1"/>
        <v>100151364</v>
      </c>
      <c r="G47" s="306"/>
      <c r="J47" s="310"/>
      <c r="L47" s="310"/>
    </row>
    <row r="48" spans="1:12" ht="36.75" customHeight="1" x14ac:dyDescent="0.25">
      <c r="A48" s="304">
        <v>39</v>
      </c>
      <c r="B48" s="309">
        <v>44413</v>
      </c>
      <c r="C48" s="306" t="s">
        <v>877</v>
      </c>
      <c r="D48" s="311"/>
      <c r="E48" s="311">
        <v>22863636</v>
      </c>
      <c r="F48" s="311">
        <f t="shared" si="1"/>
        <v>77287728</v>
      </c>
      <c r="G48" s="306"/>
      <c r="J48" s="310"/>
      <c r="L48" s="310"/>
    </row>
    <row r="49" spans="1:7" ht="36.75" customHeight="1" x14ac:dyDescent="0.25">
      <c r="A49" s="304">
        <v>40</v>
      </c>
      <c r="B49" s="309">
        <v>44439</v>
      </c>
      <c r="C49" s="306" t="s">
        <v>956</v>
      </c>
      <c r="D49" s="311">
        <v>17750000</v>
      </c>
      <c r="E49" s="311"/>
      <c r="F49" s="311">
        <f t="shared" si="1"/>
        <v>95037728</v>
      </c>
      <c r="G49" s="306"/>
    </row>
    <row r="50" spans="1:7" ht="36.75" customHeight="1" x14ac:dyDescent="0.25">
      <c r="A50" s="304">
        <v>41</v>
      </c>
      <c r="B50" s="309">
        <v>44469</v>
      </c>
      <c r="C50" s="306" t="s">
        <v>957</v>
      </c>
      <c r="D50" s="311">
        <v>62963000</v>
      </c>
      <c r="E50" s="311"/>
      <c r="F50" s="311">
        <f t="shared" si="1"/>
        <v>158000728</v>
      </c>
      <c r="G50" s="306"/>
    </row>
    <row r="51" spans="1:7" ht="36.75" customHeight="1" x14ac:dyDescent="0.25">
      <c r="A51" s="304">
        <v>42</v>
      </c>
      <c r="B51" s="309">
        <v>44481</v>
      </c>
      <c r="C51" s="306" t="s">
        <v>877</v>
      </c>
      <c r="D51" s="311"/>
      <c r="E51" s="311">
        <v>50000000</v>
      </c>
      <c r="F51" s="311">
        <f t="shared" si="1"/>
        <v>108000728</v>
      </c>
      <c r="G51" s="306"/>
    </row>
    <row r="52" spans="1:7" ht="36.75" customHeight="1" x14ac:dyDescent="0.25">
      <c r="A52" s="304">
        <v>43</v>
      </c>
      <c r="B52" s="309">
        <v>44496</v>
      </c>
      <c r="C52" s="306" t="s">
        <v>877</v>
      </c>
      <c r="D52" s="311"/>
      <c r="E52" s="311">
        <v>27287728</v>
      </c>
      <c r="F52" s="311">
        <f t="shared" si="1"/>
        <v>80713000</v>
      </c>
      <c r="G52" s="306"/>
    </row>
    <row r="53" spans="1:7" ht="36.75" customHeight="1" x14ac:dyDescent="0.25">
      <c r="A53" s="304">
        <v>44</v>
      </c>
      <c r="B53" s="309">
        <v>44499</v>
      </c>
      <c r="C53" s="306" t="s">
        <v>980</v>
      </c>
      <c r="D53" s="307">
        <v>14300000</v>
      </c>
      <c r="E53" s="307"/>
      <c r="F53" s="311">
        <f t="shared" si="1"/>
        <v>95013000</v>
      </c>
      <c r="G53" s="306"/>
    </row>
    <row r="54" spans="1:7" ht="36.75" customHeight="1" x14ac:dyDescent="0.25">
      <c r="A54" s="304">
        <v>45</v>
      </c>
      <c r="B54" s="309">
        <v>44531</v>
      </c>
      <c r="C54" s="306" t="s">
        <v>877</v>
      </c>
      <c r="D54" s="307"/>
      <c r="E54" s="307">
        <v>17750000</v>
      </c>
      <c r="F54" s="311">
        <f t="shared" si="1"/>
        <v>77263000</v>
      </c>
      <c r="G54" s="306"/>
    </row>
    <row r="55" spans="1:7" ht="36.75" customHeight="1" x14ac:dyDescent="0.25">
      <c r="A55" s="304">
        <v>46</v>
      </c>
      <c r="B55" s="309">
        <v>44530</v>
      </c>
      <c r="C55" s="306" t="s">
        <v>1010</v>
      </c>
      <c r="D55" s="307">
        <v>54150000</v>
      </c>
      <c r="E55" s="307"/>
      <c r="F55" s="311">
        <f t="shared" si="1"/>
        <v>131413000</v>
      </c>
      <c r="G55" s="306"/>
    </row>
    <row r="56" spans="1:7" ht="36.75" customHeight="1" x14ac:dyDescent="0.25">
      <c r="A56" s="304">
        <v>47</v>
      </c>
      <c r="B56" s="309">
        <v>44556</v>
      </c>
      <c r="C56" s="306" t="s">
        <v>1031</v>
      </c>
      <c r="D56" s="307"/>
      <c r="E56" s="307">
        <v>62963000</v>
      </c>
      <c r="F56" s="311">
        <f t="shared" si="1"/>
        <v>68450000</v>
      </c>
      <c r="G56" s="306"/>
    </row>
    <row r="57" spans="1:7" ht="28.5" customHeight="1" x14ac:dyDescent="0.25">
      <c r="A57" s="304">
        <v>48</v>
      </c>
      <c r="B57" s="309">
        <v>44561</v>
      </c>
      <c r="C57" s="306" t="s">
        <v>1020</v>
      </c>
      <c r="D57" s="307">
        <v>28427273</v>
      </c>
      <c r="E57" s="307"/>
      <c r="F57" s="311">
        <f t="shared" si="1"/>
        <v>96877273</v>
      </c>
      <c r="G57" s="306"/>
    </row>
    <row r="58" spans="1:7" ht="28.5" customHeight="1" x14ac:dyDescent="0.25">
      <c r="A58" s="304">
        <v>49</v>
      </c>
      <c r="B58" s="309">
        <v>44579</v>
      </c>
      <c r="C58" s="306" t="s">
        <v>1038</v>
      </c>
      <c r="D58" s="307"/>
      <c r="E58" s="307">
        <v>14300000</v>
      </c>
      <c r="F58" s="311">
        <f t="shared" si="1"/>
        <v>82577273</v>
      </c>
      <c r="G58" s="306"/>
    </row>
    <row r="59" spans="1:7" ht="28.5" customHeight="1" x14ac:dyDescent="0.25">
      <c r="A59" s="304">
        <v>50</v>
      </c>
      <c r="B59" s="309">
        <v>44589</v>
      </c>
      <c r="C59" s="306" t="s">
        <v>1060</v>
      </c>
      <c r="D59" s="307"/>
      <c r="E59" s="307">
        <v>54150000</v>
      </c>
      <c r="F59" s="311">
        <f t="shared" si="1"/>
        <v>28427273</v>
      </c>
      <c r="G59" s="306"/>
    </row>
    <row r="60" spans="1:7" ht="28.5" customHeight="1" x14ac:dyDescent="0.25">
      <c r="A60" s="304">
        <v>51</v>
      </c>
      <c r="B60" s="309">
        <v>44589</v>
      </c>
      <c r="C60" s="306" t="s">
        <v>1057</v>
      </c>
      <c r="D60" s="307">
        <v>63990200</v>
      </c>
      <c r="E60" s="307"/>
      <c r="F60" s="323">
        <f t="shared" si="1"/>
        <v>92417473</v>
      </c>
      <c r="G60" s="306"/>
    </row>
    <row r="61" spans="1:7" ht="28.5" customHeight="1" x14ac:dyDescent="0.25">
      <c r="A61" s="304">
        <v>52</v>
      </c>
      <c r="B61" s="309">
        <v>44620</v>
      </c>
      <c r="C61" s="306" t="s">
        <v>1073</v>
      </c>
      <c r="D61" s="307">
        <v>24900000</v>
      </c>
      <c r="E61" s="307"/>
      <c r="F61" s="311">
        <f t="shared" si="1"/>
        <v>117317473</v>
      </c>
      <c r="G61" s="306"/>
    </row>
    <row r="62" spans="1:7" ht="28.5" customHeight="1" x14ac:dyDescent="0.25">
      <c r="A62" s="304">
        <v>53</v>
      </c>
      <c r="B62" s="309">
        <v>44651</v>
      </c>
      <c r="C62" s="306" t="s">
        <v>1095</v>
      </c>
      <c r="D62" s="307"/>
      <c r="E62" s="307">
        <v>5100000</v>
      </c>
      <c r="F62" s="311">
        <f t="shared" si="1"/>
        <v>112217473</v>
      </c>
      <c r="G62" s="306"/>
    </row>
    <row r="63" spans="1:7" ht="28.5" customHeight="1" x14ac:dyDescent="0.25">
      <c r="A63" s="304">
        <v>54</v>
      </c>
      <c r="B63" s="309">
        <v>44638</v>
      </c>
      <c r="C63" s="306" t="s">
        <v>876</v>
      </c>
      <c r="D63" s="307"/>
      <c r="E63" s="307">
        <v>28427273</v>
      </c>
      <c r="F63" s="311">
        <f t="shared" si="1"/>
        <v>83790200</v>
      </c>
      <c r="G63" s="306"/>
    </row>
    <row r="64" spans="1:7" ht="28.5" customHeight="1" x14ac:dyDescent="0.25">
      <c r="A64" s="304">
        <v>55</v>
      </c>
      <c r="B64" s="309">
        <v>44680</v>
      </c>
      <c r="C64" s="306" t="s">
        <v>1169</v>
      </c>
      <c r="D64" s="307">
        <v>25930000</v>
      </c>
      <c r="E64" s="307"/>
      <c r="F64" s="311">
        <f t="shared" si="1"/>
        <v>109720200</v>
      </c>
      <c r="G64" s="306"/>
    </row>
    <row r="65" spans="1:7" ht="28.5" customHeight="1" x14ac:dyDescent="0.25">
      <c r="A65" s="304">
        <v>56</v>
      </c>
      <c r="B65" s="309">
        <v>44715</v>
      </c>
      <c r="C65" s="306" t="s">
        <v>1150</v>
      </c>
      <c r="D65" s="307"/>
      <c r="E65" s="307">
        <v>88890200</v>
      </c>
      <c r="F65" s="311">
        <f t="shared" si="1"/>
        <v>20830000</v>
      </c>
      <c r="G65" s="306"/>
    </row>
    <row r="66" spans="1:7" ht="28.5" customHeight="1" x14ac:dyDescent="0.25">
      <c r="A66" s="304">
        <v>57</v>
      </c>
      <c r="B66" s="309">
        <v>44711</v>
      </c>
      <c r="C66" s="306" t="s">
        <v>1197</v>
      </c>
      <c r="D66" s="311">
        <v>36200000</v>
      </c>
      <c r="E66" s="311"/>
      <c r="F66" s="311">
        <f t="shared" si="1"/>
        <v>57030000</v>
      </c>
      <c r="G66" s="306"/>
    </row>
    <row r="67" spans="1:7" ht="28.5" customHeight="1" x14ac:dyDescent="0.25">
      <c r="A67" s="304">
        <v>58</v>
      </c>
      <c r="B67" s="309">
        <v>44742</v>
      </c>
      <c r="C67" s="306" t="s">
        <v>1198</v>
      </c>
      <c r="D67" s="307">
        <v>45000000</v>
      </c>
      <c r="E67" s="307"/>
      <c r="F67" s="323">
        <f t="shared" si="1"/>
        <v>102030000</v>
      </c>
      <c r="G67" s="306"/>
    </row>
    <row r="68" spans="1:7" ht="28.5" customHeight="1" x14ac:dyDescent="0.25">
      <c r="A68" s="304">
        <v>59</v>
      </c>
      <c r="B68" s="309">
        <v>44772</v>
      </c>
      <c r="C68" s="306" t="s">
        <v>1199</v>
      </c>
      <c r="D68" s="307">
        <v>50280000</v>
      </c>
      <c r="E68" s="307"/>
      <c r="F68" s="311">
        <f t="shared" si="1"/>
        <v>152310000</v>
      </c>
      <c r="G68" s="306"/>
    </row>
    <row r="69" spans="1:7" ht="28.5" customHeight="1" x14ac:dyDescent="0.25">
      <c r="A69" s="304">
        <v>60</v>
      </c>
      <c r="B69" s="309">
        <v>44793</v>
      </c>
      <c r="C69" s="306" t="s">
        <v>1216</v>
      </c>
      <c r="D69" s="307"/>
      <c r="E69" s="307">
        <v>20830000</v>
      </c>
      <c r="F69" s="311">
        <f t="shared" si="1"/>
        <v>131480000</v>
      </c>
      <c r="G69" s="306"/>
    </row>
    <row r="70" spans="1:7" ht="28.5" customHeight="1" x14ac:dyDescent="0.25">
      <c r="A70" s="304">
        <v>61</v>
      </c>
      <c r="B70" s="309">
        <v>44803</v>
      </c>
      <c r="C70" s="306" t="s">
        <v>1304</v>
      </c>
      <c r="D70" s="307">
        <v>4550000</v>
      </c>
      <c r="E70" s="307"/>
      <c r="F70" s="311">
        <f t="shared" si="1"/>
        <v>136030000</v>
      </c>
      <c r="G70" s="306"/>
    </row>
    <row r="71" spans="1:7" ht="28.5" customHeight="1" x14ac:dyDescent="0.25">
      <c r="A71" s="304">
        <v>62</v>
      </c>
      <c r="B71" s="309">
        <v>44834</v>
      </c>
      <c r="C71" s="306" t="s">
        <v>1305</v>
      </c>
      <c r="D71" s="307"/>
      <c r="E71" s="307">
        <v>15020000</v>
      </c>
      <c r="F71" s="311">
        <f t="shared" si="1"/>
        <v>121010000</v>
      </c>
      <c r="G71" s="306"/>
    </row>
    <row r="72" spans="1:7" ht="28.5" customHeight="1" x14ac:dyDescent="0.25">
      <c r="A72" s="304">
        <v>63</v>
      </c>
      <c r="B72" s="309">
        <v>44834</v>
      </c>
      <c r="C72" s="306" t="s">
        <v>1306</v>
      </c>
      <c r="D72" s="307"/>
      <c r="E72" s="307">
        <v>50000000</v>
      </c>
      <c r="F72" s="323">
        <f t="shared" si="1"/>
        <v>71010000</v>
      </c>
      <c r="G72" s="306"/>
    </row>
    <row r="73" spans="1:7" ht="28.5" customHeight="1" x14ac:dyDescent="0.25">
      <c r="A73" s="304">
        <v>64</v>
      </c>
      <c r="B73" s="309">
        <v>44864</v>
      </c>
      <c r="C73" s="306" t="s">
        <v>1307</v>
      </c>
      <c r="D73" s="307"/>
      <c r="E73" s="286">
        <v>19820000</v>
      </c>
      <c r="F73" s="311">
        <f t="shared" si="1"/>
        <v>51190000</v>
      </c>
      <c r="G73" s="306"/>
    </row>
    <row r="74" spans="1:7" ht="28.5" customHeight="1" x14ac:dyDescent="0.25">
      <c r="A74" s="304">
        <v>65</v>
      </c>
      <c r="B74" s="309">
        <v>44881</v>
      </c>
      <c r="C74" s="306" t="s">
        <v>1308</v>
      </c>
      <c r="D74" s="307"/>
      <c r="E74" s="307">
        <v>81400000</v>
      </c>
      <c r="F74" s="311">
        <f t="shared" si="1"/>
        <v>-30210000</v>
      </c>
      <c r="G74" s="306"/>
    </row>
    <row r="75" spans="1:7" ht="28.5" customHeight="1" x14ac:dyDescent="0.25">
      <c r="A75" s="304">
        <v>66</v>
      </c>
      <c r="B75" s="309">
        <v>44895</v>
      </c>
      <c r="C75" s="306" t="s">
        <v>1319</v>
      </c>
      <c r="D75" s="307"/>
      <c r="E75" s="307">
        <v>95967778</v>
      </c>
      <c r="F75" s="311">
        <f t="shared" si="1"/>
        <v>-126177778</v>
      </c>
      <c r="G75" s="306"/>
    </row>
    <row r="76" spans="1:7" ht="28.5" customHeight="1" x14ac:dyDescent="0.25">
      <c r="A76" s="304">
        <v>67</v>
      </c>
      <c r="B76" s="309">
        <v>44925</v>
      </c>
      <c r="C76" s="306" t="s">
        <v>1345</v>
      </c>
      <c r="D76" s="307">
        <v>13200000</v>
      </c>
      <c r="E76" s="307"/>
      <c r="F76" s="311">
        <f t="shared" si="1"/>
        <v>-112977778</v>
      </c>
      <c r="G76" s="306"/>
    </row>
    <row r="77" spans="1:7" ht="28.5" customHeight="1" x14ac:dyDescent="0.25">
      <c r="A77" s="304">
        <v>68</v>
      </c>
      <c r="B77" s="309">
        <v>44942</v>
      </c>
      <c r="C77" s="306" t="s">
        <v>1403</v>
      </c>
      <c r="D77" s="307">
        <v>63177778</v>
      </c>
      <c r="E77" s="307"/>
      <c r="F77" s="311">
        <f t="shared" si="1"/>
        <v>-49800000</v>
      </c>
      <c r="G77" s="306"/>
    </row>
    <row r="78" spans="1:7" ht="28.5" customHeight="1" x14ac:dyDescent="0.25">
      <c r="A78" s="304">
        <v>69</v>
      </c>
      <c r="B78" s="309">
        <v>44956</v>
      </c>
      <c r="C78" s="306" t="s">
        <v>1381</v>
      </c>
      <c r="D78" s="307">
        <v>530000</v>
      </c>
      <c r="E78" s="307"/>
      <c r="F78" s="311">
        <f t="shared" si="1"/>
        <v>-49270000</v>
      </c>
      <c r="G78" s="306"/>
    </row>
    <row r="79" spans="1:7" ht="28.5" customHeight="1" x14ac:dyDescent="0.25">
      <c r="A79" s="304">
        <v>70</v>
      </c>
      <c r="B79" s="309">
        <v>44985</v>
      </c>
      <c r="C79" s="306" t="s">
        <v>1404</v>
      </c>
      <c r="D79" s="307">
        <v>10452728</v>
      </c>
      <c r="E79" s="307"/>
      <c r="F79" s="311">
        <f t="shared" si="1"/>
        <v>-38817272</v>
      </c>
      <c r="G79" s="306"/>
    </row>
    <row r="80" spans="1:7" ht="28.5" customHeight="1" x14ac:dyDescent="0.25">
      <c r="A80" s="304">
        <v>71</v>
      </c>
      <c r="B80" s="309">
        <v>44996</v>
      </c>
      <c r="C80" s="306" t="s">
        <v>1405</v>
      </c>
      <c r="D80" s="307">
        <v>63000000</v>
      </c>
      <c r="E80" s="307"/>
      <c r="F80" s="311">
        <f t="shared" si="1"/>
        <v>24182728</v>
      </c>
      <c r="G80" s="306"/>
    </row>
    <row r="81" spans="1:9" ht="28.5" customHeight="1" x14ac:dyDescent="0.25">
      <c r="A81" s="304">
        <v>72</v>
      </c>
      <c r="B81" s="309">
        <v>45015</v>
      </c>
      <c r="C81" s="306" t="s">
        <v>1459</v>
      </c>
      <c r="D81" s="307"/>
      <c r="E81" s="307">
        <v>11800000</v>
      </c>
      <c r="F81" s="311">
        <f t="shared" si="1"/>
        <v>12382728</v>
      </c>
      <c r="G81" s="306"/>
    </row>
    <row r="82" spans="1:9" ht="28.5" customHeight="1" x14ac:dyDescent="0.25">
      <c r="A82" s="304">
        <v>73</v>
      </c>
      <c r="B82" s="309">
        <v>45046</v>
      </c>
      <c r="C82" s="306" t="s">
        <v>1444</v>
      </c>
      <c r="D82" s="307"/>
      <c r="E82" s="307">
        <v>43614364</v>
      </c>
      <c r="F82" s="311">
        <f t="shared" si="1"/>
        <v>-31231636</v>
      </c>
      <c r="G82" s="306"/>
    </row>
    <row r="83" spans="1:9" ht="28.5" customHeight="1" x14ac:dyDescent="0.25">
      <c r="A83" s="304">
        <v>74</v>
      </c>
      <c r="B83" s="309">
        <v>45056</v>
      </c>
      <c r="C83" s="306" t="s">
        <v>1460</v>
      </c>
      <c r="D83" s="307"/>
      <c r="E83" s="307">
        <v>13200000</v>
      </c>
      <c r="F83" s="311">
        <f t="shared" si="1"/>
        <v>-44431636</v>
      </c>
      <c r="G83" s="306"/>
    </row>
    <row r="84" spans="1:9" ht="28.5" customHeight="1" x14ac:dyDescent="0.25">
      <c r="A84" s="304">
        <v>75</v>
      </c>
      <c r="B84" s="309">
        <v>45076</v>
      </c>
      <c r="C84" s="306" t="s">
        <v>1520</v>
      </c>
      <c r="D84" s="307">
        <v>21300000</v>
      </c>
      <c r="E84" s="307"/>
      <c r="F84" s="311">
        <f t="shared" ref="F84:F88" si="3">F83+D84-E84</f>
        <v>-23131636</v>
      </c>
      <c r="G84" s="306"/>
    </row>
    <row r="85" spans="1:9" ht="28.5" customHeight="1" x14ac:dyDescent="0.25">
      <c r="A85" s="304">
        <v>76</v>
      </c>
      <c r="B85" s="309">
        <v>45107</v>
      </c>
      <c r="C85" s="306" t="s">
        <v>1535</v>
      </c>
      <c r="D85" s="307">
        <v>41740000</v>
      </c>
      <c r="E85" s="307"/>
      <c r="F85" s="311">
        <f t="shared" si="3"/>
        <v>18608364</v>
      </c>
      <c r="G85" s="306"/>
    </row>
    <row r="86" spans="1:9" ht="28.5" customHeight="1" x14ac:dyDescent="0.25">
      <c r="A86" s="304">
        <v>77</v>
      </c>
      <c r="B86" s="309">
        <v>45133</v>
      </c>
      <c r="C86" s="306" t="s">
        <v>1538</v>
      </c>
      <c r="D86" s="307"/>
      <c r="E86" s="307">
        <v>18608364</v>
      </c>
      <c r="F86" s="311">
        <f t="shared" si="3"/>
        <v>0</v>
      </c>
      <c r="G86" s="306"/>
    </row>
    <row r="87" spans="1:9" ht="28.5" customHeight="1" x14ac:dyDescent="0.25">
      <c r="A87" s="304">
        <v>78</v>
      </c>
      <c r="B87" s="309">
        <v>45138</v>
      </c>
      <c r="C87" s="306" t="s">
        <v>1541</v>
      </c>
      <c r="D87" s="307">
        <v>9660000</v>
      </c>
      <c r="E87" s="307"/>
      <c r="F87" s="311">
        <f t="shared" si="3"/>
        <v>9660000</v>
      </c>
      <c r="G87" s="306"/>
    </row>
    <row r="88" spans="1:9" ht="28.5" customHeight="1" x14ac:dyDescent="0.25">
      <c r="A88" s="304">
        <v>79</v>
      </c>
      <c r="B88" s="309">
        <v>45169</v>
      </c>
      <c r="C88" s="306" t="s">
        <v>1583</v>
      </c>
      <c r="D88" s="307"/>
      <c r="E88" s="307">
        <v>9310400</v>
      </c>
      <c r="F88" s="311">
        <f t="shared" si="3"/>
        <v>349600</v>
      </c>
      <c r="G88" s="306"/>
    </row>
    <row r="89" spans="1:9" ht="28.5" customHeight="1" x14ac:dyDescent="0.25">
      <c r="A89" s="304">
        <v>80</v>
      </c>
      <c r="B89" s="309">
        <v>45199</v>
      </c>
      <c r="C89" s="306" t="s">
        <v>1616</v>
      </c>
      <c r="D89" s="307">
        <v>26706482</v>
      </c>
      <c r="E89" s="307"/>
      <c r="F89" s="311">
        <f t="shared" ref="F89:F120" si="4">F88+D89-E89</f>
        <v>27056082</v>
      </c>
      <c r="G89" s="306"/>
    </row>
    <row r="90" spans="1:9" ht="28.5" customHeight="1" x14ac:dyDescent="0.25">
      <c r="A90" s="304">
        <v>81</v>
      </c>
      <c r="B90" s="309">
        <v>45230</v>
      </c>
      <c r="C90" s="306" t="s">
        <v>1646</v>
      </c>
      <c r="D90" s="307"/>
      <c r="E90" s="307">
        <v>53587037</v>
      </c>
      <c r="F90" s="311">
        <f t="shared" si="4"/>
        <v>-26530955</v>
      </c>
      <c r="G90" s="306"/>
    </row>
    <row r="91" spans="1:9" ht="28.5" customHeight="1" x14ac:dyDescent="0.25">
      <c r="A91" s="304">
        <v>82</v>
      </c>
      <c r="B91" s="309">
        <v>45237</v>
      </c>
      <c r="C91" s="306" t="s">
        <v>1538</v>
      </c>
      <c r="D91" s="307"/>
      <c r="E91" s="307">
        <v>350000</v>
      </c>
      <c r="F91" s="311">
        <f t="shared" si="4"/>
        <v>-26880955</v>
      </c>
      <c r="G91" s="306"/>
    </row>
    <row r="92" spans="1:9" ht="28.5" customHeight="1" x14ac:dyDescent="0.25">
      <c r="A92" s="304">
        <v>83</v>
      </c>
      <c r="B92" s="309">
        <v>45260</v>
      </c>
      <c r="C92" s="306" t="s">
        <v>1661</v>
      </c>
      <c r="D92" s="307">
        <v>12915000</v>
      </c>
      <c r="E92" s="307"/>
      <c r="F92" s="311">
        <f t="shared" si="4"/>
        <v>-13965955</v>
      </c>
      <c r="G92" s="306"/>
    </row>
    <row r="93" spans="1:9" ht="28.5" customHeight="1" x14ac:dyDescent="0.25">
      <c r="A93" s="304">
        <v>84</v>
      </c>
      <c r="B93" s="309">
        <v>45289</v>
      </c>
      <c r="C93" s="306" t="s">
        <v>1538</v>
      </c>
      <c r="D93" s="307"/>
      <c r="E93" s="307">
        <v>26706482</v>
      </c>
      <c r="F93" s="311">
        <f t="shared" si="4"/>
        <v>-40672437</v>
      </c>
      <c r="G93" s="306"/>
    </row>
    <row r="94" spans="1:9" ht="28.5" customHeight="1" x14ac:dyDescent="0.25">
      <c r="A94" s="304">
        <v>85</v>
      </c>
      <c r="B94" s="309">
        <v>45657</v>
      </c>
      <c r="C94" s="306" t="s">
        <v>1691</v>
      </c>
      <c r="D94" s="307">
        <v>8450000</v>
      </c>
      <c r="E94" s="307"/>
      <c r="F94" s="311">
        <f t="shared" si="4"/>
        <v>-32222437</v>
      </c>
      <c r="G94" s="306"/>
    </row>
    <row r="95" spans="1:9" ht="28.5" customHeight="1" x14ac:dyDescent="0.25">
      <c r="A95" s="304">
        <v>86</v>
      </c>
      <c r="B95" s="309">
        <v>45322</v>
      </c>
      <c r="C95" s="306" t="s">
        <v>1708</v>
      </c>
      <c r="D95" s="307">
        <v>16847479</v>
      </c>
      <c r="E95" s="307"/>
      <c r="F95" s="311">
        <f t="shared" si="4"/>
        <v>-15374958</v>
      </c>
      <c r="G95" s="306"/>
    </row>
    <row r="96" spans="1:9" ht="28.5" customHeight="1" x14ac:dyDescent="0.25">
      <c r="A96" s="304">
        <v>87</v>
      </c>
      <c r="B96" s="309">
        <v>45351</v>
      </c>
      <c r="C96" s="306" t="s">
        <v>1465</v>
      </c>
      <c r="D96" s="307">
        <v>9180000</v>
      </c>
      <c r="E96" s="307"/>
      <c r="F96" s="311">
        <f t="shared" si="4"/>
        <v>-6194958</v>
      </c>
      <c r="G96" s="306"/>
      <c r="I96" s="301" t="s">
        <v>1732</v>
      </c>
    </row>
    <row r="97" spans="1:10" ht="28.5" customHeight="1" x14ac:dyDescent="0.25">
      <c r="A97" s="304">
        <v>88</v>
      </c>
      <c r="B97" s="309">
        <v>45351</v>
      </c>
      <c r="C97" s="306" t="s">
        <v>1720</v>
      </c>
      <c r="D97" s="307">
        <v>34448000</v>
      </c>
      <c r="E97" s="307"/>
      <c r="F97" s="311">
        <f t="shared" si="4"/>
        <v>28253042</v>
      </c>
      <c r="G97" s="306"/>
    </row>
    <row r="98" spans="1:10" ht="28.5" customHeight="1" x14ac:dyDescent="0.25">
      <c r="A98" s="304">
        <v>89</v>
      </c>
      <c r="B98" s="309">
        <v>45381</v>
      </c>
      <c r="C98" s="306" t="s">
        <v>1749</v>
      </c>
      <c r="D98" s="307">
        <v>27618000</v>
      </c>
      <c r="E98" s="307"/>
      <c r="F98" s="311">
        <f t="shared" si="4"/>
        <v>55871042</v>
      </c>
      <c r="G98" s="306"/>
    </row>
    <row r="99" spans="1:10" ht="28.5" customHeight="1" x14ac:dyDescent="0.25">
      <c r="A99" s="304">
        <v>90</v>
      </c>
      <c r="B99" s="309">
        <v>45407</v>
      </c>
      <c r="C99" s="306" t="s">
        <v>1538</v>
      </c>
      <c r="D99" s="307"/>
      <c r="E99" s="307">
        <v>28088042</v>
      </c>
      <c r="F99" s="311">
        <f t="shared" si="4"/>
        <v>27783000</v>
      </c>
      <c r="G99" s="306"/>
    </row>
    <row r="100" spans="1:10" ht="28.5" customHeight="1" x14ac:dyDescent="0.25">
      <c r="A100" s="304">
        <v>91</v>
      </c>
      <c r="B100" s="309">
        <v>45412</v>
      </c>
      <c r="C100" s="306" t="s">
        <v>1755</v>
      </c>
      <c r="D100" s="307">
        <v>42798000</v>
      </c>
      <c r="E100" s="307"/>
      <c r="F100" s="311">
        <f t="shared" si="4"/>
        <v>70581000</v>
      </c>
      <c r="G100" s="306"/>
    </row>
    <row r="101" spans="1:10" ht="28.5" customHeight="1" x14ac:dyDescent="0.25">
      <c r="A101" s="304">
        <v>92</v>
      </c>
      <c r="B101" s="309">
        <v>45443</v>
      </c>
      <c r="C101" s="306" t="s">
        <v>1791</v>
      </c>
      <c r="D101" s="307">
        <f>35260000-3400000</f>
        <v>31860000</v>
      </c>
      <c r="E101" s="307"/>
      <c r="F101" s="311">
        <f t="shared" si="4"/>
        <v>102441000</v>
      </c>
      <c r="G101" s="306"/>
    </row>
    <row r="102" spans="1:10" ht="28.5" customHeight="1" x14ac:dyDescent="0.25">
      <c r="A102" s="304">
        <v>93</v>
      </c>
      <c r="B102" s="309">
        <v>45447</v>
      </c>
      <c r="C102" s="306" t="s">
        <v>1538</v>
      </c>
      <c r="D102" s="307"/>
      <c r="E102" s="307">
        <v>33048000</v>
      </c>
      <c r="F102" s="311">
        <f t="shared" si="4"/>
        <v>69393000</v>
      </c>
      <c r="G102" s="306"/>
    </row>
    <row r="103" spans="1:10" ht="28.5" customHeight="1" x14ac:dyDescent="0.25">
      <c r="A103" s="304">
        <v>94</v>
      </c>
      <c r="B103" s="309">
        <v>45473</v>
      </c>
      <c r="C103" s="306" t="s">
        <v>1808</v>
      </c>
      <c r="D103" s="307">
        <f>13826000+3400000</f>
        <v>17226000</v>
      </c>
      <c r="E103" s="307"/>
      <c r="F103" s="311">
        <f t="shared" si="4"/>
        <v>86619000</v>
      </c>
      <c r="G103" s="306"/>
    </row>
    <row r="104" spans="1:10" ht="28.5" customHeight="1" x14ac:dyDescent="0.25">
      <c r="A104" s="304">
        <v>95</v>
      </c>
      <c r="B104" s="309">
        <v>45489</v>
      </c>
      <c r="C104" s="306" t="s">
        <v>1538</v>
      </c>
      <c r="D104" s="307"/>
      <c r="E104" s="307">
        <v>34398000</v>
      </c>
      <c r="F104" s="311">
        <f t="shared" si="4"/>
        <v>52221000</v>
      </c>
      <c r="G104" s="306"/>
    </row>
    <row r="105" spans="1:10" ht="28.5" customHeight="1" x14ac:dyDescent="0.25">
      <c r="A105" s="304">
        <v>96</v>
      </c>
      <c r="B105" s="309">
        <v>45504</v>
      </c>
      <c r="C105" s="306" t="s">
        <v>1830</v>
      </c>
      <c r="D105" s="307">
        <v>12744000</v>
      </c>
      <c r="E105" s="307"/>
      <c r="F105" s="311">
        <f t="shared" ref="F105:F110" si="5">F104+D105-E105</f>
        <v>64965000</v>
      </c>
      <c r="G105" s="306"/>
    </row>
    <row r="106" spans="1:10" ht="28.5" customHeight="1" x14ac:dyDescent="0.25">
      <c r="A106" s="304">
        <v>97</v>
      </c>
      <c r="B106" s="309">
        <v>45534</v>
      </c>
      <c r="C106" s="306" t="s">
        <v>1858</v>
      </c>
      <c r="D106" s="307">
        <v>44712000</v>
      </c>
      <c r="E106" s="307"/>
      <c r="F106" s="311">
        <f t="shared" si="5"/>
        <v>109677000</v>
      </c>
      <c r="G106" s="306"/>
    </row>
    <row r="107" spans="1:10" ht="28.5" customHeight="1" x14ac:dyDescent="0.25">
      <c r="A107" s="304">
        <v>98</v>
      </c>
      <c r="B107" s="309">
        <v>45554</v>
      </c>
      <c r="C107" s="306" t="s">
        <v>1883</v>
      </c>
      <c r="D107" s="307"/>
      <c r="E107" s="307">
        <v>31860000</v>
      </c>
      <c r="F107" s="311">
        <f t="shared" si="5"/>
        <v>77817000</v>
      </c>
      <c r="G107" s="306"/>
      <c r="J107" s="310"/>
    </row>
    <row r="108" spans="1:10" ht="28.5" customHeight="1" x14ac:dyDescent="0.25">
      <c r="A108" s="304">
        <v>99</v>
      </c>
      <c r="B108" s="309">
        <v>45555</v>
      </c>
      <c r="C108" s="306" t="s">
        <v>1538</v>
      </c>
      <c r="D108" s="307"/>
      <c r="E108" s="307">
        <v>3135000</v>
      </c>
      <c r="F108" s="311">
        <f t="shared" si="5"/>
        <v>74682000</v>
      </c>
      <c r="G108" s="306"/>
    </row>
    <row r="109" spans="1:10" ht="28.5" customHeight="1" x14ac:dyDescent="0.25">
      <c r="A109" s="304">
        <v>100</v>
      </c>
      <c r="B109" s="309">
        <v>45565</v>
      </c>
      <c r="C109" s="306" t="s">
        <v>1884</v>
      </c>
      <c r="D109" s="307">
        <v>13284000</v>
      </c>
      <c r="E109" s="307"/>
      <c r="F109" s="311">
        <f t="shared" si="5"/>
        <v>87966000</v>
      </c>
      <c r="G109" s="306"/>
    </row>
    <row r="110" spans="1:10" ht="28.5" customHeight="1" x14ac:dyDescent="0.25">
      <c r="A110" s="304">
        <v>101</v>
      </c>
      <c r="B110" s="309">
        <v>45580</v>
      </c>
      <c r="C110" s="306" t="s">
        <v>1538</v>
      </c>
      <c r="D110" s="307"/>
      <c r="E110" s="307">
        <v>17226000</v>
      </c>
      <c r="F110" s="311">
        <f t="shared" si="5"/>
        <v>70740000</v>
      </c>
      <c r="G110" s="306"/>
    </row>
    <row r="111" spans="1:10" ht="28.5" customHeight="1" x14ac:dyDescent="0.25">
      <c r="A111" s="304">
        <v>102</v>
      </c>
      <c r="B111" s="309">
        <v>45609</v>
      </c>
      <c r="C111" s="306" t="s">
        <v>1909</v>
      </c>
      <c r="D111" s="307"/>
      <c r="E111" s="307">
        <v>12744000</v>
      </c>
      <c r="F111" s="311">
        <f t="shared" si="4"/>
        <v>57996000</v>
      </c>
      <c r="G111" s="306"/>
    </row>
    <row r="112" spans="1:10" ht="28.5" customHeight="1" x14ac:dyDescent="0.25">
      <c r="A112" s="304">
        <v>103</v>
      </c>
      <c r="B112" s="309">
        <v>45626</v>
      </c>
      <c r="C112" s="306" t="s">
        <v>1923</v>
      </c>
      <c r="D112" s="307">
        <v>4048000</v>
      </c>
      <c r="E112" s="307"/>
      <c r="F112" s="311">
        <f t="shared" si="4"/>
        <v>62044000</v>
      </c>
      <c r="G112" s="306"/>
    </row>
    <row r="113" spans="1:7" ht="28.5" customHeight="1" x14ac:dyDescent="0.25">
      <c r="A113" s="304">
        <v>104</v>
      </c>
      <c r="B113" s="309">
        <v>45638</v>
      </c>
      <c r="C113" s="306" t="s">
        <v>1936</v>
      </c>
      <c r="D113" s="307"/>
      <c r="E113" s="307">
        <v>44712000</v>
      </c>
      <c r="F113" s="311">
        <f t="shared" si="4"/>
        <v>17332000</v>
      </c>
      <c r="G113" s="306"/>
    </row>
    <row r="114" spans="1:7" ht="28.5" customHeight="1" x14ac:dyDescent="0.25">
      <c r="A114" s="304">
        <v>105</v>
      </c>
      <c r="B114" s="309">
        <v>45656</v>
      </c>
      <c r="C114" s="306" t="s">
        <v>1941</v>
      </c>
      <c r="D114" s="307"/>
      <c r="E114" s="307">
        <v>27197600</v>
      </c>
      <c r="F114" s="311">
        <f t="shared" si="4"/>
        <v>-9865600</v>
      </c>
      <c r="G114" s="306"/>
    </row>
    <row r="115" spans="1:7" ht="28.5" customHeight="1" x14ac:dyDescent="0.25">
      <c r="A115" s="304">
        <v>106</v>
      </c>
      <c r="B115" s="309">
        <v>45667</v>
      </c>
      <c r="C115" s="306" t="s">
        <v>1523</v>
      </c>
      <c r="D115" s="307">
        <v>9865600</v>
      </c>
      <c r="E115" s="307"/>
      <c r="F115" s="311">
        <f t="shared" si="4"/>
        <v>0</v>
      </c>
      <c r="G115" s="306"/>
    </row>
    <row r="116" spans="1:7" ht="28.5" customHeight="1" x14ac:dyDescent="0.25">
      <c r="A116" s="304">
        <v>107</v>
      </c>
      <c r="B116" s="309">
        <v>45680</v>
      </c>
      <c r="C116" s="306" t="s">
        <v>1963</v>
      </c>
      <c r="D116" s="307">
        <v>22068000</v>
      </c>
      <c r="E116" s="307"/>
      <c r="F116" s="311">
        <f t="shared" si="4"/>
        <v>22068000</v>
      </c>
      <c r="G116" s="306"/>
    </row>
    <row r="117" spans="1:7" ht="28.5" customHeight="1" x14ac:dyDescent="0.25">
      <c r="A117" s="304">
        <v>108</v>
      </c>
      <c r="B117" s="309">
        <v>45716</v>
      </c>
      <c r="C117" s="306" t="s">
        <v>1978</v>
      </c>
      <c r="D117" s="307">
        <v>13068000</v>
      </c>
      <c r="E117" s="307"/>
      <c r="F117" s="311">
        <f t="shared" si="4"/>
        <v>35136000</v>
      </c>
      <c r="G117" s="306"/>
    </row>
    <row r="118" spans="1:7" ht="28.5" customHeight="1" x14ac:dyDescent="0.25">
      <c r="A118" s="304">
        <v>109</v>
      </c>
      <c r="B118" s="309">
        <v>45747</v>
      </c>
      <c r="C118" s="306" t="s">
        <v>1990</v>
      </c>
      <c r="D118" s="307">
        <v>17712000</v>
      </c>
      <c r="E118" s="307"/>
      <c r="F118" s="311">
        <f t="shared" si="4"/>
        <v>52848000</v>
      </c>
      <c r="G118" s="306"/>
    </row>
    <row r="119" spans="1:7" ht="28.5" customHeight="1" x14ac:dyDescent="0.25">
      <c r="A119" s="304">
        <v>110</v>
      </c>
      <c r="B119" s="309">
        <v>45776</v>
      </c>
      <c r="C119" s="306" t="s">
        <v>2017</v>
      </c>
      <c r="D119" s="307">
        <v>26460000</v>
      </c>
      <c r="E119" s="307"/>
      <c r="F119" s="311">
        <f t="shared" si="4"/>
        <v>79308000</v>
      </c>
      <c r="G119" s="306"/>
    </row>
    <row r="120" spans="1:7" ht="28.5" customHeight="1" x14ac:dyDescent="0.25">
      <c r="A120" s="304">
        <v>111</v>
      </c>
      <c r="B120" s="309"/>
      <c r="C120" s="306"/>
      <c r="D120" s="307"/>
      <c r="E120" s="307"/>
      <c r="F120" s="311">
        <f t="shared" si="4"/>
        <v>79308000</v>
      </c>
      <c r="G120" s="306"/>
    </row>
    <row r="121" spans="1:7" ht="28.5" customHeight="1" x14ac:dyDescent="0.25">
      <c r="A121" s="304">
        <v>112</v>
      </c>
      <c r="B121" s="309"/>
      <c r="C121" s="306"/>
      <c r="D121" s="307"/>
      <c r="E121" s="307"/>
      <c r="F121" s="307"/>
      <c r="G121" s="306"/>
    </row>
    <row r="122" spans="1:7" ht="28.5" customHeight="1" x14ac:dyDescent="0.25">
      <c r="A122" s="304">
        <v>113</v>
      </c>
      <c r="B122" s="309"/>
      <c r="C122" s="306"/>
      <c r="D122" s="307"/>
      <c r="E122" s="307"/>
      <c r="F122" s="307"/>
      <c r="G122" s="306"/>
    </row>
    <row r="123" spans="1:7" ht="28.5" customHeight="1" x14ac:dyDescent="0.25">
      <c r="A123" s="304">
        <v>114</v>
      </c>
      <c r="B123" s="309"/>
      <c r="C123" s="306"/>
      <c r="D123" s="307"/>
      <c r="E123" s="307"/>
      <c r="F123" s="307"/>
      <c r="G123" s="306"/>
    </row>
    <row r="124" spans="1:7" ht="28.5" customHeight="1" x14ac:dyDescent="0.25">
      <c r="A124" s="304">
        <v>115</v>
      </c>
      <c r="B124" s="309"/>
      <c r="C124" s="306"/>
      <c r="D124" s="307"/>
      <c r="E124" s="307"/>
      <c r="F124" s="307"/>
      <c r="G124" s="306"/>
    </row>
    <row r="125" spans="1:7" ht="28.5" customHeight="1" x14ac:dyDescent="0.25">
      <c r="A125" s="304">
        <v>116</v>
      </c>
      <c r="B125" s="309"/>
      <c r="C125" s="306"/>
      <c r="D125" s="307"/>
      <c r="E125" s="307"/>
      <c r="F125" s="307"/>
      <c r="G125" s="306"/>
    </row>
    <row r="126" spans="1:7" ht="28.5" customHeight="1" x14ac:dyDescent="0.25">
      <c r="A126" s="304">
        <v>117</v>
      </c>
      <c r="B126" s="309"/>
      <c r="C126" s="306"/>
      <c r="D126" s="307"/>
      <c r="E126" s="307"/>
      <c r="F126" s="307"/>
      <c r="G126" s="306"/>
    </row>
    <row r="127" spans="1:7" ht="28.5" customHeight="1" x14ac:dyDescent="0.25">
      <c r="A127" s="304">
        <v>118</v>
      </c>
      <c r="B127" s="309"/>
      <c r="C127" s="306"/>
      <c r="D127" s="307"/>
      <c r="E127" s="307"/>
      <c r="F127" s="307"/>
      <c r="G127" s="306"/>
    </row>
    <row r="128" spans="1:7" ht="28.5" customHeight="1" x14ac:dyDescent="0.25">
      <c r="A128" s="304">
        <v>119</v>
      </c>
      <c r="B128" s="309"/>
      <c r="C128" s="306"/>
      <c r="D128" s="307"/>
      <c r="E128" s="307"/>
      <c r="F128" s="307"/>
      <c r="G128" s="306"/>
    </row>
    <row r="129" spans="1:7" ht="28.5" customHeight="1" x14ac:dyDescent="0.25">
      <c r="A129" s="304">
        <v>120</v>
      </c>
      <c r="B129" s="309"/>
      <c r="C129" s="306"/>
      <c r="D129" s="307"/>
      <c r="E129" s="307"/>
      <c r="F129" s="307"/>
      <c r="G129" s="306"/>
    </row>
    <row r="130" spans="1:7" ht="28.5" customHeight="1" x14ac:dyDescent="0.25">
      <c r="A130" s="304">
        <v>121</v>
      </c>
      <c r="B130" s="309"/>
      <c r="C130" s="306"/>
      <c r="D130" s="307"/>
      <c r="E130" s="307"/>
      <c r="F130" s="307"/>
      <c r="G130" s="306"/>
    </row>
    <row r="131" spans="1:7" ht="28.5" customHeight="1" x14ac:dyDescent="0.25">
      <c r="A131" s="304">
        <v>122</v>
      </c>
      <c r="B131" s="309"/>
      <c r="C131" s="306"/>
      <c r="D131" s="307"/>
      <c r="E131" s="307"/>
      <c r="F131" s="307"/>
      <c r="G131" s="306"/>
    </row>
    <row r="132" spans="1:7" ht="28.5" customHeight="1" x14ac:dyDescent="0.25">
      <c r="A132" s="304">
        <v>123</v>
      </c>
      <c r="B132" s="309"/>
      <c r="C132" s="306"/>
      <c r="D132" s="307"/>
      <c r="E132" s="307"/>
      <c r="F132" s="307"/>
      <c r="G132" s="306"/>
    </row>
    <row r="133" spans="1:7" ht="28.5" customHeight="1" x14ac:dyDescent="0.25">
      <c r="A133" s="304">
        <v>124</v>
      </c>
      <c r="B133" s="309"/>
      <c r="C133" s="306"/>
      <c r="D133" s="307"/>
      <c r="E133" s="307"/>
      <c r="F133" s="307"/>
      <c r="G133" s="306"/>
    </row>
    <row r="134" spans="1:7" ht="28.5" customHeight="1" x14ac:dyDescent="0.25">
      <c r="A134" s="304">
        <v>125</v>
      </c>
      <c r="B134" s="309"/>
      <c r="C134" s="306"/>
      <c r="D134" s="307"/>
      <c r="E134" s="307"/>
      <c r="F134" s="307"/>
      <c r="G134" s="306"/>
    </row>
    <row r="135" spans="1:7" ht="28.5" customHeight="1" x14ac:dyDescent="0.25">
      <c r="A135" s="304">
        <v>126</v>
      </c>
      <c r="B135" s="309"/>
      <c r="C135" s="306"/>
      <c r="D135" s="307"/>
      <c r="E135" s="307"/>
      <c r="F135" s="307"/>
      <c r="G135" s="306"/>
    </row>
    <row r="136" spans="1:7" ht="28.5" customHeight="1" x14ac:dyDescent="0.25">
      <c r="A136" s="304">
        <v>127</v>
      </c>
      <c r="B136" s="309"/>
      <c r="C136" s="306"/>
      <c r="D136" s="307"/>
      <c r="E136" s="307"/>
      <c r="F136" s="307"/>
      <c r="G136" s="306"/>
    </row>
    <row r="137" spans="1:7" ht="28.5" customHeight="1" x14ac:dyDescent="0.25">
      <c r="A137" s="304">
        <v>128</v>
      </c>
      <c r="B137" s="309"/>
      <c r="C137" s="306"/>
      <c r="D137" s="307"/>
      <c r="E137" s="307"/>
      <c r="F137" s="307"/>
      <c r="G137" s="306"/>
    </row>
    <row r="138" spans="1:7" ht="28.5" customHeight="1" x14ac:dyDescent="0.25">
      <c r="A138" s="304">
        <v>129</v>
      </c>
      <c r="B138" s="309"/>
      <c r="C138" s="306"/>
      <c r="D138" s="307"/>
      <c r="E138" s="307"/>
      <c r="F138" s="307"/>
      <c r="G138" s="306"/>
    </row>
    <row r="139" spans="1:7" ht="28.5" customHeight="1" x14ac:dyDescent="0.25">
      <c r="A139" s="304">
        <v>130</v>
      </c>
      <c r="B139" s="309"/>
      <c r="C139" s="306"/>
      <c r="D139" s="307"/>
      <c r="E139" s="307"/>
      <c r="F139" s="307"/>
      <c r="G139" s="306"/>
    </row>
    <row r="140" spans="1:7" ht="28.5" customHeight="1" x14ac:dyDescent="0.25">
      <c r="A140" s="304">
        <v>131</v>
      </c>
      <c r="B140" s="309"/>
      <c r="C140" s="306"/>
      <c r="D140" s="307"/>
      <c r="E140" s="307"/>
      <c r="F140" s="307"/>
      <c r="G140" s="306"/>
    </row>
    <row r="141" spans="1:7" ht="28.5" customHeight="1" x14ac:dyDescent="0.25">
      <c r="A141" s="304">
        <v>132</v>
      </c>
      <c r="B141" s="309"/>
      <c r="C141" s="306"/>
      <c r="D141" s="307"/>
      <c r="E141" s="307"/>
      <c r="F141" s="307"/>
      <c r="G141" s="306"/>
    </row>
    <row r="142" spans="1:7" ht="28.5" customHeight="1" x14ac:dyDescent="0.25">
      <c r="A142" s="304">
        <v>133</v>
      </c>
      <c r="B142" s="309"/>
      <c r="C142" s="306"/>
      <c r="D142" s="307"/>
      <c r="E142" s="307"/>
      <c r="F142" s="307"/>
      <c r="G142" s="306"/>
    </row>
    <row r="143" spans="1:7" ht="28.5" customHeight="1" x14ac:dyDescent="0.25">
      <c r="A143" s="304">
        <v>134</v>
      </c>
      <c r="B143" s="309"/>
      <c r="C143" s="306"/>
      <c r="D143" s="307"/>
      <c r="E143" s="307"/>
      <c r="F143" s="307"/>
      <c r="G143" s="306"/>
    </row>
    <row r="144" spans="1:7" ht="28.5" customHeight="1" x14ac:dyDescent="0.25">
      <c r="A144" s="304">
        <v>135</v>
      </c>
      <c r="B144" s="309"/>
      <c r="C144" s="306"/>
      <c r="D144" s="307"/>
      <c r="E144" s="307"/>
      <c r="F144" s="307"/>
      <c r="G144" s="306"/>
    </row>
    <row r="145" spans="1:7" ht="28.5" customHeight="1" x14ac:dyDescent="0.25">
      <c r="A145" s="304">
        <v>136</v>
      </c>
      <c r="B145" s="309"/>
      <c r="C145" s="306"/>
      <c r="D145" s="307"/>
      <c r="E145" s="307"/>
      <c r="F145" s="307"/>
      <c r="G145" s="306"/>
    </row>
    <row r="146" spans="1:7" ht="28.5" customHeight="1" x14ac:dyDescent="0.25">
      <c r="A146" s="304">
        <v>137</v>
      </c>
      <c r="B146" s="309"/>
      <c r="C146" s="306"/>
      <c r="D146" s="307"/>
      <c r="E146" s="307"/>
      <c r="F146" s="307"/>
      <c r="G146" s="306"/>
    </row>
    <row r="147" spans="1:7" ht="28.5" customHeight="1" x14ac:dyDescent="0.25">
      <c r="A147" s="304">
        <v>138</v>
      </c>
      <c r="B147" s="309"/>
      <c r="C147" s="306"/>
      <c r="D147" s="307"/>
      <c r="E147" s="307"/>
      <c r="F147" s="307"/>
      <c r="G147" s="306"/>
    </row>
    <row r="148" spans="1:7" ht="28.5" customHeight="1" x14ac:dyDescent="0.25">
      <c r="A148" s="304">
        <v>139</v>
      </c>
      <c r="B148" s="309"/>
      <c r="C148" s="306"/>
      <c r="D148" s="307"/>
      <c r="E148" s="307"/>
      <c r="F148" s="307"/>
      <c r="G148" s="306"/>
    </row>
    <row r="149" spans="1:7" ht="28.5" customHeight="1" x14ac:dyDescent="0.25">
      <c r="A149" s="304">
        <v>140</v>
      </c>
      <c r="B149" s="309"/>
      <c r="C149" s="306"/>
      <c r="D149" s="307"/>
      <c r="E149" s="307"/>
      <c r="F149" s="307"/>
      <c r="G149" s="306"/>
    </row>
    <row r="150" spans="1:7" ht="28.5" customHeight="1" x14ac:dyDescent="0.25">
      <c r="A150" s="304">
        <v>141</v>
      </c>
      <c r="B150" s="309"/>
      <c r="C150" s="306"/>
      <c r="D150" s="307"/>
      <c r="E150" s="307"/>
      <c r="F150" s="307"/>
      <c r="G150" s="306"/>
    </row>
    <row r="151" spans="1:7" ht="28.5" customHeight="1" x14ac:dyDescent="0.25">
      <c r="A151" s="304">
        <v>142</v>
      </c>
      <c r="B151" s="309"/>
      <c r="C151" s="306"/>
      <c r="D151" s="307"/>
      <c r="E151" s="307"/>
      <c r="F151" s="307"/>
      <c r="G151" s="306"/>
    </row>
    <row r="152" spans="1:7" ht="28.5" customHeight="1" x14ac:dyDescent="0.25">
      <c r="A152" s="304">
        <v>143</v>
      </c>
      <c r="B152" s="309"/>
      <c r="C152" s="306"/>
      <c r="D152" s="307"/>
      <c r="E152" s="307"/>
      <c r="F152" s="307"/>
      <c r="G152" s="306"/>
    </row>
    <row r="153" spans="1:7" ht="28.5" customHeight="1" x14ac:dyDescent="0.25">
      <c r="A153" s="304">
        <v>144</v>
      </c>
      <c r="B153" s="309"/>
      <c r="C153" s="306"/>
      <c r="D153" s="307"/>
      <c r="E153" s="307"/>
      <c r="F153" s="307"/>
      <c r="G153" s="306"/>
    </row>
    <row r="154" spans="1:7" ht="28.5" customHeight="1" x14ac:dyDescent="0.25">
      <c r="A154" s="304">
        <v>145</v>
      </c>
      <c r="B154" s="309"/>
      <c r="C154" s="306"/>
      <c r="D154" s="307"/>
      <c r="E154" s="307"/>
      <c r="F154" s="307"/>
      <c r="G154" s="306"/>
    </row>
    <row r="155" spans="1:7" ht="28.5" customHeight="1" x14ac:dyDescent="0.25">
      <c r="A155" s="304">
        <v>146</v>
      </c>
      <c r="B155" s="309"/>
      <c r="C155" s="306"/>
      <c r="D155" s="307"/>
      <c r="E155" s="307"/>
      <c r="F155" s="307"/>
      <c r="G155" s="306"/>
    </row>
    <row r="156" spans="1:7" ht="28.5" customHeight="1" x14ac:dyDescent="0.25">
      <c r="A156" s="304">
        <v>147</v>
      </c>
      <c r="B156" s="309"/>
      <c r="C156" s="306"/>
      <c r="D156" s="307"/>
      <c r="E156" s="307"/>
      <c r="F156" s="307"/>
      <c r="G156" s="306"/>
    </row>
    <row r="157" spans="1:7" ht="28.5" customHeight="1" x14ac:dyDescent="0.25">
      <c r="A157" s="304">
        <v>148</v>
      </c>
      <c r="B157" s="309"/>
      <c r="C157" s="306"/>
      <c r="D157" s="307"/>
      <c r="E157" s="307"/>
      <c r="F157" s="307"/>
      <c r="G157" s="306"/>
    </row>
    <row r="158" spans="1:7" ht="28.5" customHeight="1" x14ac:dyDescent="0.25">
      <c r="A158" s="304">
        <v>149</v>
      </c>
      <c r="B158" s="309"/>
      <c r="C158" s="306"/>
      <c r="D158" s="307"/>
      <c r="E158" s="307"/>
      <c r="F158" s="307"/>
      <c r="G158" s="306"/>
    </row>
    <row r="159" spans="1:7" ht="28.5" customHeight="1" x14ac:dyDescent="0.25">
      <c r="A159" s="304">
        <v>150</v>
      </c>
      <c r="B159" s="309"/>
      <c r="C159" s="306"/>
      <c r="D159" s="307"/>
      <c r="E159" s="307"/>
      <c r="F159" s="307"/>
      <c r="G159" s="306"/>
    </row>
    <row r="160" spans="1:7" ht="28.5" customHeight="1" x14ac:dyDescent="0.25">
      <c r="A160" s="304">
        <v>151</v>
      </c>
      <c r="B160" s="309"/>
      <c r="C160" s="306"/>
      <c r="D160" s="307"/>
      <c r="E160" s="307"/>
      <c r="F160" s="307"/>
      <c r="G160" s="306"/>
    </row>
    <row r="161" spans="1:7" ht="28.5" customHeight="1" x14ac:dyDescent="0.25">
      <c r="A161" s="304">
        <v>152</v>
      </c>
      <c r="B161" s="309"/>
      <c r="C161" s="306"/>
      <c r="D161" s="307"/>
      <c r="E161" s="307"/>
      <c r="F161" s="307"/>
      <c r="G161" s="306"/>
    </row>
    <row r="162" spans="1:7" ht="28.5" customHeight="1" x14ac:dyDescent="0.25">
      <c r="A162" s="304">
        <v>153</v>
      </c>
      <c r="B162" s="309"/>
      <c r="C162" s="306"/>
      <c r="D162" s="307"/>
      <c r="E162" s="307"/>
      <c r="F162" s="307"/>
      <c r="G162" s="306"/>
    </row>
    <row r="163" spans="1:7" ht="28.5" customHeight="1" x14ac:dyDescent="0.25">
      <c r="A163" s="304">
        <v>154</v>
      </c>
      <c r="B163" s="309"/>
      <c r="C163" s="306"/>
      <c r="D163" s="307"/>
      <c r="E163" s="307"/>
      <c r="F163" s="307"/>
      <c r="G163" s="306"/>
    </row>
    <row r="164" spans="1:7" ht="28.5" customHeight="1" x14ac:dyDescent="0.25">
      <c r="A164" s="304">
        <v>155</v>
      </c>
      <c r="B164" s="309"/>
      <c r="C164" s="306"/>
      <c r="D164" s="307"/>
      <c r="E164" s="307"/>
      <c r="F164" s="307"/>
      <c r="G164" s="306"/>
    </row>
    <row r="165" spans="1:7" ht="28.5" customHeight="1" x14ac:dyDescent="0.25">
      <c r="A165" s="304">
        <v>156</v>
      </c>
      <c r="B165" s="309"/>
      <c r="C165" s="306"/>
      <c r="D165" s="307"/>
      <c r="E165" s="307"/>
      <c r="F165" s="307"/>
      <c r="G165" s="306"/>
    </row>
    <row r="166" spans="1:7" ht="28.5" customHeight="1" x14ac:dyDescent="0.25">
      <c r="A166" s="304">
        <v>157</v>
      </c>
      <c r="B166" s="309"/>
      <c r="C166" s="306"/>
      <c r="D166" s="307"/>
      <c r="E166" s="307"/>
      <c r="F166" s="307"/>
      <c r="G166" s="306"/>
    </row>
    <row r="167" spans="1:7" ht="28.5" customHeight="1" x14ac:dyDescent="0.25">
      <c r="A167" s="304">
        <v>158</v>
      </c>
      <c r="B167" s="309"/>
      <c r="C167" s="306"/>
      <c r="D167" s="307"/>
      <c r="E167" s="307"/>
      <c r="F167" s="307"/>
      <c r="G167" s="306"/>
    </row>
    <row r="168" spans="1:7" ht="28.5" customHeight="1" x14ac:dyDescent="0.25">
      <c r="A168" s="304">
        <v>159</v>
      </c>
      <c r="B168" s="309"/>
      <c r="C168" s="306"/>
      <c r="D168" s="307"/>
      <c r="E168" s="307"/>
      <c r="F168" s="307"/>
      <c r="G168" s="306"/>
    </row>
    <row r="169" spans="1:7" ht="28.5" customHeight="1" x14ac:dyDescent="0.25">
      <c r="A169" s="304">
        <v>160</v>
      </c>
      <c r="B169" s="309"/>
      <c r="C169" s="306"/>
      <c r="D169" s="307"/>
      <c r="E169" s="307"/>
      <c r="F169" s="307"/>
      <c r="G169" s="306"/>
    </row>
    <row r="170" spans="1:7" ht="28.5" customHeight="1" x14ac:dyDescent="0.25">
      <c r="A170" s="304">
        <v>161</v>
      </c>
      <c r="B170" s="309"/>
      <c r="C170" s="306"/>
      <c r="D170" s="307"/>
      <c r="E170" s="307"/>
      <c r="F170" s="307"/>
      <c r="G170" s="306"/>
    </row>
    <row r="171" spans="1:7" ht="28.5" customHeight="1" x14ac:dyDescent="0.25">
      <c r="A171" s="304">
        <v>162</v>
      </c>
      <c r="B171" s="309"/>
      <c r="C171" s="306"/>
      <c r="D171" s="307"/>
      <c r="E171" s="307"/>
      <c r="F171" s="307"/>
      <c r="G171" s="306"/>
    </row>
    <row r="172" spans="1:7" ht="28.5" customHeight="1" x14ac:dyDescent="0.25">
      <c r="A172" s="304">
        <v>164</v>
      </c>
      <c r="B172" s="309"/>
      <c r="C172" s="306"/>
      <c r="D172" s="307"/>
      <c r="E172" s="307"/>
      <c r="F172" s="307"/>
      <c r="G172" s="306"/>
    </row>
    <row r="173" spans="1:7" ht="28.5" customHeight="1" x14ac:dyDescent="0.25">
      <c r="A173" s="304">
        <v>165</v>
      </c>
      <c r="B173" s="309"/>
      <c r="C173" s="306"/>
      <c r="D173" s="307"/>
      <c r="E173" s="307"/>
      <c r="F173" s="307"/>
      <c r="G173" s="306"/>
    </row>
    <row r="174" spans="1:7" ht="28.5" customHeight="1" x14ac:dyDescent="0.25">
      <c r="A174" s="304">
        <v>166</v>
      </c>
      <c r="B174" s="309"/>
      <c r="C174" s="306"/>
      <c r="D174" s="307"/>
      <c r="E174" s="307"/>
      <c r="F174" s="307"/>
      <c r="G174" s="306"/>
    </row>
    <row r="175" spans="1:7" ht="28.5" customHeight="1" x14ac:dyDescent="0.25">
      <c r="A175" s="304">
        <v>167</v>
      </c>
      <c r="B175" s="309"/>
      <c r="C175" s="306"/>
      <c r="D175" s="307"/>
      <c r="E175" s="307"/>
      <c r="F175" s="307"/>
      <c r="G175" s="306"/>
    </row>
    <row r="176" spans="1:7" ht="28.5" customHeight="1" x14ac:dyDescent="0.25">
      <c r="A176" s="304">
        <v>168</v>
      </c>
      <c r="B176" s="309"/>
      <c r="C176" s="306"/>
      <c r="D176" s="307"/>
      <c r="E176" s="307"/>
      <c r="F176" s="307"/>
      <c r="G176" s="306"/>
    </row>
    <row r="177" spans="1:7" ht="28.5" customHeight="1" x14ac:dyDescent="0.25">
      <c r="A177" s="304">
        <v>169</v>
      </c>
      <c r="B177" s="309"/>
      <c r="C177" s="306"/>
      <c r="D177" s="307"/>
      <c r="E177" s="307"/>
      <c r="F177" s="307"/>
      <c r="G177" s="306"/>
    </row>
    <row r="178" spans="1:7" ht="28.5" customHeight="1" x14ac:dyDescent="0.25">
      <c r="A178" s="304">
        <v>170</v>
      </c>
      <c r="B178" s="309"/>
      <c r="C178" s="306"/>
      <c r="D178" s="307"/>
      <c r="E178" s="307"/>
      <c r="F178" s="307"/>
      <c r="G178" s="306"/>
    </row>
    <row r="179" spans="1:7" ht="28.5" customHeight="1" x14ac:dyDescent="0.25">
      <c r="A179" s="304">
        <v>171</v>
      </c>
      <c r="B179" s="309"/>
      <c r="C179" s="306"/>
      <c r="D179" s="307"/>
      <c r="E179" s="307"/>
      <c r="F179" s="307"/>
      <c r="G179" s="306"/>
    </row>
    <row r="180" spans="1:7" ht="28.5" customHeight="1" x14ac:dyDescent="0.25">
      <c r="A180" s="304">
        <v>172</v>
      </c>
      <c r="B180" s="309"/>
      <c r="C180" s="306"/>
      <c r="D180" s="307"/>
      <c r="E180" s="307"/>
      <c r="F180" s="307"/>
      <c r="G180" s="306"/>
    </row>
    <row r="181" spans="1:7" ht="28.5" customHeight="1" x14ac:dyDescent="0.25">
      <c r="A181" s="304">
        <v>173</v>
      </c>
      <c r="B181" s="309"/>
      <c r="C181" s="306"/>
      <c r="D181" s="307"/>
      <c r="E181" s="307"/>
      <c r="F181" s="307"/>
      <c r="G181" s="306"/>
    </row>
    <row r="182" spans="1:7" ht="28.5" customHeight="1" x14ac:dyDescent="0.25">
      <c r="A182" s="304">
        <v>174</v>
      </c>
      <c r="B182" s="309"/>
      <c r="C182" s="306"/>
      <c r="D182" s="307"/>
      <c r="E182" s="307"/>
      <c r="F182" s="307"/>
      <c r="G182" s="306"/>
    </row>
    <row r="183" spans="1:7" ht="28.5" customHeight="1" x14ac:dyDescent="0.25">
      <c r="A183" s="304">
        <v>175</v>
      </c>
      <c r="B183" s="309"/>
      <c r="C183" s="306"/>
      <c r="D183" s="307"/>
      <c r="E183" s="307"/>
      <c r="F183" s="307"/>
      <c r="G183" s="306"/>
    </row>
    <row r="184" spans="1:7" ht="28.5" customHeight="1" x14ac:dyDescent="0.25">
      <c r="A184" s="304">
        <v>176</v>
      </c>
      <c r="B184" s="309"/>
      <c r="C184" s="306"/>
      <c r="D184" s="307"/>
      <c r="E184" s="307"/>
      <c r="F184" s="307"/>
      <c r="G184" s="306"/>
    </row>
    <row r="185" spans="1:7" ht="28.5" customHeight="1" x14ac:dyDescent="0.25">
      <c r="A185" s="304">
        <v>177</v>
      </c>
      <c r="B185" s="309"/>
      <c r="C185" s="306"/>
      <c r="D185" s="307"/>
      <c r="E185" s="307"/>
      <c r="F185" s="307"/>
      <c r="G185" s="306"/>
    </row>
    <row r="186" spans="1:7" ht="28.5" customHeight="1" x14ac:dyDescent="0.25">
      <c r="A186" s="304">
        <v>178</v>
      </c>
      <c r="B186" s="309"/>
      <c r="C186" s="306"/>
      <c r="D186" s="307"/>
      <c r="E186" s="307"/>
      <c r="F186" s="307"/>
      <c r="G186" s="306"/>
    </row>
    <row r="187" spans="1:7" ht="28.5" customHeight="1" x14ac:dyDescent="0.25">
      <c r="A187" s="304">
        <v>179</v>
      </c>
      <c r="B187" s="309"/>
      <c r="C187" s="306"/>
      <c r="D187" s="307"/>
      <c r="E187" s="307"/>
      <c r="F187" s="307"/>
      <c r="G187" s="306"/>
    </row>
    <row r="188" spans="1:7" ht="28.5" customHeight="1" x14ac:dyDescent="0.25">
      <c r="A188" s="304">
        <v>180</v>
      </c>
      <c r="B188" s="309"/>
      <c r="C188" s="306"/>
      <c r="D188" s="307"/>
      <c r="E188" s="307"/>
      <c r="F188" s="307"/>
      <c r="G188" s="306"/>
    </row>
    <row r="189" spans="1:7" ht="28.5" customHeight="1" x14ac:dyDescent="0.25">
      <c r="A189" s="304">
        <v>181</v>
      </c>
      <c r="B189" s="309"/>
      <c r="C189" s="306"/>
      <c r="D189" s="307"/>
      <c r="E189" s="307"/>
      <c r="F189" s="307"/>
      <c r="G189" s="306"/>
    </row>
    <row r="190" spans="1:7" ht="28.5" customHeight="1" x14ac:dyDescent="0.25">
      <c r="A190" s="304">
        <v>182</v>
      </c>
      <c r="B190" s="309"/>
      <c r="C190" s="306"/>
      <c r="D190" s="307"/>
      <c r="E190" s="307"/>
      <c r="F190" s="307"/>
      <c r="G190" s="306"/>
    </row>
    <row r="191" spans="1:7" ht="28.5" customHeight="1" x14ac:dyDescent="0.25">
      <c r="A191" s="304">
        <v>183</v>
      </c>
      <c r="B191" s="309"/>
      <c r="C191" s="306"/>
      <c r="D191" s="307"/>
      <c r="E191" s="307"/>
      <c r="F191" s="307"/>
      <c r="G191" s="306"/>
    </row>
    <row r="192" spans="1:7" ht="28.5" customHeight="1" x14ac:dyDescent="0.25">
      <c r="A192" s="304">
        <v>184</v>
      </c>
      <c r="B192" s="309"/>
      <c r="C192" s="306"/>
      <c r="D192" s="307"/>
      <c r="E192" s="307"/>
      <c r="F192" s="307"/>
      <c r="G192" s="306"/>
    </row>
    <row r="193" spans="1:7" ht="28.5" customHeight="1" x14ac:dyDescent="0.25">
      <c r="A193" s="304">
        <v>185</v>
      </c>
      <c r="B193" s="309"/>
      <c r="C193" s="306"/>
      <c r="D193" s="307"/>
      <c r="E193" s="307"/>
      <c r="F193" s="307"/>
      <c r="G193" s="306"/>
    </row>
    <row r="194" spans="1:7" ht="28.5" customHeight="1" x14ac:dyDescent="0.25">
      <c r="A194" s="304">
        <v>186</v>
      </c>
      <c r="B194" s="309"/>
      <c r="C194" s="306"/>
      <c r="D194" s="307"/>
      <c r="E194" s="307"/>
      <c r="F194" s="307"/>
      <c r="G194" s="306"/>
    </row>
    <row r="195" spans="1:7" ht="28.5" customHeight="1" x14ac:dyDescent="0.25">
      <c r="A195" s="304">
        <v>187</v>
      </c>
      <c r="B195" s="309"/>
      <c r="C195" s="306"/>
      <c r="D195" s="307"/>
      <c r="E195" s="307"/>
      <c r="F195" s="307"/>
      <c r="G195" s="306"/>
    </row>
    <row r="196" spans="1:7" ht="28.5" customHeight="1" x14ac:dyDescent="0.25">
      <c r="A196" s="304">
        <v>188</v>
      </c>
      <c r="B196" s="309"/>
      <c r="C196" s="306"/>
      <c r="D196" s="307"/>
      <c r="E196" s="307"/>
      <c r="F196" s="307"/>
      <c r="G196" s="306"/>
    </row>
    <row r="197" spans="1:7" ht="28.5" customHeight="1" x14ac:dyDescent="0.25">
      <c r="A197" s="304">
        <v>189</v>
      </c>
      <c r="B197" s="309"/>
      <c r="C197" s="306"/>
      <c r="D197" s="307"/>
      <c r="E197" s="307"/>
      <c r="F197" s="307"/>
      <c r="G197" s="306"/>
    </row>
    <row r="198" spans="1:7" ht="28.5" customHeight="1" x14ac:dyDescent="0.25">
      <c r="A198" s="304">
        <v>190</v>
      </c>
      <c r="B198" s="309"/>
      <c r="C198" s="306"/>
      <c r="D198" s="307"/>
      <c r="E198" s="307"/>
      <c r="F198" s="307"/>
      <c r="G198" s="306"/>
    </row>
    <row r="199" spans="1:7" ht="28.5" customHeight="1" x14ac:dyDescent="0.25">
      <c r="A199" s="304">
        <v>191</v>
      </c>
      <c r="B199" s="309"/>
      <c r="C199" s="306"/>
      <c r="D199" s="307"/>
      <c r="E199" s="307"/>
      <c r="F199" s="307"/>
      <c r="G199" s="306"/>
    </row>
    <row r="200" spans="1:7" ht="28.5" customHeight="1" x14ac:dyDescent="0.25">
      <c r="A200" s="304">
        <v>192</v>
      </c>
      <c r="B200" s="309"/>
      <c r="C200" s="306"/>
      <c r="D200" s="307"/>
      <c r="E200" s="307"/>
      <c r="F200" s="307"/>
      <c r="G200" s="306"/>
    </row>
    <row r="201" spans="1:7" ht="28.5" customHeight="1" x14ac:dyDescent="0.25">
      <c r="A201" s="304">
        <v>193</v>
      </c>
      <c r="B201" s="309"/>
      <c r="C201" s="306"/>
      <c r="D201" s="307"/>
      <c r="E201" s="307"/>
      <c r="F201" s="307"/>
      <c r="G201" s="306"/>
    </row>
    <row r="202" spans="1:7" ht="28.5" customHeight="1" x14ac:dyDescent="0.25">
      <c r="A202" s="304">
        <v>194</v>
      </c>
      <c r="B202" s="309"/>
      <c r="C202" s="306"/>
      <c r="D202" s="307"/>
      <c r="E202" s="307"/>
      <c r="F202" s="307"/>
      <c r="G202" s="306"/>
    </row>
    <row r="203" spans="1:7" ht="28.5" customHeight="1" x14ac:dyDescent="0.25">
      <c r="A203" s="304">
        <v>195</v>
      </c>
      <c r="B203" s="309"/>
      <c r="C203" s="306"/>
      <c r="D203" s="307"/>
      <c r="E203" s="307"/>
      <c r="F203" s="307"/>
      <c r="G203" s="306"/>
    </row>
    <row r="204" spans="1:7" ht="28.5" customHeight="1" x14ac:dyDescent="0.25">
      <c r="A204" s="304">
        <v>196</v>
      </c>
      <c r="B204" s="309"/>
      <c r="C204" s="306"/>
      <c r="D204" s="307"/>
      <c r="E204" s="307"/>
      <c r="F204" s="307"/>
      <c r="G204" s="306"/>
    </row>
    <row r="205" spans="1:7" ht="28.5" customHeight="1" x14ac:dyDescent="0.25">
      <c r="A205" s="304">
        <v>197</v>
      </c>
      <c r="B205" s="309"/>
      <c r="C205" s="306"/>
      <c r="D205" s="307"/>
      <c r="E205" s="307"/>
      <c r="F205" s="307"/>
      <c r="G205" s="306"/>
    </row>
    <row r="206" spans="1:7" ht="28.5" customHeight="1" x14ac:dyDescent="0.25">
      <c r="A206" s="304">
        <v>198</v>
      </c>
      <c r="B206" s="309"/>
      <c r="C206" s="306"/>
      <c r="D206" s="307"/>
      <c r="E206" s="307"/>
      <c r="F206" s="307"/>
      <c r="G206" s="306"/>
    </row>
    <row r="207" spans="1:7" ht="28.5" customHeight="1" x14ac:dyDescent="0.25">
      <c r="A207" s="304">
        <v>199</v>
      </c>
      <c r="B207" s="309"/>
      <c r="C207" s="306"/>
      <c r="D207" s="307"/>
      <c r="E207" s="307"/>
      <c r="F207" s="307"/>
      <c r="G207" s="306"/>
    </row>
    <row r="208" spans="1:7" ht="28.5" customHeight="1" x14ac:dyDescent="0.25">
      <c r="A208" s="304">
        <v>200</v>
      </c>
      <c r="B208" s="309"/>
      <c r="C208" s="306"/>
      <c r="D208" s="307"/>
      <c r="E208" s="307"/>
      <c r="F208" s="307"/>
      <c r="G208" s="306"/>
    </row>
    <row r="209" spans="1:7" ht="28.5" customHeight="1" x14ac:dyDescent="0.25">
      <c r="A209" s="304">
        <v>201</v>
      </c>
      <c r="B209" s="309"/>
      <c r="C209" s="306"/>
      <c r="D209" s="307"/>
      <c r="E209" s="307"/>
      <c r="F209" s="307"/>
      <c r="G209" s="306"/>
    </row>
    <row r="210" spans="1:7" ht="28.5" customHeight="1" x14ac:dyDescent="0.25">
      <c r="A210" s="304">
        <v>202</v>
      </c>
      <c r="B210" s="309"/>
      <c r="C210" s="306"/>
      <c r="D210" s="307"/>
      <c r="E210" s="307"/>
      <c r="F210" s="307"/>
      <c r="G210" s="306"/>
    </row>
    <row r="211" spans="1:7" ht="28.5" customHeight="1" x14ac:dyDescent="0.25">
      <c r="A211" s="304">
        <v>203</v>
      </c>
      <c r="B211" s="309"/>
      <c r="C211" s="306"/>
      <c r="D211" s="307"/>
      <c r="E211" s="307"/>
      <c r="F211" s="307"/>
      <c r="G211" s="306"/>
    </row>
    <row r="212" spans="1:7" ht="28.5" customHeight="1" x14ac:dyDescent="0.25">
      <c r="A212" s="304">
        <v>204</v>
      </c>
      <c r="B212" s="309"/>
      <c r="C212" s="306"/>
      <c r="D212" s="307"/>
      <c r="E212" s="307"/>
      <c r="F212" s="307"/>
      <c r="G212" s="306"/>
    </row>
    <row r="213" spans="1:7" ht="28.5" customHeight="1" x14ac:dyDescent="0.25">
      <c r="A213" s="304">
        <v>205</v>
      </c>
      <c r="B213" s="309"/>
      <c r="C213" s="306"/>
      <c r="D213" s="307"/>
      <c r="E213" s="307"/>
      <c r="F213" s="307"/>
      <c r="G213" s="306"/>
    </row>
    <row r="214" spans="1:7" ht="28.5" customHeight="1" x14ac:dyDescent="0.25">
      <c r="A214" s="304">
        <v>206</v>
      </c>
      <c r="B214" s="309"/>
      <c r="C214" s="306"/>
      <c r="D214" s="307"/>
      <c r="E214" s="307"/>
      <c r="F214" s="307"/>
      <c r="G214" s="306"/>
    </row>
    <row r="215" spans="1:7" ht="28.5" customHeight="1" x14ac:dyDescent="0.25">
      <c r="A215" s="304">
        <v>207</v>
      </c>
      <c r="B215" s="309"/>
      <c r="C215" s="306"/>
      <c r="D215" s="307"/>
      <c r="E215" s="307"/>
      <c r="F215" s="307"/>
      <c r="G215" s="306"/>
    </row>
    <row r="216" spans="1:7" ht="28.5" customHeight="1" x14ac:dyDescent="0.25">
      <c r="A216" s="304">
        <v>208</v>
      </c>
      <c r="B216" s="306"/>
      <c r="C216" s="306"/>
      <c r="D216" s="307"/>
      <c r="E216" s="307"/>
      <c r="F216" s="307"/>
      <c r="G216" s="306"/>
    </row>
    <row r="217" spans="1:7" ht="28.5" customHeight="1" x14ac:dyDescent="0.25">
      <c r="A217" s="304">
        <v>209</v>
      </c>
      <c r="B217" s="306"/>
      <c r="C217" s="306"/>
      <c r="D217" s="307"/>
      <c r="E217" s="307"/>
      <c r="F217" s="307"/>
      <c r="G217" s="306"/>
    </row>
    <row r="218" spans="1:7" ht="28.5" customHeight="1" x14ac:dyDescent="0.25">
      <c r="A218" s="304">
        <v>210</v>
      </c>
      <c r="B218" s="306"/>
      <c r="C218" s="306"/>
      <c r="D218" s="307"/>
      <c r="E218" s="307"/>
      <c r="F218" s="307"/>
      <c r="G218" s="306"/>
    </row>
    <row r="219" spans="1:7" ht="28.5" customHeight="1" x14ac:dyDescent="0.25">
      <c r="A219" s="304">
        <v>211</v>
      </c>
      <c r="B219" s="306"/>
      <c r="C219" s="306"/>
      <c r="D219" s="307"/>
      <c r="E219" s="307"/>
      <c r="F219" s="307"/>
      <c r="G219" s="306"/>
    </row>
    <row r="220" spans="1:7" ht="28.5" customHeight="1" x14ac:dyDescent="0.25">
      <c r="A220" s="304">
        <v>212</v>
      </c>
      <c r="B220" s="306"/>
      <c r="C220" s="306"/>
      <c r="D220" s="307"/>
      <c r="E220" s="307"/>
      <c r="F220" s="307"/>
      <c r="G220" s="306"/>
    </row>
    <row r="221" spans="1:7" ht="28.5" customHeight="1" x14ac:dyDescent="0.25">
      <c r="A221" s="304">
        <v>213</v>
      </c>
      <c r="B221" s="306"/>
      <c r="C221" s="306"/>
      <c r="D221" s="307"/>
      <c r="E221" s="307"/>
      <c r="F221" s="307"/>
      <c r="G221" s="306"/>
    </row>
    <row r="222" spans="1:7" ht="28.5" customHeight="1" x14ac:dyDescent="0.25">
      <c r="A222" s="304">
        <v>214</v>
      </c>
      <c r="B222" s="306"/>
      <c r="C222" s="306"/>
      <c r="D222" s="307"/>
      <c r="E222" s="307"/>
      <c r="F222" s="307"/>
      <c r="G222" s="306"/>
    </row>
    <row r="223" spans="1:7" ht="28.5" customHeight="1" x14ac:dyDescent="0.25">
      <c r="A223" s="304">
        <v>215</v>
      </c>
      <c r="B223" s="306"/>
      <c r="C223" s="306"/>
      <c r="D223" s="307"/>
      <c r="E223" s="307"/>
      <c r="F223" s="307"/>
      <c r="G223" s="306"/>
    </row>
    <row r="224" spans="1:7" ht="28.5" customHeight="1" x14ac:dyDescent="0.25">
      <c r="A224" s="304">
        <v>216</v>
      </c>
      <c r="B224" s="306"/>
      <c r="C224" s="306"/>
      <c r="D224" s="307"/>
      <c r="E224" s="307"/>
      <c r="F224" s="307"/>
      <c r="G224" s="306"/>
    </row>
    <row r="225" spans="1:7" ht="28.5" customHeight="1" x14ac:dyDescent="0.25">
      <c r="A225" s="304">
        <v>217</v>
      </c>
      <c r="B225" s="306"/>
      <c r="C225" s="306"/>
      <c r="D225" s="307"/>
      <c r="E225" s="307"/>
      <c r="F225" s="307"/>
      <c r="G225" s="306"/>
    </row>
    <row r="226" spans="1:7" ht="28.5" customHeight="1" x14ac:dyDescent="0.25">
      <c r="A226" s="304">
        <v>218</v>
      </c>
      <c r="B226" s="306"/>
      <c r="C226" s="306"/>
      <c r="D226" s="307"/>
      <c r="E226" s="307"/>
      <c r="F226" s="307"/>
      <c r="G226" s="306"/>
    </row>
    <row r="227" spans="1:7" ht="28.5" customHeight="1" x14ac:dyDescent="0.25">
      <c r="A227" s="304">
        <v>219</v>
      </c>
      <c r="B227" s="306"/>
      <c r="C227" s="306"/>
      <c r="D227" s="307"/>
      <c r="E227" s="307"/>
      <c r="F227" s="307"/>
      <c r="G227" s="306"/>
    </row>
    <row r="228" spans="1:7" ht="28.5" customHeight="1" x14ac:dyDescent="0.25">
      <c r="A228" s="304">
        <v>220</v>
      </c>
      <c r="B228" s="306"/>
      <c r="C228" s="306"/>
      <c r="D228" s="307"/>
      <c r="E228" s="307"/>
      <c r="F228" s="307"/>
      <c r="G228" s="306"/>
    </row>
    <row r="229" spans="1:7" ht="28.5" customHeight="1" x14ac:dyDescent="0.25">
      <c r="A229" s="304">
        <v>221</v>
      </c>
      <c r="B229" s="306"/>
      <c r="C229" s="306"/>
      <c r="D229" s="307"/>
      <c r="E229" s="307"/>
      <c r="F229" s="307"/>
      <c r="G229" s="306"/>
    </row>
    <row r="230" spans="1:7" ht="28.5" customHeight="1" x14ac:dyDescent="0.25">
      <c r="A230" s="304">
        <v>222</v>
      </c>
      <c r="B230" s="306"/>
      <c r="C230" s="306"/>
      <c r="D230" s="307"/>
      <c r="E230" s="307"/>
      <c r="F230" s="307"/>
      <c r="G230" s="306"/>
    </row>
    <row r="231" spans="1:7" ht="28.5" customHeight="1" x14ac:dyDescent="0.25">
      <c r="A231" s="304">
        <v>223</v>
      </c>
      <c r="B231" s="306"/>
      <c r="C231" s="306"/>
      <c r="D231" s="307"/>
      <c r="E231" s="307"/>
      <c r="F231" s="307"/>
      <c r="G231" s="306"/>
    </row>
    <row r="232" spans="1:7" ht="28.5" customHeight="1" x14ac:dyDescent="0.25">
      <c r="A232" s="304">
        <v>224</v>
      </c>
      <c r="B232" s="306"/>
      <c r="C232" s="306"/>
      <c r="D232" s="307"/>
      <c r="E232" s="307"/>
      <c r="F232" s="307"/>
      <c r="G232" s="306"/>
    </row>
    <row r="233" spans="1:7" ht="28.5" customHeight="1" x14ac:dyDescent="0.25">
      <c r="A233" s="304">
        <v>225</v>
      </c>
      <c r="B233" s="306"/>
      <c r="C233" s="306"/>
      <c r="D233" s="307"/>
      <c r="E233" s="307"/>
      <c r="F233" s="307"/>
      <c r="G233" s="306"/>
    </row>
    <row r="234" spans="1:7" ht="28.5" customHeight="1" x14ac:dyDescent="0.25">
      <c r="A234" s="304">
        <v>226</v>
      </c>
      <c r="B234" s="306"/>
      <c r="C234" s="306"/>
      <c r="D234" s="307"/>
      <c r="E234" s="307"/>
      <c r="F234" s="307"/>
      <c r="G234" s="306"/>
    </row>
    <row r="235" spans="1:7" ht="28.5" customHeight="1" x14ac:dyDescent="0.25">
      <c r="A235" s="304">
        <v>227</v>
      </c>
      <c r="B235" s="306"/>
      <c r="C235" s="306"/>
      <c r="D235" s="307"/>
      <c r="E235" s="307"/>
      <c r="F235" s="307"/>
      <c r="G235" s="306"/>
    </row>
    <row r="236" spans="1:7" ht="28.5" customHeight="1" x14ac:dyDescent="0.25">
      <c r="A236" s="304">
        <v>228</v>
      </c>
      <c r="B236" s="306"/>
      <c r="C236" s="306"/>
      <c r="D236" s="307"/>
      <c r="E236" s="307"/>
      <c r="F236" s="307"/>
      <c r="G236" s="306"/>
    </row>
    <row r="237" spans="1:7" ht="28.5" customHeight="1" x14ac:dyDescent="0.25">
      <c r="A237" s="304">
        <v>229</v>
      </c>
      <c r="B237" s="306"/>
      <c r="C237" s="306"/>
      <c r="D237" s="307"/>
      <c r="E237" s="307"/>
      <c r="F237" s="307"/>
      <c r="G237" s="306"/>
    </row>
    <row r="238" spans="1:7" ht="28.5" customHeight="1" x14ac:dyDescent="0.25">
      <c r="A238" s="304">
        <v>230</v>
      </c>
      <c r="B238" s="306"/>
      <c r="C238" s="306"/>
      <c r="D238" s="307"/>
      <c r="E238" s="307"/>
      <c r="F238" s="307"/>
      <c r="G238" s="306"/>
    </row>
    <row r="239" spans="1:7" ht="28.5" customHeight="1" x14ac:dyDescent="0.25">
      <c r="A239" s="304">
        <v>231</v>
      </c>
      <c r="B239" s="306"/>
      <c r="C239" s="306"/>
      <c r="D239" s="307"/>
      <c r="E239" s="307"/>
      <c r="F239" s="307"/>
      <c r="G239" s="306"/>
    </row>
    <row r="240" spans="1:7" ht="28.5" customHeight="1" x14ac:dyDescent="0.25">
      <c r="A240" s="304">
        <v>232</v>
      </c>
      <c r="B240" s="306"/>
      <c r="C240" s="306"/>
      <c r="D240" s="307"/>
      <c r="E240" s="307"/>
      <c r="F240" s="307"/>
      <c r="G240" s="306"/>
    </row>
    <row r="241" spans="1:7" ht="28.5" customHeight="1" x14ac:dyDescent="0.25">
      <c r="A241" s="304">
        <v>233</v>
      </c>
      <c r="B241" s="306"/>
      <c r="C241" s="306"/>
      <c r="D241" s="307"/>
      <c r="E241" s="307"/>
      <c r="F241" s="307"/>
      <c r="G241" s="306"/>
    </row>
    <row r="242" spans="1:7" ht="28.5" customHeight="1" x14ac:dyDescent="0.25">
      <c r="A242" s="304">
        <v>234</v>
      </c>
      <c r="B242" s="306"/>
      <c r="C242" s="306"/>
      <c r="D242" s="307"/>
      <c r="E242" s="307"/>
      <c r="F242" s="307"/>
      <c r="G242" s="306"/>
    </row>
    <row r="243" spans="1:7" ht="28.5" customHeight="1" x14ac:dyDescent="0.25">
      <c r="A243" s="304">
        <v>235</v>
      </c>
      <c r="B243" s="306"/>
      <c r="C243" s="306"/>
      <c r="D243" s="307"/>
      <c r="E243" s="307"/>
      <c r="F243" s="307"/>
      <c r="G243" s="306"/>
    </row>
    <row r="244" spans="1:7" ht="28.5" customHeight="1" x14ac:dyDescent="0.25">
      <c r="A244" s="304">
        <v>236</v>
      </c>
      <c r="B244" s="306"/>
      <c r="C244" s="306"/>
      <c r="D244" s="307"/>
      <c r="E244" s="307"/>
      <c r="F244" s="307"/>
      <c r="G244" s="306"/>
    </row>
    <row r="245" spans="1:7" ht="28.5" customHeight="1" x14ac:dyDescent="0.25">
      <c r="A245" s="304">
        <v>237</v>
      </c>
      <c r="B245" s="306"/>
      <c r="C245" s="306"/>
      <c r="D245" s="307"/>
      <c r="E245" s="307"/>
      <c r="F245" s="307"/>
      <c r="G245" s="306"/>
    </row>
    <row r="246" spans="1:7" ht="28.5" customHeight="1" x14ac:dyDescent="0.25">
      <c r="A246" s="304">
        <v>238</v>
      </c>
      <c r="B246" s="306"/>
      <c r="C246" s="306"/>
      <c r="D246" s="307"/>
      <c r="E246" s="307"/>
      <c r="F246" s="307"/>
      <c r="G246" s="306"/>
    </row>
    <row r="247" spans="1:7" ht="28.5" customHeight="1" x14ac:dyDescent="0.25">
      <c r="A247" s="304">
        <v>239</v>
      </c>
      <c r="B247" s="306"/>
      <c r="C247" s="306"/>
      <c r="D247" s="307"/>
      <c r="E247" s="307"/>
      <c r="F247" s="307"/>
      <c r="G247" s="306"/>
    </row>
    <row r="248" spans="1:7" ht="28.5" customHeight="1" x14ac:dyDescent="0.25">
      <c r="A248" s="304">
        <v>240</v>
      </c>
      <c r="B248" s="306"/>
      <c r="C248" s="306"/>
      <c r="D248" s="307"/>
      <c r="E248" s="307"/>
      <c r="F248" s="307"/>
      <c r="G248" s="306"/>
    </row>
    <row r="249" spans="1:7" ht="28.5" customHeight="1" x14ac:dyDescent="0.25">
      <c r="A249" s="304">
        <v>241</v>
      </c>
      <c r="B249" s="306"/>
      <c r="C249" s="306"/>
      <c r="D249" s="307"/>
      <c r="E249" s="307"/>
      <c r="F249" s="307"/>
      <c r="G249" s="306"/>
    </row>
    <row r="250" spans="1:7" ht="28.5" customHeight="1" x14ac:dyDescent="0.25">
      <c r="A250" s="304">
        <v>242</v>
      </c>
      <c r="B250" s="306"/>
      <c r="C250" s="306"/>
      <c r="D250" s="307"/>
      <c r="E250" s="307"/>
      <c r="F250" s="307"/>
      <c r="G250" s="306"/>
    </row>
    <row r="251" spans="1:7" ht="28.5" customHeight="1" x14ac:dyDescent="0.25">
      <c r="A251" s="304">
        <v>243</v>
      </c>
      <c r="B251" s="306"/>
      <c r="C251" s="306"/>
      <c r="D251" s="307"/>
      <c r="E251" s="307"/>
      <c r="F251" s="307"/>
      <c r="G251" s="306"/>
    </row>
    <row r="252" spans="1:7" ht="28.5" customHeight="1" x14ac:dyDescent="0.25">
      <c r="A252" s="304">
        <v>244</v>
      </c>
      <c r="B252" s="306"/>
      <c r="C252" s="306"/>
      <c r="D252" s="307"/>
      <c r="E252" s="307"/>
      <c r="F252" s="307"/>
      <c r="G252" s="306"/>
    </row>
    <row r="253" spans="1:7" ht="28.5" customHeight="1" x14ac:dyDescent="0.25">
      <c r="A253" s="304">
        <v>245</v>
      </c>
      <c r="B253" s="306"/>
      <c r="C253" s="306"/>
      <c r="D253" s="307"/>
      <c r="E253" s="307"/>
      <c r="F253" s="307"/>
      <c r="G253" s="306"/>
    </row>
    <row r="254" spans="1:7" ht="28.5" customHeight="1" x14ac:dyDescent="0.25">
      <c r="A254" s="304">
        <v>246</v>
      </c>
      <c r="B254" s="306"/>
      <c r="C254" s="306"/>
      <c r="D254" s="307"/>
      <c r="E254" s="307"/>
      <c r="F254" s="307"/>
      <c r="G254" s="306"/>
    </row>
    <row r="255" spans="1:7" ht="28.5" customHeight="1" x14ac:dyDescent="0.25">
      <c r="A255" s="304">
        <v>247</v>
      </c>
      <c r="B255" s="306"/>
      <c r="C255" s="306"/>
      <c r="D255" s="307"/>
      <c r="E255" s="307"/>
      <c r="F255" s="307"/>
      <c r="G255" s="306"/>
    </row>
    <row r="256" spans="1:7" ht="28.5" customHeight="1" x14ac:dyDescent="0.25">
      <c r="A256" s="304">
        <v>248</v>
      </c>
      <c r="B256" s="306"/>
      <c r="C256" s="306"/>
      <c r="D256" s="307"/>
      <c r="E256" s="307"/>
      <c r="F256" s="307"/>
      <c r="G256" s="306"/>
    </row>
    <row r="257" spans="1:7" ht="28.5" customHeight="1" x14ac:dyDescent="0.25">
      <c r="A257" s="304">
        <v>249</v>
      </c>
      <c r="B257" s="306"/>
      <c r="C257" s="306"/>
      <c r="D257" s="307"/>
      <c r="E257" s="307"/>
      <c r="F257" s="307"/>
      <c r="G257" s="306"/>
    </row>
    <row r="258" spans="1:7" ht="28.5" customHeight="1" x14ac:dyDescent="0.25">
      <c r="A258" s="304">
        <v>250</v>
      </c>
      <c r="B258" s="306"/>
      <c r="C258" s="306"/>
      <c r="D258" s="307"/>
      <c r="E258" s="307"/>
      <c r="F258" s="307"/>
      <c r="G258" s="306"/>
    </row>
    <row r="259" spans="1:7" ht="28.5" customHeight="1" x14ac:dyDescent="0.25">
      <c r="A259" s="304">
        <v>251</v>
      </c>
      <c r="B259" s="306"/>
      <c r="C259" s="306"/>
      <c r="D259" s="307"/>
      <c r="E259" s="307"/>
      <c r="F259" s="307"/>
      <c r="G259" s="306"/>
    </row>
    <row r="260" spans="1:7" ht="28.5" customHeight="1" x14ac:dyDescent="0.25">
      <c r="A260" s="304">
        <v>252</v>
      </c>
      <c r="B260" s="306"/>
      <c r="C260" s="306"/>
      <c r="D260" s="307"/>
      <c r="E260" s="307"/>
      <c r="F260" s="307"/>
      <c r="G260" s="306"/>
    </row>
    <row r="261" spans="1:7" ht="28.5" customHeight="1" x14ac:dyDescent="0.25">
      <c r="A261" s="304">
        <v>253</v>
      </c>
      <c r="B261" s="306"/>
      <c r="C261" s="306"/>
      <c r="D261" s="307"/>
      <c r="E261" s="307"/>
      <c r="F261" s="307"/>
      <c r="G261" s="306"/>
    </row>
    <row r="262" spans="1:7" ht="28.5" customHeight="1" x14ac:dyDescent="0.25">
      <c r="A262" s="304">
        <v>254</v>
      </c>
      <c r="B262" s="306"/>
      <c r="C262" s="306"/>
      <c r="D262" s="307"/>
      <c r="E262" s="307"/>
      <c r="F262" s="307"/>
      <c r="G262" s="306"/>
    </row>
    <row r="263" spans="1:7" ht="28.5" customHeight="1" x14ac:dyDescent="0.25">
      <c r="A263" s="304">
        <v>255</v>
      </c>
      <c r="B263" s="306"/>
      <c r="C263" s="306"/>
      <c r="D263" s="307"/>
      <c r="E263" s="307"/>
      <c r="F263" s="307"/>
      <c r="G263" s="306"/>
    </row>
    <row r="264" spans="1:7" ht="28.5" customHeight="1" x14ac:dyDescent="0.25">
      <c r="A264" s="304">
        <v>256</v>
      </c>
      <c r="B264" s="306"/>
      <c r="C264" s="306"/>
      <c r="D264" s="307"/>
      <c r="E264" s="307"/>
      <c r="F264" s="307"/>
      <c r="G264" s="306"/>
    </row>
    <row r="265" spans="1:7" ht="28.5" customHeight="1" x14ac:dyDescent="0.25">
      <c r="A265" s="304">
        <v>257</v>
      </c>
      <c r="B265" s="306"/>
      <c r="C265" s="306"/>
      <c r="D265" s="307"/>
      <c r="E265" s="307"/>
      <c r="F265" s="307"/>
      <c r="G265" s="306"/>
    </row>
    <row r="266" spans="1:7" ht="28.5" customHeight="1" x14ac:dyDescent="0.25">
      <c r="A266" s="304">
        <v>258</v>
      </c>
      <c r="B266" s="306"/>
      <c r="C266" s="306"/>
      <c r="D266" s="307"/>
      <c r="E266" s="307"/>
      <c r="F266" s="307"/>
      <c r="G266" s="306"/>
    </row>
    <row r="267" spans="1:7" ht="28.5" customHeight="1" x14ac:dyDescent="0.25">
      <c r="A267" s="304">
        <v>259</v>
      </c>
      <c r="B267" s="306"/>
      <c r="C267" s="306"/>
      <c r="D267" s="307"/>
      <c r="E267" s="307"/>
      <c r="F267" s="307"/>
      <c r="G267" s="306"/>
    </row>
    <row r="268" spans="1:7" ht="28.5" customHeight="1" x14ac:dyDescent="0.25">
      <c r="A268" s="304">
        <v>260</v>
      </c>
      <c r="B268" s="306"/>
      <c r="C268" s="306"/>
      <c r="D268" s="307"/>
      <c r="E268" s="307"/>
      <c r="F268" s="307"/>
      <c r="G268" s="306"/>
    </row>
    <row r="269" spans="1:7" ht="28.5" customHeight="1" x14ac:dyDescent="0.25">
      <c r="A269" s="304">
        <v>261</v>
      </c>
      <c r="B269" s="306"/>
      <c r="C269" s="306"/>
      <c r="D269" s="307"/>
      <c r="E269" s="307"/>
      <c r="F269" s="307"/>
      <c r="G269" s="306"/>
    </row>
    <row r="270" spans="1:7" ht="28.5" customHeight="1" x14ac:dyDescent="0.25">
      <c r="A270" s="304">
        <v>262</v>
      </c>
      <c r="B270" s="306"/>
      <c r="C270" s="306"/>
      <c r="D270" s="307"/>
      <c r="E270" s="307"/>
      <c r="F270" s="307"/>
      <c r="G270" s="306"/>
    </row>
    <row r="271" spans="1:7" ht="28.5" customHeight="1" x14ac:dyDescent="0.25">
      <c r="A271" s="304">
        <v>263</v>
      </c>
      <c r="B271" s="306"/>
      <c r="C271" s="306"/>
      <c r="D271" s="307"/>
      <c r="E271" s="307"/>
      <c r="F271" s="307"/>
      <c r="G271" s="306"/>
    </row>
    <row r="272" spans="1:7" ht="28.5" customHeight="1" x14ac:dyDescent="0.25">
      <c r="A272" s="306"/>
      <c r="B272" s="306"/>
      <c r="C272" s="306"/>
      <c r="D272" s="307"/>
      <c r="E272" s="307"/>
      <c r="F272" s="307"/>
      <c r="G272" s="306"/>
    </row>
    <row r="273" ht="28.5" customHeight="1" x14ac:dyDescent="0.25"/>
  </sheetData>
  <mergeCells count="7">
    <mergeCell ref="G8:G9"/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1200-000000000000}"/>
  </hyperlinks>
  <pageMargins left="0.7" right="0.7" top="0.75" bottom="0.75" header="0.3" footer="0.3"/>
  <pageSetup paperSize="9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" t="s">
        <v>156</v>
      </c>
    </row>
    <row r="4" spans="1:7" x14ac:dyDescent="0.25">
      <c r="E4" s="2" t="s">
        <v>9</v>
      </c>
      <c r="F4" s="2">
        <v>60600000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SUM(D10:D298)</f>
        <v>1007920400</v>
      </c>
    </row>
    <row r="6" spans="1:7" x14ac:dyDescent="0.25">
      <c r="E6" s="2" t="s">
        <v>11</v>
      </c>
      <c r="F6" s="2">
        <f>SUM(E10:E298)</f>
        <v>1075216400</v>
      </c>
    </row>
    <row r="7" spans="1:7" x14ac:dyDescent="0.25">
      <c r="E7" s="2" t="s">
        <v>12</v>
      </c>
      <c r="F7" s="2">
        <f>+F4+F5-F6</f>
        <v>-6696000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555</v>
      </c>
      <c r="G8" s="412" t="s">
        <v>554</v>
      </c>
    </row>
    <row r="9" spans="1:7" x14ac:dyDescent="0.25">
      <c r="A9" s="412"/>
      <c r="B9" s="412"/>
      <c r="C9" s="412"/>
      <c r="D9" s="263" t="s">
        <v>6</v>
      </c>
      <c r="E9" s="263" t="s">
        <v>7</v>
      </c>
      <c r="F9" s="415"/>
      <c r="G9" s="412"/>
    </row>
    <row r="10" spans="1:7" ht="20.25" customHeight="1" x14ac:dyDescent="0.25">
      <c r="A10" s="15">
        <v>1</v>
      </c>
      <c r="B10" s="261">
        <v>43645</v>
      </c>
      <c r="C10" s="260" t="s">
        <v>175</v>
      </c>
      <c r="D10" s="259">
        <v>12100000</v>
      </c>
      <c r="E10" s="259"/>
      <c r="F10" s="259">
        <f>F4+D10-E10</f>
        <v>72700000</v>
      </c>
      <c r="G10" s="260"/>
    </row>
    <row r="11" spans="1:7" ht="20.25" customHeight="1" x14ac:dyDescent="0.25">
      <c r="A11" s="15">
        <v>2</v>
      </c>
      <c r="B11" s="261">
        <v>43677</v>
      </c>
      <c r="C11" s="260" t="s">
        <v>214</v>
      </c>
      <c r="D11" s="259">
        <v>15500000</v>
      </c>
      <c r="E11" s="259"/>
      <c r="F11" s="259">
        <f>F10+D11-E11</f>
        <v>88200000</v>
      </c>
      <c r="G11" s="260"/>
    </row>
    <row r="12" spans="1:7" ht="20.25" customHeight="1" x14ac:dyDescent="0.25">
      <c r="A12" s="15">
        <v>3</v>
      </c>
      <c r="B12" s="261">
        <v>43694</v>
      </c>
      <c r="C12" s="260" t="s">
        <v>233</v>
      </c>
      <c r="D12" s="259"/>
      <c r="E12" s="259">
        <v>30600000</v>
      </c>
      <c r="F12" s="259">
        <f t="shared" ref="F12:F24" si="0">F11+D12-E12</f>
        <v>57600000</v>
      </c>
      <c r="G12" s="260"/>
    </row>
    <row r="13" spans="1:7" ht="20.25" customHeight="1" x14ac:dyDescent="0.25">
      <c r="A13" s="15">
        <v>4</v>
      </c>
      <c r="B13" s="262" t="s">
        <v>249</v>
      </c>
      <c r="C13" s="260" t="s">
        <v>233</v>
      </c>
      <c r="D13" s="259"/>
      <c r="E13" s="259">
        <v>15000000</v>
      </c>
      <c r="F13" s="259">
        <f t="shared" si="0"/>
        <v>42600000</v>
      </c>
      <c r="G13" s="260"/>
    </row>
    <row r="14" spans="1:7" ht="20.25" customHeight="1" x14ac:dyDescent="0.25">
      <c r="A14" s="15">
        <v>5</v>
      </c>
      <c r="B14" s="262" t="s">
        <v>238</v>
      </c>
      <c r="C14" s="260" t="s">
        <v>258</v>
      </c>
      <c r="D14" s="259">
        <v>11600000</v>
      </c>
      <c r="E14" s="259"/>
      <c r="F14" s="259">
        <f t="shared" si="0"/>
        <v>54200000</v>
      </c>
      <c r="G14" s="260"/>
    </row>
    <row r="15" spans="1:7" ht="20.25" customHeight="1" x14ac:dyDescent="0.25">
      <c r="A15" s="15">
        <v>6</v>
      </c>
      <c r="B15" s="261">
        <v>43594</v>
      </c>
      <c r="C15" s="260" t="s">
        <v>250</v>
      </c>
      <c r="D15" s="259"/>
      <c r="E15" s="259">
        <v>15000000</v>
      </c>
      <c r="F15" s="259">
        <f t="shared" si="0"/>
        <v>39200000</v>
      </c>
      <c r="G15" s="260"/>
    </row>
    <row r="16" spans="1:7" ht="20.25" customHeight="1" x14ac:dyDescent="0.25">
      <c r="A16" s="15">
        <v>7</v>
      </c>
      <c r="B16" s="261">
        <v>43565</v>
      </c>
      <c r="C16" s="260" t="s">
        <v>285</v>
      </c>
      <c r="D16" s="259"/>
      <c r="E16" s="259">
        <v>12100000</v>
      </c>
      <c r="F16" s="259">
        <f t="shared" si="0"/>
        <v>27100000</v>
      </c>
      <c r="G16" s="260"/>
    </row>
    <row r="17" spans="1:7" ht="20.25" customHeight="1" x14ac:dyDescent="0.25">
      <c r="A17" s="15">
        <v>8</v>
      </c>
      <c r="B17" s="262" t="s">
        <v>342</v>
      </c>
      <c r="C17" s="260" t="s">
        <v>349</v>
      </c>
      <c r="D17" s="259">
        <v>15200000</v>
      </c>
      <c r="E17" s="259"/>
      <c r="F17" s="259">
        <f t="shared" si="0"/>
        <v>42300000</v>
      </c>
      <c r="G17" s="260"/>
    </row>
    <row r="18" spans="1:7" ht="20.25" customHeight="1" x14ac:dyDescent="0.25">
      <c r="A18" s="15">
        <v>9</v>
      </c>
      <c r="B18" s="261">
        <v>43750</v>
      </c>
      <c r="C18" s="260" t="s">
        <v>356</v>
      </c>
      <c r="D18" s="259"/>
      <c r="E18" s="259">
        <v>27100000</v>
      </c>
      <c r="F18" s="259">
        <f t="shared" si="0"/>
        <v>15200000</v>
      </c>
      <c r="G18" s="260"/>
    </row>
    <row r="19" spans="1:7" ht="20.25" customHeight="1" x14ac:dyDescent="0.25">
      <c r="A19" s="15">
        <v>10</v>
      </c>
      <c r="B19" s="262" t="s">
        <v>400</v>
      </c>
      <c r="C19" s="260" t="s">
        <v>406</v>
      </c>
      <c r="D19" s="259">
        <v>3900000</v>
      </c>
      <c r="E19" s="259"/>
      <c r="F19" s="259">
        <f t="shared" si="0"/>
        <v>19100000</v>
      </c>
      <c r="G19" s="260"/>
    </row>
    <row r="20" spans="1:7" ht="20.25" customHeight="1" x14ac:dyDescent="0.25">
      <c r="A20" s="15">
        <v>11</v>
      </c>
      <c r="B20" s="262" t="s">
        <v>448</v>
      </c>
      <c r="C20" s="260" t="s">
        <v>446</v>
      </c>
      <c r="D20" s="259"/>
      <c r="E20" s="259">
        <v>4000000</v>
      </c>
      <c r="F20" s="259">
        <f t="shared" si="0"/>
        <v>15100000</v>
      </c>
      <c r="G20" s="260"/>
    </row>
    <row r="21" spans="1:7" ht="20.25" customHeight="1" x14ac:dyDescent="0.25">
      <c r="A21" s="15">
        <v>12</v>
      </c>
      <c r="B21" s="262" t="s">
        <v>448</v>
      </c>
      <c r="C21" s="260" t="s">
        <v>447</v>
      </c>
      <c r="D21" s="259"/>
      <c r="E21" s="259">
        <v>11200000</v>
      </c>
      <c r="F21" s="259">
        <f t="shared" si="0"/>
        <v>3900000</v>
      </c>
      <c r="G21" s="260"/>
    </row>
    <row r="22" spans="1:7" ht="20.25" customHeight="1" x14ac:dyDescent="0.25">
      <c r="A22" s="15">
        <v>13</v>
      </c>
      <c r="B22" s="261" t="s">
        <v>449</v>
      </c>
      <c r="C22" s="260" t="s">
        <v>489</v>
      </c>
      <c r="D22" s="259">
        <v>14600000</v>
      </c>
      <c r="E22" s="259"/>
      <c r="F22" s="259">
        <f t="shared" si="0"/>
        <v>18500000</v>
      </c>
      <c r="G22" s="260"/>
    </row>
    <row r="23" spans="1:7" ht="20.25" customHeight="1" x14ac:dyDescent="0.25">
      <c r="A23" s="15">
        <v>14</v>
      </c>
      <c r="B23" s="262" t="s">
        <v>490</v>
      </c>
      <c r="C23" s="260" t="s">
        <v>491</v>
      </c>
      <c r="D23" s="259"/>
      <c r="E23" s="259">
        <v>3900000</v>
      </c>
      <c r="F23" s="259">
        <f t="shared" si="0"/>
        <v>14600000</v>
      </c>
      <c r="G23" s="260"/>
    </row>
    <row r="24" spans="1:7" ht="20.25" customHeight="1" x14ac:dyDescent="0.25">
      <c r="A24" s="15">
        <v>15</v>
      </c>
      <c r="B24" s="262" t="s">
        <v>538</v>
      </c>
      <c r="C24" s="260" t="s">
        <v>539</v>
      </c>
      <c r="D24" s="279"/>
      <c r="E24" s="279">
        <v>14600000</v>
      </c>
      <c r="F24" s="279">
        <f t="shared" si="0"/>
        <v>0</v>
      </c>
      <c r="G24" s="260"/>
    </row>
    <row r="25" spans="1:7" ht="20.25" customHeight="1" x14ac:dyDescent="0.25">
      <c r="A25" s="15">
        <v>16</v>
      </c>
      <c r="B25" s="262" t="s">
        <v>542</v>
      </c>
      <c r="C25" s="260" t="s">
        <v>546</v>
      </c>
      <c r="D25" s="279">
        <v>1400000</v>
      </c>
      <c r="E25" s="279"/>
      <c r="F25" s="279">
        <f t="shared" ref="F25:F41" si="1">F24+D25-E25</f>
        <v>1400000</v>
      </c>
      <c r="G25" s="260"/>
    </row>
    <row r="26" spans="1:7" ht="21.75" customHeight="1" x14ac:dyDescent="0.25">
      <c r="A26" s="262">
        <v>17</v>
      </c>
      <c r="B26" s="261">
        <v>44074</v>
      </c>
      <c r="C26" s="260" t="s">
        <v>602</v>
      </c>
      <c r="D26" s="279">
        <v>2500000</v>
      </c>
      <c r="E26" s="279"/>
      <c r="F26" s="279">
        <f t="shared" si="1"/>
        <v>3900000</v>
      </c>
      <c r="G26" s="260"/>
    </row>
    <row r="27" spans="1:7" ht="21.75" customHeight="1" x14ac:dyDescent="0.25">
      <c r="A27" s="262">
        <v>18</v>
      </c>
      <c r="B27" s="261">
        <v>44084</v>
      </c>
      <c r="C27" s="260" t="s">
        <v>632</v>
      </c>
      <c r="D27" s="279"/>
      <c r="E27" s="279">
        <v>1400000</v>
      </c>
      <c r="F27" s="279">
        <f t="shared" si="1"/>
        <v>2500000</v>
      </c>
      <c r="G27" s="260"/>
    </row>
    <row r="28" spans="1:7" ht="21.75" customHeight="1" x14ac:dyDescent="0.25">
      <c r="A28" s="262">
        <v>19</v>
      </c>
      <c r="B28" s="261">
        <v>44104</v>
      </c>
      <c r="C28" s="260" t="s">
        <v>656</v>
      </c>
      <c r="D28" s="279">
        <v>19650000</v>
      </c>
      <c r="E28" s="279"/>
      <c r="F28" s="279">
        <f t="shared" si="1"/>
        <v>22150000</v>
      </c>
      <c r="G28" s="260"/>
    </row>
    <row r="29" spans="1:7" ht="21.75" customHeight="1" x14ac:dyDescent="0.25">
      <c r="A29" s="262">
        <v>20</v>
      </c>
      <c r="B29" s="261">
        <v>44165</v>
      </c>
      <c r="C29" s="260" t="s">
        <v>709</v>
      </c>
      <c r="D29" s="279">
        <v>581818</v>
      </c>
      <c r="E29" s="279"/>
      <c r="F29" s="279">
        <f t="shared" si="1"/>
        <v>22731818</v>
      </c>
      <c r="G29" s="260"/>
    </row>
    <row r="30" spans="1:7" ht="21.75" customHeight="1" x14ac:dyDescent="0.25">
      <c r="A30" s="262">
        <v>21</v>
      </c>
      <c r="B30" s="261">
        <v>44151</v>
      </c>
      <c r="C30" s="260" t="s">
        <v>708</v>
      </c>
      <c r="D30" s="259"/>
      <c r="E30" s="259">
        <v>2500000</v>
      </c>
      <c r="F30" s="259">
        <f t="shared" si="1"/>
        <v>20231818</v>
      </c>
      <c r="G30" s="260"/>
    </row>
    <row r="31" spans="1:7" ht="28.5" customHeight="1" x14ac:dyDescent="0.25">
      <c r="A31" s="262">
        <v>22</v>
      </c>
      <c r="B31" s="261">
        <v>44214</v>
      </c>
      <c r="C31" s="260" t="s">
        <v>720</v>
      </c>
      <c r="D31" s="279"/>
      <c r="E31" s="279">
        <v>10331818</v>
      </c>
      <c r="F31" s="259">
        <f t="shared" si="1"/>
        <v>9900000</v>
      </c>
      <c r="G31" s="260"/>
    </row>
    <row r="32" spans="1:7" ht="24" customHeight="1" x14ac:dyDescent="0.25">
      <c r="A32" s="262">
        <v>23</v>
      </c>
      <c r="B32" s="261">
        <v>44214</v>
      </c>
      <c r="C32" s="260" t="s">
        <v>721</v>
      </c>
      <c r="D32" s="279"/>
      <c r="E32" s="279">
        <v>9900000</v>
      </c>
      <c r="F32" s="259">
        <f t="shared" si="1"/>
        <v>0</v>
      </c>
      <c r="G32" s="260"/>
    </row>
    <row r="33" spans="1:7" ht="24" customHeight="1" x14ac:dyDescent="0.25">
      <c r="A33" s="262">
        <v>24</v>
      </c>
      <c r="B33" s="261">
        <v>44226</v>
      </c>
      <c r="C33" s="260" t="s">
        <v>1051</v>
      </c>
      <c r="D33" s="259"/>
      <c r="E33" s="259">
        <v>14000000</v>
      </c>
      <c r="F33" s="259">
        <f t="shared" si="1"/>
        <v>-14000000</v>
      </c>
      <c r="G33" s="260"/>
    </row>
    <row r="34" spans="1:7" ht="24" customHeight="1" x14ac:dyDescent="0.25">
      <c r="A34" s="262">
        <v>25</v>
      </c>
      <c r="B34" s="261">
        <v>44286</v>
      </c>
      <c r="C34" s="260" t="s">
        <v>1051</v>
      </c>
      <c r="D34" s="259"/>
      <c r="E34" s="259">
        <v>27500000</v>
      </c>
      <c r="F34" s="259">
        <f t="shared" si="1"/>
        <v>-41500000</v>
      </c>
      <c r="G34" s="260"/>
    </row>
    <row r="35" spans="1:7" ht="24" customHeight="1" x14ac:dyDescent="0.25">
      <c r="A35" s="262">
        <v>26</v>
      </c>
      <c r="B35" s="261">
        <v>44315</v>
      </c>
      <c r="C35" s="260" t="s">
        <v>1051</v>
      </c>
      <c r="D35" s="259"/>
      <c r="E35" s="259">
        <v>14300000</v>
      </c>
      <c r="F35" s="259">
        <f t="shared" si="1"/>
        <v>-55800000</v>
      </c>
      <c r="G35" s="260"/>
    </row>
    <row r="36" spans="1:7" ht="24" customHeight="1" x14ac:dyDescent="0.25">
      <c r="A36" s="262">
        <v>27</v>
      </c>
      <c r="B36" s="261">
        <v>44323</v>
      </c>
      <c r="C36" s="260" t="s">
        <v>1052</v>
      </c>
      <c r="D36" s="259">
        <v>14000000</v>
      </c>
      <c r="E36" s="259"/>
      <c r="F36" s="259">
        <f t="shared" si="1"/>
        <v>-41800000</v>
      </c>
      <c r="G36" s="260"/>
    </row>
    <row r="37" spans="1:7" ht="24" customHeight="1" x14ac:dyDescent="0.25">
      <c r="A37" s="262">
        <v>28</v>
      </c>
      <c r="B37" s="261">
        <v>44347</v>
      </c>
      <c r="C37" s="260" t="s">
        <v>1053</v>
      </c>
      <c r="D37" s="259">
        <v>200000</v>
      </c>
      <c r="E37" s="259"/>
      <c r="F37" s="259">
        <f t="shared" si="1"/>
        <v>-41600000</v>
      </c>
      <c r="G37" s="260"/>
    </row>
    <row r="38" spans="1:7" ht="24" customHeight="1" x14ac:dyDescent="0.25">
      <c r="A38" s="262">
        <v>29</v>
      </c>
      <c r="B38" s="261">
        <v>44377</v>
      </c>
      <c r="C38" s="260" t="s">
        <v>1051</v>
      </c>
      <c r="D38" s="259"/>
      <c r="E38" s="259">
        <v>11018182</v>
      </c>
      <c r="F38" s="259">
        <f t="shared" si="1"/>
        <v>-52618182</v>
      </c>
      <c r="G38" s="260"/>
    </row>
    <row r="39" spans="1:7" ht="24" customHeight="1" x14ac:dyDescent="0.25">
      <c r="A39" s="262">
        <v>30</v>
      </c>
      <c r="B39" s="261">
        <v>44386</v>
      </c>
      <c r="C39" s="260" t="s">
        <v>1052</v>
      </c>
      <c r="D39" s="259">
        <v>27500000</v>
      </c>
      <c r="E39" s="259"/>
      <c r="F39" s="259">
        <f t="shared" si="1"/>
        <v>-25118182</v>
      </c>
      <c r="G39" s="260"/>
    </row>
    <row r="40" spans="1:7" ht="24" customHeight="1" x14ac:dyDescent="0.25">
      <c r="A40" s="262">
        <v>31</v>
      </c>
      <c r="B40" s="261">
        <v>44408</v>
      </c>
      <c r="C40" s="260" t="s">
        <v>1053</v>
      </c>
      <c r="D40" s="259">
        <v>17900000</v>
      </c>
      <c r="E40" s="259"/>
      <c r="F40" s="259">
        <f t="shared" si="1"/>
        <v>-7218182</v>
      </c>
      <c r="G40" s="260"/>
    </row>
    <row r="41" spans="1:7" ht="24" customHeight="1" x14ac:dyDescent="0.25">
      <c r="A41" s="262">
        <v>32</v>
      </c>
      <c r="B41" s="261">
        <v>44411</v>
      </c>
      <c r="C41" s="260" t="s">
        <v>1052</v>
      </c>
      <c r="D41" s="259">
        <v>14300000</v>
      </c>
      <c r="E41" s="259"/>
      <c r="F41" s="259">
        <f t="shared" si="1"/>
        <v>7081818</v>
      </c>
      <c r="G41" s="260"/>
    </row>
    <row r="42" spans="1:7" ht="24" customHeight="1" x14ac:dyDescent="0.25">
      <c r="A42" s="262">
        <v>33</v>
      </c>
      <c r="B42" s="261">
        <v>44438</v>
      </c>
      <c r="C42" s="260" t="s">
        <v>1053</v>
      </c>
      <c r="D42" s="259">
        <v>8000000</v>
      </c>
      <c r="E42" s="259"/>
      <c r="F42" s="259">
        <f t="shared" ref="F42:F105" si="2">F41+D42-E42</f>
        <v>15081818</v>
      </c>
      <c r="G42" s="260"/>
    </row>
    <row r="43" spans="1:7" ht="24" customHeight="1" x14ac:dyDescent="0.25">
      <c r="A43" s="262">
        <v>34</v>
      </c>
      <c r="B43" s="261">
        <v>44474</v>
      </c>
      <c r="C43" s="260" t="s">
        <v>1052</v>
      </c>
      <c r="D43" s="259">
        <v>10818182</v>
      </c>
      <c r="E43" s="259"/>
      <c r="F43" s="259">
        <f t="shared" si="2"/>
        <v>25900000</v>
      </c>
      <c r="G43" s="260"/>
    </row>
    <row r="44" spans="1:7" ht="24" customHeight="1" x14ac:dyDescent="0.25">
      <c r="A44" s="262">
        <v>35</v>
      </c>
      <c r="B44" s="261">
        <v>44500</v>
      </c>
      <c r="C44" s="260" t="s">
        <v>1051</v>
      </c>
      <c r="D44" s="259"/>
      <c r="E44" s="259">
        <v>4527273</v>
      </c>
      <c r="F44" s="259">
        <f t="shared" si="2"/>
        <v>21372727</v>
      </c>
      <c r="G44" s="260"/>
    </row>
    <row r="45" spans="1:7" ht="24" customHeight="1" x14ac:dyDescent="0.25">
      <c r="A45" s="262">
        <v>36</v>
      </c>
      <c r="B45" s="261">
        <v>44525</v>
      </c>
      <c r="C45" s="260" t="s">
        <v>720</v>
      </c>
      <c r="D45" s="259"/>
      <c r="E45" s="259">
        <v>17900000</v>
      </c>
      <c r="F45" s="259">
        <f t="shared" si="2"/>
        <v>3472727</v>
      </c>
      <c r="G45" s="260"/>
    </row>
    <row r="46" spans="1:7" ht="24" customHeight="1" x14ac:dyDescent="0.25">
      <c r="A46" s="262">
        <v>37</v>
      </c>
      <c r="B46" s="261">
        <v>44561</v>
      </c>
      <c r="C46" s="260" t="s">
        <v>1053</v>
      </c>
      <c r="D46" s="259">
        <v>200000</v>
      </c>
      <c r="E46" s="259"/>
      <c r="F46" s="259">
        <f t="shared" si="2"/>
        <v>3672727</v>
      </c>
      <c r="G46" s="260"/>
    </row>
    <row r="47" spans="1:7" ht="24" customHeight="1" x14ac:dyDescent="0.25">
      <c r="A47" s="262">
        <v>38</v>
      </c>
      <c r="B47" s="261">
        <v>44589</v>
      </c>
      <c r="C47" s="260" t="s">
        <v>720</v>
      </c>
      <c r="D47" s="259"/>
      <c r="E47" s="259">
        <v>3672727</v>
      </c>
      <c r="F47" s="259">
        <f t="shared" si="2"/>
        <v>0</v>
      </c>
      <c r="G47" s="260"/>
    </row>
    <row r="48" spans="1:7" ht="24" customHeight="1" x14ac:dyDescent="0.25">
      <c r="A48" s="262">
        <v>39</v>
      </c>
      <c r="B48" s="261">
        <v>44589</v>
      </c>
      <c r="C48" s="260" t="s">
        <v>1070</v>
      </c>
      <c r="D48" s="259">
        <v>4500000</v>
      </c>
      <c r="E48" s="259"/>
      <c r="F48" s="259">
        <f t="shared" si="2"/>
        <v>4500000</v>
      </c>
      <c r="G48" s="260"/>
    </row>
    <row r="49" spans="1:7" ht="24" customHeight="1" x14ac:dyDescent="0.25">
      <c r="A49" s="262">
        <v>40</v>
      </c>
      <c r="B49" s="261">
        <v>44620</v>
      </c>
      <c r="C49" s="260" t="s">
        <v>1071</v>
      </c>
      <c r="D49" s="279">
        <v>7800000</v>
      </c>
      <c r="E49" s="259"/>
      <c r="F49" s="259">
        <f t="shared" si="2"/>
        <v>12300000</v>
      </c>
      <c r="G49" s="260"/>
    </row>
    <row r="50" spans="1:7" ht="24" customHeight="1" x14ac:dyDescent="0.25">
      <c r="A50" s="262">
        <v>41</v>
      </c>
      <c r="B50" s="261">
        <v>44651</v>
      </c>
      <c r="C50" s="260" t="s">
        <v>1086</v>
      </c>
      <c r="D50" s="259">
        <v>22100000</v>
      </c>
      <c r="E50" s="259"/>
      <c r="F50" s="259">
        <f t="shared" si="2"/>
        <v>34400000</v>
      </c>
      <c r="G50" s="260"/>
    </row>
    <row r="51" spans="1:7" ht="24" customHeight="1" x14ac:dyDescent="0.25">
      <c r="A51" s="262">
        <v>42</v>
      </c>
      <c r="B51" s="261">
        <v>44679</v>
      </c>
      <c r="C51" s="260" t="s">
        <v>1113</v>
      </c>
      <c r="D51" s="259"/>
      <c r="E51" s="259">
        <v>12300000</v>
      </c>
      <c r="F51" s="259">
        <f t="shared" si="2"/>
        <v>22100000</v>
      </c>
      <c r="G51" s="260"/>
    </row>
    <row r="52" spans="1:7" ht="24" customHeight="1" x14ac:dyDescent="0.25">
      <c r="A52" s="262">
        <v>43</v>
      </c>
      <c r="B52" s="261">
        <v>44680</v>
      </c>
      <c r="C52" s="260" t="s">
        <v>1130</v>
      </c>
      <c r="D52" s="259">
        <v>14840000</v>
      </c>
      <c r="E52" s="259"/>
      <c r="F52" s="259">
        <f t="shared" si="2"/>
        <v>36940000</v>
      </c>
      <c r="G52" s="260"/>
    </row>
    <row r="53" spans="1:7" ht="24" customHeight="1" x14ac:dyDescent="0.25">
      <c r="A53" s="262">
        <v>44</v>
      </c>
      <c r="B53" s="261">
        <v>44718</v>
      </c>
      <c r="C53" s="260" t="s">
        <v>1146</v>
      </c>
      <c r="D53" s="259"/>
      <c r="E53" s="259">
        <v>22100000</v>
      </c>
      <c r="F53" s="259">
        <f t="shared" si="2"/>
        <v>14840000</v>
      </c>
      <c r="G53" s="260"/>
    </row>
    <row r="54" spans="1:7" ht="24" customHeight="1" x14ac:dyDescent="0.25">
      <c r="A54" s="262">
        <v>45</v>
      </c>
      <c r="B54" s="261">
        <v>44712</v>
      </c>
      <c r="C54" s="260" t="s">
        <v>1147</v>
      </c>
      <c r="D54" s="259">
        <v>4800000</v>
      </c>
      <c r="E54" s="259"/>
      <c r="F54" s="259">
        <f t="shared" si="2"/>
        <v>19640000</v>
      </c>
      <c r="G54" s="260"/>
    </row>
    <row r="55" spans="1:7" ht="24" customHeight="1" x14ac:dyDescent="0.25">
      <c r="A55" s="262">
        <v>46</v>
      </c>
      <c r="B55" s="261">
        <v>44742</v>
      </c>
      <c r="C55" s="260" t="s">
        <v>1176</v>
      </c>
      <c r="D55" s="259">
        <v>62700000</v>
      </c>
      <c r="E55" s="259"/>
      <c r="F55" s="259">
        <f t="shared" si="2"/>
        <v>82340000</v>
      </c>
      <c r="G55" s="260"/>
    </row>
    <row r="56" spans="1:7" ht="24" customHeight="1" x14ac:dyDescent="0.25">
      <c r="A56" s="262">
        <v>47</v>
      </c>
      <c r="B56" s="261">
        <v>44770</v>
      </c>
      <c r="C56" s="260" t="s">
        <v>1177</v>
      </c>
      <c r="D56" s="259"/>
      <c r="E56" s="259">
        <v>14840000</v>
      </c>
      <c r="F56" s="259">
        <f t="shared" si="2"/>
        <v>67500000</v>
      </c>
      <c r="G56" s="260"/>
    </row>
    <row r="57" spans="1:7" ht="24" customHeight="1" x14ac:dyDescent="0.25">
      <c r="A57" s="262">
        <v>48</v>
      </c>
      <c r="B57" s="261">
        <v>44772</v>
      </c>
      <c r="C57" s="260" t="s">
        <v>1232</v>
      </c>
      <c r="D57" s="259"/>
      <c r="E57" s="259">
        <v>50160000</v>
      </c>
      <c r="F57" s="259">
        <f t="shared" si="2"/>
        <v>17340000</v>
      </c>
      <c r="G57" s="260"/>
    </row>
    <row r="58" spans="1:7" ht="24" customHeight="1" x14ac:dyDescent="0.25">
      <c r="A58" s="262">
        <v>49</v>
      </c>
      <c r="B58" s="261">
        <v>44803</v>
      </c>
      <c r="C58" s="260" t="s">
        <v>1233</v>
      </c>
      <c r="D58" s="259"/>
      <c r="E58" s="259">
        <v>14300000</v>
      </c>
      <c r="F58" s="259">
        <f t="shared" si="2"/>
        <v>3040000</v>
      </c>
      <c r="G58" s="260"/>
    </row>
    <row r="59" spans="1:7" ht="24" customHeight="1" x14ac:dyDescent="0.25">
      <c r="A59" s="262">
        <v>50</v>
      </c>
      <c r="B59" s="261">
        <v>44802</v>
      </c>
      <c r="C59" s="260" t="s">
        <v>1234</v>
      </c>
      <c r="D59" s="259"/>
      <c r="E59" s="259">
        <v>4800000</v>
      </c>
      <c r="F59" s="259">
        <f t="shared" si="2"/>
        <v>-1760000</v>
      </c>
      <c r="G59" s="260"/>
    </row>
    <row r="60" spans="1:7" ht="24" customHeight="1" x14ac:dyDescent="0.25">
      <c r="A60" s="262">
        <v>51</v>
      </c>
      <c r="B60" s="261">
        <v>44814</v>
      </c>
      <c r="C60" s="260" t="s">
        <v>1235</v>
      </c>
      <c r="D60" s="259"/>
      <c r="E60" s="259">
        <v>62700000</v>
      </c>
      <c r="F60" s="259">
        <f t="shared" si="2"/>
        <v>-64460000</v>
      </c>
      <c r="G60" s="260"/>
    </row>
    <row r="61" spans="1:7" ht="24" customHeight="1" x14ac:dyDescent="0.25">
      <c r="A61" s="262">
        <v>52</v>
      </c>
      <c r="B61" s="261">
        <v>44834</v>
      </c>
      <c r="C61" s="260" t="s">
        <v>1266</v>
      </c>
      <c r="D61" s="259"/>
      <c r="E61" s="259">
        <v>3600000</v>
      </c>
      <c r="F61" s="259">
        <f t="shared" si="2"/>
        <v>-68060000</v>
      </c>
      <c r="G61" s="260"/>
    </row>
    <row r="62" spans="1:7" ht="24" customHeight="1" x14ac:dyDescent="0.25">
      <c r="A62" s="262">
        <v>53</v>
      </c>
      <c r="B62" s="261">
        <v>44847</v>
      </c>
      <c r="C62" s="260" t="s">
        <v>1052</v>
      </c>
      <c r="D62" s="259">
        <v>30160000</v>
      </c>
      <c r="E62" s="259"/>
      <c r="F62" s="259">
        <f t="shared" si="2"/>
        <v>-37900000</v>
      </c>
      <c r="G62" s="260"/>
    </row>
    <row r="63" spans="1:7" ht="21" customHeight="1" x14ac:dyDescent="0.25">
      <c r="A63" s="262">
        <v>54</v>
      </c>
      <c r="B63" s="261">
        <v>44864</v>
      </c>
      <c r="C63" s="260" t="s">
        <v>1267</v>
      </c>
      <c r="D63" s="259">
        <v>10400000</v>
      </c>
      <c r="E63" s="259"/>
      <c r="F63" s="259">
        <f t="shared" si="2"/>
        <v>-27500000</v>
      </c>
      <c r="G63" s="260"/>
    </row>
    <row r="64" spans="1:7" ht="21" customHeight="1" x14ac:dyDescent="0.25">
      <c r="A64" s="262">
        <v>55</v>
      </c>
      <c r="B64" s="261">
        <v>44872</v>
      </c>
      <c r="C64" s="260" t="s">
        <v>1052</v>
      </c>
      <c r="D64" s="259">
        <v>20000000</v>
      </c>
      <c r="E64" s="259"/>
      <c r="F64" s="259">
        <f t="shared" si="2"/>
        <v>-7500000</v>
      </c>
      <c r="G64" s="260"/>
    </row>
    <row r="65" spans="1:7" ht="21" customHeight="1" x14ac:dyDescent="0.25">
      <c r="A65" s="262">
        <v>56</v>
      </c>
      <c r="B65" s="261">
        <v>44894</v>
      </c>
      <c r="C65" s="260" t="s">
        <v>1309</v>
      </c>
      <c r="D65" s="259"/>
      <c r="E65" s="259">
        <v>162500000</v>
      </c>
      <c r="F65" s="259">
        <f t="shared" si="2"/>
        <v>-170000000</v>
      </c>
      <c r="G65" s="260"/>
    </row>
    <row r="66" spans="1:7" ht="21" customHeight="1" x14ac:dyDescent="0.25">
      <c r="A66" s="262">
        <v>57</v>
      </c>
      <c r="B66" s="261">
        <v>44904</v>
      </c>
      <c r="C66" s="260" t="s">
        <v>1317</v>
      </c>
      <c r="D66" s="259">
        <v>14300000</v>
      </c>
      <c r="E66" s="259"/>
      <c r="F66" s="259">
        <f t="shared" si="2"/>
        <v>-155700000</v>
      </c>
      <c r="G66" s="260"/>
    </row>
    <row r="67" spans="1:7" ht="21" customHeight="1" x14ac:dyDescent="0.25">
      <c r="A67" s="262">
        <v>58</v>
      </c>
      <c r="B67" s="261">
        <v>45290</v>
      </c>
      <c r="C67" s="260" t="s">
        <v>1349</v>
      </c>
      <c r="D67" s="259"/>
      <c r="E67" s="259">
        <v>22600000</v>
      </c>
      <c r="F67" s="259">
        <f t="shared" si="2"/>
        <v>-178300000</v>
      </c>
      <c r="G67" s="260"/>
    </row>
    <row r="68" spans="1:7" ht="21" customHeight="1" x14ac:dyDescent="0.25">
      <c r="A68" s="262">
        <v>59</v>
      </c>
      <c r="B68" s="261">
        <v>44942</v>
      </c>
      <c r="C68" s="260" t="s">
        <v>1359</v>
      </c>
      <c r="D68" s="259">
        <v>77850000</v>
      </c>
      <c r="E68" s="259"/>
      <c r="F68" s="259">
        <f t="shared" si="2"/>
        <v>-100450000</v>
      </c>
      <c r="G68" s="260"/>
    </row>
    <row r="69" spans="1:7" ht="21" customHeight="1" x14ac:dyDescent="0.25">
      <c r="A69" s="262">
        <v>60</v>
      </c>
      <c r="B69" s="261">
        <v>44942</v>
      </c>
      <c r="C69" s="260" t="s">
        <v>1365</v>
      </c>
      <c r="D69" s="259">
        <v>77850000</v>
      </c>
      <c r="E69" s="259"/>
      <c r="F69" s="259">
        <f t="shared" si="2"/>
        <v>-22600000</v>
      </c>
      <c r="G69" s="260"/>
    </row>
    <row r="70" spans="1:7" ht="21" customHeight="1" x14ac:dyDescent="0.25">
      <c r="A70" s="262">
        <v>61</v>
      </c>
      <c r="B70" s="261">
        <v>44985</v>
      </c>
      <c r="C70" s="260" t="s">
        <v>1385</v>
      </c>
      <c r="D70" s="259"/>
      <c r="E70" s="259">
        <v>71700000</v>
      </c>
      <c r="F70" s="259">
        <f t="shared" si="2"/>
        <v>-94300000</v>
      </c>
      <c r="G70" s="260"/>
    </row>
    <row r="71" spans="1:7" ht="21" customHeight="1" x14ac:dyDescent="0.25">
      <c r="A71" s="262">
        <v>62</v>
      </c>
      <c r="B71" s="261">
        <v>45016</v>
      </c>
      <c r="C71" s="260" t="s">
        <v>1422</v>
      </c>
      <c r="D71" s="259"/>
      <c r="E71" s="259">
        <v>124400000</v>
      </c>
      <c r="F71" s="259">
        <f t="shared" si="2"/>
        <v>-218700000</v>
      </c>
      <c r="G71" s="260"/>
    </row>
    <row r="72" spans="1:7" ht="21" customHeight="1" x14ac:dyDescent="0.25">
      <c r="A72" s="262">
        <v>63</v>
      </c>
      <c r="B72" s="261">
        <v>45028</v>
      </c>
      <c r="C72" s="260" t="s">
        <v>1425</v>
      </c>
      <c r="D72" s="259">
        <v>100000000</v>
      </c>
      <c r="E72" s="259"/>
      <c r="F72" s="259">
        <f t="shared" si="2"/>
        <v>-118700000</v>
      </c>
      <c r="G72" s="260"/>
    </row>
    <row r="73" spans="1:7" ht="21" customHeight="1" x14ac:dyDescent="0.25">
      <c r="A73" s="262">
        <v>64</v>
      </c>
      <c r="B73" s="261">
        <v>45045</v>
      </c>
      <c r="C73" s="260" t="s">
        <v>1533</v>
      </c>
      <c r="D73" s="259"/>
      <c r="E73" s="259">
        <v>31800000</v>
      </c>
      <c r="F73" s="259">
        <f t="shared" si="2"/>
        <v>-150500000</v>
      </c>
      <c r="G73" s="260"/>
    </row>
    <row r="74" spans="1:7" ht="21" customHeight="1" x14ac:dyDescent="0.25">
      <c r="A74" s="262">
        <v>65</v>
      </c>
      <c r="B74" s="261">
        <v>45076</v>
      </c>
      <c r="C74" s="260" t="s">
        <v>1534</v>
      </c>
      <c r="D74" s="259"/>
      <c r="E74" s="259">
        <v>4220000</v>
      </c>
      <c r="F74" s="259">
        <f t="shared" si="2"/>
        <v>-154720000</v>
      </c>
      <c r="G74" s="260"/>
    </row>
    <row r="75" spans="1:7" ht="21" customHeight="1" x14ac:dyDescent="0.25">
      <c r="A75" s="262">
        <v>66</v>
      </c>
      <c r="B75" s="261">
        <v>45107</v>
      </c>
      <c r="C75" s="260" t="s">
        <v>1507</v>
      </c>
      <c r="D75" s="259">
        <v>1400000</v>
      </c>
      <c r="E75" s="259"/>
      <c r="F75" s="259">
        <f t="shared" si="2"/>
        <v>-153320000</v>
      </c>
      <c r="G75" s="260"/>
    </row>
    <row r="76" spans="1:7" ht="21" customHeight="1" x14ac:dyDescent="0.25">
      <c r="A76" s="262">
        <v>67</v>
      </c>
      <c r="B76" s="261">
        <v>45127</v>
      </c>
      <c r="C76" s="260" t="s">
        <v>1537</v>
      </c>
      <c r="D76" s="259">
        <v>118700000</v>
      </c>
      <c r="E76" s="259"/>
      <c r="F76" s="259">
        <f t="shared" si="2"/>
        <v>-34620000</v>
      </c>
      <c r="G76" s="260"/>
    </row>
    <row r="77" spans="1:7" ht="21" customHeight="1" x14ac:dyDescent="0.25">
      <c r="A77" s="262">
        <v>68</v>
      </c>
      <c r="B77" s="261">
        <v>45138</v>
      </c>
      <c r="C77" s="260" t="s">
        <v>1563</v>
      </c>
      <c r="D77" s="259"/>
      <c r="E77" s="259">
        <v>7500000</v>
      </c>
      <c r="F77" s="259">
        <f t="shared" si="2"/>
        <v>-42120000</v>
      </c>
      <c r="G77" s="260"/>
    </row>
    <row r="78" spans="1:7" ht="21" customHeight="1" x14ac:dyDescent="0.25">
      <c r="A78" s="262">
        <v>69</v>
      </c>
      <c r="B78" s="261">
        <v>45174</v>
      </c>
      <c r="C78" s="260" t="s">
        <v>1575</v>
      </c>
      <c r="D78" s="259">
        <v>31800000</v>
      </c>
      <c r="E78" s="259"/>
      <c r="F78" s="259">
        <f t="shared" si="2"/>
        <v>-10320000</v>
      </c>
      <c r="G78" s="260"/>
    </row>
    <row r="79" spans="1:7" ht="21" customHeight="1" x14ac:dyDescent="0.25">
      <c r="A79" s="262">
        <v>70</v>
      </c>
      <c r="B79" s="261">
        <v>45169</v>
      </c>
      <c r="C79" s="260" t="s">
        <v>1584</v>
      </c>
      <c r="D79" s="259"/>
      <c r="E79" s="259">
        <v>20800000</v>
      </c>
      <c r="F79" s="259">
        <f t="shared" si="2"/>
        <v>-31120000</v>
      </c>
      <c r="G79" s="260"/>
    </row>
    <row r="80" spans="1:7" ht="21" customHeight="1" x14ac:dyDescent="0.25">
      <c r="A80" s="262">
        <v>71</v>
      </c>
      <c r="B80" s="261">
        <v>45183</v>
      </c>
      <c r="C80" s="260" t="s">
        <v>1592</v>
      </c>
      <c r="D80" s="259">
        <v>2820000</v>
      </c>
      <c r="E80" s="259"/>
      <c r="F80" s="259">
        <f t="shared" si="2"/>
        <v>-28300000</v>
      </c>
      <c r="G80" s="260"/>
    </row>
    <row r="81" spans="1:7" ht="21" customHeight="1" x14ac:dyDescent="0.25">
      <c r="A81" s="262">
        <v>72</v>
      </c>
      <c r="B81" s="261">
        <v>45211</v>
      </c>
      <c r="C81" s="260" t="s">
        <v>1619</v>
      </c>
      <c r="D81" s="259">
        <v>20800000</v>
      </c>
      <c r="E81" s="259"/>
      <c r="F81" s="259">
        <f t="shared" si="2"/>
        <v>-7500000</v>
      </c>
      <c r="G81" s="260"/>
    </row>
    <row r="82" spans="1:7" ht="21" customHeight="1" x14ac:dyDescent="0.25">
      <c r="A82" s="262">
        <v>73</v>
      </c>
      <c r="B82" s="261">
        <v>45230</v>
      </c>
      <c r="C82" s="260" t="s">
        <v>1647</v>
      </c>
      <c r="D82" s="259"/>
      <c r="E82" s="259">
        <v>69076400</v>
      </c>
      <c r="F82" s="259">
        <f t="shared" si="2"/>
        <v>-76576400</v>
      </c>
      <c r="G82" s="260"/>
    </row>
    <row r="83" spans="1:7" ht="21" customHeight="1" x14ac:dyDescent="0.25">
      <c r="A83" s="262">
        <v>74</v>
      </c>
      <c r="B83" s="261">
        <v>45238</v>
      </c>
      <c r="C83" s="260" t="s">
        <v>1465</v>
      </c>
      <c r="D83" s="259">
        <v>63800000</v>
      </c>
      <c r="E83" s="259"/>
      <c r="F83" s="259">
        <f t="shared" si="2"/>
        <v>-12776400</v>
      </c>
      <c r="G83" s="260"/>
    </row>
    <row r="84" spans="1:7" ht="21" customHeight="1" x14ac:dyDescent="0.25">
      <c r="A84" s="262">
        <v>75</v>
      </c>
      <c r="B84" s="261">
        <v>45260</v>
      </c>
      <c r="C84" s="260" t="s">
        <v>1309</v>
      </c>
      <c r="D84" s="259"/>
      <c r="E84" s="259">
        <v>4350000</v>
      </c>
      <c r="F84" s="259">
        <f t="shared" si="2"/>
        <v>-17126400</v>
      </c>
      <c r="G84" s="260"/>
    </row>
    <row r="85" spans="1:7" ht="21" customHeight="1" x14ac:dyDescent="0.25">
      <c r="A85" s="262">
        <v>76</v>
      </c>
      <c r="B85" s="261">
        <v>45657</v>
      </c>
      <c r="C85" s="260" t="s">
        <v>1349</v>
      </c>
      <c r="D85" s="259"/>
      <c r="E85" s="259">
        <v>100000</v>
      </c>
      <c r="F85" s="259">
        <f t="shared" si="2"/>
        <v>-17226400</v>
      </c>
      <c r="G85" s="260"/>
    </row>
    <row r="86" spans="1:7" ht="21" customHeight="1" x14ac:dyDescent="0.25">
      <c r="A86" s="262">
        <v>77</v>
      </c>
      <c r="B86" s="261">
        <v>45328</v>
      </c>
      <c r="C86" s="260" t="s">
        <v>1465</v>
      </c>
      <c r="D86" s="259">
        <v>12776400</v>
      </c>
      <c r="E86" s="259"/>
      <c r="F86" s="259">
        <f t="shared" si="2"/>
        <v>-4450000</v>
      </c>
      <c r="G86" s="260"/>
    </row>
    <row r="87" spans="1:7" ht="21" customHeight="1" x14ac:dyDescent="0.25">
      <c r="A87" s="262">
        <v>78</v>
      </c>
      <c r="B87" s="261">
        <v>45351</v>
      </c>
      <c r="C87" s="260" t="s">
        <v>1385</v>
      </c>
      <c r="D87" s="259"/>
      <c r="E87" s="259">
        <v>9200000</v>
      </c>
      <c r="F87" s="259">
        <f t="shared" si="2"/>
        <v>-13650000</v>
      </c>
      <c r="G87" s="260"/>
    </row>
    <row r="88" spans="1:7" ht="21" customHeight="1" x14ac:dyDescent="0.25">
      <c r="A88" s="262">
        <v>79</v>
      </c>
      <c r="B88" s="261">
        <v>45363</v>
      </c>
      <c r="C88" s="260" t="s">
        <v>1523</v>
      </c>
      <c r="D88" s="259">
        <v>4450000</v>
      </c>
      <c r="E88" s="259"/>
      <c r="F88" s="259">
        <f t="shared" si="2"/>
        <v>-9200000</v>
      </c>
      <c r="G88" s="260"/>
    </row>
    <row r="89" spans="1:7" ht="21" customHeight="1" x14ac:dyDescent="0.25">
      <c r="A89" s="262">
        <v>80</v>
      </c>
      <c r="B89" s="261">
        <v>45380</v>
      </c>
      <c r="C89" s="260" t="s">
        <v>1415</v>
      </c>
      <c r="D89" s="259">
        <v>4104000</v>
      </c>
      <c r="E89" s="259"/>
      <c r="F89" s="259">
        <f t="shared" si="2"/>
        <v>-5096000</v>
      </c>
      <c r="G89" s="260"/>
    </row>
    <row r="90" spans="1:7" ht="21" customHeight="1" x14ac:dyDescent="0.25">
      <c r="A90" s="262">
        <v>81</v>
      </c>
      <c r="B90" s="261">
        <v>45412</v>
      </c>
      <c r="C90" s="260" t="s">
        <v>1533</v>
      </c>
      <c r="D90" s="259"/>
      <c r="E90" s="259">
        <v>21492000</v>
      </c>
      <c r="F90" s="259">
        <f t="shared" si="2"/>
        <v>-26588000</v>
      </c>
      <c r="G90" s="260"/>
    </row>
    <row r="91" spans="1:7" ht="21" customHeight="1" x14ac:dyDescent="0.25">
      <c r="A91" s="262">
        <v>82</v>
      </c>
      <c r="B91" s="261">
        <v>45442</v>
      </c>
      <c r="C91" s="260" t="s">
        <v>1534</v>
      </c>
      <c r="D91" s="259"/>
      <c r="E91" s="259">
        <v>3400000</v>
      </c>
      <c r="F91" s="259">
        <f t="shared" si="2"/>
        <v>-29988000</v>
      </c>
      <c r="G91" s="260"/>
    </row>
    <row r="92" spans="1:7" ht="21" customHeight="1" x14ac:dyDescent="0.25">
      <c r="A92" s="262">
        <v>83</v>
      </c>
      <c r="B92" s="261">
        <v>45450</v>
      </c>
      <c r="C92" s="260" t="s">
        <v>1799</v>
      </c>
      <c r="D92" s="259">
        <v>5096000</v>
      </c>
      <c r="E92" s="259"/>
      <c r="F92" s="259">
        <f t="shared" si="2"/>
        <v>-24892000</v>
      </c>
      <c r="G92" s="260"/>
    </row>
    <row r="93" spans="1:7" ht="21" customHeight="1" x14ac:dyDescent="0.25">
      <c r="A93" s="262">
        <v>84</v>
      </c>
      <c r="B93" s="261">
        <v>45473</v>
      </c>
      <c r="C93" s="260" t="s">
        <v>1507</v>
      </c>
      <c r="D93" s="259">
        <v>1728000</v>
      </c>
      <c r="E93" s="259"/>
      <c r="F93" s="259">
        <f t="shared" si="2"/>
        <v>-23164000</v>
      </c>
      <c r="G93" s="260"/>
    </row>
    <row r="94" spans="1:7" ht="21" customHeight="1" x14ac:dyDescent="0.25">
      <c r="A94" s="262">
        <v>85</v>
      </c>
      <c r="B94" s="261">
        <v>45490</v>
      </c>
      <c r="C94" s="260" t="s">
        <v>1822</v>
      </c>
      <c r="D94" s="259">
        <v>21492000</v>
      </c>
      <c r="E94" s="259"/>
      <c r="F94" s="259">
        <f t="shared" si="2"/>
        <v>-1672000</v>
      </c>
      <c r="G94" s="260"/>
    </row>
    <row r="95" spans="1:7" ht="21" customHeight="1" x14ac:dyDescent="0.25">
      <c r="A95" s="262">
        <v>86</v>
      </c>
      <c r="B95" s="261">
        <v>45503</v>
      </c>
      <c r="C95" s="260" t="s">
        <v>1563</v>
      </c>
      <c r="D95" s="259"/>
      <c r="E95" s="259">
        <v>15956000</v>
      </c>
      <c r="F95" s="259">
        <f t="shared" si="2"/>
        <v>-17628000</v>
      </c>
      <c r="G95" s="260"/>
    </row>
    <row r="96" spans="1:7" ht="21" customHeight="1" x14ac:dyDescent="0.25">
      <c r="A96" s="262">
        <v>87</v>
      </c>
      <c r="B96" s="261">
        <v>45534</v>
      </c>
      <c r="C96" s="260" t="s">
        <v>1584</v>
      </c>
      <c r="D96" s="259"/>
      <c r="E96" s="259">
        <v>10400000</v>
      </c>
      <c r="F96" s="259">
        <f t="shared" si="2"/>
        <v>-28028000</v>
      </c>
      <c r="G96" s="260"/>
    </row>
    <row r="97" spans="1:7" ht="21" customHeight="1" x14ac:dyDescent="0.25">
      <c r="A97" s="262">
        <v>88</v>
      </c>
      <c r="B97" s="261">
        <v>45549</v>
      </c>
      <c r="C97" s="260" t="s">
        <v>1874</v>
      </c>
      <c r="D97" s="259">
        <v>3400000</v>
      </c>
      <c r="E97" s="259"/>
      <c r="F97" s="259">
        <f t="shared" si="2"/>
        <v>-24628000</v>
      </c>
      <c r="G97" s="260"/>
    </row>
    <row r="98" spans="1:7" ht="21" customHeight="1" x14ac:dyDescent="0.25">
      <c r="A98" s="262">
        <v>89</v>
      </c>
      <c r="B98" s="261">
        <v>45565</v>
      </c>
      <c r="C98" s="260" t="s">
        <v>1885</v>
      </c>
      <c r="D98" s="259"/>
      <c r="E98" s="259">
        <v>6156000</v>
      </c>
      <c r="F98" s="259">
        <f t="shared" si="2"/>
        <v>-30784000</v>
      </c>
      <c r="G98" s="260"/>
    </row>
    <row r="99" spans="1:7" ht="21" customHeight="1" x14ac:dyDescent="0.25">
      <c r="A99" s="262">
        <v>90</v>
      </c>
      <c r="B99" s="261">
        <v>45572</v>
      </c>
      <c r="C99" s="260" t="s">
        <v>1905</v>
      </c>
      <c r="D99" s="259"/>
      <c r="E99" s="259">
        <v>1728000</v>
      </c>
      <c r="F99" s="259">
        <f t="shared" si="2"/>
        <v>-32512000</v>
      </c>
      <c r="G99" s="260"/>
    </row>
    <row r="100" spans="1:7" ht="21" customHeight="1" x14ac:dyDescent="0.25">
      <c r="A100" s="262">
        <v>91</v>
      </c>
      <c r="B100" s="261">
        <v>45583</v>
      </c>
      <c r="C100" s="260" t="s">
        <v>1891</v>
      </c>
      <c r="D100" s="259">
        <v>10400000</v>
      </c>
      <c r="E100" s="259"/>
      <c r="F100" s="259">
        <f t="shared" si="2"/>
        <v>-22112000</v>
      </c>
      <c r="G100" s="260"/>
    </row>
    <row r="101" spans="1:7" ht="21" customHeight="1" x14ac:dyDescent="0.25">
      <c r="A101" s="262">
        <v>92</v>
      </c>
      <c r="B101" s="261">
        <v>45583</v>
      </c>
      <c r="C101" s="260" t="s">
        <v>1892</v>
      </c>
      <c r="D101" s="259">
        <f>13284000+2672000</f>
        <v>15956000</v>
      </c>
      <c r="E101" s="259"/>
      <c r="F101" s="259">
        <f t="shared" si="2"/>
        <v>-6156000</v>
      </c>
      <c r="G101" s="260"/>
    </row>
    <row r="102" spans="1:7" ht="21" customHeight="1" x14ac:dyDescent="0.25">
      <c r="A102" s="262">
        <v>93</v>
      </c>
      <c r="B102" s="261">
        <v>45596</v>
      </c>
      <c r="C102" s="260" t="s">
        <v>1647</v>
      </c>
      <c r="D102" s="259"/>
      <c r="E102" s="259">
        <v>20088000</v>
      </c>
      <c r="F102" s="259">
        <f t="shared" si="2"/>
        <v>-26244000</v>
      </c>
      <c r="G102" s="260"/>
    </row>
    <row r="103" spans="1:7" ht="21" customHeight="1" x14ac:dyDescent="0.25">
      <c r="A103" s="262">
        <v>94</v>
      </c>
      <c r="B103" s="261">
        <v>45626</v>
      </c>
      <c r="C103" s="260" t="s">
        <v>1309</v>
      </c>
      <c r="D103" s="259"/>
      <c r="E103" s="259">
        <v>5400000</v>
      </c>
      <c r="F103" s="259">
        <f t="shared" si="2"/>
        <v>-31644000</v>
      </c>
      <c r="G103" s="260"/>
    </row>
    <row r="104" spans="1:7" ht="21" customHeight="1" x14ac:dyDescent="0.25">
      <c r="A104" s="262">
        <v>95</v>
      </c>
      <c r="B104" s="261">
        <v>45630</v>
      </c>
      <c r="C104" s="260" t="s">
        <v>1930</v>
      </c>
      <c r="D104" s="259">
        <v>6156000</v>
      </c>
      <c r="E104" s="259"/>
      <c r="F104" s="259">
        <f t="shared" si="2"/>
        <v>-25488000</v>
      </c>
      <c r="G104" s="260" t="s">
        <v>1960</v>
      </c>
    </row>
    <row r="105" spans="1:7" ht="21" customHeight="1" x14ac:dyDescent="0.25">
      <c r="A105" s="262">
        <v>96</v>
      </c>
      <c r="B105" s="261">
        <v>45653</v>
      </c>
      <c r="C105" s="260" t="s">
        <v>1349</v>
      </c>
      <c r="D105" s="259"/>
      <c r="E105" s="259">
        <v>15660000</v>
      </c>
      <c r="F105" s="259">
        <f t="shared" si="2"/>
        <v>-41148000</v>
      </c>
      <c r="G105" s="260"/>
    </row>
    <row r="106" spans="1:7" ht="21" customHeight="1" x14ac:dyDescent="0.25">
      <c r="A106" s="262">
        <v>97</v>
      </c>
      <c r="B106" s="261">
        <v>45666</v>
      </c>
      <c r="C106" s="260" t="s">
        <v>1958</v>
      </c>
      <c r="D106" s="259">
        <v>20088000</v>
      </c>
      <c r="E106" s="259"/>
      <c r="F106" s="259">
        <f t="shared" ref="F106:F110" si="3">F105+D106-E106</f>
        <v>-21060000</v>
      </c>
      <c r="G106" s="260"/>
    </row>
    <row r="107" spans="1:7" ht="21" customHeight="1" x14ac:dyDescent="0.25">
      <c r="A107" s="262">
        <v>98</v>
      </c>
      <c r="B107" s="261">
        <v>45688</v>
      </c>
      <c r="C107" s="260" t="s">
        <v>1961</v>
      </c>
      <c r="D107" s="259">
        <v>4644000</v>
      </c>
      <c r="E107" s="259"/>
      <c r="F107" s="259">
        <f t="shared" si="3"/>
        <v>-16416000</v>
      </c>
      <c r="G107" s="260"/>
    </row>
    <row r="108" spans="1:7" ht="21" customHeight="1" x14ac:dyDescent="0.25">
      <c r="A108" s="262">
        <v>99</v>
      </c>
      <c r="B108" s="261">
        <v>45681</v>
      </c>
      <c r="C108" s="260" t="s">
        <v>1967</v>
      </c>
      <c r="D108" s="259">
        <v>5400000</v>
      </c>
      <c r="E108" s="259"/>
      <c r="F108" s="259">
        <f t="shared" si="3"/>
        <v>-11016000</v>
      </c>
      <c r="G108" s="260"/>
    </row>
    <row r="109" spans="1:7" ht="21" customHeight="1" x14ac:dyDescent="0.25">
      <c r="A109" s="262">
        <v>100</v>
      </c>
      <c r="B109" s="261">
        <v>45730</v>
      </c>
      <c r="C109" s="260" t="s">
        <v>1984</v>
      </c>
      <c r="D109" s="259">
        <v>15660000</v>
      </c>
      <c r="E109" s="259"/>
      <c r="F109" s="259">
        <f t="shared" si="3"/>
        <v>4644000</v>
      </c>
      <c r="G109" s="260"/>
    </row>
    <row r="110" spans="1:7" ht="21" customHeight="1" x14ac:dyDescent="0.25">
      <c r="A110" s="262">
        <v>101</v>
      </c>
      <c r="B110" s="261">
        <v>45764</v>
      </c>
      <c r="C110" s="260" t="s">
        <v>2002</v>
      </c>
      <c r="D110" s="259"/>
      <c r="E110" s="259">
        <v>4644000</v>
      </c>
      <c r="F110" s="259">
        <f t="shared" si="3"/>
        <v>0</v>
      </c>
      <c r="G110" s="260"/>
    </row>
    <row r="111" spans="1:7" ht="21" customHeight="1" x14ac:dyDescent="0.25">
      <c r="A111" s="262">
        <v>102</v>
      </c>
      <c r="B111" s="261">
        <v>45776</v>
      </c>
      <c r="C111" s="260" t="s">
        <v>2021</v>
      </c>
      <c r="D111" s="259"/>
      <c r="E111" s="259">
        <v>6696000</v>
      </c>
      <c r="F111" s="259"/>
      <c r="G111" s="260"/>
    </row>
    <row r="112" spans="1:7" ht="21" customHeight="1" x14ac:dyDescent="0.25">
      <c r="A112" s="262">
        <v>103</v>
      </c>
      <c r="B112" s="261"/>
      <c r="C112" s="260"/>
      <c r="D112" s="259"/>
      <c r="E112" s="259"/>
      <c r="F112" s="259"/>
      <c r="G112" s="260"/>
    </row>
    <row r="113" spans="1:7" ht="21" customHeight="1" x14ac:dyDescent="0.25">
      <c r="A113" s="262">
        <v>104</v>
      </c>
      <c r="B113" s="261"/>
      <c r="C113" s="260"/>
      <c r="D113" s="259"/>
      <c r="E113" s="259"/>
      <c r="F113" s="259"/>
      <c r="G113" s="260"/>
    </row>
    <row r="114" spans="1:7" ht="21" customHeight="1" x14ac:dyDescent="0.25">
      <c r="A114" s="262">
        <v>105</v>
      </c>
      <c r="B114" s="261"/>
      <c r="C114" s="260"/>
      <c r="D114" s="259"/>
      <c r="E114" s="259"/>
      <c r="F114" s="259"/>
      <c r="G114" s="260"/>
    </row>
    <row r="115" spans="1:7" ht="21" customHeight="1" x14ac:dyDescent="0.25">
      <c r="A115" s="262"/>
      <c r="B115" s="261"/>
      <c r="C115" s="260"/>
      <c r="D115" s="259"/>
      <c r="E115" s="259"/>
      <c r="F115" s="259"/>
      <c r="G115" s="260"/>
    </row>
    <row r="116" spans="1:7" ht="21" customHeight="1" x14ac:dyDescent="0.25">
      <c r="A116" s="262"/>
      <c r="B116" s="261"/>
      <c r="C116" s="260"/>
      <c r="D116" s="259"/>
      <c r="E116" s="259"/>
      <c r="F116" s="259"/>
      <c r="G116" s="260"/>
    </row>
    <row r="117" spans="1:7" ht="21" customHeight="1" x14ac:dyDescent="0.25">
      <c r="A117" s="262"/>
      <c r="B117" s="261"/>
      <c r="C117" s="260"/>
      <c r="D117" s="259"/>
      <c r="E117" s="259"/>
      <c r="F117" s="259"/>
      <c r="G117" s="260"/>
    </row>
    <row r="118" spans="1:7" ht="21" customHeight="1" x14ac:dyDescent="0.25">
      <c r="A118" s="262"/>
      <c r="B118" s="261"/>
      <c r="C118" s="260"/>
      <c r="D118" s="259"/>
      <c r="E118" s="259"/>
      <c r="F118" s="259"/>
      <c r="G118" s="260"/>
    </row>
    <row r="119" spans="1:7" ht="21" customHeight="1" x14ac:dyDescent="0.25">
      <c r="A119" s="262"/>
      <c r="B119" s="261"/>
      <c r="C119" s="260"/>
      <c r="D119" s="259"/>
      <c r="E119" s="259"/>
      <c r="F119" s="259"/>
      <c r="G119" s="260"/>
    </row>
    <row r="120" spans="1:7" ht="21" customHeight="1" x14ac:dyDescent="0.25">
      <c r="A120" s="262"/>
      <c r="B120" s="261"/>
      <c r="C120" s="260"/>
      <c r="D120" s="259"/>
      <c r="E120" s="259"/>
      <c r="F120" s="259"/>
      <c r="G120" s="260"/>
    </row>
    <row r="121" spans="1:7" ht="21" customHeight="1" x14ac:dyDescent="0.25">
      <c r="A121" s="262"/>
      <c r="B121" s="261"/>
      <c r="C121" s="260"/>
      <c r="D121" s="259"/>
      <c r="E121" s="259"/>
      <c r="F121" s="259"/>
      <c r="G121" s="260"/>
    </row>
    <row r="122" spans="1:7" ht="21" customHeight="1" x14ac:dyDescent="0.25">
      <c r="A122" s="262"/>
      <c r="B122" s="261"/>
      <c r="C122" s="260"/>
      <c r="D122" s="259"/>
      <c r="E122" s="259"/>
      <c r="F122" s="259"/>
      <c r="G122" s="260"/>
    </row>
    <row r="123" spans="1:7" ht="21" customHeight="1" x14ac:dyDescent="0.25">
      <c r="A123" s="262"/>
      <c r="B123" s="261"/>
      <c r="C123" s="260"/>
      <c r="D123" s="259"/>
      <c r="E123" s="259"/>
      <c r="F123" s="259"/>
      <c r="G123" s="260"/>
    </row>
    <row r="124" spans="1:7" ht="21" customHeight="1" x14ac:dyDescent="0.25">
      <c r="A124" s="262"/>
      <c r="B124" s="261"/>
      <c r="C124" s="260"/>
      <c r="D124" s="259"/>
      <c r="E124" s="259"/>
      <c r="F124" s="259"/>
      <c r="G124" s="260"/>
    </row>
    <row r="125" spans="1:7" ht="21" customHeight="1" x14ac:dyDescent="0.25">
      <c r="A125" s="262"/>
      <c r="B125" s="261"/>
      <c r="C125" s="260"/>
      <c r="D125" s="259"/>
      <c r="E125" s="259"/>
      <c r="F125" s="259"/>
      <c r="G125" s="260"/>
    </row>
    <row r="126" spans="1:7" ht="21" customHeight="1" x14ac:dyDescent="0.25">
      <c r="A126" s="262"/>
      <c r="B126" s="261"/>
      <c r="C126" s="260"/>
      <c r="D126" s="259"/>
      <c r="E126" s="259"/>
      <c r="F126" s="259"/>
      <c r="G126" s="260"/>
    </row>
    <row r="127" spans="1:7" ht="21" customHeight="1" x14ac:dyDescent="0.25">
      <c r="A127" s="262"/>
      <c r="B127" s="261"/>
      <c r="C127" s="260"/>
      <c r="D127" s="259"/>
      <c r="E127" s="259"/>
      <c r="F127" s="259"/>
      <c r="G127" s="260"/>
    </row>
    <row r="128" spans="1:7" ht="21" customHeight="1" x14ac:dyDescent="0.25">
      <c r="A128" s="262"/>
      <c r="B128" s="261"/>
      <c r="C128" s="260"/>
      <c r="D128" s="259"/>
      <c r="E128" s="259"/>
      <c r="F128" s="259"/>
      <c r="G128" s="260"/>
    </row>
    <row r="129" spans="1:7" ht="21" customHeight="1" x14ac:dyDescent="0.25">
      <c r="A129" s="262"/>
      <c r="B129" s="261"/>
      <c r="C129" s="260"/>
      <c r="D129" s="259"/>
      <c r="E129" s="259"/>
      <c r="F129" s="259"/>
      <c r="G129" s="260"/>
    </row>
    <row r="130" spans="1:7" ht="21" customHeight="1" x14ac:dyDescent="0.25">
      <c r="A130" s="262"/>
      <c r="B130" s="261"/>
      <c r="C130" s="260"/>
      <c r="D130" s="259"/>
      <c r="E130" s="259"/>
      <c r="F130" s="259"/>
      <c r="G130" s="260"/>
    </row>
    <row r="131" spans="1:7" ht="21" customHeight="1" x14ac:dyDescent="0.25">
      <c r="A131" s="262"/>
      <c r="B131" s="261"/>
      <c r="C131" s="260"/>
      <c r="D131" s="259"/>
      <c r="E131" s="259"/>
      <c r="F131" s="259"/>
      <c r="G131" s="260"/>
    </row>
    <row r="132" spans="1:7" ht="21" customHeight="1" x14ac:dyDescent="0.25">
      <c r="A132" s="262"/>
      <c r="B132" s="261"/>
      <c r="C132" s="260"/>
      <c r="D132" s="259"/>
      <c r="E132" s="259"/>
      <c r="F132" s="259"/>
      <c r="G132" s="260"/>
    </row>
    <row r="133" spans="1:7" ht="21" customHeight="1" x14ac:dyDescent="0.25">
      <c r="A133" s="262"/>
      <c r="B133" s="261"/>
      <c r="C133" s="260"/>
      <c r="D133" s="259"/>
      <c r="E133" s="259"/>
      <c r="F133" s="259"/>
      <c r="G133" s="260"/>
    </row>
    <row r="134" spans="1:7" ht="21" customHeight="1" x14ac:dyDescent="0.25">
      <c r="A134" s="262"/>
      <c r="B134" s="261"/>
      <c r="C134" s="260"/>
      <c r="D134" s="259"/>
      <c r="E134" s="259"/>
      <c r="F134" s="259"/>
      <c r="G134" s="260"/>
    </row>
    <row r="135" spans="1:7" ht="21" customHeight="1" x14ac:dyDescent="0.25">
      <c r="A135" s="262"/>
      <c r="B135" s="261"/>
      <c r="C135" s="260"/>
      <c r="D135" s="259"/>
      <c r="E135" s="259"/>
      <c r="F135" s="259"/>
      <c r="G135" s="260"/>
    </row>
    <row r="136" spans="1:7" ht="21" customHeight="1" x14ac:dyDescent="0.25">
      <c r="A136" s="262"/>
      <c r="B136" s="261"/>
      <c r="C136" s="260"/>
      <c r="D136" s="259"/>
      <c r="E136" s="259"/>
      <c r="F136" s="259"/>
      <c r="G136" s="260"/>
    </row>
    <row r="137" spans="1:7" ht="21" customHeight="1" x14ac:dyDescent="0.25">
      <c r="A137" s="262"/>
      <c r="B137" s="261"/>
      <c r="C137" s="260"/>
      <c r="D137" s="259"/>
      <c r="E137" s="259"/>
      <c r="F137" s="259"/>
      <c r="G137" s="260"/>
    </row>
    <row r="138" spans="1:7" ht="21" customHeight="1" x14ac:dyDescent="0.25">
      <c r="A138" s="262"/>
      <c r="B138" s="261"/>
      <c r="C138" s="260"/>
      <c r="D138" s="259"/>
      <c r="E138" s="259"/>
      <c r="F138" s="259"/>
      <c r="G138" s="260"/>
    </row>
    <row r="139" spans="1:7" ht="21" customHeight="1" x14ac:dyDescent="0.25">
      <c r="A139" s="262"/>
      <c r="B139" s="261"/>
      <c r="C139" s="260"/>
      <c r="D139" s="259"/>
      <c r="E139" s="259"/>
      <c r="F139" s="259"/>
      <c r="G139" s="260"/>
    </row>
    <row r="140" spans="1:7" ht="21" customHeight="1" x14ac:dyDescent="0.25">
      <c r="A140" s="262"/>
      <c r="B140" s="261"/>
      <c r="C140" s="260"/>
      <c r="D140" s="259"/>
      <c r="E140" s="259"/>
      <c r="F140" s="259"/>
      <c r="G140" s="260"/>
    </row>
    <row r="141" spans="1:7" ht="21" customHeight="1" x14ac:dyDescent="0.25">
      <c r="A141" s="262"/>
      <c r="B141" s="261"/>
      <c r="C141" s="260"/>
      <c r="D141" s="259"/>
      <c r="E141" s="259"/>
      <c r="F141" s="259"/>
      <c r="G141" s="260"/>
    </row>
    <row r="142" spans="1:7" ht="21" customHeight="1" x14ac:dyDescent="0.25">
      <c r="A142" s="262"/>
      <c r="B142" s="261"/>
      <c r="C142" s="260"/>
      <c r="D142" s="259"/>
      <c r="E142" s="259"/>
      <c r="F142" s="259"/>
      <c r="G142" s="260"/>
    </row>
    <row r="143" spans="1:7" ht="21" customHeight="1" x14ac:dyDescent="0.25">
      <c r="A143" s="262"/>
      <c r="B143" s="261"/>
      <c r="C143" s="260"/>
      <c r="D143" s="259"/>
      <c r="E143" s="259"/>
      <c r="F143" s="259"/>
      <c r="G143" s="260"/>
    </row>
    <row r="144" spans="1:7" ht="21" customHeight="1" x14ac:dyDescent="0.25">
      <c r="A144" s="260"/>
      <c r="B144" s="261"/>
      <c r="C144" s="260"/>
      <c r="D144" s="259"/>
      <c r="E144" s="259"/>
      <c r="F144" s="259"/>
      <c r="G144" s="260"/>
    </row>
    <row r="145" spans="1:7" ht="21" customHeight="1" x14ac:dyDescent="0.25">
      <c r="A145" s="260"/>
      <c r="B145" s="261"/>
      <c r="C145" s="260"/>
      <c r="D145" s="259"/>
      <c r="E145" s="259"/>
      <c r="F145" s="259"/>
      <c r="G145" s="260"/>
    </row>
    <row r="146" spans="1:7" ht="21" customHeight="1" x14ac:dyDescent="0.25">
      <c r="A146" s="260"/>
      <c r="B146" s="261"/>
      <c r="C146" s="260"/>
      <c r="D146" s="259"/>
      <c r="E146" s="259"/>
      <c r="F146" s="259"/>
      <c r="G146" s="260"/>
    </row>
    <row r="147" spans="1:7" ht="21" customHeight="1" x14ac:dyDescent="0.25">
      <c r="A147" s="260"/>
      <c r="B147" s="261"/>
      <c r="C147" s="260"/>
      <c r="D147" s="259"/>
      <c r="E147" s="259"/>
      <c r="F147" s="259"/>
      <c r="G147" s="260"/>
    </row>
    <row r="148" spans="1:7" ht="21" customHeight="1" x14ac:dyDescent="0.25">
      <c r="A148" s="260"/>
      <c r="B148" s="261"/>
      <c r="C148" s="260"/>
      <c r="D148" s="259"/>
      <c r="E148" s="259"/>
      <c r="F148" s="259"/>
      <c r="G148" s="260"/>
    </row>
    <row r="149" spans="1:7" ht="21" customHeight="1" x14ac:dyDescent="0.25">
      <c r="A149" s="260"/>
      <c r="B149" s="261"/>
      <c r="C149" s="260"/>
      <c r="D149" s="259"/>
      <c r="E149" s="259"/>
      <c r="F149" s="259"/>
      <c r="G149" s="260"/>
    </row>
    <row r="150" spans="1:7" ht="21" customHeight="1" x14ac:dyDescent="0.25">
      <c r="A150" s="260"/>
      <c r="B150" s="261"/>
      <c r="C150" s="260"/>
      <c r="D150" s="259"/>
      <c r="E150" s="259"/>
      <c r="F150" s="259"/>
      <c r="G150" s="260"/>
    </row>
    <row r="151" spans="1:7" ht="21" customHeight="1" x14ac:dyDescent="0.25">
      <c r="A151" s="260"/>
      <c r="B151" s="261"/>
      <c r="C151" s="260"/>
      <c r="D151" s="259"/>
      <c r="E151" s="259"/>
      <c r="F151" s="259"/>
      <c r="G151" s="260"/>
    </row>
    <row r="152" spans="1:7" ht="21" customHeight="1" x14ac:dyDescent="0.25">
      <c r="A152" s="260"/>
      <c r="B152" s="261"/>
      <c r="C152" s="260"/>
      <c r="D152" s="259"/>
      <c r="E152" s="259"/>
      <c r="F152" s="259"/>
      <c r="G152" s="260"/>
    </row>
    <row r="153" spans="1:7" ht="21" customHeight="1" x14ac:dyDescent="0.25">
      <c r="A153" s="260"/>
      <c r="B153" s="261"/>
      <c r="C153" s="260"/>
      <c r="D153" s="259"/>
      <c r="E153" s="259"/>
      <c r="F153" s="259"/>
      <c r="G153" s="260"/>
    </row>
    <row r="154" spans="1:7" ht="21" customHeight="1" x14ac:dyDescent="0.25">
      <c r="A154" s="260"/>
      <c r="B154" s="261"/>
      <c r="C154" s="260"/>
      <c r="D154" s="259"/>
      <c r="E154" s="259"/>
      <c r="F154" s="259"/>
      <c r="G154" s="260"/>
    </row>
    <row r="155" spans="1:7" ht="21" customHeight="1" x14ac:dyDescent="0.25">
      <c r="A155" s="260"/>
      <c r="B155" s="261"/>
      <c r="C155" s="260"/>
      <c r="D155" s="259"/>
      <c r="E155" s="259"/>
      <c r="F155" s="259"/>
      <c r="G155" s="260"/>
    </row>
    <row r="156" spans="1:7" ht="21" customHeight="1" x14ac:dyDescent="0.25">
      <c r="A156" s="260"/>
      <c r="B156" s="261"/>
      <c r="C156" s="260"/>
      <c r="D156" s="259"/>
      <c r="E156" s="259"/>
      <c r="F156" s="259"/>
      <c r="G156" s="260"/>
    </row>
    <row r="157" spans="1:7" ht="21" customHeight="1" x14ac:dyDescent="0.25">
      <c r="A157" s="260"/>
      <c r="B157" s="261"/>
      <c r="C157" s="260"/>
      <c r="D157" s="259"/>
      <c r="E157" s="259"/>
      <c r="F157" s="259"/>
      <c r="G157" s="260"/>
    </row>
    <row r="158" spans="1:7" ht="21" customHeight="1" x14ac:dyDescent="0.25">
      <c r="A158" s="260"/>
      <c r="B158" s="261"/>
      <c r="C158" s="260"/>
      <c r="D158" s="259"/>
      <c r="E158" s="259"/>
      <c r="F158" s="259"/>
      <c r="G158" s="260"/>
    </row>
    <row r="159" spans="1:7" ht="21" customHeight="1" x14ac:dyDescent="0.25">
      <c r="A159" s="260"/>
      <c r="B159" s="262"/>
      <c r="C159" s="260"/>
      <c r="D159" s="259"/>
      <c r="E159" s="259"/>
      <c r="F159" s="259"/>
      <c r="G159" s="260"/>
    </row>
    <row r="160" spans="1:7" ht="21" customHeight="1" x14ac:dyDescent="0.25">
      <c r="A160" s="260"/>
      <c r="B160" s="262"/>
      <c r="C160" s="260"/>
      <c r="D160" s="259"/>
      <c r="E160" s="259"/>
      <c r="F160" s="259"/>
      <c r="G160" s="260"/>
    </row>
    <row r="161" spans="1:7" ht="21" customHeight="1" x14ac:dyDescent="0.25">
      <c r="A161" s="260"/>
      <c r="B161" s="262"/>
      <c r="C161" s="260"/>
      <c r="D161" s="259"/>
      <c r="E161" s="259"/>
      <c r="F161" s="259"/>
      <c r="G161" s="260"/>
    </row>
    <row r="162" spans="1:7" ht="21" customHeight="1" x14ac:dyDescent="0.25">
      <c r="A162" s="260"/>
      <c r="B162" s="262"/>
      <c r="C162" s="260"/>
      <c r="D162" s="259"/>
      <c r="E162" s="259"/>
      <c r="F162" s="259"/>
      <c r="G162" s="260"/>
    </row>
    <row r="163" spans="1:7" ht="21" customHeight="1" x14ac:dyDescent="0.25">
      <c r="A163" s="260"/>
      <c r="B163" s="262"/>
      <c r="C163" s="260"/>
      <c r="D163" s="259"/>
      <c r="E163" s="259"/>
      <c r="F163" s="259"/>
      <c r="G163" s="260"/>
    </row>
    <row r="164" spans="1:7" ht="21" customHeight="1" x14ac:dyDescent="0.25">
      <c r="A164" s="260"/>
      <c r="B164" s="262"/>
      <c r="C164" s="260"/>
      <c r="D164" s="259"/>
      <c r="E164" s="259"/>
      <c r="F164" s="259"/>
      <c r="G164" s="260"/>
    </row>
    <row r="165" spans="1:7" ht="21" customHeight="1" x14ac:dyDescent="0.25">
      <c r="A165" s="260"/>
      <c r="B165" s="262"/>
      <c r="C165" s="260"/>
      <c r="D165" s="259"/>
      <c r="E165" s="259"/>
      <c r="F165" s="259"/>
      <c r="G165" s="260"/>
    </row>
    <row r="166" spans="1:7" ht="21" customHeight="1" x14ac:dyDescent="0.25">
      <c r="A166" s="260"/>
      <c r="B166" s="262"/>
      <c r="C166" s="260"/>
      <c r="D166" s="259"/>
      <c r="E166" s="259"/>
      <c r="F166" s="259"/>
      <c r="G166" s="260"/>
    </row>
    <row r="167" spans="1:7" ht="21" customHeight="1" x14ac:dyDescent="0.25">
      <c r="A167" s="260"/>
      <c r="B167" s="262"/>
      <c r="C167" s="260"/>
      <c r="D167" s="259"/>
      <c r="E167" s="259"/>
      <c r="F167" s="259"/>
      <c r="G167" s="260"/>
    </row>
    <row r="168" spans="1:7" ht="21" customHeight="1" x14ac:dyDescent="0.25">
      <c r="A168" s="260"/>
      <c r="B168" s="262"/>
      <c r="C168" s="260"/>
      <c r="D168" s="259"/>
      <c r="E168" s="259"/>
      <c r="F168" s="259"/>
      <c r="G168" s="260"/>
    </row>
    <row r="169" spans="1:7" ht="21" customHeight="1" x14ac:dyDescent="0.25">
      <c r="A169" s="260"/>
      <c r="B169" s="262"/>
      <c r="C169" s="260"/>
      <c r="D169" s="259"/>
      <c r="E169" s="259"/>
      <c r="F169" s="259"/>
      <c r="G169" s="260"/>
    </row>
    <row r="170" spans="1:7" ht="21" customHeight="1" x14ac:dyDescent="0.25">
      <c r="A170" s="260"/>
      <c r="B170" s="262"/>
      <c r="C170" s="260"/>
      <c r="D170" s="259"/>
      <c r="E170" s="259"/>
      <c r="F170" s="259"/>
      <c r="G170" s="260"/>
    </row>
    <row r="171" spans="1:7" ht="21" customHeight="1" x14ac:dyDescent="0.25">
      <c r="A171" s="260"/>
      <c r="B171" s="262"/>
      <c r="C171" s="260"/>
      <c r="D171" s="259"/>
      <c r="E171" s="259"/>
      <c r="F171" s="259"/>
      <c r="G171" s="260"/>
    </row>
    <row r="172" spans="1:7" ht="21" customHeight="1" x14ac:dyDescent="0.25">
      <c r="A172" s="260"/>
      <c r="B172" s="262"/>
      <c r="C172" s="260"/>
      <c r="D172" s="259"/>
      <c r="E172" s="259"/>
      <c r="F172" s="259"/>
      <c r="G172" s="260"/>
    </row>
    <row r="173" spans="1:7" ht="21" customHeight="1" x14ac:dyDescent="0.25">
      <c r="A173" s="260"/>
      <c r="B173" s="262"/>
      <c r="C173" s="260"/>
      <c r="D173" s="259"/>
      <c r="E173" s="259"/>
      <c r="F173" s="259"/>
      <c r="G173" s="260"/>
    </row>
    <row r="174" spans="1:7" ht="21" customHeight="1" x14ac:dyDescent="0.25">
      <c r="A174" s="260"/>
      <c r="B174" s="262"/>
      <c r="C174" s="260"/>
      <c r="D174" s="259"/>
      <c r="E174" s="259"/>
      <c r="F174" s="259"/>
      <c r="G174" s="260"/>
    </row>
    <row r="175" spans="1:7" ht="21" customHeight="1" x14ac:dyDescent="0.25">
      <c r="A175" s="260"/>
      <c r="B175" s="262"/>
      <c r="C175" s="260"/>
      <c r="D175" s="259"/>
      <c r="E175" s="259"/>
      <c r="F175" s="259"/>
      <c r="G175" s="260"/>
    </row>
    <row r="176" spans="1:7" ht="21" customHeight="1" x14ac:dyDescent="0.25">
      <c r="A176" s="260"/>
      <c r="B176" s="262"/>
      <c r="C176" s="260"/>
      <c r="D176" s="259"/>
      <c r="E176" s="259"/>
      <c r="F176" s="259"/>
      <c r="G176" s="260"/>
    </row>
    <row r="177" spans="1:7" ht="21" customHeight="1" x14ac:dyDescent="0.25">
      <c r="A177" s="260"/>
      <c r="B177" s="262"/>
      <c r="C177" s="260"/>
      <c r="D177" s="259"/>
      <c r="E177" s="259"/>
      <c r="F177" s="259"/>
      <c r="G177" s="260"/>
    </row>
    <row r="178" spans="1:7" ht="21" customHeight="1" x14ac:dyDescent="0.25">
      <c r="A178" s="260"/>
      <c r="B178" s="262"/>
      <c r="C178" s="260"/>
      <c r="D178" s="259"/>
      <c r="E178" s="259"/>
      <c r="F178" s="259"/>
      <c r="G178" s="260"/>
    </row>
    <row r="179" spans="1:7" ht="21" customHeight="1" x14ac:dyDescent="0.25">
      <c r="A179" s="260"/>
      <c r="B179" s="262"/>
      <c r="C179" s="260"/>
      <c r="D179" s="259"/>
      <c r="E179" s="259"/>
      <c r="F179" s="259"/>
      <c r="G179" s="260"/>
    </row>
    <row r="180" spans="1:7" ht="21" customHeight="1" x14ac:dyDescent="0.25">
      <c r="A180" s="260"/>
      <c r="B180" s="262"/>
      <c r="C180" s="260"/>
      <c r="D180" s="259"/>
      <c r="E180" s="259"/>
      <c r="F180" s="259"/>
      <c r="G180" s="260"/>
    </row>
    <row r="181" spans="1:7" x14ac:dyDescent="0.25">
      <c r="A181" s="260"/>
      <c r="B181" s="262"/>
      <c r="C181" s="260"/>
      <c r="D181" s="259"/>
      <c r="E181" s="259"/>
      <c r="F181" s="259"/>
      <c r="G181" s="260"/>
    </row>
  </sheetData>
  <mergeCells count="7">
    <mergeCell ref="G8:G9"/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13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69"/>
  <sheetViews>
    <sheetView workbookViewId="0">
      <pane ySplit="1" topLeftCell="A26" activePane="bottomLeft" state="frozen"/>
      <selection pane="bottomLeft" activeCell="G1" sqref="G1"/>
    </sheetView>
  </sheetViews>
  <sheetFormatPr defaultRowHeight="15" x14ac:dyDescent="0.25"/>
  <cols>
    <col min="1" max="1" width="9.140625" style="251"/>
    <col min="2" max="2" width="12.5703125" style="251" customWidth="1"/>
    <col min="3" max="3" width="35.85546875" customWidth="1"/>
    <col min="4" max="4" width="19.85546875" style="2" customWidth="1"/>
    <col min="5" max="5" width="13.85546875" style="2" customWidth="1"/>
    <col min="6" max="6" width="19" style="2" customWidth="1"/>
    <col min="7" max="7" width="12.42578125" customWidth="1"/>
    <col min="8" max="8" width="11.5703125" bestFit="1" customWidth="1"/>
  </cols>
  <sheetData>
    <row r="1" spans="1:8" x14ac:dyDescent="0.25">
      <c r="A1" s="252"/>
      <c r="B1" s="252"/>
      <c r="G1" s="1" t="s">
        <v>16</v>
      </c>
    </row>
    <row r="2" spans="1:8" x14ac:dyDescent="0.25">
      <c r="A2" s="411" t="s">
        <v>3</v>
      </c>
      <c r="B2" s="411"/>
      <c r="C2" s="411"/>
      <c r="D2" s="411"/>
      <c r="E2" s="411"/>
      <c r="F2" s="411"/>
    </row>
    <row r="3" spans="1:8" x14ac:dyDescent="0.25">
      <c r="A3" s="251" t="s">
        <v>4</v>
      </c>
      <c r="D3" s="2" t="s">
        <v>157</v>
      </c>
    </row>
    <row r="4" spans="1:8" x14ac:dyDescent="0.25">
      <c r="E4" s="2" t="s">
        <v>9</v>
      </c>
      <c r="F4" s="2">
        <v>6540000</v>
      </c>
    </row>
    <row r="5" spans="1:8" x14ac:dyDescent="0.25">
      <c r="A5" s="251" t="s">
        <v>13</v>
      </c>
      <c r="D5" s="3">
        <f ca="1">+'Tổng hợp'!$G$2</f>
        <v>45784</v>
      </c>
      <c r="E5" s="2" t="s">
        <v>10</v>
      </c>
      <c r="F5" s="2">
        <f>SUM(D10:D500)</f>
        <v>774080706</v>
      </c>
    </row>
    <row r="6" spans="1:8" x14ac:dyDescent="0.25">
      <c r="E6" s="2" t="s">
        <v>11</v>
      </c>
      <c r="F6" s="2">
        <f>SUM(E10:E500)</f>
        <v>739469506.27272725</v>
      </c>
    </row>
    <row r="7" spans="1:8" x14ac:dyDescent="0.25">
      <c r="E7" s="2" t="s">
        <v>12</v>
      </c>
      <c r="F7" s="2">
        <f>+F4+F5-F6</f>
        <v>41151199.727272749</v>
      </c>
    </row>
    <row r="8" spans="1:8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553</v>
      </c>
      <c r="G8" s="412" t="s">
        <v>554</v>
      </c>
    </row>
    <row r="9" spans="1:8" x14ac:dyDescent="0.25">
      <c r="A9" s="412"/>
      <c r="B9" s="412"/>
      <c r="C9" s="412"/>
      <c r="D9" s="265" t="s">
        <v>6</v>
      </c>
      <c r="E9" s="265" t="s">
        <v>7</v>
      </c>
      <c r="F9" s="415"/>
      <c r="G9" s="412"/>
    </row>
    <row r="10" spans="1:8" ht="22.5" customHeight="1" x14ac:dyDescent="0.25">
      <c r="A10" s="262">
        <v>1</v>
      </c>
      <c r="B10" s="261">
        <v>43646</v>
      </c>
      <c r="C10" s="260" t="s">
        <v>215</v>
      </c>
      <c r="D10" s="259">
        <v>18560000</v>
      </c>
      <c r="E10" s="259"/>
      <c r="F10" s="259">
        <f>F4+D10-E10</f>
        <v>25100000</v>
      </c>
      <c r="G10" s="260"/>
      <c r="H10" s="242"/>
    </row>
    <row r="11" spans="1:8" ht="22.5" customHeight="1" x14ac:dyDescent="0.25">
      <c r="A11" s="262">
        <v>2</v>
      </c>
      <c r="B11" s="261" t="s">
        <v>238</v>
      </c>
      <c r="C11" s="260" t="s">
        <v>257</v>
      </c>
      <c r="D11" s="259">
        <v>25554545</v>
      </c>
      <c r="E11" s="259"/>
      <c r="F11" s="259">
        <f>F10+D11-E11</f>
        <v>50654545</v>
      </c>
      <c r="G11" s="260"/>
    </row>
    <row r="12" spans="1:8" ht="22.5" customHeight="1" x14ac:dyDescent="0.25">
      <c r="A12" s="262">
        <v>3</v>
      </c>
      <c r="B12" s="261" t="s">
        <v>309</v>
      </c>
      <c r="C12" s="260" t="s">
        <v>324</v>
      </c>
      <c r="D12" s="259">
        <v>31380000</v>
      </c>
      <c r="E12" s="259"/>
      <c r="F12" s="259">
        <f t="shared" ref="F12:F29" si="0">F11+D12-E12</f>
        <v>82034545</v>
      </c>
      <c r="G12" s="260"/>
    </row>
    <row r="13" spans="1:8" ht="22.5" customHeight="1" x14ac:dyDescent="0.25">
      <c r="A13" s="262">
        <v>4</v>
      </c>
      <c r="B13" s="262" t="s">
        <v>325</v>
      </c>
      <c r="C13" s="260" t="s">
        <v>327</v>
      </c>
      <c r="D13" s="259"/>
      <c r="E13" s="259">
        <v>22081818</v>
      </c>
      <c r="F13" s="259">
        <f t="shared" si="0"/>
        <v>59952727</v>
      </c>
      <c r="G13" s="260"/>
    </row>
    <row r="14" spans="1:8" ht="22.5" customHeight="1" x14ac:dyDescent="0.25">
      <c r="A14" s="262">
        <v>5</v>
      </c>
      <c r="B14" s="261" t="s">
        <v>328</v>
      </c>
      <c r="C14" s="260" t="s">
        <v>330</v>
      </c>
      <c r="D14" s="259"/>
      <c r="E14" s="259">
        <v>5300000</v>
      </c>
      <c r="F14" s="259">
        <f t="shared" si="0"/>
        <v>54652727</v>
      </c>
      <c r="G14" s="260"/>
    </row>
    <row r="15" spans="1:8" ht="22.5" customHeight="1" x14ac:dyDescent="0.25">
      <c r="A15" s="262">
        <v>6</v>
      </c>
      <c r="B15" s="261" t="s">
        <v>338</v>
      </c>
      <c r="C15" s="260" t="s">
        <v>368</v>
      </c>
      <c r="D15" s="259"/>
      <c r="E15" s="259">
        <v>18500000</v>
      </c>
      <c r="F15" s="259">
        <f t="shared" si="0"/>
        <v>36152727</v>
      </c>
      <c r="G15" s="260"/>
    </row>
    <row r="16" spans="1:8" ht="22.5" customHeight="1" x14ac:dyDescent="0.25">
      <c r="A16" s="262">
        <v>7</v>
      </c>
      <c r="B16" s="261" t="s">
        <v>342</v>
      </c>
      <c r="C16" s="260" t="s">
        <v>373</v>
      </c>
      <c r="D16" s="259">
        <v>7960000</v>
      </c>
      <c r="E16" s="259"/>
      <c r="F16" s="259">
        <f t="shared" si="0"/>
        <v>44112727</v>
      </c>
      <c r="G16" s="260"/>
    </row>
    <row r="17" spans="1:8" ht="22.5" customHeight="1" x14ac:dyDescent="0.25">
      <c r="A17" s="262">
        <v>8</v>
      </c>
      <c r="B17" s="261" t="s">
        <v>376</v>
      </c>
      <c r="C17" s="260" t="s">
        <v>391</v>
      </c>
      <c r="D17" s="259">
        <v>23740000</v>
      </c>
      <c r="E17" s="259"/>
      <c r="F17" s="259">
        <f t="shared" si="0"/>
        <v>67852727</v>
      </c>
      <c r="G17" s="260"/>
    </row>
    <row r="18" spans="1:8" ht="22.5" customHeight="1" x14ac:dyDescent="0.25">
      <c r="A18" s="262">
        <v>9</v>
      </c>
      <c r="B18" s="261">
        <v>43847</v>
      </c>
      <c r="C18" s="260" t="s">
        <v>582</v>
      </c>
      <c r="D18" s="259"/>
      <c r="E18" s="259">
        <v>10000000</v>
      </c>
      <c r="F18" s="259">
        <f t="shared" si="0"/>
        <v>57852727</v>
      </c>
      <c r="G18" s="260"/>
    </row>
    <row r="19" spans="1:8" ht="22.5" customHeight="1" x14ac:dyDescent="0.25">
      <c r="A19" s="262">
        <v>10</v>
      </c>
      <c r="B19" s="261" t="s">
        <v>400</v>
      </c>
      <c r="C19" s="260" t="s">
        <v>412</v>
      </c>
      <c r="D19" s="259">
        <v>46430909</v>
      </c>
      <c r="E19" s="259"/>
      <c r="F19" s="259">
        <f t="shared" si="0"/>
        <v>104283636</v>
      </c>
      <c r="G19" s="260"/>
    </row>
    <row r="20" spans="1:8" ht="22.5" customHeight="1" x14ac:dyDescent="0.25">
      <c r="A20" s="262">
        <v>11</v>
      </c>
      <c r="B20" s="261" t="s">
        <v>420</v>
      </c>
      <c r="C20" s="260" t="s">
        <v>430</v>
      </c>
      <c r="D20" s="259">
        <v>24290909</v>
      </c>
      <c r="E20" s="259"/>
      <c r="F20" s="259">
        <f t="shared" si="0"/>
        <v>128574545</v>
      </c>
      <c r="G20" s="260"/>
    </row>
    <row r="21" spans="1:8" ht="22.5" customHeight="1" x14ac:dyDescent="0.25">
      <c r="A21" s="262">
        <v>12</v>
      </c>
      <c r="B21" s="261" t="s">
        <v>449</v>
      </c>
      <c r="C21" s="260" t="s">
        <v>450</v>
      </c>
      <c r="D21" s="259"/>
      <c r="E21" s="259">
        <v>20000000</v>
      </c>
      <c r="F21" s="259">
        <f t="shared" si="0"/>
        <v>108574545</v>
      </c>
      <c r="G21" s="260"/>
    </row>
    <row r="22" spans="1:8" ht="22.5" customHeight="1" x14ac:dyDescent="0.25">
      <c r="A22" s="262">
        <v>13</v>
      </c>
      <c r="B22" s="261" t="s">
        <v>449</v>
      </c>
      <c r="C22" s="260" t="s">
        <v>461</v>
      </c>
      <c r="D22" s="259">
        <v>16450000</v>
      </c>
      <c r="E22" s="259"/>
      <c r="F22" s="259">
        <f t="shared" si="0"/>
        <v>125024545</v>
      </c>
      <c r="G22" s="284"/>
    </row>
    <row r="23" spans="1:8" ht="22.5" customHeight="1" x14ac:dyDescent="0.25">
      <c r="A23" s="262">
        <v>14</v>
      </c>
      <c r="B23" s="261" t="s">
        <v>485</v>
      </c>
      <c r="C23" s="260" t="s">
        <v>450</v>
      </c>
      <c r="D23" s="259"/>
      <c r="E23" s="259">
        <v>20000000</v>
      </c>
      <c r="F23" s="259">
        <f t="shared" si="0"/>
        <v>105024545</v>
      </c>
      <c r="G23" s="260"/>
    </row>
    <row r="24" spans="1:8" ht="22.5" customHeight="1" x14ac:dyDescent="0.25">
      <c r="A24" s="262">
        <v>15</v>
      </c>
      <c r="B24" s="261" t="s">
        <v>485</v>
      </c>
      <c r="C24" s="260" t="s">
        <v>492</v>
      </c>
      <c r="D24" s="259">
        <v>3600000</v>
      </c>
      <c r="E24" s="259"/>
      <c r="F24" s="259">
        <f t="shared" si="0"/>
        <v>108624545</v>
      </c>
      <c r="G24" s="283"/>
    </row>
    <row r="25" spans="1:8" ht="22.5" customHeight="1" x14ac:dyDescent="0.25">
      <c r="A25" s="262">
        <v>16</v>
      </c>
      <c r="B25" s="261">
        <v>43956</v>
      </c>
      <c r="C25" s="260" t="s">
        <v>581</v>
      </c>
      <c r="D25" s="259"/>
      <c r="E25" s="259">
        <v>25000000</v>
      </c>
      <c r="F25" s="259">
        <f t="shared" si="0"/>
        <v>83624545</v>
      </c>
      <c r="G25" s="260"/>
    </row>
    <row r="26" spans="1:8" ht="22.5" customHeight="1" x14ac:dyDescent="0.25">
      <c r="A26" s="262">
        <v>17</v>
      </c>
      <c r="B26" s="261" t="s">
        <v>505</v>
      </c>
      <c r="C26" s="260" t="s">
        <v>520</v>
      </c>
      <c r="D26" s="259"/>
      <c r="E26" s="259">
        <v>17850000</v>
      </c>
      <c r="F26" s="259">
        <f t="shared" si="0"/>
        <v>65774545</v>
      </c>
      <c r="G26" s="260"/>
    </row>
    <row r="27" spans="1:8" ht="22.5" customHeight="1" x14ac:dyDescent="0.25">
      <c r="A27" s="262">
        <v>18</v>
      </c>
      <c r="B27" s="261" t="s">
        <v>505</v>
      </c>
      <c r="C27" s="260" t="s">
        <v>525</v>
      </c>
      <c r="D27" s="259">
        <v>2827273</v>
      </c>
      <c r="E27" s="259"/>
      <c r="F27" s="259">
        <f t="shared" si="0"/>
        <v>68601818</v>
      </c>
      <c r="G27" s="260"/>
    </row>
    <row r="28" spans="1:8" ht="22.5" customHeight="1" x14ac:dyDescent="0.25">
      <c r="A28" s="262">
        <v>19</v>
      </c>
      <c r="B28" s="261" t="s">
        <v>526</v>
      </c>
      <c r="C28" s="260" t="s">
        <v>579</v>
      </c>
      <c r="D28" s="259"/>
      <c r="E28" s="259">
        <v>5500000</v>
      </c>
      <c r="F28" s="259">
        <f t="shared" si="0"/>
        <v>63101818</v>
      </c>
      <c r="G28" s="260"/>
    </row>
    <row r="29" spans="1:8" ht="22.5" customHeight="1" x14ac:dyDescent="0.25">
      <c r="A29" s="262">
        <v>20</v>
      </c>
      <c r="B29" s="296" t="s">
        <v>526</v>
      </c>
      <c r="C29" s="281" t="s">
        <v>528</v>
      </c>
      <c r="D29" s="287"/>
      <c r="E29" s="287">
        <f>4300000/2</f>
        <v>2150000</v>
      </c>
      <c r="F29" s="287">
        <f t="shared" si="0"/>
        <v>60951818</v>
      </c>
      <c r="G29" s="283"/>
    </row>
    <row r="30" spans="1:8" ht="22.5" customHeight="1" x14ac:dyDescent="0.25">
      <c r="A30" s="262">
        <v>21</v>
      </c>
      <c r="B30" s="266">
        <v>44012</v>
      </c>
      <c r="C30" s="267" t="s">
        <v>580</v>
      </c>
      <c r="D30" s="268"/>
      <c r="E30" s="268">
        <v>16200000</v>
      </c>
      <c r="F30" s="259">
        <f>F29+D30-E30</f>
        <v>44751818</v>
      </c>
      <c r="G30" s="260"/>
    </row>
    <row r="31" spans="1:8" ht="22.5" customHeight="1" x14ac:dyDescent="0.25">
      <c r="A31" s="262">
        <v>22</v>
      </c>
      <c r="B31" s="261">
        <v>44043</v>
      </c>
      <c r="C31" s="260" t="s">
        <v>605</v>
      </c>
      <c r="D31" s="259"/>
      <c r="E31" s="259">
        <v>19000000</v>
      </c>
      <c r="F31" s="259">
        <f t="shared" ref="F31:F94" si="1">F30+D31-E31</f>
        <v>25751818</v>
      </c>
      <c r="G31" s="260"/>
      <c r="H31" s="242"/>
    </row>
    <row r="32" spans="1:8" ht="22.5" customHeight="1" x14ac:dyDescent="0.25">
      <c r="A32" s="262">
        <v>23</v>
      </c>
      <c r="B32" s="261">
        <v>44012</v>
      </c>
      <c r="C32" s="260" t="s">
        <v>912</v>
      </c>
      <c r="D32" s="259"/>
      <c r="E32" s="259">
        <v>21296364</v>
      </c>
      <c r="F32" s="259">
        <f t="shared" si="1"/>
        <v>4455454</v>
      </c>
      <c r="G32" s="260"/>
      <c r="H32" s="242"/>
    </row>
    <row r="33" spans="1:7" ht="23.25" customHeight="1" x14ac:dyDescent="0.25">
      <c r="A33" s="262">
        <v>24</v>
      </c>
      <c r="B33" s="261">
        <v>44043</v>
      </c>
      <c r="C33" s="260" t="s">
        <v>578</v>
      </c>
      <c r="D33" s="259">
        <v>37200000</v>
      </c>
      <c r="E33" s="259"/>
      <c r="F33" s="259">
        <f t="shared" si="1"/>
        <v>41655454</v>
      </c>
      <c r="G33" s="260"/>
    </row>
    <row r="34" spans="1:7" ht="23.25" customHeight="1" x14ac:dyDescent="0.25">
      <c r="A34" s="262">
        <v>25</v>
      </c>
      <c r="B34" s="261">
        <v>44074</v>
      </c>
      <c r="C34" s="260" t="s">
        <v>604</v>
      </c>
      <c r="D34" s="259">
        <v>4400000</v>
      </c>
      <c r="E34" s="259"/>
      <c r="F34" s="259">
        <f t="shared" si="1"/>
        <v>46055454</v>
      </c>
      <c r="G34" s="260"/>
    </row>
    <row r="35" spans="1:7" ht="22.5" customHeight="1" x14ac:dyDescent="0.25">
      <c r="A35" s="262">
        <v>26</v>
      </c>
      <c r="B35" s="261">
        <v>44074</v>
      </c>
      <c r="C35" s="260" t="s">
        <v>610</v>
      </c>
      <c r="D35" s="259"/>
      <c r="E35" s="259">
        <f>59980000/1.1*0.1</f>
        <v>5452727.2727272725</v>
      </c>
      <c r="F35" s="259">
        <f>F34+D35-E35</f>
        <v>40602726.727272727</v>
      </c>
      <c r="G35" s="260"/>
    </row>
    <row r="36" spans="1:7" ht="22.5" customHeight="1" x14ac:dyDescent="0.25">
      <c r="A36" s="262">
        <v>27</v>
      </c>
      <c r="B36" s="261">
        <v>44104</v>
      </c>
      <c r="C36" s="260" t="s">
        <v>631</v>
      </c>
      <c r="D36" s="259">
        <v>9100000</v>
      </c>
      <c r="E36" s="259"/>
      <c r="F36" s="259">
        <f t="shared" si="1"/>
        <v>49702726.727272727</v>
      </c>
      <c r="G36" s="260"/>
    </row>
    <row r="37" spans="1:7" ht="22.5" customHeight="1" x14ac:dyDescent="0.25">
      <c r="A37" s="262">
        <v>28</v>
      </c>
      <c r="B37" s="261">
        <v>44117</v>
      </c>
      <c r="C37" s="260" t="s">
        <v>640</v>
      </c>
      <c r="D37" s="259"/>
      <c r="E37" s="259">
        <v>11507273</v>
      </c>
      <c r="F37" s="259">
        <f t="shared" si="1"/>
        <v>38195453.727272727</v>
      </c>
      <c r="G37" s="260"/>
    </row>
    <row r="38" spans="1:7" ht="22.5" customHeight="1" x14ac:dyDescent="0.25">
      <c r="A38" s="262">
        <v>29</v>
      </c>
      <c r="B38" s="261">
        <v>44135</v>
      </c>
      <c r="C38" s="260" t="s">
        <v>668</v>
      </c>
      <c r="D38" s="259">
        <v>15736364</v>
      </c>
      <c r="E38" s="259"/>
      <c r="F38" s="259">
        <f t="shared" si="1"/>
        <v>53931817.727272727</v>
      </c>
      <c r="G38" s="260"/>
    </row>
    <row r="39" spans="1:7" ht="22.5" customHeight="1" x14ac:dyDescent="0.25">
      <c r="A39" s="262">
        <v>30</v>
      </c>
      <c r="B39" s="261">
        <v>44135</v>
      </c>
      <c r="C39" s="260" t="s">
        <v>713</v>
      </c>
      <c r="D39" s="259"/>
      <c r="E39" s="259">
        <v>12082727</v>
      </c>
      <c r="F39" s="259">
        <f t="shared" si="1"/>
        <v>41849090.727272727</v>
      </c>
      <c r="G39" s="260"/>
    </row>
    <row r="40" spans="1:7" ht="22.5" customHeight="1" x14ac:dyDescent="0.25">
      <c r="A40" s="262">
        <v>31</v>
      </c>
      <c r="B40" s="261">
        <v>44165</v>
      </c>
      <c r="C40" s="260" t="s">
        <v>712</v>
      </c>
      <c r="D40" s="259"/>
      <c r="E40" s="259">
        <v>10974545</v>
      </c>
      <c r="F40" s="259">
        <f t="shared" si="1"/>
        <v>30874545.727272727</v>
      </c>
      <c r="G40" s="260"/>
    </row>
    <row r="41" spans="1:7" ht="22.5" customHeight="1" x14ac:dyDescent="0.25">
      <c r="A41" s="262">
        <v>32</v>
      </c>
      <c r="B41" s="261">
        <v>44165</v>
      </c>
      <c r="C41" s="260" t="s">
        <v>913</v>
      </c>
      <c r="D41" s="259"/>
      <c r="E41" s="259">
        <v>9300000</v>
      </c>
      <c r="F41" s="259">
        <f t="shared" si="1"/>
        <v>21574545.727272727</v>
      </c>
      <c r="G41" s="260"/>
    </row>
    <row r="42" spans="1:7" ht="22.5" customHeight="1" x14ac:dyDescent="0.25">
      <c r="A42" s="262">
        <v>33</v>
      </c>
      <c r="B42" s="261">
        <v>44189</v>
      </c>
      <c r="C42" s="260" t="s">
        <v>714</v>
      </c>
      <c r="D42" s="259"/>
      <c r="E42" s="259">
        <v>11000000</v>
      </c>
      <c r="F42" s="259">
        <f t="shared" si="1"/>
        <v>10574545.727272727</v>
      </c>
      <c r="G42" s="260"/>
    </row>
    <row r="43" spans="1:7" ht="22.5" customHeight="1" x14ac:dyDescent="0.25">
      <c r="A43" s="262">
        <v>34</v>
      </c>
      <c r="B43" s="261">
        <v>44196</v>
      </c>
      <c r="C43" s="260" t="s">
        <v>715</v>
      </c>
      <c r="D43" s="259">
        <v>463638</v>
      </c>
      <c r="E43" s="259"/>
      <c r="F43" s="259">
        <f t="shared" si="1"/>
        <v>11038183.727272727</v>
      </c>
      <c r="G43" s="260"/>
    </row>
    <row r="44" spans="1:7" ht="22.5" customHeight="1" x14ac:dyDescent="0.25">
      <c r="A44" s="262">
        <v>35</v>
      </c>
      <c r="B44" s="261">
        <v>44227</v>
      </c>
      <c r="C44" s="260" t="s">
        <v>734</v>
      </c>
      <c r="D44" s="259"/>
      <c r="E44" s="259">
        <v>10054547</v>
      </c>
      <c r="F44" s="259">
        <f t="shared" si="1"/>
        <v>983636.7272727266</v>
      </c>
      <c r="G44" s="260"/>
    </row>
    <row r="45" spans="1:7" ht="22.5" customHeight="1" x14ac:dyDescent="0.25">
      <c r="A45" s="262">
        <v>36</v>
      </c>
      <c r="B45" s="261">
        <v>44227</v>
      </c>
      <c r="C45" s="260" t="s">
        <v>814</v>
      </c>
      <c r="D45" s="259">
        <v>17300000</v>
      </c>
      <c r="E45" s="259"/>
      <c r="F45" s="259">
        <f t="shared" si="1"/>
        <v>18283636.727272727</v>
      </c>
      <c r="G45" s="260"/>
    </row>
    <row r="46" spans="1:7" ht="22.5" customHeight="1" x14ac:dyDescent="0.25">
      <c r="A46" s="262">
        <v>37</v>
      </c>
      <c r="B46" s="261">
        <v>44255</v>
      </c>
      <c r="C46" s="260" t="s">
        <v>815</v>
      </c>
      <c r="D46" s="259">
        <v>4500000</v>
      </c>
      <c r="E46" s="259"/>
      <c r="F46" s="259">
        <f t="shared" si="1"/>
        <v>22783636.727272727</v>
      </c>
      <c r="G46" s="260"/>
    </row>
    <row r="47" spans="1:7" ht="22.5" customHeight="1" x14ac:dyDescent="0.25">
      <c r="A47" s="262">
        <v>38</v>
      </c>
      <c r="B47" s="261">
        <v>44255</v>
      </c>
      <c r="C47" s="260" t="s">
        <v>909</v>
      </c>
      <c r="D47" s="259"/>
      <c r="E47" s="259">
        <v>16053640</v>
      </c>
      <c r="F47" s="259">
        <f t="shared" si="1"/>
        <v>6729996.7272727266</v>
      </c>
      <c r="G47" s="260"/>
    </row>
    <row r="48" spans="1:7" ht="22.5" customHeight="1" x14ac:dyDescent="0.25">
      <c r="A48" s="262">
        <v>39</v>
      </c>
      <c r="B48" s="261">
        <v>44285</v>
      </c>
      <c r="C48" s="260" t="s">
        <v>816</v>
      </c>
      <c r="D48" s="259">
        <v>4600000</v>
      </c>
      <c r="E48" s="259"/>
      <c r="F48" s="259">
        <f t="shared" si="1"/>
        <v>11329996.727272727</v>
      </c>
      <c r="G48" s="260"/>
    </row>
    <row r="49" spans="1:7" ht="22.5" customHeight="1" x14ac:dyDescent="0.25">
      <c r="A49" s="262">
        <v>40</v>
      </c>
      <c r="B49" s="261">
        <v>44286</v>
      </c>
      <c r="C49" s="260" t="s">
        <v>910</v>
      </c>
      <c r="D49" s="259"/>
      <c r="E49" s="259">
        <v>5115456</v>
      </c>
      <c r="F49" s="259">
        <f t="shared" si="1"/>
        <v>6214540.7272727266</v>
      </c>
      <c r="G49" s="260"/>
    </row>
    <row r="50" spans="1:7" ht="22.5" customHeight="1" x14ac:dyDescent="0.25">
      <c r="A50" s="262">
        <v>41</v>
      </c>
      <c r="B50" s="261">
        <v>44315</v>
      </c>
      <c r="C50" s="260" t="s">
        <v>911</v>
      </c>
      <c r="D50" s="259"/>
      <c r="E50" s="259">
        <v>6556364</v>
      </c>
      <c r="F50" s="259">
        <f t="shared" si="1"/>
        <v>-341823.2727272734</v>
      </c>
      <c r="G50" s="260"/>
    </row>
    <row r="51" spans="1:7" ht="22.5" customHeight="1" x14ac:dyDescent="0.25">
      <c r="A51" s="262">
        <v>42</v>
      </c>
      <c r="B51" s="261">
        <v>44316</v>
      </c>
      <c r="C51" s="260" t="s">
        <v>905</v>
      </c>
      <c r="D51" s="259">
        <v>19050000</v>
      </c>
      <c r="E51" s="259"/>
      <c r="F51" s="259">
        <f t="shared" si="1"/>
        <v>18708176.727272727</v>
      </c>
      <c r="G51" s="260"/>
    </row>
    <row r="52" spans="1:7" ht="22.5" customHeight="1" x14ac:dyDescent="0.25">
      <c r="A52" s="262">
        <v>43</v>
      </c>
      <c r="B52" s="261">
        <v>44347</v>
      </c>
      <c r="C52" s="260" t="s">
        <v>906</v>
      </c>
      <c r="D52" s="259">
        <v>25400000</v>
      </c>
      <c r="E52" s="259"/>
      <c r="F52" s="259">
        <f t="shared" si="1"/>
        <v>44108176.727272727</v>
      </c>
      <c r="G52" s="260"/>
    </row>
    <row r="53" spans="1:7" ht="22.5" customHeight="1" x14ac:dyDescent="0.25">
      <c r="A53" s="262">
        <v>44</v>
      </c>
      <c r="B53" s="261">
        <v>44377</v>
      </c>
      <c r="C53" s="260" t="s">
        <v>907</v>
      </c>
      <c r="D53" s="259">
        <v>34500000</v>
      </c>
      <c r="E53" s="259"/>
      <c r="F53" s="259">
        <f t="shared" si="1"/>
        <v>78608176.727272719</v>
      </c>
      <c r="G53" s="260"/>
    </row>
    <row r="54" spans="1:7" ht="22.5" customHeight="1" x14ac:dyDescent="0.25">
      <c r="A54" s="262">
        <v>45</v>
      </c>
      <c r="B54" s="261">
        <v>44408</v>
      </c>
      <c r="C54" s="260" t="s">
        <v>908</v>
      </c>
      <c r="D54" s="259">
        <v>30300000</v>
      </c>
      <c r="E54" s="259"/>
      <c r="F54" s="259">
        <f t="shared" si="1"/>
        <v>108908176.72727272</v>
      </c>
      <c r="G54" s="260"/>
    </row>
    <row r="55" spans="1:7" ht="22.5" customHeight="1" x14ac:dyDescent="0.25">
      <c r="A55" s="262">
        <v>46</v>
      </c>
      <c r="B55" s="261">
        <v>44439</v>
      </c>
      <c r="C55" s="260" t="s">
        <v>958</v>
      </c>
      <c r="D55" s="259">
        <v>12200000</v>
      </c>
      <c r="E55" s="259"/>
      <c r="F55" s="259">
        <f t="shared" si="1"/>
        <v>121108176.72727272</v>
      </c>
      <c r="G55" s="260"/>
    </row>
    <row r="56" spans="1:7" ht="22.5" customHeight="1" x14ac:dyDescent="0.25">
      <c r="A56" s="262">
        <v>47</v>
      </c>
      <c r="B56" s="261">
        <v>44469</v>
      </c>
      <c r="C56" s="260" t="s">
        <v>1032</v>
      </c>
      <c r="D56" s="259"/>
      <c r="E56" s="259">
        <v>6663636</v>
      </c>
      <c r="F56" s="259">
        <f t="shared" si="1"/>
        <v>114444540.72727272</v>
      </c>
      <c r="G56" s="260"/>
    </row>
    <row r="57" spans="1:7" ht="22.5" customHeight="1" x14ac:dyDescent="0.25">
      <c r="A57" s="262">
        <v>48</v>
      </c>
      <c r="B57" s="261">
        <v>44469</v>
      </c>
      <c r="C57" s="260" t="s">
        <v>1034</v>
      </c>
      <c r="D57" s="259"/>
      <c r="E57" s="259">
        <v>19893636</v>
      </c>
      <c r="F57" s="259">
        <f t="shared" si="1"/>
        <v>94550904.727272719</v>
      </c>
      <c r="G57" s="260"/>
    </row>
    <row r="58" spans="1:7" ht="22.5" customHeight="1" x14ac:dyDescent="0.25">
      <c r="A58" s="262">
        <v>49</v>
      </c>
      <c r="B58" s="261">
        <v>44499</v>
      </c>
      <c r="C58" s="260" t="s">
        <v>1033</v>
      </c>
      <c r="D58" s="259"/>
      <c r="E58" s="259">
        <v>13250000</v>
      </c>
      <c r="F58" s="259">
        <f t="shared" si="1"/>
        <v>81300904.727272719</v>
      </c>
      <c r="G58" s="260"/>
    </row>
    <row r="59" spans="1:7" ht="22.5" customHeight="1" x14ac:dyDescent="0.25">
      <c r="A59" s="262">
        <v>50</v>
      </c>
      <c r="B59" s="261">
        <v>44499</v>
      </c>
      <c r="C59" s="260" t="s">
        <v>1035</v>
      </c>
      <c r="D59" s="259"/>
      <c r="E59" s="259">
        <v>11178936</v>
      </c>
      <c r="F59" s="259">
        <f t="shared" si="1"/>
        <v>70121968.727272719</v>
      </c>
      <c r="G59" s="260"/>
    </row>
    <row r="60" spans="1:7" ht="22.5" customHeight="1" x14ac:dyDescent="0.25">
      <c r="A60" s="262">
        <v>51</v>
      </c>
      <c r="B60" s="261">
        <v>44530</v>
      </c>
      <c r="C60" s="260" t="s">
        <v>1096</v>
      </c>
      <c r="D60" s="259">
        <v>33800000</v>
      </c>
      <c r="E60" s="259"/>
      <c r="F60" s="259">
        <f t="shared" si="1"/>
        <v>103921968.72727272</v>
      </c>
      <c r="G60" s="260"/>
    </row>
    <row r="61" spans="1:7" ht="22.5" customHeight="1" x14ac:dyDescent="0.25">
      <c r="A61" s="262">
        <v>52</v>
      </c>
      <c r="B61" s="261">
        <v>44561</v>
      </c>
      <c r="C61" s="260" t="s">
        <v>1097</v>
      </c>
      <c r="D61" s="259">
        <v>15654545</v>
      </c>
      <c r="E61" s="259"/>
      <c r="F61" s="259">
        <f t="shared" si="1"/>
        <v>119576513.72727272</v>
      </c>
      <c r="G61" s="260"/>
    </row>
    <row r="62" spans="1:7" ht="22.5" customHeight="1" x14ac:dyDescent="0.25">
      <c r="A62" s="262">
        <v>53</v>
      </c>
      <c r="B62" s="261">
        <v>44591</v>
      </c>
      <c r="C62" s="260" t="s">
        <v>1098</v>
      </c>
      <c r="D62" s="259"/>
      <c r="E62" s="259">
        <v>1100000</v>
      </c>
      <c r="F62" s="259">
        <f t="shared" si="1"/>
        <v>118476513.72727272</v>
      </c>
      <c r="G62" s="260"/>
    </row>
    <row r="63" spans="1:7" ht="22.5" customHeight="1" x14ac:dyDescent="0.25">
      <c r="A63" s="262">
        <v>54</v>
      </c>
      <c r="B63" s="261">
        <v>44650</v>
      </c>
      <c r="C63" s="260" t="s">
        <v>1099</v>
      </c>
      <c r="D63" s="259"/>
      <c r="E63" s="259">
        <v>23400000</v>
      </c>
      <c r="F63" s="259">
        <f t="shared" si="1"/>
        <v>95076513.727272719</v>
      </c>
      <c r="G63" s="260"/>
    </row>
    <row r="64" spans="1:7" ht="22.5" customHeight="1" x14ac:dyDescent="0.25">
      <c r="A64" s="262">
        <v>55</v>
      </c>
      <c r="B64" s="261">
        <v>44680</v>
      </c>
      <c r="C64" s="260" t="s">
        <v>1120</v>
      </c>
      <c r="D64" s="259"/>
      <c r="E64" s="259">
        <v>2000000</v>
      </c>
      <c r="F64" s="259">
        <f t="shared" si="1"/>
        <v>93076513.727272719</v>
      </c>
      <c r="G64" s="260"/>
    </row>
    <row r="65" spans="1:7" ht="22.5" customHeight="1" x14ac:dyDescent="0.25">
      <c r="A65" s="262">
        <v>56</v>
      </c>
      <c r="B65" s="261">
        <v>44711</v>
      </c>
      <c r="C65" s="260" t="s">
        <v>1170</v>
      </c>
      <c r="D65" s="259"/>
      <c r="E65" s="259">
        <v>600000</v>
      </c>
      <c r="F65" s="259">
        <f t="shared" si="1"/>
        <v>92476513.727272719</v>
      </c>
      <c r="G65" s="260"/>
    </row>
    <row r="66" spans="1:7" ht="22.5" customHeight="1" x14ac:dyDescent="0.25">
      <c r="A66" s="262">
        <v>57</v>
      </c>
      <c r="B66" s="261">
        <v>44742</v>
      </c>
      <c r="C66" s="260" t="s">
        <v>1217</v>
      </c>
      <c r="D66" s="259">
        <v>7550000</v>
      </c>
      <c r="E66" s="259"/>
      <c r="F66" s="259">
        <f t="shared" si="1"/>
        <v>100026513.72727272</v>
      </c>
      <c r="G66" s="260"/>
    </row>
    <row r="67" spans="1:7" ht="22.5" customHeight="1" x14ac:dyDescent="0.25">
      <c r="A67" s="262">
        <v>58</v>
      </c>
      <c r="B67" s="261">
        <v>44773</v>
      </c>
      <c r="C67" s="260" t="s">
        <v>1218</v>
      </c>
      <c r="D67" s="259">
        <v>180000</v>
      </c>
      <c r="E67" s="259"/>
      <c r="F67" s="259">
        <f t="shared" si="1"/>
        <v>100206513.72727272</v>
      </c>
      <c r="G67" s="260"/>
    </row>
    <row r="68" spans="1:7" ht="22.5" customHeight="1" x14ac:dyDescent="0.25">
      <c r="A68" s="262">
        <v>59</v>
      </c>
      <c r="B68" s="261">
        <v>44803</v>
      </c>
      <c r="C68" s="260" t="s">
        <v>1310</v>
      </c>
      <c r="D68" s="259"/>
      <c r="E68" s="259">
        <v>2207778</v>
      </c>
      <c r="F68" s="259">
        <f t="shared" si="1"/>
        <v>97998735.727272719</v>
      </c>
      <c r="G68" s="260"/>
    </row>
    <row r="69" spans="1:7" ht="22.5" customHeight="1" x14ac:dyDescent="0.25">
      <c r="A69" s="262">
        <v>60</v>
      </c>
      <c r="B69" s="261">
        <v>44834</v>
      </c>
      <c r="C69" s="260" t="s">
        <v>1314</v>
      </c>
      <c r="D69" s="259"/>
      <c r="E69" s="259">
        <v>5654222</v>
      </c>
      <c r="F69" s="259">
        <f t="shared" si="1"/>
        <v>92344513.727272719</v>
      </c>
      <c r="G69" s="260"/>
    </row>
    <row r="70" spans="1:7" ht="22.5" customHeight="1" x14ac:dyDescent="0.25">
      <c r="A70" s="262">
        <v>61</v>
      </c>
      <c r="B70" s="261">
        <v>44834</v>
      </c>
      <c r="C70" s="260" t="s">
        <v>1311</v>
      </c>
      <c r="D70" s="259"/>
      <c r="E70" s="259">
        <v>24890000</v>
      </c>
      <c r="F70" s="259">
        <f t="shared" si="1"/>
        <v>67454513.727272719</v>
      </c>
      <c r="G70" s="260"/>
    </row>
    <row r="71" spans="1:7" ht="22.5" customHeight="1" x14ac:dyDescent="0.25">
      <c r="A71" s="262">
        <v>62</v>
      </c>
      <c r="B71" s="261">
        <v>44864</v>
      </c>
      <c r="C71" s="260" t="s">
        <v>1312</v>
      </c>
      <c r="D71" s="259"/>
      <c r="E71" s="259">
        <v>37627037</v>
      </c>
      <c r="F71" s="259">
        <f t="shared" si="1"/>
        <v>29827476.727272719</v>
      </c>
      <c r="G71" s="260"/>
    </row>
    <row r="72" spans="1:7" ht="22.5" customHeight="1" x14ac:dyDescent="0.25">
      <c r="A72" s="262">
        <v>63</v>
      </c>
      <c r="B72" s="261">
        <v>44895</v>
      </c>
      <c r="C72" s="260" t="s">
        <v>1313</v>
      </c>
      <c r="D72" s="259"/>
      <c r="E72" s="259">
        <v>32910000</v>
      </c>
      <c r="F72" s="259">
        <f t="shared" si="1"/>
        <v>-3082523.2727272809</v>
      </c>
      <c r="G72" s="260"/>
    </row>
    <row r="73" spans="1:7" ht="22.5" customHeight="1" x14ac:dyDescent="0.25">
      <c r="A73" s="262">
        <v>64</v>
      </c>
      <c r="B73" s="261">
        <v>44925</v>
      </c>
      <c r="C73" s="260" t="s">
        <v>1361</v>
      </c>
      <c r="D73" s="259"/>
      <c r="E73" s="259">
        <v>19500000</v>
      </c>
      <c r="F73" s="259">
        <f t="shared" si="1"/>
        <v>-22582523.272727281</v>
      </c>
      <c r="G73" s="260"/>
    </row>
    <row r="74" spans="1:7" ht="22.5" customHeight="1" x14ac:dyDescent="0.25">
      <c r="A74" s="262">
        <v>65</v>
      </c>
      <c r="B74" s="261">
        <v>44956</v>
      </c>
      <c r="C74" s="260" t="s">
        <v>1384</v>
      </c>
      <c r="D74" s="259"/>
      <c r="E74" s="259">
        <v>200000</v>
      </c>
      <c r="F74" s="259">
        <f t="shared" si="1"/>
        <v>-22782523.272727281</v>
      </c>
      <c r="G74" s="260"/>
    </row>
    <row r="75" spans="1:7" ht="22.5" customHeight="1" x14ac:dyDescent="0.25">
      <c r="A75" s="262">
        <v>66</v>
      </c>
      <c r="B75" s="261">
        <v>44985</v>
      </c>
      <c r="C75" s="260" t="s">
        <v>1402</v>
      </c>
      <c r="D75" s="259">
        <v>17800000</v>
      </c>
      <c r="E75" s="259"/>
      <c r="F75" s="259">
        <f t="shared" si="1"/>
        <v>-4982523.2727272809</v>
      </c>
      <c r="G75" s="260"/>
    </row>
    <row r="76" spans="1:7" ht="22.5" customHeight="1" x14ac:dyDescent="0.25">
      <c r="A76" s="262">
        <v>67</v>
      </c>
      <c r="B76" s="261">
        <v>45016</v>
      </c>
      <c r="C76" s="260" t="s">
        <v>1461</v>
      </c>
      <c r="D76" s="259"/>
      <c r="E76" s="259">
        <v>4300000</v>
      </c>
      <c r="F76" s="259">
        <f t="shared" si="1"/>
        <v>-9282523.2727272809</v>
      </c>
      <c r="G76" s="260"/>
    </row>
    <row r="77" spans="1:7" ht="22.5" customHeight="1" x14ac:dyDescent="0.25">
      <c r="A77" s="262">
        <v>68</v>
      </c>
      <c r="B77" s="261">
        <v>45046</v>
      </c>
      <c r="C77" s="260" t="s">
        <v>1462</v>
      </c>
      <c r="D77" s="259"/>
      <c r="E77" s="259">
        <v>31600000</v>
      </c>
      <c r="F77" s="259">
        <f t="shared" si="1"/>
        <v>-40882523.272727281</v>
      </c>
      <c r="G77" s="260"/>
    </row>
    <row r="78" spans="1:7" ht="22.5" customHeight="1" x14ac:dyDescent="0.25">
      <c r="A78" s="262">
        <v>69</v>
      </c>
      <c r="B78" s="261">
        <v>45077</v>
      </c>
      <c r="C78" s="260" t="s">
        <v>1518</v>
      </c>
      <c r="D78" s="259">
        <v>31700000</v>
      </c>
      <c r="E78" s="259"/>
      <c r="F78" s="259">
        <f t="shared" si="1"/>
        <v>-9182523.2727272809</v>
      </c>
      <c r="G78" s="260"/>
    </row>
    <row r="79" spans="1:7" ht="22.5" customHeight="1" x14ac:dyDescent="0.25">
      <c r="A79" s="262">
        <v>70</v>
      </c>
      <c r="B79" s="261">
        <v>45107</v>
      </c>
      <c r="C79" s="260" t="s">
        <v>1519</v>
      </c>
      <c r="D79" s="259">
        <v>20300000</v>
      </c>
      <c r="E79" s="259"/>
      <c r="F79" s="259">
        <f t="shared" si="1"/>
        <v>11117476.727272719</v>
      </c>
      <c r="G79" s="260"/>
    </row>
    <row r="80" spans="1:7" ht="22.5" customHeight="1" x14ac:dyDescent="0.25">
      <c r="A80" s="262">
        <v>71</v>
      </c>
      <c r="B80" s="261">
        <v>45138</v>
      </c>
      <c r="C80" s="330" t="s">
        <v>1561</v>
      </c>
      <c r="D80" s="259">
        <v>5350000</v>
      </c>
      <c r="E80" s="259"/>
      <c r="F80" s="259">
        <f t="shared" si="1"/>
        <v>16467476.727272719</v>
      </c>
      <c r="G80" s="260"/>
    </row>
    <row r="81" spans="1:7" ht="22.5" customHeight="1" x14ac:dyDescent="0.25">
      <c r="A81" s="262">
        <v>72</v>
      </c>
      <c r="B81" s="261">
        <v>45169</v>
      </c>
      <c r="C81" s="260" t="s">
        <v>1585</v>
      </c>
      <c r="D81" s="259"/>
      <c r="E81" s="259">
        <v>16100000</v>
      </c>
      <c r="F81" s="259">
        <f t="shared" si="1"/>
        <v>367476.72727271914</v>
      </c>
      <c r="G81" s="260"/>
    </row>
    <row r="82" spans="1:7" ht="22.5" customHeight="1" x14ac:dyDescent="0.25">
      <c r="A82" s="262">
        <v>73</v>
      </c>
      <c r="B82" s="261">
        <v>45199</v>
      </c>
      <c r="C82" s="260" t="s">
        <v>1648</v>
      </c>
      <c r="D82" s="259">
        <v>5760556</v>
      </c>
      <c r="E82" s="259"/>
      <c r="F82" s="259">
        <f t="shared" si="1"/>
        <v>6128032.7272727191</v>
      </c>
      <c r="G82" s="260"/>
    </row>
    <row r="83" spans="1:7" ht="19.5" customHeight="1" x14ac:dyDescent="0.25">
      <c r="A83" s="262">
        <v>74</v>
      </c>
      <c r="B83" s="261">
        <v>45230</v>
      </c>
      <c r="C83" s="260" t="s">
        <v>1646</v>
      </c>
      <c r="D83" s="259"/>
      <c r="E83" s="259">
        <v>36780000</v>
      </c>
      <c r="F83" s="259">
        <f t="shared" si="1"/>
        <v>-30651967.272727281</v>
      </c>
      <c r="G83" s="260"/>
    </row>
    <row r="84" spans="1:7" ht="19.5" customHeight="1" x14ac:dyDescent="0.25">
      <c r="A84" s="262">
        <v>75</v>
      </c>
      <c r="B84" s="261">
        <v>45260</v>
      </c>
      <c r="C84" s="260" t="s">
        <v>1692</v>
      </c>
      <c r="D84" s="259">
        <v>33790000</v>
      </c>
      <c r="E84" s="259"/>
      <c r="F84" s="259">
        <f t="shared" si="1"/>
        <v>3138032.7272727191</v>
      </c>
      <c r="G84" s="260"/>
    </row>
    <row r="85" spans="1:7" ht="19.5" customHeight="1" x14ac:dyDescent="0.25">
      <c r="A85" s="262">
        <v>76</v>
      </c>
      <c r="B85" s="261">
        <v>45291</v>
      </c>
      <c r="C85" s="260" t="s">
        <v>1693</v>
      </c>
      <c r="D85" s="259"/>
      <c r="E85" s="259">
        <v>8110000</v>
      </c>
      <c r="F85" s="259">
        <f t="shared" si="1"/>
        <v>-4971967.2727272809</v>
      </c>
      <c r="G85" s="260"/>
    </row>
    <row r="86" spans="1:7" ht="19.5" customHeight="1" x14ac:dyDescent="0.25">
      <c r="A86" s="262">
        <v>77</v>
      </c>
      <c r="B86" s="261">
        <v>45321</v>
      </c>
      <c r="C86" s="260" t="s">
        <v>1731</v>
      </c>
      <c r="D86" s="259"/>
      <c r="E86" s="259">
        <v>15180000</v>
      </c>
      <c r="F86" s="259">
        <f t="shared" si="1"/>
        <v>-20151967.272727281</v>
      </c>
      <c r="G86" s="260"/>
    </row>
    <row r="87" spans="1:7" ht="19.5" customHeight="1" x14ac:dyDescent="0.25">
      <c r="A87" s="262">
        <v>78</v>
      </c>
      <c r="B87" s="261">
        <v>45351</v>
      </c>
      <c r="C87" s="260" t="s">
        <v>1720</v>
      </c>
      <c r="D87" s="259">
        <v>23300000</v>
      </c>
      <c r="E87" s="259"/>
      <c r="F87" s="259">
        <f t="shared" si="1"/>
        <v>3148032.7272727191</v>
      </c>
      <c r="G87" s="260"/>
    </row>
    <row r="88" spans="1:7" ht="19.5" customHeight="1" x14ac:dyDescent="0.25">
      <c r="A88" s="262">
        <v>79</v>
      </c>
      <c r="B88" s="261">
        <v>45381</v>
      </c>
      <c r="C88" s="260" t="s">
        <v>1749</v>
      </c>
      <c r="D88" s="259">
        <v>15300000</v>
      </c>
      <c r="E88" s="259"/>
      <c r="F88" s="259">
        <f t="shared" si="1"/>
        <v>18448032.727272719</v>
      </c>
      <c r="G88" s="260"/>
    </row>
    <row r="89" spans="1:7" ht="19.5" customHeight="1" x14ac:dyDescent="0.25">
      <c r="A89" s="262">
        <v>80</v>
      </c>
      <c r="B89" s="261">
        <v>45412</v>
      </c>
      <c r="C89" s="260" t="s">
        <v>1776</v>
      </c>
      <c r="D89" s="259"/>
      <c r="E89" s="259">
        <v>1600000</v>
      </c>
      <c r="F89" s="259">
        <f t="shared" si="1"/>
        <v>16848032.727272719</v>
      </c>
      <c r="G89" s="260"/>
    </row>
    <row r="90" spans="1:7" ht="19.5" customHeight="1" x14ac:dyDescent="0.25">
      <c r="A90" s="262">
        <v>81</v>
      </c>
      <c r="B90" s="261">
        <v>45442</v>
      </c>
      <c r="C90" s="260" t="s">
        <v>1796</v>
      </c>
      <c r="D90" s="259"/>
      <c r="E90" s="259">
        <v>24540000</v>
      </c>
      <c r="F90" s="259">
        <f t="shared" si="1"/>
        <v>-7691967.2727272809</v>
      </c>
      <c r="G90" s="260"/>
    </row>
    <row r="91" spans="1:7" ht="19.5" customHeight="1" x14ac:dyDescent="0.25">
      <c r="A91" s="262">
        <v>82</v>
      </c>
      <c r="B91" s="261">
        <v>45473</v>
      </c>
      <c r="C91" s="260" t="s">
        <v>1814</v>
      </c>
      <c r="D91" s="259"/>
      <c r="E91" s="259">
        <v>40670000</v>
      </c>
      <c r="F91" s="259">
        <f t="shared" si="1"/>
        <v>-48361967.272727281</v>
      </c>
      <c r="G91" s="260"/>
    </row>
    <row r="92" spans="1:7" ht="19.5" customHeight="1" x14ac:dyDescent="0.25">
      <c r="A92" s="262">
        <v>83</v>
      </c>
      <c r="B92" s="261">
        <v>45484</v>
      </c>
      <c r="C92" s="260" t="s">
        <v>1821</v>
      </c>
      <c r="D92" s="259">
        <v>10000000</v>
      </c>
      <c r="E92" s="259"/>
      <c r="F92" s="259">
        <f t="shared" si="1"/>
        <v>-38361967.272727281</v>
      </c>
      <c r="G92" s="260"/>
    </row>
    <row r="93" spans="1:7" ht="19.5" customHeight="1" x14ac:dyDescent="0.25">
      <c r="A93" s="262">
        <v>84</v>
      </c>
      <c r="B93" s="261">
        <v>45503</v>
      </c>
      <c r="C93" s="260" t="s">
        <v>1830</v>
      </c>
      <c r="D93" s="259">
        <v>2444400</v>
      </c>
      <c r="E93" s="259"/>
      <c r="F93" s="259">
        <f t="shared" si="1"/>
        <v>-35917567.272727281</v>
      </c>
      <c r="G93" s="260"/>
    </row>
    <row r="94" spans="1:7" ht="17.25" customHeight="1" x14ac:dyDescent="0.25">
      <c r="A94" s="262">
        <v>85</v>
      </c>
      <c r="B94" s="261">
        <v>45534</v>
      </c>
      <c r="C94" s="260" t="s">
        <v>1858</v>
      </c>
      <c r="D94" s="259">
        <v>22000000</v>
      </c>
      <c r="E94" s="259"/>
      <c r="F94" s="259">
        <f t="shared" si="1"/>
        <v>-13917567.272727281</v>
      </c>
      <c r="G94" s="260"/>
    </row>
    <row r="95" spans="1:7" ht="17.25" customHeight="1" x14ac:dyDescent="0.25">
      <c r="A95" s="262">
        <v>86</v>
      </c>
      <c r="B95" s="261">
        <v>45565</v>
      </c>
      <c r="C95" s="260" t="s">
        <v>1887</v>
      </c>
      <c r="D95" s="259"/>
      <c r="E95" s="259">
        <v>11090800</v>
      </c>
      <c r="F95" s="259">
        <f t="shared" ref="F95:F109" si="2">F94+D95-E95</f>
        <v>-25008367.272727281</v>
      </c>
      <c r="G95" s="260"/>
    </row>
    <row r="96" spans="1:7" ht="17.25" customHeight="1" x14ac:dyDescent="0.25">
      <c r="A96" s="262">
        <v>87</v>
      </c>
      <c r="B96" s="261">
        <v>45574</v>
      </c>
      <c r="C96" s="260" t="s">
        <v>1821</v>
      </c>
      <c r="D96" s="259">
        <v>25008367</v>
      </c>
      <c r="E96" s="259"/>
      <c r="F96" s="259">
        <f t="shared" si="2"/>
        <v>-0.27272728085517883</v>
      </c>
      <c r="G96" s="260"/>
    </row>
    <row r="97" spans="1:7" ht="17.25" customHeight="1" x14ac:dyDescent="0.25">
      <c r="A97" s="262">
        <v>88</v>
      </c>
      <c r="B97" s="261">
        <v>45595</v>
      </c>
      <c r="C97" s="260" t="s">
        <v>1931</v>
      </c>
      <c r="D97" s="259"/>
      <c r="E97" s="259">
        <v>31100000</v>
      </c>
      <c r="F97" s="259">
        <f t="shared" si="2"/>
        <v>-31100000.272727281</v>
      </c>
      <c r="G97" s="260"/>
    </row>
    <row r="98" spans="1:7" ht="17.25" customHeight="1" x14ac:dyDescent="0.25">
      <c r="A98" s="262">
        <v>89</v>
      </c>
      <c r="B98" s="261">
        <v>45628</v>
      </c>
      <c r="C98" s="260" t="s">
        <v>1821</v>
      </c>
      <c r="D98" s="259">
        <v>10000000</v>
      </c>
      <c r="E98" s="259"/>
      <c r="F98" s="259">
        <f t="shared" si="2"/>
        <v>-21100000.272727281</v>
      </c>
      <c r="G98" s="260" t="s">
        <v>1935</v>
      </c>
    </row>
    <row r="99" spans="1:7" ht="17.25" customHeight="1" x14ac:dyDescent="0.25">
      <c r="A99" s="262">
        <v>90</v>
      </c>
      <c r="B99" s="261">
        <v>45626</v>
      </c>
      <c r="C99" s="260" t="s">
        <v>1923</v>
      </c>
      <c r="D99" s="259">
        <v>570000</v>
      </c>
      <c r="E99" s="259"/>
      <c r="F99" s="259">
        <f t="shared" si="2"/>
        <v>-20530000.272727281</v>
      </c>
      <c r="G99" s="260"/>
    </row>
    <row r="100" spans="1:7" x14ac:dyDescent="0.25">
      <c r="A100" s="262">
        <v>91</v>
      </c>
      <c r="B100" s="261">
        <v>45649</v>
      </c>
      <c r="C100" s="260" t="s">
        <v>1821</v>
      </c>
      <c r="D100" s="259">
        <v>5000000</v>
      </c>
      <c r="E100" s="259"/>
      <c r="F100" s="259">
        <f t="shared" si="2"/>
        <v>-15530000.272727281</v>
      </c>
      <c r="G100" s="260"/>
    </row>
    <row r="101" spans="1:7" x14ac:dyDescent="0.25">
      <c r="A101" s="262">
        <v>92</v>
      </c>
      <c r="B101" s="261">
        <v>45656</v>
      </c>
      <c r="C101" s="260" t="s">
        <v>1941</v>
      </c>
      <c r="D101" s="259"/>
      <c r="E101" s="259">
        <v>12320000</v>
      </c>
      <c r="F101" s="259">
        <f t="shared" si="2"/>
        <v>-27850000.272727281</v>
      </c>
      <c r="G101" s="260"/>
    </row>
    <row r="102" spans="1:7" x14ac:dyDescent="0.25">
      <c r="A102" s="262">
        <v>93</v>
      </c>
      <c r="B102" s="261">
        <v>45677</v>
      </c>
      <c r="C102" s="260" t="s">
        <v>1963</v>
      </c>
      <c r="D102" s="259">
        <v>6100000</v>
      </c>
      <c r="E102" s="259"/>
      <c r="F102" s="259">
        <f t="shared" si="2"/>
        <v>-21750000.272727281</v>
      </c>
      <c r="G102" s="260"/>
    </row>
    <row r="103" spans="1:7" x14ac:dyDescent="0.25">
      <c r="A103" s="262">
        <v>94</v>
      </c>
      <c r="B103" s="261">
        <v>45681</v>
      </c>
      <c r="C103" s="260" t="s">
        <v>1821</v>
      </c>
      <c r="D103" s="259">
        <v>21750000</v>
      </c>
      <c r="E103" s="259"/>
      <c r="F103" s="259">
        <f t="shared" si="2"/>
        <v>-0.27272728085517883</v>
      </c>
      <c r="G103" s="260"/>
    </row>
    <row r="104" spans="1:7" x14ac:dyDescent="0.25">
      <c r="A104" s="262">
        <v>95</v>
      </c>
      <c r="B104" s="261">
        <v>45716</v>
      </c>
      <c r="C104" s="260" t="s">
        <v>1978</v>
      </c>
      <c r="D104" s="259">
        <v>30000000</v>
      </c>
      <c r="E104" s="259"/>
      <c r="F104" s="259">
        <f t="shared" si="2"/>
        <v>29999999.727272719</v>
      </c>
      <c r="G104" s="260"/>
    </row>
    <row r="105" spans="1:7" x14ac:dyDescent="0.25">
      <c r="A105" s="262">
        <v>96</v>
      </c>
      <c r="B105" s="261">
        <v>45746</v>
      </c>
      <c r="C105" s="260" t="s">
        <v>1990</v>
      </c>
      <c r="D105" s="259">
        <v>15179200</v>
      </c>
      <c r="E105" s="259"/>
      <c r="F105" s="259">
        <f t="shared" si="2"/>
        <v>45179199.727272719</v>
      </c>
      <c r="G105" s="260"/>
    </row>
    <row r="106" spans="1:7" x14ac:dyDescent="0.25">
      <c r="A106" s="262">
        <v>97</v>
      </c>
      <c r="B106" s="261">
        <v>45776</v>
      </c>
      <c r="C106" s="260" t="s">
        <v>1533</v>
      </c>
      <c r="D106" s="259"/>
      <c r="E106" s="259">
        <v>4028000</v>
      </c>
      <c r="F106" s="259">
        <f t="shared" si="2"/>
        <v>41151199.727272719</v>
      </c>
      <c r="G106" s="260"/>
    </row>
    <row r="107" spans="1:7" x14ac:dyDescent="0.25">
      <c r="A107" s="262">
        <v>98</v>
      </c>
      <c r="B107" s="261"/>
      <c r="C107" s="260"/>
      <c r="D107" s="259"/>
      <c r="E107" s="259"/>
      <c r="F107" s="259">
        <f t="shared" si="2"/>
        <v>41151199.727272719</v>
      </c>
      <c r="G107" s="260"/>
    </row>
    <row r="108" spans="1:7" x14ac:dyDescent="0.25">
      <c r="A108" s="262"/>
      <c r="B108" s="261"/>
      <c r="C108" s="260"/>
      <c r="D108" s="259"/>
      <c r="E108" s="259"/>
      <c r="F108" s="259">
        <f t="shared" si="2"/>
        <v>41151199.727272719</v>
      </c>
      <c r="G108" s="260"/>
    </row>
    <row r="109" spans="1:7" x14ac:dyDescent="0.25">
      <c r="A109" s="262"/>
      <c r="B109" s="261"/>
      <c r="C109" s="260"/>
      <c r="D109" s="259"/>
      <c r="E109" s="259"/>
      <c r="F109" s="259">
        <f t="shared" si="2"/>
        <v>41151199.727272719</v>
      </c>
      <c r="G109" s="260"/>
    </row>
    <row r="110" spans="1:7" x14ac:dyDescent="0.25">
      <c r="A110" s="262"/>
      <c r="B110" s="261"/>
      <c r="C110" s="260"/>
      <c r="D110" s="259"/>
      <c r="E110" s="259"/>
      <c r="F110" s="259"/>
      <c r="G110" s="260"/>
    </row>
    <row r="111" spans="1:7" x14ac:dyDescent="0.25">
      <c r="A111" s="262"/>
      <c r="B111" s="261"/>
      <c r="C111" s="260"/>
      <c r="D111" s="259"/>
      <c r="E111" s="259"/>
      <c r="F111" s="259"/>
      <c r="G111" s="260"/>
    </row>
    <row r="112" spans="1:7" x14ac:dyDescent="0.25">
      <c r="A112" s="262"/>
      <c r="B112" s="262"/>
      <c r="C112" s="260"/>
      <c r="D112" s="259"/>
      <c r="E112" s="259"/>
      <c r="F112" s="259"/>
      <c r="G112" s="260"/>
    </row>
    <row r="113" spans="1:7" x14ac:dyDescent="0.25">
      <c r="A113" s="262"/>
      <c r="B113" s="262"/>
      <c r="C113" s="260"/>
      <c r="D113" s="259"/>
      <c r="E113" s="259"/>
      <c r="F113" s="259"/>
      <c r="G113" s="335"/>
    </row>
    <row r="114" spans="1:7" x14ac:dyDescent="0.25">
      <c r="A114" s="262"/>
      <c r="B114" s="262"/>
      <c r="C114" s="260"/>
      <c r="D114" s="259"/>
      <c r="E114" s="259"/>
      <c r="F114" s="259"/>
    </row>
    <row r="115" spans="1:7" x14ac:dyDescent="0.25">
      <c r="A115" s="262"/>
      <c r="B115" s="262"/>
      <c r="C115" s="260"/>
      <c r="D115" s="259"/>
      <c r="E115" s="259"/>
      <c r="F115" s="259"/>
    </row>
    <row r="116" spans="1:7" x14ac:dyDescent="0.25">
      <c r="A116" s="262"/>
      <c r="B116" s="262"/>
      <c r="C116" s="260"/>
      <c r="D116" s="259"/>
      <c r="E116" s="259"/>
      <c r="F116" s="259"/>
    </row>
    <row r="117" spans="1:7" x14ac:dyDescent="0.25">
      <c r="A117" s="262"/>
      <c r="B117" s="262"/>
      <c r="C117" s="260"/>
      <c r="D117" s="259"/>
      <c r="E117" s="259"/>
      <c r="F117" s="259"/>
    </row>
    <row r="118" spans="1:7" x14ac:dyDescent="0.25">
      <c r="A118" s="262"/>
      <c r="B118" s="262"/>
      <c r="C118" s="260"/>
      <c r="D118" s="259"/>
      <c r="E118" s="259"/>
      <c r="F118" s="259"/>
    </row>
    <row r="119" spans="1:7" x14ac:dyDescent="0.25">
      <c r="A119" s="262"/>
      <c r="B119" s="262"/>
      <c r="C119" s="260"/>
      <c r="D119" s="259"/>
      <c r="E119" s="259"/>
      <c r="F119" s="259"/>
    </row>
    <row r="120" spans="1:7" x14ac:dyDescent="0.25">
      <c r="A120" s="262"/>
      <c r="B120" s="262"/>
      <c r="C120" s="260"/>
      <c r="D120" s="259"/>
      <c r="E120" s="259"/>
      <c r="F120" s="259"/>
    </row>
    <row r="121" spans="1:7" x14ac:dyDescent="0.25">
      <c r="A121" s="262"/>
      <c r="B121" s="262"/>
      <c r="C121" s="260"/>
      <c r="D121" s="259"/>
      <c r="E121" s="259"/>
      <c r="F121" s="259"/>
    </row>
    <row r="122" spans="1:7" x14ac:dyDescent="0.25">
      <c r="A122" s="262"/>
      <c r="B122" s="262"/>
      <c r="C122" s="260"/>
      <c r="D122" s="259"/>
      <c r="E122" s="259"/>
      <c r="F122" s="259"/>
    </row>
    <row r="123" spans="1:7" x14ac:dyDescent="0.25">
      <c r="A123" s="262"/>
      <c r="B123" s="262"/>
      <c r="C123" s="260"/>
      <c r="D123" s="259"/>
      <c r="E123" s="259"/>
      <c r="F123" s="259"/>
    </row>
    <row r="124" spans="1:7" x14ac:dyDescent="0.25">
      <c r="A124" s="262"/>
      <c r="B124" s="262"/>
      <c r="C124" s="260"/>
      <c r="D124" s="259"/>
      <c r="E124" s="259"/>
      <c r="F124" s="259"/>
    </row>
    <row r="125" spans="1:7" x14ac:dyDescent="0.25">
      <c r="A125" s="262"/>
      <c r="B125" s="262"/>
      <c r="C125" s="260"/>
      <c r="D125" s="259"/>
      <c r="E125" s="259"/>
      <c r="F125" s="259"/>
    </row>
    <row r="126" spans="1:7" x14ac:dyDescent="0.25">
      <c r="A126" s="262"/>
      <c r="B126" s="262"/>
      <c r="C126" s="260"/>
      <c r="D126" s="259"/>
      <c r="E126" s="259"/>
      <c r="F126" s="259"/>
    </row>
    <row r="127" spans="1:7" x14ac:dyDescent="0.25">
      <c r="A127" s="262"/>
      <c r="B127" s="262"/>
      <c r="C127" s="260"/>
      <c r="D127" s="259"/>
      <c r="E127" s="259"/>
      <c r="F127" s="259"/>
    </row>
    <row r="128" spans="1:7" x14ac:dyDescent="0.25">
      <c r="A128" s="262"/>
      <c r="B128" s="262"/>
      <c r="C128" s="260"/>
      <c r="D128" s="259"/>
      <c r="E128" s="259"/>
      <c r="F128" s="259"/>
    </row>
    <row r="129" spans="1:6" x14ac:dyDescent="0.25">
      <c r="A129" s="262"/>
      <c r="B129" s="262"/>
      <c r="C129" s="260"/>
      <c r="D129" s="259"/>
      <c r="E129" s="259"/>
      <c r="F129" s="259"/>
    </row>
    <row r="130" spans="1:6" x14ac:dyDescent="0.25">
      <c r="A130" s="262"/>
      <c r="B130" s="262"/>
      <c r="C130" s="260"/>
      <c r="D130" s="259"/>
      <c r="E130" s="259"/>
      <c r="F130" s="259"/>
    </row>
    <row r="131" spans="1:6" x14ac:dyDescent="0.25">
      <c r="A131" s="262"/>
      <c r="B131" s="262"/>
      <c r="C131" s="260"/>
      <c r="D131" s="259"/>
      <c r="E131" s="259"/>
      <c r="F131" s="259"/>
    </row>
    <row r="132" spans="1:6" x14ac:dyDescent="0.25">
      <c r="A132" s="262"/>
      <c r="B132" s="262"/>
      <c r="C132" s="260"/>
      <c r="D132" s="259"/>
      <c r="E132" s="259"/>
      <c r="F132" s="259"/>
    </row>
    <row r="133" spans="1:6" x14ac:dyDescent="0.25">
      <c r="A133" s="262"/>
      <c r="B133" s="262"/>
      <c r="C133" s="260"/>
      <c r="D133" s="259"/>
      <c r="E133" s="259"/>
      <c r="F133" s="259"/>
    </row>
    <row r="134" spans="1:6" x14ac:dyDescent="0.25">
      <c r="A134" s="262"/>
      <c r="B134" s="262"/>
      <c r="C134" s="260"/>
      <c r="D134" s="259"/>
      <c r="E134" s="259"/>
      <c r="F134" s="259"/>
    </row>
    <row r="135" spans="1:6" x14ac:dyDescent="0.25">
      <c r="A135" s="262"/>
      <c r="B135" s="262"/>
      <c r="C135" s="260"/>
      <c r="D135" s="259"/>
      <c r="E135" s="259"/>
      <c r="F135" s="259"/>
    </row>
    <row r="136" spans="1:6" x14ac:dyDescent="0.25">
      <c r="A136" s="262"/>
      <c r="B136" s="262"/>
      <c r="C136" s="260"/>
      <c r="D136" s="259"/>
      <c r="E136" s="259"/>
      <c r="F136" s="259"/>
    </row>
    <row r="137" spans="1:6" x14ac:dyDescent="0.25">
      <c r="A137" s="262"/>
      <c r="B137" s="262"/>
      <c r="C137" s="260"/>
      <c r="D137" s="259"/>
      <c r="E137" s="259"/>
      <c r="F137" s="259"/>
    </row>
    <row r="138" spans="1:6" x14ac:dyDescent="0.25">
      <c r="A138" s="262"/>
      <c r="B138" s="262"/>
      <c r="C138" s="260"/>
      <c r="D138" s="259"/>
      <c r="E138" s="259"/>
      <c r="F138" s="259"/>
    </row>
    <row r="139" spans="1:6" x14ac:dyDescent="0.25">
      <c r="A139" s="262"/>
      <c r="B139" s="262"/>
      <c r="C139" s="260"/>
      <c r="D139" s="259"/>
      <c r="E139" s="259"/>
      <c r="F139" s="259"/>
    </row>
    <row r="140" spans="1:6" x14ac:dyDescent="0.25">
      <c r="A140" s="262"/>
      <c r="B140" s="262"/>
      <c r="C140" s="260"/>
      <c r="D140" s="259"/>
      <c r="E140" s="259"/>
      <c r="F140" s="259"/>
    </row>
    <row r="141" spans="1:6" x14ac:dyDescent="0.25">
      <c r="A141" s="262"/>
      <c r="B141" s="262"/>
      <c r="C141" s="260"/>
      <c r="D141" s="259"/>
      <c r="E141" s="259"/>
      <c r="F141" s="259"/>
    </row>
    <row r="142" spans="1:6" x14ac:dyDescent="0.25">
      <c r="A142" s="262"/>
      <c r="B142" s="262"/>
      <c r="C142" s="260"/>
      <c r="D142" s="259"/>
      <c r="E142" s="259"/>
      <c r="F142" s="259"/>
    </row>
    <row r="143" spans="1:6" x14ac:dyDescent="0.25">
      <c r="A143" s="262"/>
      <c r="B143" s="262"/>
      <c r="C143" s="260"/>
      <c r="D143" s="259"/>
      <c r="E143" s="259"/>
      <c r="F143" s="259"/>
    </row>
    <row r="144" spans="1:6" x14ac:dyDescent="0.25">
      <c r="A144" s="262"/>
      <c r="B144" s="262"/>
      <c r="C144" s="260"/>
      <c r="D144" s="259"/>
      <c r="E144" s="259"/>
      <c r="F144" s="259"/>
    </row>
    <row r="145" spans="1:6" x14ac:dyDescent="0.25">
      <c r="A145" s="262"/>
      <c r="B145" s="262"/>
      <c r="C145" s="260"/>
      <c r="D145" s="259"/>
      <c r="E145" s="259"/>
      <c r="F145" s="259"/>
    </row>
    <row r="146" spans="1:6" x14ac:dyDescent="0.25">
      <c r="A146" s="262"/>
      <c r="B146" s="262"/>
      <c r="C146" s="260"/>
      <c r="D146" s="259"/>
      <c r="E146" s="259"/>
      <c r="F146" s="259"/>
    </row>
    <row r="147" spans="1:6" x14ac:dyDescent="0.25">
      <c r="A147" s="262"/>
      <c r="B147" s="262"/>
      <c r="C147" s="260"/>
      <c r="D147" s="259"/>
      <c r="E147" s="259"/>
      <c r="F147" s="259"/>
    </row>
    <row r="148" spans="1:6" x14ac:dyDescent="0.25">
      <c r="A148" s="262"/>
      <c r="B148" s="262"/>
      <c r="C148" s="260"/>
      <c r="D148" s="259"/>
      <c r="E148" s="259"/>
      <c r="F148" s="259"/>
    </row>
    <row r="149" spans="1:6" x14ac:dyDescent="0.25">
      <c r="A149" s="262"/>
      <c r="B149" s="262"/>
      <c r="C149" s="260"/>
      <c r="D149" s="259"/>
      <c r="E149" s="259"/>
      <c r="F149" s="259"/>
    </row>
    <row r="150" spans="1:6" x14ac:dyDescent="0.25">
      <c r="A150" s="262"/>
      <c r="B150" s="262"/>
      <c r="C150" s="260"/>
      <c r="D150" s="259"/>
      <c r="E150" s="259"/>
      <c r="F150" s="259"/>
    </row>
    <row r="151" spans="1:6" x14ac:dyDescent="0.25">
      <c r="A151" s="262"/>
      <c r="B151" s="262"/>
      <c r="C151" s="260"/>
      <c r="D151" s="259"/>
      <c r="E151" s="259"/>
      <c r="F151" s="259"/>
    </row>
    <row r="152" spans="1:6" x14ac:dyDescent="0.25">
      <c r="A152" s="262"/>
      <c r="B152" s="262"/>
      <c r="C152" s="260"/>
      <c r="D152" s="259"/>
      <c r="E152" s="259"/>
      <c r="F152" s="259"/>
    </row>
    <row r="153" spans="1:6" x14ac:dyDescent="0.25">
      <c r="A153" s="262"/>
      <c r="B153" s="262"/>
      <c r="C153" s="260"/>
      <c r="D153" s="259"/>
      <c r="E153" s="259"/>
      <c r="F153" s="259"/>
    </row>
    <row r="154" spans="1:6" x14ac:dyDescent="0.25">
      <c r="A154" s="262"/>
      <c r="B154" s="262"/>
      <c r="C154" s="260"/>
      <c r="D154" s="259"/>
      <c r="E154" s="259"/>
      <c r="F154" s="259"/>
    </row>
    <row r="155" spans="1:6" x14ac:dyDescent="0.25">
      <c r="A155" s="262"/>
      <c r="B155" s="262"/>
      <c r="C155" s="260"/>
      <c r="D155" s="259"/>
      <c r="E155" s="259"/>
      <c r="F155" s="259"/>
    </row>
    <row r="156" spans="1:6" x14ac:dyDescent="0.25">
      <c r="A156" s="262"/>
      <c r="B156" s="262"/>
      <c r="C156" s="260"/>
      <c r="D156" s="259"/>
      <c r="E156" s="259"/>
      <c r="F156" s="259"/>
    </row>
    <row r="157" spans="1:6" x14ac:dyDescent="0.25">
      <c r="A157" s="262"/>
      <c r="B157" s="262"/>
      <c r="C157" s="260"/>
      <c r="D157" s="259"/>
      <c r="E157" s="259"/>
      <c r="F157" s="259"/>
    </row>
    <row r="158" spans="1:6" x14ac:dyDescent="0.25">
      <c r="A158" s="262"/>
      <c r="B158" s="262"/>
      <c r="C158" s="260"/>
      <c r="D158" s="259"/>
      <c r="E158" s="259"/>
      <c r="F158" s="259"/>
    </row>
    <row r="159" spans="1:6" x14ac:dyDescent="0.25">
      <c r="A159" s="262"/>
      <c r="B159" s="262"/>
      <c r="C159" s="260"/>
      <c r="D159" s="259"/>
      <c r="E159" s="259"/>
      <c r="F159" s="259"/>
    </row>
    <row r="160" spans="1:6" x14ac:dyDescent="0.25">
      <c r="A160" s="262"/>
      <c r="B160" s="262"/>
      <c r="C160" s="260"/>
      <c r="D160" s="259"/>
      <c r="E160" s="259"/>
      <c r="F160" s="259"/>
    </row>
    <row r="161" spans="1:6" x14ac:dyDescent="0.25">
      <c r="A161" s="262"/>
      <c r="B161" s="262"/>
      <c r="C161" s="260"/>
      <c r="D161" s="259"/>
      <c r="E161" s="259"/>
      <c r="F161" s="259"/>
    </row>
    <row r="162" spans="1:6" x14ac:dyDescent="0.25">
      <c r="A162" s="262"/>
      <c r="B162" s="262"/>
      <c r="C162" s="260"/>
      <c r="D162" s="259"/>
      <c r="E162" s="259"/>
      <c r="F162" s="259"/>
    </row>
    <row r="163" spans="1:6" x14ac:dyDescent="0.25">
      <c r="A163" s="262"/>
      <c r="B163" s="262"/>
      <c r="C163" s="260"/>
      <c r="D163" s="259"/>
      <c r="E163" s="259"/>
      <c r="F163" s="259"/>
    </row>
    <row r="164" spans="1:6" x14ac:dyDescent="0.25">
      <c r="A164" s="262"/>
      <c r="B164" s="262"/>
      <c r="C164" s="260"/>
      <c r="D164" s="259"/>
      <c r="E164" s="259"/>
      <c r="F164" s="259"/>
    </row>
    <row r="165" spans="1:6" x14ac:dyDescent="0.25">
      <c r="A165" s="262"/>
      <c r="B165" s="262"/>
      <c r="C165" s="260"/>
      <c r="D165" s="259"/>
      <c r="E165" s="259"/>
      <c r="F165" s="259"/>
    </row>
    <row r="166" spans="1:6" x14ac:dyDescent="0.25">
      <c r="A166" s="262"/>
      <c r="B166" s="262"/>
      <c r="C166" s="260"/>
      <c r="D166" s="259"/>
      <c r="E166" s="259"/>
      <c r="F166" s="259"/>
    </row>
    <row r="167" spans="1:6" x14ac:dyDescent="0.25">
      <c r="A167" s="262"/>
      <c r="B167" s="262"/>
      <c r="C167" s="260"/>
      <c r="D167" s="259"/>
      <c r="E167" s="259"/>
      <c r="F167" s="259"/>
    </row>
    <row r="168" spans="1:6" x14ac:dyDescent="0.25">
      <c r="A168" s="262"/>
      <c r="B168" s="262"/>
      <c r="C168" s="260"/>
      <c r="D168" s="259"/>
      <c r="E168" s="259"/>
      <c r="F168" s="259"/>
    </row>
    <row r="169" spans="1:6" x14ac:dyDescent="0.25">
      <c r="A169" s="262"/>
      <c r="B169" s="262"/>
      <c r="C169" s="260"/>
      <c r="D169" s="259"/>
      <c r="E169" s="259"/>
      <c r="F169" s="259"/>
    </row>
  </sheetData>
  <mergeCells count="7">
    <mergeCell ref="G8:G9"/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1400-000000000000}"/>
  </hyperlinks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79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  <col min="10" max="10" width="11.5703125" bestFit="1" customWidth="1"/>
  </cols>
  <sheetData>
    <row r="1" spans="1:9" x14ac:dyDescent="0.25">
      <c r="A1" s="1"/>
      <c r="B1" s="252"/>
      <c r="G1" s="1" t="s">
        <v>16</v>
      </c>
    </row>
    <row r="2" spans="1:9" x14ac:dyDescent="0.25">
      <c r="A2" s="411" t="s">
        <v>3</v>
      </c>
      <c r="B2" s="411"/>
      <c r="C2" s="411"/>
      <c r="D2" s="411"/>
      <c r="E2" s="411"/>
      <c r="F2" s="411"/>
    </row>
    <row r="3" spans="1:9" x14ac:dyDescent="0.25">
      <c r="A3" t="s">
        <v>4</v>
      </c>
      <c r="D3" s="2" t="s">
        <v>1449</v>
      </c>
    </row>
    <row r="4" spans="1:9" x14ac:dyDescent="0.25">
      <c r="E4" s="2" t="s">
        <v>9</v>
      </c>
    </row>
    <row r="5" spans="1:9" x14ac:dyDescent="0.25">
      <c r="A5" t="s">
        <v>13</v>
      </c>
      <c r="D5" s="3">
        <f ca="1">+'Tổng hợp'!$G$2</f>
        <v>45784</v>
      </c>
      <c r="E5" s="2" t="s">
        <v>10</v>
      </c>
      <c r="F5" s="2">
        <f>SUM(D10:D70)</f>
        <v>212000000</v>
      </c>
    </row>
    <row r="6" spans="1:9" x14ac:dyDescent="0.25">
      <c r="E6" s="2" t="s">
        <v>11</v>
      </c>
      <c r="F6" s="2">
        <f>SUM(E10:E70)</f>
        <v>210300000</v>
      </c>
    </row>
    <row r="7" spans="1:9" x14ac:dyDescent="0.25">
      <c r="E7" s="2" t="s">
        <v>12</v>
      </c>
      <c r="F7" s="2">
        <f>+F4+F5-F6</f>
        <v>1700000</v>
      </c>
    </row>
    <row r="8" spans="1:9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555</v>
      </c>
      <c r="G8" s="412" t="s">
        <v>2</v>
      </c>
    </row>
    <row r="9" spans="1:9" x14ac:dyDescent="0.25">
      <c r="A9" s="412"/>
      <c r="B9" s="412"/>
      <c r="C9" s="412"/>
      <c r="D9" s="265" t="s">
        <v>6</v>
      </c>
      <c r="E9" s="265" t="s">
        <v>7</v>
      </c>
      <c r="F9" s="415"/>
      <c r="G9" s="412"/>
    </row>
    <row r="10" spans="1:9" x14ac:dyDescent="0.25">
      <c r="A10" s="262">
        <v>1</v>
      </c>
      <c r="B10" s="261">
        <v>45015</v>
      </c>
      <c r="C10" s="260" t="s">
        <v>1450</v>
      </c>
      <c r="D10" s="259">
        <v>3700000</v>
      </c>
      <c r="E10" s="259"/>
      <c r="F10" s="259">
        <f>D10-E10</f>
        <v>3700000</v>
      </c>
      <c r="G10" s="260"/>
    </row>
    <row r="11" spans="1:9" x14ac:dyDescent="0.25">
      <c r="A11" s="262">
        <v>2</v>
      </c>
      <c r="B11" s="261">
        <v>45046</v>
      </c>
      <c r="C11" s="260" t="s">
        <v>1451</v>
      </c>
      <c r="D11" s="259">
        <v>128900000</v>
      </c>
      <c r="E11" s="259"/>
      <c r="F11" s="259">
        <f>F10+D11-E11</f>
        <v>132600000</v>
      </c>
      <c r="G11" s="260"/>
    </row>
    <row r="12" spans="1:9" x14ac:dyDescent="0.25">
      <c r="A12" s="262">
        <v>3</v>
      </c>
      <c r="B12" s="261">
        <v>45077</v>
      </c>
      <c r="C12" s="260" t="s">
        <v>1489</v>
      </c>
      <c r="D12" s="259">
        <v>4000000</v>
      </c>
      <c r="E12" s="259"/>
      <c r="F12" s="259">
        <f t="shared" ref="F12:F75" si="0">F11+D12-E12</f>
        <v>136600000</v>
      </c>
      <c r="G12" s="260"/>
    </row>
    <row r="13" spans="1:9" x14ac:dyDescent="0.25">
      <c r="A13" s="262">
        <v>4</v>
      </c>
      <c r="B13" s="261">
        <v>45107</v>
      </c>
      <c r="C13" s="260" t="s">
        <v>177</v>
      </c>
      <c r="D13" s="259"/>
      <c r="E13" s="259">
        <v>8400000</v>
      </c>
      <c r="F13" s="259">
        <f t="shared" si="0"/>
        <v>128200000</v>
      </c>
      <c r="G13" s="260"/>
    </row>
    <row r="14" spans="1:9" x14ac:dyDescent="0.25">
      <c r="A14" s="262">
        <v>5</v>
      </c>
      <c r="B14" s="261">
        <v>45117</v>
      </c>
      <c r="C14" s="260" t="s">
        <v>1529</v>
      </c>
      <c r="D14" s="259"/>
      <c r="E14" s="259">
        <v>128200000</v>
      </c>
      <c r="F14" s="259">
        <f t="shared" si="0"/>
        <v>0</v>
      </c>
      <c r="G14" s="260"/>
      <c r="I14" t="s">
        <v>234</v>
      </c>
    </row>
    <row r="15" spans="1:9" x14ac:dyDescent="0.25">
      <c r="A15" s="262">
        <v>6</v>
      </c>
      <c r="B15" s="261">
        <v>45169</v>
      </c>
      <c r="C15" s="260" t="s">
        <v>259</v>
      </c>
      <c r="D15" s="259">
        <v>12400000</v>
      </c>
      <c r="E15" s="259"/>
      <c r="F15" s="259">
        <f t="shared" si="0"/>
        <v>12400000</v>
      </c>
      <c r="G15" s="260"/>
    </row>
    <row r="16" spans="1:9" x14ac:dyDescent="0.25">
      <c r="A16" s="262">
        <v>7</v>
      </c>
      <c r="B16" s="261">
        <v>45255</v>
      </c>
      <c r="C16" s="260" t="s">
        <v>1529</v>
      </c>
      <c r="D16" s="259"/>
      <c r="E16" s="259">
        <v>12400000</v>
      </c>
      <c r="F16" s="259">
        <f t="shared" si="0"/>
        <v>0</v>
      </c>
      <c r="G16" s="260"/>
    </row>
    <row r="17" spans="1:7" x14ac:dyDescent="0.25">
      <c r="A17" s="262">
        <v>8</v>
      </c>
      <c r="B17" s="261">
        <v>45260</v>
      </c>
      <c r="C17" s="260" t="s">
        <v>1454</v>
      </c>
      <c r="D17" s="259">
        <v>10300000</v>
      </c>
      <c r="E17" s="259"/>
      <c r="F17" s="259">
        <f t="shared" si="0"/>
        <v>10300000</v>
      </c>
      <c r="G17" s="260"/>
    </row>
    <row r="18" spans="1:7" x14ac:dyDescent="0.25">
      <c r="A18" s="262">
        <v>9</v>
      </c>
      <c r="B18" s="261">
        <v>45657</v>
      </c>
      <c r="C18" s="260" t="s">
        <v>1454</v>
      </c>
      <c r="D18" s="259">
        <v>1600000</v>
      </c>
      <c r="E18" s="259"/>
      <c r="F18" s="259">
        <f t="shared" si="0"/>
        <v>11900000</v>
      </c>
      <c r="G18" s="260"/>
    </row>
    <row r="19" spans="1:7" x14ac:dyDescent="0.25">
      <c r="A19" s="262">
        <v>10</v>
      </c>
      <c r="B19" s="261">
        <v>45345</v>
      </c>
      <c r="C19" s="260" t="s">
        <v>1529</v>
      </c>
      <c r="D19" s="259"/>
      <c r="E19" s="259">
        <v>10300000</v>
      </c>
      <c r="F19" s="259">
        <f t="shared" si="0"/>
        <v>1600000</v>
      </c>
      <c r="G19" s="260"/>
    </row>
    <row r="20" spans="1:7" x14ac:dyDescent="0.25">
      <c r="A20" s="262">
        <v>11</v>
      </c>
      <c r="B20" s="261">
        <v>45390</v>
      </c>
      <c r="C20" s="260" t="s">
        <v>1529</v>
      </c>
      <c r="D20" s="259"/>
      <c r="E20" s="259">
        <v>1600000</v>
      </c>
      <c r="F20" s="259">
        <f t="shared" si="0"/>
        <v>0</v>
      </c>
      <c r="G20" s="260"/>
    </row>
    <row r="21" spans="1:7" x14ac:dyDescent="0.25">
      <c r="A21" s="262">
        <v>12</v>
      </c>
      <c r="B21" s="261">
        <v>45381</v>
      </c>
      <c r="C21" s="260" t="s">
        <v>619</v>
      </c>
      <c r="D21" s="259">
        <v>11000000</v>
      </c>
      <c r="E21" s="259"/>
      <c r="F21" s="259">
        <f t="shared" si="0"/>
        <v>11000000</v>
      </c>
      <c r="G21" s="260"/>
    </row>
    <row r="22" spans="1:7" x14ac:dyDescent="0.25">
      <c r="A22" s="262">
        <v>13</v>
      </c>
      <c r="B22" s="261">
        <v>45412</v>
      </c>
      <c r="C22" s="260" t="s">
        <v>619</v>
      </c>
      <c r="D22" s="259">
        <v>3400000</v>
      </c>
      <c r="E22" s="259"/>
      <c r="F22" s="259">
        <f t="shared" si="0"/>
        <v>14400000</v>
      </c>
      <c r="G22" s="260"/>
    </row>
    <row r="23" spans="1:7" x14ac:dyDescent="0.25">
      <c r="A23" s="262">
        <v>14</v>
      </c>
      <c r="B23" s="261">
        <v>45442</v>
      </c>
      <c r="C23" s="260" t="s">
        <v>1454</v>
      </c>
      <c r="D23" s="259">
        <v>20000000</v>
      </c>
      <c r="E23" s="259"/>
      <c r="F23" s="259">
        <f t="shared" si="0"/>
        <v>34400000</v>
      </c>
      <c r="G23" s="260"/>
    </row>
    <row r="24" spans="1:7" x14ac:dyDescent="0.25">
      <c r="A24" s="262">
        <v>15</v>
      </c>
      <c r="B24" s="261">
        <v>45458</v>
      </c>
      <c r="C24" s="260" t="s">
        <v>1529</v>
      </c>
      <c r="D24" s="259"/>
      <c r="E24" s="259">
        <v>11000000</v>
      </c>
      <c r="F24" s="259">
        <f t="shared" si="0"/>
        <v>23400000</v>
      </c>
      <c r="G24" s="260"/>
    </row>
    <row r="25" spans="1:7" x14ac:dyDescent="0.25">
      <c r="A25" s="262">
        <v>16</v>
      </c>
      <c r="B25" s="261">
        <v>45473</v>
      </c>
      <c r="C25" s="260" t="s">
        <v>1507</v>
      </c>
      <c r="D25" s="259">
        <v>6400000</v>
      </c>
      <c r="E25" s="259"/>
      <c r="F25" s="259">
        <f t="shared" si="0"/>
        <v>29800000</v>
      </c>
      <c r="G25" s="260"/>
    </row>
    <row r="26" spans="1:7" x14ac:dyDescent="0.25">
      <c r="A26" s="262">
        <v>17</v>
      </c>
      <c r="B26" s="261">
        <v>45503</v>
      </c>
      <c r="C26" s="260" t="s">
        <v>1544</v>
      </c>
      <c r="D26" s="259">
        <v>4600000</v>
      </c>
      <c r="E26" s="259"/>
      <c r="F26" s="259">
        <f t="shared" si="0"/>
        <v>34400000</v>
      </c>
      <c r="G26" s="260"/>
    </row>
    <row r="27" spans="1:7" x14ac:dyDescent="0.25">
      <c r="A27" s="262">
        <v>18</v>
      </c>
      <c r="B27" s="261">
        <v>45511</v>
      </c>
      <c r="C27" s="260" t="s">
        <v>1529</v>
      </c>
      <c r="D27" s="259"/>
      <c r="E27" s="259">
        <v>3400000</v>
      </c>
      <c r="F27" s="259">
        <f t="shared" si="0"/>
        <v>31000000</v>
      </c>
      <c r="G27" s="260"/>
    </row>
    <row r="28" spans="1:7" x14ac:dyDescent="0.25">
      <c r="A28" s="262">
        <v>19</v>
      </c>
      <c r="B28" s="261">
        <v>45534</v>
      </c>
      <c r="C28" s="260" t="s">
        <v>1572</v>
      </c>
      <c r="D28" s="259">
        <v>4000000</v>
      </c>
      <c r="E28" s="259"/>
      <c r="F28" s="259">
        <f t="shared" si="0"/>
        <v>35000000</v>
      </c>
      <c r="G28" s="260"/>
    </row>
    <row r="29" spans="1:7" x14ac:dyDescent="0.25">
      <c r="A29" s="262">
        <v>20</v>
      </c>
      <c r="B29" s="261">
        <v>45551</v>
      </c>
      <c r="C29" s="260" t="s">
        <v>1529</v>
      </c>
      <c r="D29" s="259"/>
      <c r="E29" s="259">
        <v>20000000</v>
      </c>
      <c r="F29" s="259">
        <f t="shared" si="0"/>
        <v>15000000</v>
      </c>
      <c r="G29" s="260"/>
    </row>
    <row r="30" spans="1:7" x14ac:dyDescent="0.25">
      <c r="A30" s="262">
        <v>21</v>
      </c>
      <c r="B30" s="261">
        <v>45577</v>
      </c>
      <c r="C30" s="260" t="s">
        <v>1529</v>
      </c>
      <c r="D30" s="259"/>
      <c r="E30" s="259">
        <v>6400000</v>
      </c>
      <c r="F30" s="259">
        <f t="shared" si="0"/>
        <v>8600000</v>
      </c>
      <c r="G30" s="260"/>
    </row>
    <row r="31" spans="1:7" x14ac:dyDescent="0.25">
      <c r="A31" s="262">
        <v>22</v>
      </c>
      <c r="B31" s="261">
        <v>45642</v>
      </c>
      <c r="C31" s="260" t="s">
        <v>1529</v>
      </c>
      <c r="D31" s="259"/>
      <c r="E31" s="259">
        <v>8600000</v>
      </c>
      <c r="F31" s="259">
        <f t="shared" si="0"/>
        <v>0</v>
      </c>
      <c r="G31" s="260"/>
    </row>
    <row r="32" spans="1:7" x14ac:dyDescent="0.25">
      <c r="A32" s="262">
        <v>23</v>
      </c>
      <c r="B32" s="261">
        <v>45716</v>
      </c>
      <c r="C32" s="260" t="s">
        <v>1391</v>
      </c>
      <c r="D32" s="259">
        <v>1700000</v>
      </c>
      <c r="E32" s="259"/>
      <c r="F32" s="259">
        <f t="shared" si="0"/>
        <v>1700000</v>
      </c>
      <c r="G32" s="260"/>
    </row>
    <row r="33" spans="1:10" x14ac:dyDescent="0.25">
      <c r="A33" s="262">
        <v>24</v>
      </c>
      <c r="B33" s="261"/>
      <c r="C33" s="260"/>
      <c r="D33" s="259"/>
      <c r="E33" s="259"/>
      <c r="F33" s="259">
        <f t="shared" si="0"/>
        <v>1700000</v>
      </c>
      <c r="G33" s="260"/>
    </row>
    <row r="34" spans="1:10" x14ac:dyDescent="0.25">
      <c r="A34" s="262">
        <v>25</v>
      </c>
      <c r="B34" s="261"/>
      <c r="C34" s="260"/>
      <c r="D34" s="259"/>
      <c r="E34" s="259"/>
      <c r="F34" s="259">
        <f t="shared" si="0"/>
        <v>1700000</v>
      </c>
      <c r="G34" s="260"/>
    </row>
    <row r="35" spans="1:10" x14ac:dyDescent="0.25">
      <c r="A35" s="262">
        <v>26</v>
      </c>
      <c r="B35" s="261"/>
      <c r="C35" s="260"/>
      <c r="D35" s="259"/>
      <c r="E35" s="259"/>
      <c r="F35" s="259">
        <f t="shared" si="0"/>
        <v>1700000</v>
      </c>
      <c r="G35" s="260"/>
    </row>
    <row r="36" spans="1:10" x14ac:dyDescent="0.25">
      <c r="A36" s="262">
        <v>27</v>
      </c>
      <c r="B36" s="261"/>
      <c r="C36" s="260"/>
      <c r="D36" s="259"/>
      <c r="E36" s="259"/>
      <c r="F36" s="259">
        <f t="shared" si="0"/>
        <v>1700000</v>
      </c>
      <c r="G36" s="260"/>
    </row>
    <row r="37" spans="1:10" x14ac:dyDescent="0.25">
      <c r="A37" s="262">
        <v>28</v>
      </c>
      <c r="B37" s="261"/>
      <c r="C37" s="260"/>
      <c r="D37" s="259"/>
      <c r="E37" s="259"/>
      <c r="F37" s="259">
        <f t="shared" si="0"/>
        <v>1700000</v>
      </c>
      <c r="G37" s="260"/>
    </row>
    <row r="38" spans="1:10" x14ac:dyDescent="0.25">
      <c r="A38" s="262">
        <v>29</v>
      </c>
      <c r="B38" s="261"/>
      <c r="C38" s="260"/>
      <c r="D38" s="259"/>
      <c r="E38" s="259"/>
      <c r="F38" s="259">
        <f t="shared" si="0"/>
        <v>1700000</v>
      </c>
      <c r="G38" s="260"/>
    </row>
    <row r="39" spans="1:10" x14ac:dyDescent="0.25">
      <c r="A39" s="262">
        <v>30</v>
      </c>
      <c r="B39" s="261"/>
      <c r="C39" s="260"/>
      <c r="D39" s="259"/>
      <c r="E39" s="259"/>
      <c r="F39" s="259">
        <f t="shared" si="0"/>
        <v>1700000</v>
      </c>
      <c r="G39" s="260"/>
    </row>
    <row r="40" spans="1:10" x14ac:dyDescent="0.25">
      <c r="A40" s="262">
        <v>31</v>
      </c>
      <c r="B40" s="261"/>
      <c r="C40" s="260"/>
      <c r="D40" s="259"/>
      <c r="E40" s="259"/>
      <c r="F40" s="259">
        <f t="shared" si="0"/>
        <v>1700000</v>
      </c>
      <c r="G40" s="260"/>
    </row>
    <row r="41" spans="1:10" x14ac:dyDescent="0.25">
      <c r="A41" s="262">
        <v>32</v>
      </c>
      <c r="B41" s="261"/>
      <c r="C41" s="260"/>
      <c r="D41" s="259"/>
      <c r="E41" s="259"/>
      <c r="F41" s="259">
        <f t="shared" si="0"/>
        <v>1700000</v>
      </c>
      <c r="G41" s="260"/>
      <c r="J41" s="242"/>
    </row>
    <row r="42" spans="1:10" x14ac:dyDescent="0.25">
      <c r="A42" s="262">
        <v>33</v>
      </c>
      <c r="B42" s="261"/>
      <c r="C42" s="260"/>
      <c r="D42" s="259"/>
      <c r="E42" s="259"/>
      <c r="F42" s="259">
        <f t="shared" si="0"/>
        <v>1700000</v>
      </c>
      <c r="G42" s="260"/>
    </row>
    <row r="43" spans="1:10" x14ac:dyDescent="0.25">
      <c r="A43" s="262">
        <v>34</v>
      </c>
      <c r="B43" s="261"/>
      <c r="C43" s="260"/>
      <c r="D43" s="259"/>
      <c r="E43" s="259"/>
      <c r="F43" s="259">
        <f t="shared" si="0"/>
        <v>1700000</v>
      </c>
      <c r="G43" s="260"/>
    </row>
    <row r="44" spans="1:10" x14ac:dyDescent="0.25">
      <c r="A44" s="262">
        <v>35</v>
      </c>
      <c r="B44" s="261"/>
      <c r="C44" s="260"/>
      <c r="D44" s="259"/>
      <c r="E44" s="259"/>
      <c r="F44" s="259">
        <f t="shared" si="0"/>
        <v>1700000</v>
      </c>
      <c r="G44" s="260"/>
    </row>
    <row r="45" spans="1:10" x14ac:dyDescent="0.25">
      <c r="A45" s="262">
        <v>36</v>
      </c>
      <c r="B45" s="261"/>
      <c r="C45" s="260"/>
      <c r="D45" s="259"/>
      <c r="E45" s="259"/>
      <c r="F45" s="259">
        <f t="shared" si="0"/>
        <v>1700000</v>
      </c>
      <c r="G45" s="260"/>
    </row>
    <row r="46" spans="1:10" x14ac:dyDescent="0.25">
      <c r="A46" s="262">
        <v>37</v>
      </c>
      <c r="B46" s="261"/>
      <c r="C46" s="260"/>
      <c r="D46" s="259"/>
      <c r="E46" s="259"/>
      <c r="F46" s="259">
        <f t="shared" si="0"/>
        <v>1700000</v>
      </c>
      <c r="G46" s="260"/>
    </row>
    <row r="47" spans="1:10" x14ac:dyDescent="0.25">
      <c r="A47" s="262">
        <v>38</v>
      </c>
      <c r="B47" s="261"/>
      <c r="C47" s="260"/>
      <c r="D47" s="259"/>
      <c r="E47" s="259"/>
      <c r="F47" s="259">
        <f t="shared" si="0"/>
        <v>1700000</v>
      </c>
      <c r="G47" s="260"/>
      <c r="J47" s="242"/>
    </row>
    <row r="48" spans="1:10" x14ac:dyDescent="0.25">
      <c r="A48" s="262">
        <v>39</v>
      </c>
      <c r="B48" s="261"/>
      <c r="C48" s="260"/>
      <c r="D48" s="259"/>
      <c r="E48" s="259"/>
      <c r="F48" s="259">
        <f t="shared" si="0"/>
        <v>1700000</v>
      </c>
      <c r="G48" s="260"/>
    </row>
    <row r="49" spans="1:7" x14ac:dyDescent="0.25">
      <c r="A49" s="262">
        <v>40</v>
      </c>
      <c r="B49" s="261"/>
      <c r="C49" s="260"/>
      <c r="D49" s="259"/>
      <c r="E49" s="259"/>
      <c r="F49" s="259">
        <f t="shared" si="0"/>
        <v>1700000</v>
      </c>
      <c r="G49" s="260"/>
    </row>
    <row r="50" spans="1:7" x14ac:dyDescent="0.25">
      <c r="A50" s="262">
        <v>41</v>
      </c>
      <c r="B50" s="261"/>
      <c r="C50" s="260"/>
      <c r="D50" s="259"/>
      <c r="E50" s="259"/>
      <c r="F50" s="259">
        <f t="shared" si="0"/>
        <v>1700000</v>
      </c>
      <c r="G50" s="260"/>
    </row>
    <row r="51" spans="1:7" x14ac:dyDescent="0.25">
      <c r="A51" s="262">
        <v>42</v>
      </c>
      <c r="B51" s="261"/>
      <c r="C51" s="260"/>
      <c r="D51" s="259"/>
      <c r="E51" s="259"/>
      <c r="F51" s="259">
        <f t="shared" si="0"/>
        <v>1700000</v>
      </c>
      <c r="G51" s="260"/>
    </row>
    <row r="52" spans="1:7" x14ac:dyDescent="0.25">
      <c r="A52" s="262">
        <v>43</v>
      </c>
      <c r="B52" s="261"/>
      <c r="C52" s="260"/>
      <c r="D52" s="259"/>
      <c r="E52" s="259"/>
      <c r="F52" s="259">
        <f t="shared" si="0"/>
        <v>1700000</v>
      </c>
      <c r="G52" s="260"/>
    </row>
    <row r="53" spans="1:7" x14ac:dyDescent="0.25">
      <c r="A53" s="262">
        <v>44</v>
      </c>
      <c r="B53" s="261"/>
      <c r="C53" s="260"/>
      <c r="D53" s="259"/>
      <c r="E53" s="259"/>
      <c r="F53" s="259">
        <f t="shared" si="0"/>
        <v>1700000</v>
      </c>
      <c r="G53" s="260"/>
    </row>
    <row r="54" spans="1:7" x14ac:dyDescent="0.25">
      <c r="A54" s="262">
        <v>45</v>
      </c>
      <c r="B54" s="261"/>
      <c r="C54" s="260"/>
      <c r="D54" s="259"/>
      <c r="E54" s="259"/>
      <c r="F54" s="259">
        <f t="shared" si="0"/>
        <v>1700000</v>
      </c>
      <c r="G54" s="260"/>
    </row>
    <row r="55" spans="1:7" x14ac:dyDescent="0.25">
      <c r="A55" s="262">
        <v>46</v>
      </c>
      <c r="B55" s="261"/>
      <c r="C55" s="260"/>
      <c r="D55" s="259"/>
      <c r="E55" s="259"/>
      <c r="F55" s="259">
        <f t="shared" si="0"/>
        <v>1700000</v>
      </c>
      <c r="G55" s="260"/>
    </row>
    <row r="56" spans="1:7" x14ac:dyDescent="0.25">
      <c r="A56" s="262">
        <v>47</v>
      </c>
      <c r="B56" s="261"/>
      <c r="C56" s="260"/>
      <c r="D56" s="259"/>
      <c r="E56" s="259"/>
      <c r="F56" s="259">
        <f t="shared" si="0"/>
        <v>1700000</v>
      </c>
      <c r="G56" s="260"/>
    </row>
    <row r="57" spans="1:7" x14ac:dyDescent="0.25">
      <c r="A57" s="262">
        <v>48</v>
      </c>
      <c r="B57" s="261"/>
      <c r="C57" s="260"/>
      <c r="D57" s="259"/>
      <c r="E57" s="259"/>
      <c r="F57" s="259">
        <f t="shared" si="0"/>
        <v>1700000</v>
      </c>
      <c r="G57" s="260"/>
    </row>
    <row r="58" spans="1:7" x14ac:dyDescent="0.25">
      <c r="A58" s="262">
        <v>49</v>
      </c>
      <c r="B58" s="261"/>
      <c r="C58" s="260"/>
      <c r="D58" s="259"/>
      <c r="E58" s="259"/>
      <c r="F58" s="259">
        <f t="shared" si="0"/>
        <v>1700000</v>
      </c>
      <c r="G58" s="260"/>
    </row>
    <row r="59" spans="1:7" x14ac:dyDescent="0.25">
      <c r="A59" s="262">
        <v>50</v>
      </c>
      <c r="B59" s="261"/>
      <c r="C59" s="260"/>
      <c r="D59" s="259"/>
      <c r="E59" s="259"/>
      <c r="F59" s="259">
        <f t="shared" si="0"/>
        <v>1700000</v>
      </c>
      <c r="G59" s="260"/>
    </row>
    <row r="60" spans="1:7" x14ac:dyDescent="0.25">
      <c r="A60" s="262">
        <v>51</v>
      </c>
      <c r="B60" s="261"/>
      <c r="C60" s="260"/>
      <c r="D60" s="259"/>
      <c r="E60" s="259"/>
      <c r="F60" s="259">
        <f t="shared" si="0"/>
        <v>1700000</v>
      </c>
      <c r="G60" s="260"/>
    </row>
    <row r="61" spans="1:7" x14ac:dyDescent="0.25">
      <c r="A61" s="262">
        <v>52</v>
      </c>
      <c r="B61" s="261"/>
      <c r="C61" s="260"/>
      <c r="D61" s="259"/>
      <c r="E61" s="259"/>
      <c r="F61" s="259">
        <f t="shared" si="0"/>
        <v>1700000</v>
      </c>
      <c r="G61" s="260"/>
    </row>
    <row r="62" spans="1:7" x14ac:dyDescent="0.25">
      <c r="A62" s="262">
        <v>53</v>
      </c>
      <c r="B62" s="261"/>
      <c r="C62" s="260"/>
      <c r="D62" s="259"/>
      <c r="E62" s="259"/>
      <c r="F62" s="259">
        <f t="shared" si="0"/>
        <v>1700000</v>
      </c>
      <c r="G62" s="260"/>
    </row>
    <row r="63" spans="1:7" x14ac:dyDescent="0.25">
      <c r="A63" s="262">
        <v>54</v>
      </c>
      <c r="B63" s="261"/>
      <c r="C63" s="260"/>
      <c r="D63" s="259"/>
      <c r="E63" s="259"/>
      <c r="F63" s="259">
        <f t="shared" si="0"/>
        <v>1700000</v>
      </c>
      <c r="G63" s="260"/>
    </row>
    <row r="64" spans="1:7" x14ac:dyDescent="0.25">
      <c r="A64" s="262">
        <v>55</v>
      </c>
      <c r="B64" s="261"/>
      <c r="C64" s="260"/>
      <c r="D64" s="259"/>
      <c r="E64" s="259"/>
      <c r="F64" s="259">
        <f t="shared" si="0"/>
        <v>1700000</v>
      </c>
      <c r="G64" s="260"/>
    </row>
    <row r="65" spans="1:7" x14ac:dyDescent="0.25">
      <c r="A65" s="262">
        <v>56</v>
      </c>
      <c r="B65" s="261"/>
      <c r="C65" s="260"/>
      <c r="D65" s="259"/>
      <c r="E65" s="259"/>
      <c r="F65" s="259">
        <f t="shared" si="0"/>
        <v>1700000</v>
      </c>
      <c r="G65" s="260"/>
    </row>
    <row r="66" spans="1:7" x14ac:dyDescent="0.25">
      <c r="A66" s="262">
        <v>57</v>
      </c>
      <c r="B66" s="261"/>
      <c r="C66" s="260"/>
      <c r="D66" s="259"/>
      <c r="E66" s="259"/>
      <c r="F66" s="259">
        <f t="shared" si="0"/>
        <v>1700000</v>
      </c>
      <c r="G66" s="260"/>
    </row>
    <row r="67" spans="1:7" x14ac:dyDescent="0.25">
      <c r="A67" s="262">
        <v>58</v>
      </c>
      <c r="B67" s="261"/>
      <c r="C67" s="260"/>
      <c r="D67" s="259"/>
      <c r="E67" s="259"/>
      <c r="F67" s="259">
        <f t="shared" si="0"/>
        <v>1700000</v>
      </c>
      <c r="G67" s="260"/>
    </row>
    <row r="68" spans="1:7" x14ac:dyDescent="0.25">
      <c r="A68" s="262">
        <v>59</v>
      </c>
      <c r="B68" s="261"/>
      <c r="C68" s="260"/>
      <c r="D68" s="259"/>
      <c r="E68" s="259"/>
      <c r="F68" s="259">
        <f t="shared" si="0"/>
        <v>1700000</v>
      </c>
      <c r="G68" s="260"/>
    </row>
    <row r="69" spans="1:7" x14ac:dyDescent="0.25">
      <c r="A69" s="262">
        <v>60</v>
      </c>
      <c r="B69" s="261"/>
      <c r="C69" s="260"/>
      <c r="D69" s="259"/>
      <c r="E69" s="259"/>
      <c r="F69" s="259">
        <f t="shared" si="0"/>
        <v>1700000</v>
      </c>
      <c r="G69" s="260"/>
    </row>
    <row r="70" spans="1:7" x14ac:dyDescent="0.25">
      <c r="A70" s="262">
        <v>61</v>
      </c>
      <c r="B70" s="261"/>
      <c r="C70" s="260"/>
      <c r="D70" s="259"/>
      <c r="E70" s="259"/>
      <c r="F70" s="259">
        <f t="shared" si="0"/>
        <v>1700000</v>
      </c>
      <c r="G70" s="260"/>
    </row>
    <row r="71" spans="1:7" x14ac:dyDescent="0.25">
      <c r="A71" s="262">
        <v>62</v>
      </c>
      <c r="B71" s="261"/>
      <c r="C71" s="260"/>
      <c r="D71" s="259"/>
      <c r="E71" s="259"/>
      <c r="F71" s="259">
        <f t="shared" si="0"/>
        <v>1700000</v>
      </c>
      <c r="G71" s="260"/>
    </row>
    <row r="72" spans="1:7" x14ac:dyDescent="0.25">
      <c r="A72" s="262">
        <v>63</v>
      </c>
      <c r="B72" s="261"/>
      <c r="C72" s="260"/>
      <c r="D72" s="259"/>
      <c r="E72" s="259"/>
      <c r="F72" s="259">
        <f t="shared" si="0"/>
        <v>1700000</v>
      </c>
      <c r="G72" s="260"/>
    </row>
    <row r="73" spans="1:7" x14ac:dyDescent="0.25">
      <c r="A73" s="262">
        <v>64</v>
      </c>
      <c r="B73" s="261"/>
      <c r="C73" s="260"/>
      <c r="D73" s="259"/>
      <c r="E73" s="259"/>
      <c r="F73" s="259">
        <f t="shared" si="0"/>
        <v>1700000</v>
      </c>
      <c r="G73" s="260"/>
    </row>
    <row r="74" spans="1:7" x14ac:dyDescent="0.25">
      <c r="A74" s="262">
        <v>65</v>
      </c>
      <c r="B74" s="261"/>
      <c r="C74" s="260"/>
      <c r="D74" s="259"/>
      <c r="E74" s="259"/>
      <c r="F74" s="259">
        <f t="shared" si="0"/>
        <v>1700000</v>
      </c>
      <c r="G74" s="260"/>
    </row>
    <row r="75" spans="1:7" x14ac:dyDescent="0.25">
      <c r="A75" s="262">
        <v>66</v>
      </c>
      <c r="B75" s="261"/>
      <c r="C75" s="260"/>
      <c r="D75" s="259"/>
      <c r="E75" s="259"/>
      <c r="F75" s="259">
        <f t="shared" si="0"/>
        <v>1700000</v>
      </c>
      <c r="G75" s="260"/>
    </row>
    <row r="76" spans="1:7" x14ac:dyDescent="0.25">
      <c r="A76" s="262">
        <v>67</v>
      </c>
      <c r="B76" s="261"/>
      <c r="C76" s="260"/>
      <c r="D76" s="259"/>
      <c r="E76" s="259"/>
      <c r="F76" s="259">
        <f t="shared" ref="F76:F139" si="1">F75+D76-E76</f>
        <v>1700000</v>
      </c>
      <c r="G76" s="260"/>
    </row>
    <row r="77" spans="1:7" x14ac:dyDescent="0.25">
      <c r="A77" s="262">
        <v>68</v>
      </c>
      <c r="B77" s="261"/>
      <c r="C77" s="260"/>
      <c r="D77" s="259"/>
      <c r="E77" s="259"/>
      <c r="F77" s="259">
        <f t="shared" si="1"/>
        <v>1700000</v>
      </c>
      <c r="G77" s="260"/>
    </row>
    <row r="78" spans="1:7" x14ac:dyDescent="0.25">
      <c r="A78" s="262">
        <v>69</v>
      </c>
      <c r="B78" s="261"/>
      <c r="C78" s="260"/>
      <c r="D78" s="259"/>
      <c r="E78" s="259"/>
      <c r="F78" s="259">
        <f t="shared" si="1"/>
        <v>1700000</v>
      </c>
      <c r="G78" s="260"/>
    </row>
    <row r="79" spans="1:7" x14ac:dyDescent="0.25">
      <c r="A79" s="262">
        <v>70</v>
      </c>
      <c r="B79" s="261"/>
      <c r="C79" s="260"/>
      <c r="D79" s="259"/>
      <c r="E79" s="259"/>
      <c r="F79" s="259">
        <f t="shared" si="1"/>
        <v>1700000</v>
      </c>
      <c r="G79" s="260"/>
    </row>
    <row r="80" spans="1:7" x14ac:dyDescent="0.25">
      <c r="A80" s="262">
        <v>71</v>
      </c>
      <c r="B80" s="261"/>
      <c r="C80" s="260"/>
      <c r="D80" s="259"/>
      <c r="E80" s="259"/>
      <c r="F80" s="259">
        <f t="shared" si="1"/>
        <v>1700000</v>
      </c>
      <c r="G80" s="260"/>
    </row>
    <row r="81" spans="1:7" x14ac:dyDescent="0.25">
      <c r="A81" s="262">
        <v>72</v>
      </c>
      <c r="B81" s="261"/>
      <c r="C81" s="260"/>
      <c r="D81" s="259"/>
      <c r="E81" s="259"/>
      <c r="F81" s="259">
        <f t="shared" si="1"/>
        <v>1700000</v>
      </c>
      <c r="G81" s="260"/>
    </row>
    <row r="82" spans="1:7" x14ac:dyDescent="0.25">
      <c r="A82" s="262">
        <v>73</v>
      </c>
      <c r="B82" s="261"/>
      <c r="C82" s="260"/>
      <c r="D82" s="259"/>
      <c r="E82" s="259"/>
      <c r="F82" s="259">
        <f t="shared" si="1"/>
        <v>1700000</v>
      </c>
      <c r="G82" s="260"/>
    </row>
    <row r="83" spans="1:7" x14ac:dyDescent="0.25">
      <c r="A83" s="262">
        <v>74</v>
      </c>
      <c r="B83" s="261"/>
      <c r="C83" s="260"/>
      <c r="D83" s="259"/>
      <c r="E83" s="259"/>
      <c r="F83" s="259">
        <f t="shared" si="1"/>
        <v>1700000</v>
      </c>
      <c r="G83" s="260"/>
    </row>
    <row r="84" spans="1:7" x14ac:dyDescent="0.25">
      <c r="A84" s="262">
        <v>75</v>
      </c>
      <c r="B84" s="262"/>
      <c r="C84" s="260"/>
      <c r="D84" s="259"/>
      <c r="E84" s="259"/>
      <c r="F84" s="259">
        <f t="shared" si="1"/>
        <v>1700000</v>
      </c>
      <c r="G84" s="260"/>
    </row>
    <row r="85" spans="1:7" x14ac:dyDescent="0.25">
      <c r="A85" s="262">
        <v>76</v>
      </c>
      <c r="B85" s="262"/>
      <c r="C85" s="260"/>
      <c r="D85" s="259"/>
      <c r="E85" s="259"/>
      <c r="F85" s="259">
        <f t="shared" si="1"/>
        <v>1700000</v>
      </c>
      <c r="G85" s="260"/>
    </row>
    <row r="86" spans="1:7" x14ac:dyDescent="0.25">
      <c r="A86" s="262">
        <v>77</v>
      </c>
      <c r="B86" s="262"/>
      <c r="C86" s="260"/>
      <c r="D86" s="259"/>
      <c r="E86" s="259"/>
      <c r="F86" s="259">
        <f t="shared" si="1"/>
        <v>1700000</v>
      </c>
      <c r="G86" s="260"/>
    </row>
    <row r="87" spans="1:7" x14ac:dyDescent="0.25">
      <c r="A87" s="262">
        <v>78</v>
      </c>
      <c r="B87" s="262"/>
      <c r="C87" s="260"/>
      <c r="D87" s="259"/>
      <c r="E87" s="259"/>
      <c r="F87" s="259">
        <f t="shared" si="1"/>
        <v>1700000</v>
      </c>
      <c r="G87" s="260"/>
    </row>
    <row r="88" spans="1:7" x14ac:dyDescent="0.25">
      <c r="A88" s="262">
        <v>79</v>
      </c>
      <c r="B88" s="262"/>
      <c r="C88" s="260"/>
      <c r="D88" s="259"/>
      <c r="E88" s="259"/>
      <c r="F88" s="259">
        <f t="shared" si="1"/>
        <v>1700000</v>
      </c>
      <c r="G88" s="260"/>
    </row>
    <row r="89" spans="1:7" x14ac:dyDescent="0.25">
      <c r="A89" s="262">
        <v>80</v>
      </c>
      <c r="B89" s="262"/>
      <c r="C89" s="260"/>
      <c r="D89" s="259"/>
      <c r="E89" s="259"/>
      <c r="F89" s="259">
        <f t="shared" si="1"/>
        <v>1700000</v>
      </c>
      <c r="G89" s="260"/>
    </row>
    <row r="90" spans="1:7" x14ac:dyDescent="0.25">
      <c r="A90" s="262">
        <v>81</v>
      </c>
      <c r="B90" s="262"/>
      <c r="C90" s="260"/>
      <c r="D90" s="259"/>
      <c r="E90" s="259"/>
      <c r="F90" s="259">
        <f t="shared" si="1"/>
        <v>1700000</v>
      </c>
      <c r="G90" s="260"/>
    </row>
    <row r="91" spans="1:7" x14ac:dyDescent="0.25">
      <c r="A91" s="262">
        <v>82</v>
      </c>
      <c r="B91" s="262"/>
      <c r="C91" s="260"/>
      <c r="D91" s="259"/>
      <c r="E91" s="259"/>
      <c r="F91" s="259">
        <f t="shared" si="1"/>
        <v>1700000</v>
      </c>
      <c r="G91" s="260"/>
    </row>
    <row r="92" spans="1:7" x14ac:dyDescent="0.25">
      <c r="A92" s="262">
        <v>83</v>
      </c>
      <c r="B92" s="262"/>
      <c r="C92" s="260"/>
      <c r="D92" s="259"/>
      <c r="E92" s="259"/>
      <c r="F92" s="259">
        <f t="shared" si="1"/>
        <v>1700000</v>
      </c>
      <c r="G92" s="260"/>
    </row>
    <row r="93" spans="1:7" x14ac:dyDescent="0.25">
      <c r="A93" s="262">
        <v>84</v>
      </c>
      <c r="B93" s="262"/>
      <c r="C93" s="260"/>
      <c r="D93" s="259"/>
      <c r="E93" s="259"/>
      <c r="F93" s="259">
        <f t="shared" si="1"/>
        <v>1700000</v>
      </c>
      <c r="G93" s="260"/>
    </row>
    <row r="94" spans="1:7" x14ac:dyDescent="0.25">
      <c r="A94" s="262">
        <v>85</v>
      </c>
      <c r="B94" s="262"/>
      <c r="C94" s="260"/>
      <c r="D94" s="259"/>
      <c r="E94" s="259"/>
      <c r="F94" s="259">
        <f t="shared" si="1"/>
        <v>1700000</v>
      </c>
      <c r="G94" s="260"/>
    </row>
    <row r="95" spans="1:7" x14ac:dyDescent="0.25">
      <c r="A95" s="262">
        <v>86</v>
      </c>
      <c r="B95" s="262"/>
      <c r="C95" s="260"/>
      <c r="D95" s="259"/>
      <c r="E95" s="259"/>
      <c r="F95" s="259">
        <f t="shared" si="1"/>
        <v>1700000</v>
      </c>
      <c r="G95" s="260"/>
    </row>
    <row r="96" spans="1:7" x14ac:dyDescent="0.25">
      <c r="A96" s="262">
        <v>87</v>
      </c>
      <c r="B96" s="262"/>
      <c r="C96" s="260"/>
      <c r="D96" s="259"/>
      <c r="E96" s="259"/>
      <c r="F96" s="259">
        <f t="shared" si="1"/>
        <v>1700000</v>
      </c>
      <c r="G96" s="260"/>
    </row>
    <row r="97" spans="1:7" x14ac:dyDescent="0.25">
      <c r="A97" s="262">
        <v>88</v>
      </c>
      <c r="B97" s="262"/>
      <c r="C97" s="260"/>
      <c r="D97" s="259"/>
      <c r="E97" s="259"/>
      <c r="F97" s="259">
        <f t="shared" si="1"/>
        <v>1700000</v>
      </c>
      <c r="G97" s="260"/>
    </row>
    <row r="98" spans="1:7" x14ac:dyDescent="0.25">
      <c r="A98" s="262">
        <v>89</v>
      </c>
      <c r="B98" s="262"/>
      <c r="C98" s="260"/>
      <c r="D98" s="259"/>
      <c r="E98" s="259"/>
      <c r="F98" s="259">
        <f t="shared" si="1"/>
        <v>1700000</v>
      </c>
      <c r="G98" s="260"/>
    </row>
    <row r="99" spans="1:7" x14ac:dyDescent="0.25">
      <c r="A99" s="262">
        <v>90</v>
      </c>
      <c r="B99" s="262"/>
      <c r="C99" s="260"/>
      <c r="D99" s="259"/>
      <c r="E99" s="259"/>
      <c r="F99" s="259">
        <f t="shared" si="1"/>
        <v>1700000</v>
      </c>
      <c r="G99" s="260"/>
    </row>
    <row r="100" spans="1:7" x14ac:dyDescent="0.25">
      <c r="A100" s="262">
        <v>91</v>
      </c>
      <c r="B100" s="262"/>
      <c r="C100" s="260"/>
      <c r="D100" s="259"/>
      <c r="E100" s="259"/>
      <c r="F100" s="259">
        <f t="shared" si="1"/>
        <v>1700000</v>
      </c>
      <c r="G100" s="260"/>
    </row>
    <row r="101" spans="1:7" x14ac:dyDescent="0.25">
      <c r="A101" s="262">
        <v>92</v>
      </c>
      <c r="B101" s="262"/>
      <c r="C101" s="260"/>
      <c r="D101" s="259"/>
      <c r="E101" s="259"/>
      <c r="F101" s="259">
        <f t="shared" si="1"/>
        <v>1700000</v>
      </c>
      <c r="G101" s="260"/>
    </row>
    <row r="102" spans="1:7" x14ac:dyDescent="0.25">
      <c r="A102" s="262">
        <v>93</v>
      </c>
      <c r="B102" s="262"/>
      <c r="C102" s="260"/>
      <c r="D102" s="259"/>
      <c r="E102" s="259"/>
      <c r="F102" s="259">
        <f t="shared" si="1"/>
        <v>1700000</v>
      </c>
      <c r="G102" s="260"/>
    </row>
    <row r="103" spans="1:7" x14ac:dyDescent="0.25">
      <c r="A103" s="262">
        <v>94</v>
      </c>
      <c r="B103" s="262"/>
      <c r="C103" s="260"/>
      <c r="D103" s="259"/>
      <c r="E103" s="259"/>
      <c r="F103" s="259">
        <f t="shared" si="1"/>
        <v>1700000</v>
      </c>
      <c r="G103" s="260"/>
    </row>
    <row r="104" spans="1:7" x14ac:dyDescent="0.25">
      <c r="A104" s="262">
        <v>95</v>
      </c>
      <c r="B104" s="262"/>
      <c r="C104" s="260"/>
      <c r="D104" s="259"/>
      <c r="E104" s="259"/>
      <c r="F104" s="259">
        <f t="shared" si="1"/>
        <v>1700000</v>
      </c>
      <c r="G104" s="260"/>
    </row>
    <row r="105" spans="1:7" x14ac:dyDescent="0.25">
      <c r="A105" s="262">
        <v>96</v>
      </c>
      <c r="B105" s="262"/>
      <c r="C105" s="260"/>
      <c r="D105" s="259"/>
      <c r="E105" s="259"/>
      <c r="F105" s="259">
        <f t="shared" si="1"/>
        <v>1700000</v>
      </c>
      <c r="G105" s="260"/>
    </row>
    <row r="106" spans="1:7" x14ac:dyDescent="0.25">
      <c r="A106" s="262">
        <v>97</v>
      </c>
      <c r="B106" s="262"/>
      <c r="C106" s="260"/>
      <c r="D106" s="259"/>
      <c r="E106" s="259"/>
      <c r="F106" s="259">
        <f t="shared" si="1"/>
        <v>1700000</v>
      </c>
      <c r="G106" s="260"/>
    </row>
    <row r="107" spans="1:7" x14ac:dyDescent="0.25">
      <c r="A107" s="262">
        <v>98</v>
      </c>
      <c r="B107" s="262"/>
      <c r="C107" s="260"/>
      <c r="D107" s="259"/>
      <c r="E107" s="259"/>
      <c r="F107" s="259">
        <f t="shared" si="1"/>
        <v>1700000</v>
      </c>
      <c r="G107" s="260"/>
    </row>
    <row r="108" spans="1:7" x14ac:dyDescent="0.25">
      <c r="A108" s="262">
        <v>99</v>
      </c>
      <c r="B108" s="262"/>
      <c r="C108" s="260"/>
      <c r="D108" s="259"/>
      <c r="E108" s="259"/>
      <c r="F108" s="259">
        <f t="shared" si="1"/>
        <v>1700000</v>
      </c>
      <c r="G108" s="260"/>
    </row>
    <row r="109" spans="1:7" x14ac:dyDescent="0.25">
      <c r="A109" s="262">
        <v>100</v>
      </c>
      <c r="B109" s="262"/>
      <c r="C109" s="260"/>
      <c r="D109" s="259"/>
      <c r="E109" s="259"/>
      <c r="F109" s="259">
        <f t="shared" si="1"/>
        <v>1700000</v>
      </c>
      <c r="G109" s="260"/>
    </row>
    <row r="110" spans="1:7" x14ac:dyDescent="0.25">
      <c r="A110" s="262">
        <v>101</v>
      </c>
      <c r="B110" s="262"/>
      <c r="C110" s="260"/>
      <c r="D110" s="259"/>
      <c r="E110" s="259"/>
      <c r="F110" s="259">
        <f t="shared" si="1"/>
        <v>1700000</v>
      </c>
      <c r="G110" s="260"/>
    </row>
    <row r="111" spans="1:7" x14ac:dyDescent="0.25">
      <c r="A111" s="262">
        <v>102</v>
      </c>
      <c r="B111" s="262"/>
      <c r="C111" s="260"/>
      <c r="D111" s="259"/>
      <c r="E111" s="259"/>
      <c r="F111" s="259">
        <f t="shared" si="1"/>
        <v>1700000</v>
      </c>
      <c r="G111" s="260"/>
    </row>
    <row r="112" spans="1:7" x14ac:dyDescent="0.25">
      <c r="A112" s="262">
        <v>103</v>
      </c>
      <c r="B112" s="262"/>
      <c r="C112" s="260"/>
      <c r="D112" s="259"/>
      <c r="E112" s="259"/>
      <c r="F112" s="259">
        <f t="shared" si="1"/>
        <v>1700000</v>
      </c>
      <c r="G112" s="260"/>
    </row>
    <row r="113" spans="1:7" x14ac:dyDescent="0.25">
      <c r="A113" s="262">
        <v>104</v>
      </c>
      <c r="B113" s="262"/>
      <c r="C113" s="260"/>
      <c r="D113" s="259"/>
      <c r="E113" s="259"/>
      <c r="F113" s="259">
        <f t="shared" si="1"/>
        <v>1700000</v>
      </c>
      <c r="G113" s="260"/>
    </row>
    <row r="114" spans="1:7" x14ac:dyDescent="0.25">
      <c r="A114" s="262">
        <v>105</v>
      </c>
      <c r="B114" s="262"/>
      <c r="C114" s="260"/>
      <c r="D114" s="259"/>
      <c r="E114" s="259"/>
      <c r="F114" s="259">
        <f t="shared" si="1"/>
        <v>1700000</v>
      </c>
      <c r="G114" s="260"/>
    </row>
    <row r="115" spans="1:7" x14ac:dyDescent="0.25">
      <c r="A115" s="262">
        <v>106</v>
      </c>
      <c r="B115" s="262"/>
      <c r="C115" s="260"/>
      <c r="D115" s="259"/>
      <c r="E115" s="259"/>
      <c r="F115" s="259">
        <f t="shared" si="1"/>
        <v>1700000</v>
      </c>
      <c r="G115" s="260"/>
    </row>
    <row r="116" spans="1:7" x14ac:dyDescent="0.25">
      <c r="A116" s="262">
        <v>107</v>
      </c>
      <c r="B116" s="262"/>
      <c r="C116" s="260"/>
      <c r="D116" s="259"/>
      <c r="E116" s="259"/>
      <c r="F116" s="259">
        <f t="shared" si="1"/>
        <v>1700000</v>
      </c>
      <c r="G116" s="260"/>
    </row>
    <row r="117" spans="1:7" x14ac:dyDescent="0.25">
      <c r="A117" s="262">
        <v>108</v>
      </c>
      <c r="B117" s="262"/>
      <c r="C117" s="260"/>
      <c r="D117" s="259"/>
      <c r="E117" s="259"/>
      <c r="F117" s="259">
        <f t="shared" si="1"/>
        <v>1700000</v>
      </c>
      <c r="G117" s="260"/>
    </row>
    <row r="118" spans="1:7" x14ac:dyDescent="0.25">
      <c r="A118" s="262">
        <v>109</v>
      </c>
      <c r="B118" s="262"/>
      <c r="C118" s="260"/>
      <c r="D118" s="259"/>
      <c r="E118" s="259"/>
      <c r="F118" s="259">
        <f t="shared" si="1"/>
        <v>1700000</v>
      </c>
      <c r="G118" s="260"/>
    </row>
    <row r="119" spans="1:7" x14ac:dyDescent="0.25">
      <c r="A119" s="262">
        <v>110</v>
      </c>
      <c r="B119" s="262"/>
      <c r="C119" s="260"/>
      <c r="D119" s="259"/>
      <c r="E119" s="259"/>
      <c r="F119" s="259">
        <f t="shared" si="1"/>
        <v>1700000</v>
      </c>
      <c r="G119" s="260"/>
    </row>
    <row r="120" spans="1:7" x14ac:dyDescent="0.25">
      <c r="A120" s="262">
        <v>111</v>
      </c>
      <c r="B120" s="262"/>
      <c r="C120" s="260"/>
      <c r="D120" s="259"/>
      <c r="E120" s="259"/>
      <c r="F120" s="259">
        <f t="shared" si="1"/>
        <v>1700000</v>
      </c>
      <c r="G120" s="260"/>
    </row>
    <row r="121" spans="1:7" x14ac:dyDescent="0.25">
      <c r="A121" s="262">
        <v>112</v>
      </c>
      <c r="B121" s="262"/>
      <c r="C121" s="260"/>
      <c r="D121" s="259"/>
      <c r="E121" s="259"/>
      <c r="F121" s="259">
        <f t="shared" si="1"/>
        <v>1700000</v>
      </c>
      <c r="G121" s="260"/>
    </row>
    <row r="122" spans="1:7" x14ac:dyDescent="0.25">
      <c r="A122" s="262">
        <v>113</v>
      </c>
      <c r="B122" s="262"/>
      <c r="C122" s="260"/>
      <c r="D122" s="259"/>
      <c r="E122" s="259"/>
      <c r="F122" s="259">
        <f t="shared" si="1"/>
        <v>1700000</v>
      </c>
      <c r="G122" s="260"/>
    </row>
    <row r="123" spans="1:7" x14ac:dyDescent="0.25">
      <c r="A123" s="262">
        <v>114</v>
      </c>
      <c r="B123" s="262"/>
      <c r="C123" s="260"/>
      <c r="D123" s="259"/>
      <c r="E123" s="259"/>
      <c r="F123" s="259">
        <f t="shared" si="1"/>
        <v>1700000</v>
      </c>
      <c r="G123" s="260"/>
    </row>
    <row r="124" spans="1:7" x14ac:dyDescent="0.25">
      <c r="A124" s="262">
        <v>115</v>
      </c>
      <c r="B124" s="262"/>
      <c r="C124" s="260"/>
      <c r="D124" s="259"/>
      <c r="E124" s="259"/>
      <c r="F124" s="259">
        <f t="shared" si="1"/>
        <v>1700000</v>
      </c>
      <c r="G124" s="260"/>
    </row>
    <row r="125" spans="1:7" x14ac:dyDescent="0.25">
      <c r="A125" s="262">
        <v>116</v>
      </c>
      <c r="B125" s="262"/>
      <c r="C125" s="260"/>
      <c r="D125" s="259"/>
      <c r="E125" s="259"/>
      <c r="F125" s="259">
        <f t="shared" si="1"/>
        <v>1700000</v>
      </c>
      <c r="G125" s="260"/>
    </row>
    <row r="126" spans="1:7" x14ac:dyDescent="0.25">
      <c r="A126" s="262">
        <v>117</v>
      </c>
      <c r="B126" s="262"/>
      <c r="C126" s="260"/>
      <c r="D126" s="259"/>
      <c r="E126" s="259"/>
      <c r="F126" s="259">
        <f t="shared" si="1"/>
        <v>1700000</v>
      </c>
      <c r="G126" s="260"/>
    </row>
    <row r="127" spans="1:7" x14ac:dyDescent="0.25">
      <c r="A127" s="262">
        <v>118</v>
      </c>
      <c r="B127" s="262"/>
      <c r="C127" s="260"/>
      <c r="D127" s="259"/>
      <c r="E127" s="259"/>
      <c r="F127" s="259">
        <f t="shared" si="1"/>
        <v>1700000</v>
      </c>
      <c r="G127" s="260"/>
    </row>
    <row r="128" spans="1:7" x14ac:dyDescent="0.25">
      <c r="A128" s="262">
        <v>119</v>
      </c>
      <c r="B128" s="262"/>
      <c r="C128" s="260"/>
      <c r="D128" s="259"/>
      <c r="E128" s="259"/>
      <c r="F128" s="259">
        <f t="shared" si="1"/>
        <v>1700000</v>
      </c>
      <c r="G128" s="260"/>
    </row>
    <row r="129" spans="1:7" x14ac:dyDescent="0.25">
      <c r="A129" s="262">
        <v>120</v>
      </c>
      <c r="B129" s="262"/>
      <c r="C129" s="260"/>
      <c r="D129" s="259"/>
      <c r="E129" s="259"/>
      <c r="F129" s="259">
        <f t="shared" si="1"/>
        <v>1700000</v>
      </c>
      <c r="G129" s="260"/>
    </row>
    <row r="130" spans="1:7" x14ac:dyDescent="0.25">
      <c r="A130" s="262">
        <v>121</v>
      </c>
      <c r="B130" s="262"/>
      <c r="C130" s="260"/>
      <c r="D130" s="259"/>
      <c r="E130" s="259"/>
      <c r="F130" s="259">
        <f t="shared" si="1"/>
        <v>1700000</v>
      </c>
      <c r="G130" s="260"/>
    </row>
    <row r="131" spans="1:7" x14ac:dyDescent="0.25">
      <c r="A131" s="262">
        <v>122</v>
      </c>
      <c r="B131" s="262"/>
      <c r="C131" s="260"/>
      <c r="D131" s="259"/>
      <c r="E131" s="259"/>
      <c r="F131" s="259">
        <f t="shared" si="1"/>
        <v>1700000</v>
      </c>
      <c r="G131" s="260"/>
    </row>
    <row r="132" spans="1:7" x14ac:dyDescent="0.25">
      <c r="A132" s="262">
        <v>123</v>
      </c>
      <c r="B132" s="262"/>
      <c r="C132" s="260"/>
      <c r="D132" s="259"/>
      <c r="E132" s="259"/>
      <c r="F132" s="259">
        <f t="shared" si="1"/>
        <v>1700000</v>
      </c>
      <c r="G132" s="260"/>
    </row>
    <row r="133" spans="1:7" x14ac:dyDescent="0.25">
      <c r="A133" s="262">
        <v>124</v>
      </c>
      <c r="B133" s="262"/>
      <c r="C133" s="260"/>
      <c r="D133" s="259"/>
      <c r="E133" s="259"/>
      <c r="F133" s="259">
        <f t="shared" si="1"/>
        <v>1700000</v>
      </c>
      <c r="G133" s="260"/>
    </row>
    <row r="134" spans="1:7" x14ac:dyDescent="0.25">
      <c r="A134" s="262">
        <v>125</v>
      </c>
      <c r="B134" s="262"/>
      <c r="C134" s="260"/>
      <c r="D134" s="259"/>
      <c r="E134" s="259"/>
      <c r="F134" s="259">
        <f t="shared" si="1"/>
        <v>1700000</v>
      </c>
      <c r="G134" s="260"/>
    </row>
    <row r="135" spans="1:7" x14ac:dyDescent="0.25">
      <c r="A135" s="262">
        <v>126</v>
      </c>
      <c r="B135" s="262"/>
      <c r="C135" s="260"/>
      <c r="D135" s="259"/>
      <c r="E135" s="259"/>
      <c r="F135" s="259">
        <f t="shared" si="1"/>
        <v>1700000</v>
      </c>
      <c r="G135" s="260"/>
    </row>
    <row r="136" spans="1:7" x14ac:dyDescent="0.25">
      <c r="A136" s="262">
        <v>127</v>
      </c>
      <c r="B136" s="262"/>
      <c r="C136" s="260"/>
      <c r="D136" s="259"/>
      <c r="E136" s="259"/>
      <c r="F136" s="259">
        <f t="shared" si="1"/>
        <v>1700000</v>
      </c>
      <c r="G136" s="260"/>
    </row>
    <row r="137" spans="1:7" x14ac:dyDescent="0.25">
      <c r="A137" s="262">
        <v>128</v>
      </c>
      <c r="B137" s="262"/>
      <c r="C137" s="260"/>
      <c r="D137" s="259"/>
      <c r="E137" s="259"/>
      <c r="F137" s="259">
        <f t="shared" si="1"/>
        <v>1700000</v>
      </c>
      <c r="G137" s="260"/>
    </row>
    <row r="138" spans="1:7" x14ac:dyDescent="0.25">
      <c r="A138" s="262">
        <v>129</v>
      </c>
      <c r="B138" s="262"/>
      <c r="C138" s="260"/>
      <c r="D138" s="259"/>
      <c r="E138" s="259"/>
      <c r="F138" s="259">
        <f t="shared" si="1"/>
        <v>1700000</v>
      </c>
      <c r="G138" s="260"/>
    </row>
    <row r="139" spans="1:7" x14ac:dyDescent="0.25">
      <c r="A139" s="262">
        <v>130</v>
      </c>
      <c r="B139" s="262"/>
      <c r="C139" s="260"/>
      <c r="D139" s="259"/>
      <c r="E139" s="259"/>
      <c r="F139" s="259">
        <f t="shared" si="1"/>
        <v>1700000</v>
      </c>
      <c r="G139" s="260"/>
    </row>
    <row r="140" spans="1:7" x14ac:dyDescent="0.25">
      <c r="A140" s="262">
        <v>131</v>
      </c>
      <c r="B140" s="262"/>
      <c r="C140" s="260"/>
      <c r="D140" s="259"/>
      <c r="E140" s="259"/>
      <c r="F140" s="259">
        <f t="shared" ref="F140:F164" si="2">F139+D140-E140</f>
        <v>1700000</v>
      </c>
      <c r="G140" s="260"/>
    </row>
    <row r="141" spans="1:7" x14ac:dyDescent="0.25">
      <c r="A141" s="262">
        <v>132</v>
      </c>
      <c r="B141" s="262"/>
      <c r="C141" s="260"/>
      <c r="D141" s="259"/>
      <c r="E141" s="259"/>
      <c r="F141" s="259">
        <f t="shared" si="2"/>
        <v>1700000</v>
      </c>
      <c r="G141" s="260"/>
    </row>
    <row r="142" spans="1:7" x14ac:dyDescent="0.25">
      <c r="A142" s="262">
        <v>133</v>
      </c>
      <c r="B142" s="262"/>
      <c r="C142" s="260"/>
      <c r="D142" s="259"/>
      <c r="E142" s="259"/>
      <c r="F142" s="259">
        <f t="shared" si="2"/>
        <v>1700000</v>
      </c>
      <c r="G142" s="260"/>
    </row>
    <row r="143" spans="1:7" x14ac:dyDescent="0.25">
      <c r="A143" s="262">
        <v>134</v>
      </c>
      <c r="B143" s="262"/>
      <c r="C143" s="260"/>
      <c r="D143" s="259"/>
      <c r="E143" s="259"/>
      <c r="F143" s="259">
        <f t="shared" si="2"/>
        <v>1700000</v>
      </c>
      <c r="G143" s="260"/>
    </row>
    <row r="144" spans="1:7" x14ac:dyDescent="0.25">
      <c r="A144" s="262">
        <v>135</v>
      </c>
      <c r="B144" s="262"/>
      <c r="C144" s="260"/>
      <c r="D144" s="259"/>
      <c r="E144" s="259"/>
      <c r="F144" s="259">
        <f t="shared" si="2"/>
        <v>1700000</v>
      </c>
      <c r="G144" s="260"/>
    </row>
    <row r="145" spans="1:7" x14ac:dyDescent="0.25">
      <c r="A145" s="262">
        <v>136</v>
      </c>
      <c r="B145" s="262"/>
      <c r="C145" s="260"/>
      <c r="D145" s="259"/>
      <c r="E145" s="259"/>
      <c r="F145" s="259">
        <f t="shared" si="2"/>
        <v>1700000</v>
      </c>
      <c r="G145" s="260"/>
    </row>
    <row r="146" spans="1:7" x14ac:dyDescent="0.25">
      <c r="A146" s="262">
        <v>137</v>
      </c>
      <c r="B146" s="262"/>
      <c r="C146" s="260"/>
      <c r="D146" s="259"/>
      <c r="E146" s="259"/>
      <c r="F146" s="259">
        <f t="shared" si="2"/>
        <v>1700000</v>
      </c>
      <c r="G146" s="260"/>
    </row>
    <row r="147" spans="1:7" x14ac:dyDescent="0.25">
      <c r="A147" s="262">
        <v>138</v>
      </c>
      <c r="B147" s="262"/>
      <c r="C147" s="260"/>
      <c r="D147" s="259"/>
      <c r="E147" s="259"/>
      <c r="F147" s="259">
        <f t="shared" si="2"/>
        <v>1700000</v>
      </c>
      <c r="G147" s="260"/>
    </row>
    <row r="148" spans="1:7" x14ac:dyDescent="0.25">
      <c r="A148" s="262">
        <v>139</v>
      </c>
      <c r="B148" s="262"/>
      <c r="C148" s="260"/>
      <c r="D148" s="259"/>
      <c r="E148" s="259"/>
      <c r="F148" s="259">
        <f t="shared" si="2"/>
        <v>1700000</v>
      </c>
      <c r="G148" s="260"/>
    </row>
    <row r="149" spans="1:7" x14ac:dyDescent="0.25">
      <c r="A149" s="262">
        <v>140</v>
      </c>
      <c r="B149" s="262"/>
      <c r="C149" s="260"/>
      <c r="D149" s="259"/>
      <c r="E149" s="259"/>
      <c r="F149" s="259">
        <f t="shared" si="2"/>
        <v>1700000</v>
      </c>
      <c r="G149" s="260"/>
    </row>
    <row r="150" spans="1:7" x14ac:dyDescent="0.25">
      <c r="A150" s="262">
        <v>141</v>
      </c>
      <c r="B150" s="262"/>
      <c r="C150" s="260"/>
      <c r="D150" s="259"/>
      <c r="E150" s="259"/>
      <c r="F150" s="259">
        <f t="shared" si="2"/>
        <v>1700000</v>
      </c>
      <c r="G150" s="260"/>
    </row>
    <row r="151" spans="1:7" x14ac:dyDescent="0.25">
      <c r="A151" s="262">
        <v>142</v>
      </c>
      <c r="B151" s="262"/>
      <c r="C151" s="260"/>
      <c r="D151" s="259"/>
      <c r="E151" s="259"/>
      <c r="F151" s="259">
        <f t="shared" si="2"/>
        <v>1700000</v>
      </c>
      <c r="G151" s="260"/>
    </row>
    <row r="152" spans="1:7" x14ac:dyDescent="0.25">
      <c r="A152" s="262">
        <v>143</v>
      </c>
      <c r="B152" s="262"/>
      <c r="C152" s="260"/>
      <c r="D152" s="259"/>
      <c r="E152" s="259"/>
      <c r="F152" s="259">
        <f t="shared" si="2"/>
        <v>1700000</v>
      </c>
      <c r="G152" s="260"/>
    </row>
    <row r="153" spans="1:7" x14ac:dyDescent="0.25">
      <c r="A153" s="262">
        <v>144</v>
      </c>
      <c r="B153" s="262"/>
      <c r="C153" s="260"/>
      <c r="D153" s="259"/>
      <c r="E153" s="259"/>
      <c r="F153" s="259">
        <f t="shared" si="2"/>
        <v>1700000</v>
      </c>
      <c r="G153" s="260"/>
    </row>
    <row r="154" spans="1:7" x14ac:dyDescent="0.25">
      <c r="A154" s="262">
        <v>145</v>
      </c>
      <c r="B154" s="262"/>
      <c r="C154" s="260"/>
      <c r="D154" s="259"/>
      <c r="E154" s="259"/>
      <c r="F154" s="259">
        <f t="shared" si="2"/>
        <v>1700000</v>
      </c>
      <c r="G154" s="260"/>
    </row>
    <row r="155" spans="1:7" x14ac:dyDescent="0.25">
      <c r="A155" s="262">
        <v>146</v>
      </c>
      <c r="B155" s="262"/>
      <c r="C155" s="260"/>
      <c r="D155" s="259"/>
      <c r="E155" s="259"/>
      <c r="F155" s="259">
        <f t="shared" si="2"/>
        <v>1700000</v>
      </c>
      <c r="G155" s="260"/>
    </row>
    <row r="156" spans="1:7" x14ac:dyDescent="0.25">
      <c r="A156" s="262">
        <v>147</v>
      </c>
      <c r="B156" s="262"/>
      <c r="C156" s="260"/>
      <c r="D156" s="259"/>
      <c r="E156" s="259"/>
      <c r="F156" s="259">
        <f t="shared" si="2"/>
        <v>1700000</v>
      </c>
      <c r="G156" s="260"/>
    </row>
    <row r="157" spans="1:7" x14ac:dyDescent="0.25">
      <c r="A157" s="262">
        <v>148</v>
      </c>
      <c r="B157" s="262"/>
      <c r="C157" s="260"/>
      <c r="D157" s="259"/>
      <c r="E157" s="259"/>
      <c r="F157" s="259">
        <f t="shared" si="2"/>
        <v>1700000</v>
      </c>
      <c r="G157" s="260"/>
    </row>
    <row r="158" spans="1:7" x14ac:dyDescent="0.25">
      <c r="A158" s="262">
        <v>149</v>
      </c>
      <c r="B158" s="262"/>
      <c r="C158" s="260"/>
      <c r="D158" s="259"/>
      <c r="E158" s="259"/>
      <c r="F158" s="259">
        <f t="shared" si="2"/>
        <v>1700000</v>
      </c>
      <c r="G158" s="260"/>
    </row>
    <row r="159" spans="1:7" x14ac:dyDescent="0.25">
      <c r="A159" s="262">
        <v>150</v>
      </c>
      <c r="B159" s="262"/>
      <c r="C159" s="260"/>
      <c r="D159" s="259"/>
      <c r="E159" s="259"/>
      <c r="F159" s="259">
        <f t="shared" si="2"/>
        <v>1700000</v>
      </c>
      <c r="G159" s="260"/>
    </row>
    <row r="160" spans="1:7" x14ac:dyDescent="0.25">
      <c r="A160" s="262">
        <v>151</v>
      </c>
      <c r="B160" s="262"/>
      <c r="C160" s="260"/>
      <c r="D160" s="259"/>
      <c r="E160" s="259"/>
      <c r="F160" s="259">
        <f t="shared" si="2"/>
        <v>1700000</v>
      </c>
      <c r="G160" s="260"/>
    </row>
    <row r="161" spans="1:7" x14ac:dyDescent="0.25">
      <c r="A161" s="262">
        <v>152</v>
      </c>
      <c r="B161" s="262"/>
      <c r="C161" s="260"/>
      <c r="D161" s="259"/>
      <c r="E161" s="259"/>
      <c r="F161" s="259">
        <f t="shared" si="2"/>
        <v>1700000</v>
      </c>
      <c r="G161" s="260"/>
    </row>
    <row r="162" spans="1:7" x14ac:dyDescent="0.25">
      <c r="A162" s="262">
        <v>153</v>
      </c>
      <c r="B162" s="262"/>
      <c r="C162" s="260"/>
      <c r="D162" s="259"/>
      <c r="E162" s="259"/>
      <c r="F162" s="259">
        <f t="shared" si="2"/>
        <v>1700000</v>
      </c>
      <c r="G162" s="260"/>
    </row>
    <row r="163" spans="1:7" x14ac:dyDescent="0.25">
      <c r="A163" s="262">
        <v>154</v>
      </c>
      <c r="B163" s="262"/>
      <c r="C163" s="260"/>
      <c r="D163" s="259"/>
      <c r="E163" s="259"/>
      <c r="F163" s="259">
        <f t="shared" si="2"/>
        <v>1700000</v>
      </c>
      <c r="G163" s="260"/>
    </row>
    <row r="164" spans="1:7" x14ac:dyDescent="0.25">
      <c r="A164" s="262">
        <v>155</v>
      </c>
      <c r="B164" s="262"/>
      <c r="C164" s="260"/>
      <c r="D164" s="259"/>
      <c r="E164" s="259"/>
      <c r="F164" s="259">
        <f t="shared" si="2"/>
        <v>1700000</v>
      </c>
      <c r="G164" s="260"/>
    </row>
    <row r="165" spans="1:7" x14ac:dyDescent="0.25">
      <c r="A165" s="262">
        <v>156</v>
      </c>
      <c r="B165" s="262"/>
      <c r="C165" s="260"/>
      <c r="D165" s="259"/>
      <c r="E165" s="259"/>
      <c r="F165" s="259"/>
      <c r="G165" s="260"/>
    </row>
    <row r="166" spans="1:7" x14ac:dyDescent="0.25">
      <c r="A166" s="262">
        <v>157</v>
      </c>
      <c r="B166" s="262"/>
      <c r="C166" s="260"/>
      <c r="D166" s="259"/>
      <c r="E166" s="259"/>
      <c r="F166" s="259"/>
      <c r="G166" s="260"/>
    </row>
    <row r="167" spans="1:7" x14ac:dyDescent="0.25">
      <c r="A167" s="262">
        <v>158</v>
      </c>
      <c r="B167" s="262"/>
      <c r="C167" s="260"/>
      <c r="D167" s="259"/>
      <c r="E167" s="259"/>
      <c r="F167" s="259"/>
      <c r="G167" s="260"/>
    </row>
    <row r="168" spans="1:7" x14ac:dyDescent="0.25">
      <c r="A168" s="262">
        <v>159</v>
      </c>
      <c r="B168" s="262"/>
      <c r="C168" s="260"/>
      <c r="D168" s="259"/>
      <c r="E168" s="259"/>
      <c r="F168" s="259"/>
      <c r="G168" s="260"/>
    </row>
    <row r="169" spans="1:7" x14ac:dyDescent="0.25">
      <c r="A169" s="262">
        <v>160</v>
      </c>
      <c r="B169" s="262"/>
      <c r="C169" s="260"/>
      <c r="D169" s="259"/>
      <c r="E169" s="259"/>
      <c r="F169" s="259"/>
      <c r="G169" s="260"/>
    </row>
    <row r="170" spans="1:7" x14ac:dyDescent="0.25">
      <c r="A170" s="262">
        <v>161</v>
      </c>
      <c r="B170" s="262"/>
      <c r="C170" s="260"/>
      <c r="D170" s="259"/>
      <c r="E170" s="259"/>
      <c r="F170" s="259"/>
      <c r="G170" s="260"/>
    </row>
    <row r="171" spans="1:7" x14ac:dyDescent="0.25">
      <c r="A171" s="262">
        <v>162</v>
      </c>
      <c r="B171" s="262"/>
      <c r="C171" s="260"/>
      <c r="D171" s="259"/>
      <c r="E171" s="259"/>
      <c r="F171" s="259"/>
      <c r="G171" s="260"/>
    </row>
    <row r="172" spans="1:7" x14ac:dyDescent="0.25">
      <c r="A172" s="262">
        <v>163</v>
      </c>
      <c r="B172" s="262"/>
      <c r="C172" s="260"/>
      <c r="D172" s="259"/>
      <c r="E172" s="259"/>
      <c r="F172" s="259"/>
      <c r="G172" s="260"/>
    </row>
    <row r="173" spans="1:7" x14ac:dyDescent="0.25">
      <c r="A173" s="260"/>
      <c r="B173" s="262"/>
      <c r="C173" s="260"/>
      <c r="D173" s="259"/>
      <c r="E173" s="259"/>
      <c r="F173" s="259"/>
      <c r="G173" s="260"/>
    </row>
    <row r="174" spans="1:7" x14ac:dyDescent="0.25">
      <c r="A174" s="260"/>
      <c r="B174" s="262"/>
      <c r="C174" s="260"/>
      <c r="D174" s="259"/>
      <c r="E174" s="259"/>
      <c r="F174" s="259"/>
      <c r="G174" s="260"/>
    </row>
    <row r="175" spans="1:7" x14ac:dyDescent="0.25">
      <c r="A175" s="260"/>
      <c r="B175" s="262"/>
      <c r="C175" s="260"/>
      <c r="D175" s="259"/>
      <c r="E175" s="259"/>
      <c r="F175" s="259"/>
      <c r="G175" s="260"/>
    </row>
    <row r="176" spans="1:7" x14ac:dyDescent="0.25">
      <c r="A176" s="260"/>
      <c r="B176" s="262"/>
      <c r="C176" s="260"/>
      <c r="D176" s="259"/>
      <c r="E176" s="259"/>
      <c r="F176" s="259"/>
      <c r="G176" s="260"/>
    </row>
    <row r="177" spans="1:7" x14ac:dyDescent="0.25">
      <c r="A177" s="260"/>
      <c r="B177" s="262"/>
      <c r="C177" s="260"/>
      <c r="D177" s="259"/>
      <c r="E177" s="259"/>
      <c r="F177" s="259"/>
      <c r="G177" s="260"/>
    </row>
    <row r="178" spans="1:7" x14ac:dyDescent="0.25">
      <c r="A178" s="260"/>
      <c r="B178" s="262"/>
      <c r="C178" s="260"/>
      <c r="D178" s="259"/>
      <c r="E178" s="259"/>
      <c r="F178" s="259"/>
      <c r="G178" s="260"/>
    </row>
    <row r="179" spans="1:7" x14ac:dyDescent="0.25">
      <c r="A179" s="260"/>
      <c r="B179" s="262"/>
      <c r="C179" s="260"/>
      <c r="D179" s="259"/>
      <c r="E179" s="259"/>
      <c r="F179" s="259"/>
      <c r="G179" s="260"/>
    </row>
    <row r="180" spans="1:7" x14ac:dyDescent="0.25">
      <c r="A180" s="260"/>
      <c r="B180" s="262"/>
      <c r="C180" s="260"/>
      <c r="D180" s="259"/>
      <c r="E180" s="259"/>
      <c r="F180" s="259"/>
      <c r="G180" s="260"/>
    </row>
    <row r="181" spans="1:7" x14ac:dyDescent="0.25">
      <c r="A181" s="260"/>
      <c r="B181" s="262"/>
      <c r="C181" s="260"/>
      <c r="D181" s="259"/>
      <c r="E181" s="259"/>
      <c r="F181" s="259"/>
      <c r="G181" s="260"/>
    </row>
    <row r="182" spans="1:7" x14ac:dyDescent="0.25">
      <c r="A182" s="260"/>
      <c r="B182" s="262"/>
      <c r="C182" s="260"/>
      <c r="D182" s="259"/>
      <c r="E182" s="259"/>
      <c r="F182" s="259"/>
      <c r="G182" s="260"/>
    </row>
    <row r="183" spans="1:7" x14ac:dyDescent="0.25">
      <c r="A183" s="260"/>
      <c r="B183" s="262"/>
      <c r="C183" s="260"/>
      <c r="D183" s="259"/>
      <c r="E183" s="259"/>
      <c r="F183" s="259"/>
      <c r="G183" s="260"/>
    </row>
    <row r="184" spans="1:7" x14ac:dyDescent="0.25">
      <c r="A184" s="260"/>
      <c r="B184" s="262"/>
      <c r="C184" s="260"/>
      <c r="D184" s="259"/>
      <c r="E184" s="259"/>
      <c r="F184" s="259"/>
      <c r="G184" s="260"/>
    </row>
    <row r="185" spans="1:7" x14ac:dyDescent="0.25">
      <c r="A185" s="260"/>
      <c r="B185" s="262"/>
      <c r="C185" s="260"/>
      <c r="D185" s="259"/>
      <c r="E185" s="259"/>
      <c r="F185" s="259"/>
      <c r="G185" s="260"/>
    </row>
    <row r="186" spans="1:7" x14ac:dyDescent="0.25">
      <c r="A186" s="260"/>
      <c r="B186" s="262"/>
      <c r="C186" s="260"/>
      <c r="D186" s="259"/>
      <c r="E186" s="259"/>
      <c r="F186" s="259"/>
      <c r="G186" s="260"/>
    </row>
    <row r="187" spans="1:7" x14ac:dyDescent="0.25">
      <c r="A187" s="260"/>
      <c r="B187" s="262"/>
      <c r="C187" s="260"/>
      <c r="D187" s="259"/>
      <c r="E187" s="259"/>
      <c r="F187" s="259"/>
      <c r="G187" s="260"/>
    </row>
    <row r="188" spans="1:7" x14ac:dyDescent="0.25">
      <c r="A188" s="260"/>
      <c r="B188" s="262"/>
      <c r="C188" s="260"/>
      <c r="D188" s="259"/>
      <c r="E188" s="259"/>
      <c r="F188" s="259"/>
      <c r="G188" s="260"/>
    </row>
    <row r="189" spans="1:7" x14ac:dyDescent="0.25">
      <c r="A189" s="260"/>
      <c r="B189" s="262"/>
      <c r="C189" s="260"/>
      <c r="D189" s="259"/>
      <c r="E189" s="259"/>
      <c r="F189" s="259"/>
      <c r="G189" s="260"/>
    </row>
    <row r="190" spans="1:7" x14ac:dyDescent="0.25">
      <c r="A190" s="260"/>
      <c r="B190" s="262"/>
      <c r="C190" s="260"/>
      <c r="D190" s="259"/>
      <c r="E190" s="259"/>
      <c r="F190" s="259"/>
      <c r="G190" s="260"/>
    </row>
    <row r="191" spans="1:7" x14ac:dyDescent="0.25">
      <c r="A191" s="260"/>
      <c r="B191" s="262"/>
      <c r="C191" s="260"/>
      <c r="D191" s="259"/>
      <c r="E191" s="259"/>
      <c r="F191" s="259"/>
      <c r="G191" s="260"/>
    </row>
    <row r="192" spans="1:7" x14ac:dyDescent="0.25">
      <c r="A192" s="260"/>
      <c r="B192" s="262"/>
      <c r="C192" s="260"/>
      <c r="D192" s="259"/>
      <c r="E192" s="259"/>
      <c r="F192" s="259"/>
      <c r="G192" s="260"/>
    </row>
    <row r="193" spans="1:7" x14ac:dyDescent="0.25">
      <c r="A193" s="260"/>
      <c r="B193" s="262"/>
      <c r="C193" s="260"/>
      <c r="D193" s="259"/>
      <c r="E193" s="259"/>
      <c r="F193" s="259"/>
      <c r="G193" s="260"/>
    </row>
    <row r="194" spans="1:7" x14ac:dyDescent="0.25">
      <c r="A194" s="260"/>
      <c r="B194" s="262"/>
      <c r="C194" s="260"/>
      <c r="D194" s="259"/>
      <c r="E194" s="259"/>
      <c r="F194" s="259"/>
      <c r="G194" s="260"/>
    </row>
    <row r="195" spans="1:7" x14ac:dyDescent="0.25">
      <c r="A195" s="260"/>
      <c r="B195" s="262"/>
      <c r="C195" s="260"/>
      <c r="D195" s="259"/>
      <c r="E195" s="259"/>
      <c r="F195" s="259"/>
      <c r="G195" s="260"/>
    </row>
    <row r="196" spans="1:7" x14ac:dyDescent="0.25">
      <c r="A196" s="260"/>
      <c r="B196" s="262"/>
      <c r="C196" s="260"/>
      <c r="D196" s="259"/>
      <c r="E196" s="259"/>
      <c r="F196" s="259"/>
      <c r="G196" s="260"/>
    </row>
    <row r="197" spans="1:7" x14ac:dyDescent="0.25">
      <c r="A197" s="260"/>
      <c r="B197" s="262"/>
      <c r="C197" s="260"/>
      <c r="D197" s="259"/>
      <c r="E197" s="259"/>
      <c r="F197" s="259"/>
      <c r="G197" s="260"/>
    </row>
    <row r="198" spans="1:7" x14ac:dyDescent="0.25">
      <c r="A198" s="260"/>
      <c r="B198" s="262"/>
      <c r="C198" s="260"/>
      <c r="D198" s="259"/>
      <c r="E198" s="259"/>
      <c r="F198" s="259"/>
      <c r="G198" s="260"/>
    </row>
    <row r="199" spans="1:7" x14ac:dyDescent="0.25">
      <c r="A199" s="260"/>
      <c r="B199" s="262"/>
      <c r="C199" s="260"/>
      <c r="D199" s="259"/>
      <c r="E199" s="259"/>
      <c r="F199" s="259"/>
      <c r="G199" s="260"/>
    </row>
    <row r="200" spans="1:7" x14ac:dyDescent="0.25">
      <c r="A200" s="260"/>
      <c r="B200" s="262"/>
      <c r="C200" s="260"/>
      <c r="D200" s="259"/>
      <c r="E200" s="259"/>
      <c r="F200" s="259"/>
      <c r="G200" s="260"/>
    </row>
    <row r="201" spans="1:7" x14ac:dyDescent="0.25">
      <c r="A201" s="260"/>
      <c r="B201" s="262"/>
      <c r="C201" s="260"/>
      <c r="D201" s="259"/>
      <c r="E201" s="259"/>
      <c r="F201" s="259"/>
      <c r="G201" s="260"/>
    </row>
    <row r="202" spans="1:7" x14ac:dyDescent="0.25">
      <c r="A202" s="260"/>
      <c r="B202" s="262"/>
      <c r="C202" s="260"/>
      <c r="D202" s="259"/>
      <c r="E202" s="259"/>
      <c r="F202" s="259"/>
      <c r="G202" s="260"/>
    </row>
    <row r="203" spans="1:7" x14ac:dyDescent="0.25">
      <c r="A203" s="260"/>
      <c r="B203" s="262"/>
      <c r="C203" s="260"/>
      <c r="D203" s="259"/>
      <c r="E203" s="259"/>
      <c r="F203" s="259"/>
      <c r="G203" s="260"/>
    </row>
    <row r="204" spans="1:7" x14ac:dyDescent="0.25">
      <c r="A204" s="260"/>
      <c r="B204" s="262"/>
      <c r="C204" s="260"/>
      <c r="D204" s="259"/>
      <c r="E204" s="259"/>
      <c r="F204" s="259"/>
      <c r="G204" s="260"/>
    </row>
    <row r="205" spans="1:7" x14ac:dyDescent="0.25">
      <c r="A205" s="260"/>
      <c r="B205" s="262"/>
      <c r="C205" s="260"/>
      <c r="D205" s="259"/>
      <c r="E205" s="259"/>
      <c r="F205" s="259"/>
      <c r="G205" s="260"/>
    </row>
    <row r="206" spans="1:7" x14ac:dyDescent="0.25">
      <c r="A206" s="260"/>
      <c r="B206" s="262"/>
      <c r="C206" s="260"/>
      <c r="D206" s="259"/>
      <c r="E206" s="259"/>
      <c r="F206" s="259"/>
      <c r="G206" s="260"/>
    </row>
    <row r="207" spans="1:7" x14ac:dyDescent="0.25">
      <c r="A207" s="260"/>
      <c r="B207" s="262"/>
      <c r="C207" s="260"/>
      <c r="D207" s="259"/>
      <c r="E207" s="259"/>
      <c r="F207" s="259"/>
      <c r="G207" s="260"/>
    </row>
    <row r="208" spans="1:7" x14ac:dyDescent="0.25">
      <c r="A208" s="260"/>
      <c r="B208" s="262"/>
      <c r="C208" s="260"/>
      <c r="D208" s="259"/>
      <c r="E208" s="259"/>
      <c r="F208" s="259"/>
      <c r="G208" s="260"/>
    </row>
    <row r="209" spans="1:7" x14ac:dyDescent="0.25">
      <c r="A209" s="260"/>
      <c r="B209" s="262"/>
      <c r="C209" s="260"/>
      <c r="D209" s="259"/>
      <c r="E209" s="259"/>
      <c r="F209" s="259"/>
      <c r="G209" s="260"/>
    </row>
    <row r="210" spans="1:7" x14ac:dyDescent="0.25">
      <c r="A210" s="260"/>
      <c r="B210" s="262"/>
      <c r="C210" s="260"/>
      <c r="D210" s="259"/>
      <c r="E210" s="259"/>
      <c r="F210" s="259"/>
      <c r="G210" s="260"/>
    </row>
    <row r="211" spans="1:7" x14ac:dyDescent="0.25">
      <c r="A211" s="260"/>
      <c r="B211" s="262"/>
      <c r="C211" s="260"/>
      <c r="D211" s="259"/>
      <c r="E211" s="259"/>
      <c r="F211" s="259"/>
      <c r="G211" s="260"/>
    </row>
    <row r="212" spans="1:7" x14ac:dyDescent="0.25">
      <c r="A212" s="260"/>
      <c r="B212" s="262"/>
      <c r="C212" s="260"/>
      <c r="D212" s="259"/>
      <c r="E212" s="259"/>
      <c r="F212" s="259"/>
      <c r="G212" s="260"/>
    </row>
    <row r="213" spans="1:7" x14ac:dyDescent="0.25">
      <c r="A213" s="260"/>
      <c r="B213" s="262"/>
      <c r="C213" s="260"/>
      <c r="D213" s="259"/>
      <c r="E213" s="259"/>
      <c r="F213" s="259"/>
      <c r="G213" s="260"/>
    </row>
    <row r="214" spans="1:7" x14ac:dyDescent="0.25">
      <c r="A214" s="260"/>
      <c r="B214" s="262"/>
      <c r="C214" s="260"/>
      <c r="D214" s="259"/>
      <c r="E214" s="259"/>
      <c r="F214" s="259"/>
      <c r="G214" s="260"/>
    </row>
    <row r="215" spans="1:7" x14ac:dyDescent="0.25">
      <c r="A215" s="260"/>
      <c r="B215" s="262"/>
      <c r="C215" s="260"/>
      <c r="D215" s="259"/>
      <c r="E215" s="259"/>
      <c r="F215" s="259"/>
      <c r="G215" s="260"/>
    </row>
    <row r="216" spans="1:7" x14ac:dyDescent="0.25">
      <c r="A216" s="260"/>
      <c r="B216" s="262"/>
      <c r="C216" s="260"/>
      <c r="D216" s="259"/>
      <c r="E216" s="259"/>
      <c r="F216" s="259"/>
      <c r="G216" s="260"/>
    </row>
    <row r="217" spans="1:7" x14ac:dyDescent="0.25">
      <c r="A217" s="260"/>
      <c r="B217" s="262"/>
      <c r="C217" s="260"/>
      <c r="D217" s="259"/>
      <c r="E217" s="259"/>
      <c r="F217" s="259"/>
      <c r="G217" s="260"/>
    </row>
    <row r="218" spans="1:7" x14ac:dyDescent="0.25">
      <c r="A218" s="260"/>
      <c r="B218" s="262"/>
      <c r="C218" s="260"/>
      <c r="D218" s="259"/>
      <c r="E218" s="259"/>
      <c r="F218" s="259"/>
      <c r="G218" s="260"/>
    </row>
    <row r="219" spans="1:7" x14ac:dyDescent="0.25">
      <c r="A219" s="260"/>
      <c r="B219" s="262"/>
      <c r="C219" s="260"/>
      <c r="D219" s="259"/>
      <c r="E219" s="259"/>
      <c r="F219" s="259"/>
      <c r="G219" s="260"/>
    </row>
    <row r="220" spans="1:7" x14ac:dyDescent="0.25">
      <c r="A220" s="260"/>
      <c r="B220" s="262"/>
      <c r="C220" s="260"/>
      <c r="D220" s="259"/>
      <c r="E220" s="259"/>
      <c r="F220" s="259"/>
      <c r="G220" s="260"/>
    </row>
    <row r="221" spans="1:7" x14ac:dyDescent="0.25">
      <c r="A221" s="260"/>
      <c r="B221" s="262"/>
      <c r="C221" s="260"/>
      <c r="D221" s="259"/>
      <c r="E221" s="259"/>
      <c r="F221" s="259"/>
      <c r="G221" s="260"/>
    </row>
    <row r="222" spans="1:7" x14ac:dyDescent="0.25">
      <c r="A222" s="260"/>
      <c r="B222" s="262"/>
      <c r="C222" s="260"/>
      <c r="D222" s="259"/>
      <c r="E222" s="259"/>
      <c r="F222" s="259"/>
      <c r="G222" s="260"/>
    </row>
    <row r="223" spans="1:7" x14ac:dyDescent="0.25">
      <c r="A223" s="260"/>
      <c r="B223" s="262"/>
      <c r="C223" s="260"/>
      <c r="D223" s="259"/>
      <c r="E223" s="259"/>
      <c r="F223" s="259"/>
      <c r="G223" s="260"/>
    </row>
    <row r="224" spans="1:7" x14ac:dyDescent="0.25">
      <c r="A224" s="260"/>
      <c r="B224" s="262"/>
      <c r="C224" s="260"/>
      <c r="D224" s="259"/>
      <c r="E224" s="259"/>
      <c r="F224" s="259"/>
      <c r="G224" s="260"/>
    </row>
    <row r="225" spans="1:7" x14ac:dyDescent="0.25">
      <c r="A225" s="260"/>
      <c r="B225" s="262"/>
      <c r="C225" s="260"/>
      <c r="D225" s="259"/>
      <c r="E225" s="259"/>
      <c r="F225" s="259"/>
      <c r="G225" s="260"/>
    </row>
    <row r="226" spans="1:7" x14ac:dyDescent="0.25">
      <c r="A226" s="260"/>
      <c r="B226" s="262"/>
      <c r="C226" s="260"/>
      <c r="D226" s="259"/>
      <c r="E226" s="259"/>
      <c r="F226" s="259"/>
      <c r="G226" s="260"/>
    </row>
    <row r="227" spans="1:7" x14ac:dyDescent="0.25">
      <c r="A227" s="260"/>
      <c r="B227" s="262"/>
      <c r="C227" s="260"/>
      <c r="D227" s="259"/>
      <c r="E227" s="259"/>
      <c r="F227" s="259"/>
      <c r="G227" s="260"/>
    </row>
    <row r="228" spans="1:7" x14ac:dyDescent="0.25">
      <c r="A228" s="260"/>
      <c r="B228" s="262"/>
      <c r="C228" s="260"/>
      <c r="D228" s="259"/>
      <c r="E228" s="259"/>
      <c r="F228" s="259"/>
      <c r="G228" s="260"/>
    </row>
    <row r="229" spans="1:7" x14ac:dyDescent="0.25">
      <c r="A229" s="260"/>
      <c r="B229" s="262"/>
      <c r="C229" s="260"/>
      <c r="D229" s="259"/>
      <c r="E229" s="259"/>
      <c r="F229" s="259"/>
      <c r="G229" s="260"/>
    </row>
    <row r="230" spans="1:7" x14ac:dyDescent="0.25">
      <c r="A230" s="260"/>
      <c r="B230" s="262"/>
      <c r="C230" s="260"/>
      <c r="D230" s="259"/>
      <c r="E230" s="259"/>
      <c r="F230" s="259"/>
      <c r="G230" s="260"/>
    </row>
    <row r="231" spans="1:7" x14ac:dyDescent="0.25">
      <c r="A231" s="260"/>
      <c r="B231" s="262"/>
      <c r="C231" s="260"/>
      <c r="D231" s="259"/>
      <c r="E231" s="259"/>
      <c r="F231" s="259"/>
      <c r="G231" s="260"/>
    </row>
    <row r="232" spans="1:7" x14ac:dyDescent="0.25">
      <c r="A232" s="260"/>
      <c r="B232" s="262"/>
      <c r="C232" s="260"/>
      <c r="D232" s="259"/>
      <c r="E232" s="259"/>
      <c r="F232" s="259"/>
      <c r="G232" s="260"/>
    </row>
    <row r="233" spans="1:7" x14ac:dyDescent="0.25">
      <c r="A233" s="260"/>
      <c r="B233" s="262"/>
      <c r="C233" s="260"/>
      <c r="D233" s="259"/>
      <c r="E233" s="259"/>
      <c r="F233" s="259"/>
      <c r="G233" s="260"/>
    </row>
    <row r="234" spans="1:7" x14ac:dyDescent="0.25">
      <c r="A234" s="260"/>
      <c r="B234" s="262"/>
      <c r="C234" s="260"/>
      <c r="D234" s="259"/>
      <c r="E234" s="259"/>
      <c r="F234" s="259"/>
      <c r="G234" s="260"/>
    </row>
    <row r="235" spans="1:7" x14ac:dyDescent="0.25">
      <c r="A235" s="260"/>
      <c r="B235" s="262"/>
      <c r="C235" s="260"/>
      <c r="D235" s="259"/>
      <c r="E235" s="259"/>
      <c r="F235" s="259"/>
      <c r="G235" s="260"/>
    </row>
    <row r="236" spans="1:7" x14ac:dyDescent="0.25">
      <c r="A236" s="260"/>
      <c r="B236" s="262"/>
      <c r="C236" s="260"/>
      <c r="D236" s="259"/>
      <c r="E236" s="259"/>
      <c r="F236" s="259"/>
      <c r="G236" s="260"/>
    </row>
    <row r="237" spans="1:7" x14ac:dyDescent="0.25">
      <c r="A237" s="260"/>
      <c r="B237" s="262"/>
      <c r="C237" s="260"/>
      <c r="D237" s="259"/>
      <c r="E237" s="259"/>
      <c r="F237" s="259"/>
      <c r="G237" s="260"/>
    </row>
    <row r="238" spans="1:7" x14ac:dyDescent="0.25">
      <c r="A238" s="260"/>
      <c r="B238" s="262"/>
      <c r="C238" s="260"/>
      <c r="D238" s="259"/>
      <c r="E238" s="259"/>
      <c r="F238" s="259"/>
      <c r="G238" s="260"/>
    </row>
    <row r="239" spans="1:7" x14ac:dyDescent="0.25">
      <c r="A239" s="260"/>
      <c r="B239" s="262"/>
      <c r="C239" s="260"/>
      <c r="D239" s="259"/>
      <c r="E239" s="259"/>
      <c r="F239" s="259"/>
      <c r="G239" s="260"/>
    </row>
    <row r="240" spans="1:7" x14ac:dyDescent="0.25">
      <c r="A240" s="260"/>
      <c r="B240" s="262"/>
      <c r="C240" s="260"/>
      <c r="D240" s="259"/>
      <c r="E240" s="259"/>
      <c r="F240" s="259"/>
      <c r="G240" s="260"/>
    </row>
    <row r="241" spans="1:7" x14ac:dyDescent="0.25">
      <c r="A241" s="260"/>
      <c r="B241" s="262"/>
      <c r="C241" s="260"/>
      <c r="D241" s="259"/>
      <c r="E241" s="259"/>
      <c r="F241" s="259"/>
      <c r="G241" s="260"/>
    </row>
    <row r="242" spans="1:7" x14ac:dyDescent="0.25">
      <c r="A242" s="260"/>
      <c r="B242" s="262"/>
      <c r="C242" s="260"/>
      <c r="D242" s="259"/>
      <c r="E242" s="259"/>
      <c r="F242" s="259"/>
      <c r="G242" s="260"/>
    </row>
    <row r="243" spans="1:7" x14ac:dyDescent="0.25">
      <c r="A243" s="260"/>
      <c r="B243" s="262"/>
      <c r="C243" s="260"/>
      <c r="D243" s="259"/>
      <c r="E243" s="259"/>
      <c r="F243" s="259"/>
      <c r="G243" s="260"/>
    </row>
    <row r="244" spans="1:7" x14ac:dyDescent="0.25">
      <c r="A244" s="260"/>
      <c r="B244" s="262"/>
      <c r="C244" s="260"/>
      <c r="D244" s="259"/>
      <c r="E244" s="259"/>
      <c r="F244" s="259"/>
      <c r="G244" s="260"/>
    </row>
    <row r="245" spans="1:7" x14ac:dyDescent="0.25">
      <c r="A245" s="260"/>
      <c r="B245" s="262"/>
      <c r="C245" s="260"/>
      <c r="D245" s="259"/>
      <c r="E245" s="259"/>
      <c r="F245" s="259"/>
      <c r="G245" s="260"/>
    </row>
    <row r="246" spans="1:7" x14ac:dyDescent="0.25">
      <c r="A246" s="260"/>
      <c r="B246" s="262"/>
      <c r="C246" s="260"/>
      <c r="D246" s="259"/>
      <c r="E246" s="259"/>
      <c r="F246" s="259"/>
      <c r="G246" s="260"/>
    </row>
    <row r="247" spans="1:7" x14ac:dyDescent="0.25">
      <c r="A247" s="260"/>
      <c r="B247" s="262"/>
      <c r="C247" s="260"/>
      <c r="D247" s="259"/>
      <c r="E247" s="259"/>
      <c r="F247" s="259"/>
      <c r="G247" s="260"/>
    </row>
    <row r="248" spans="1:7" x14ac:dyDescent="0.25">
      <c r="A248" s="260"/>
      <c r="B248" s="262"/>
      <c r="C248" s="260"/>
      <c r="D248" s="259"/>
      <c r="E248" s="259"/>
      <c r="F248" s="259"/>
      <c r="G248" s="260"/>
    </row>
    <row r="249" spans="1:7" x14ac:dyDescent="0.25">
      <c r="A249" s="260"/>
      <c r="B249" s="262"/>
      <c r="C249" s="260"/>
      <c r="D249" s="259"/>
      <c r="E249" s="259"/>
      <c r="F249" s="259"/>
      <c r="G249" s="260"/>
    </row>
    <row r="250" spans="1:7" x14ac:dyDescent="0.25">
      <c r="A250" s="260"/>
      <c r="B250" s="262"/>
      <c r="C250" s="260"/>
      <c r="D250" s="259"/>
      <c r="E250" s="259"/>
      <c r="F250" s="259"/>
      <c r="G250" s="260"/>
    </row>
    <row r="251" spans="1:7" x14ac:dyDescent="0.25">
      <c r="A251" s="260"/>
      <c r="B251" s="262"/>
      <c r="C251" s="260"/>
      <c r="D251" s="259"/>
      <c r="E251" s="259"/>
      <c r="F251" s="259"/>
      <c r="G251" s="260"/>
    </row>
    <row r="252" spans="1:7" x14ac:dyDescent="0.25">
      <c r="A252" s="260"/>
      <c r="B252" s="262"/>
      <c r="C252" s="260"/>
      <c r="D252" s="259"/>
      <c r="E252" s="259"/>
      <c r="F252" s="259"/>
      <c r="G252" s="260"/>
    </row>
    <row r="253" spans="1:7" x14ac:dyDescent="0.25">
      <c r="A253" s="260"/>
      <c r="B253" s="262"/>
      <c r="C253" s="260"/>
      <c r="D253" s="259"/>
      <c r="E253" s="259"/>
      <c r="F253" s="259"/>
      <c r="G253" s="260"/>
    </row>
    <row r="254" spans="1:7" x14ac:dyDescent="0.25">
      <c r="A254" s="260"/>
      <c r="B254" s="262"/>
      <c r="C254" s="260"/>
      <c r="D254" s="259"/>
      <c r="E254" s="259"/>
      <c r="F254" s="259"/>
      <c r="G254" s="260"/>
    </row>
    <row r="255" spans="1:7" x14ac:dyDescent="0.25">
      <c r="A255" s="260"/>
      <c r="B255" s="262"/>
      <c r="C255" s="260"/>
      <c r="D255" s="259"/>
      <c r="E255" s="259"/>
      <c r="F255" s="259"/>
      <c r="G255" s="260"/>
    </row>
    <row r="256" spans="1:7" x14ac:dyDescent="0.25">
      <c r="A256" s="260"/>
      <c r="B256" s="262"/>
      <c r="C256" s="260"/>
      <c r="D256" s="259"/>
      <c r="E256" s="259"/>
      <c r="F256" s="259"/>
      <c r="G256" s="260"/>
    </row>
    <row r="257" spans="1:7" x14ac:dyDescent="0.25">
      <c r="A257" s="260"/>
      <c r="B257" s="262"/>
      <c r="C257" s="260"/>
      <c r="D257" s="259"/>
      <c r="E257" s="259"/>
      <c r="F257" s="259"/>
      <c r="G257" s="260"/>
    </row>
    <row r="258" spans="1:7" x14ac:dyDescent="0.25">
      <c r="A258" s="260"/>
      <c r="B258" s="262"/>
      <c r="C258" s="260"/>
      <c r="D258" s="259"/>
      <c r="E258" s="259"/>
      <c r="F258" s="259"/>
      <c r="G258" s="260"/>
    </row>
    <row r="259" spans="1:7" x14ac:dyDescent="0.25">
      <c r="A259" s="260"/>
      <c r="B259" s="262"/>
      <c r="C259" s="260"/>
      <c r="D259" s="259"/>
      <c r="E259" s="259"/>
      <c r="F259" s="259"/>
      <c r="G259" s="260"/>
    </row>
    <row r="260" spans="1:7" x14ac:dyDescent="0.25">
      <c r="A260" s="260"/>
      <c r="B260" s="262"/>
      <c r="C260" s="260"/>
      <c r="D260" s="259"/>
      <c r="E260" s="259"/>
      <c r="F260" s="259"/>
      <c r="G260" s="260"/>
    </row>
    <row r="261" spans="1:7" x14ac:dyDescent="0.25">
      <c r="A261" s="260"/>
      <c r="B261" s="262"/>
      <c r="C261" s="260"/>
      <c r="D261" s="259"/>
      <c r="E261" s="259"/>
      <c r="F261" s="259"/>
      <c r="G261" s="260"/>
    </row>
    <row r="262" spans="1:7" x14ac:dyDescent="0.25">
      <c r="A262" s="260"/>
      <c r="B262" s="262"/>
      <c r="C262" s="260"/>
      <c r="D262" s="259"/>
      <c r="E262" s="259"/>
      <c r="F262" s="259"/>
      <c r="G262" s="260"/>
    </row>
    <row r="263" spans="1:7" x14ac:dyDescent="0.25">
      <c r="A263" s="260"/>
      <c r="B263" s="262"/>
      <c r="C263" s="260"/>
      <c r="D263" s="259"/>
      <c r="E263" s="259"/>
      <c r="F263" s="259"/>
      <c r="G263" s="260"/>
    </row>
    <row r="264" spans="1:7" x14ac:dyDescent="0.25">
      <c r="A264" s="260"/>
      <c r="B264" s="262"/>
      <c r="C264" s="260"/>
      <c r="D264" s="259"/>
      <c r="E264" s="259"/>
      <c r="F264" s="259"/>
      <c r="G264" s="260"/>
    </row>
    <row r="265" spans="1:7" x14ac:dyDescent="0.25">
      <c r="A265" s="260"/>
      <c r="B265" s="262"/>
      <c r="C265" s="260"/>
      <c r="D265" s="259"/>
      <c r="E265" s="259"/>
      <c r="F265" s="259"/>
      <c r="G265" s="260"/>
    </row>
    <row r="266" spans="1:7" x14ac:dyDescent="0.25">
      <c r="A266" s="260"/>
      <c r="B266" s="262"/>
      <c r="C266" s="260"/>
      <c r="D266" s="259"/>
      <c r="E266" s="259"/>
      <c r="F266" s="259"/>
      <c r="G266" s="260"/>
    </row>
    <row r="267" spans="1:7" x14ac:dyDescent="0.25">
      <c r="A267" s="260"/>
      <c r="B267" s="262"/>
      <c r="C267" s="260"/>
      <c r="D267" s="259"/>
      <c r="E267" s="259"/>
      <c r="F267" s="259"/>
      <c r="G267" s="260"/>
    </row>
    <row r="268" spans="1:7" x14ac:dyDescent="0.25">
      <c r="A268" s="260"/>
      <c r="B268" s="262"/>
      <c r="C268" s="260"/>
      <c r="D268" s="259"/>
      <c r="E268" s="259"/>
      <c r="F268" s="259"/>
      <c r="G268" s="260"/>
    </row>
    <row r="269" spans="1:7" x14ac:dyDescent="0.25">
      <c r="A269" s="260"/>
      <c r="B269" s="262"/>
      <c r="C269" s="260"/>
      <c r="D269" s="259"/>
      <c r="E269" s="259"/>
      <c r="F269" s="259"/>
      <c r="G269" s="260"/>
    </row>
    <row r="270" spans="1:7" x14ac:dyDescent="0.25">
      <c r="A270" s="260"/>
      <c r="B270" s="262"/>
      <c r="C270" s="260"/>
      <c r="D270" s="259"/>
      <c r="E270" s="259"/>
      <c r="F270" s="259"/>
      <c r="G270" s="260"/>
    </row>
    <row r="271" spans="1:7" x14ac:dyDescent="0.25">
      <c r="A271" s="260"/>
      <c r="B271" s="262"/>
      <c r="C271" s="260"/>
      <c r="D271" s="259"/>
      <c r="E271" s="259"/>
      <c r="F271" s="259"/>
      <c r="G271" s="260"/>
    </row>
    <row r="272" spans="1:7" x14ac:dyDescent="0.25">
      <c r="A272" s="260"/>
      <c r="B272" s="262"/>
      <c r="C272" s="260"/>
      <c r="D272" s="259"/>
      <c r="E272" s="259"/>
      <c r="F272" s="259"/>
      <c r="G272" s="260"/>
    </row>
    <row r="273" spans="1:7" x14ac:dyDescent="0.25">
      <c r="A273" s="260"/>
      <c r="B273" s="262"/>
      <c r="C273" s="260"/>
      <c r="D273" s="259"/>
      <c r="E273" s="259"/>
      <c r="F273" s="259"/>
      <c r="G273" s="260"/>
    </row>
    <row r="274" spans="1:7" x14ac:dyDescent="0.25">
      <c r="A274" s="260"/>
      <c r="B274" s="262"/>
      <c r="C274" s="260"/>
      <c r="D274" s="259"/>
      <c r="E274" s="259"/>
      <c r="F274" s="259"/>
      <c r="G274" s="260"/>
    </row>
    <row r="275" spans="1:7" x14ac:dyDescent="0.25">
      <c r="A275" s="260"/>
      <c r="B275" s="262"/>
      <c r="C275" s="260"/>
      <c r="D275" s="259"/>
      <c r="E275" s="259"/>
      <c r="F275" s="259"/>
      <c r="G275" s="260"/>
    </row>
    <row r="276" spans="1:7" x14ac:dyDescent="0.25">
      <c r="A276" s="260"/>
      <c r="B276" s="262"/>
      <c r="C276" s="260"/>
      <c r="D276" s="259"/>
      <c r="E276" s="259"/>
      <c r="F276" s="259"/>
      <c r="G276" s="260"/>
    </row>
    <row r="277" spans="1:7" x14ac:dyDescent="0.25">
      <c r="A277" s="260"/>
      <c r="B277" s="262"/>
      <c r="C277" s="260"/>
      <c r="D277" s="259"/>
      <c r="E277" s="259"/>
      <c r="F277" s="259"/>
      <c r="G277" s="260"/>
    </row>
    <row r="278" spans="1:7" x14ac:dyDescent="0.25">
      <c r="A278" s="260"/>
      <c r="B278" s="262"/>
      <c r="C278" s="260"/>
      <c r="D278" s="259"/>
      <c r="E278" s="259"/>
      <c r="F278" s="259"/>
      <c r="G278" s="260"/>
    </row>
    <row r="279" spans="1:7" x14ac:dyDescent="0.25">
      <c r="A279" s="260"/>
      <c r="B279" s="262"/>
      <c r="C279" s="260"/>
      <c r="D279" s="259"/>
      <c r="E279" s="259"/>
      <c r="F279" s="259"/>
      <c r="G279" s="260"/>
    </row>
    <row r="280" spans="1:7" x14ac:dyDescent="0.25">
      <c r="A280" s="260"/>
      <c r="B280" s="262"/>
      <c r="C280" s="260"/>
      <c r="D280" s="259"/>
      <c r="E280" s="259"/>
      <c r="F280" s="259"/>
      <c r="G280" s="260"/>
    </row>
    <row r="281" spans="1:7" x14ac:dyDescent="0.25">
      <c r="A281" s="260"/>
      <c r="B281" s="262"/>
      <c r="C281" s="260"/>
      <c r="D281" s="259"/>
      <c r="E281" s="259"/>
      <c r="F281" s="259"/>
      <c r="G281" s="260"/>
    </row>
    <row r="282" spans="1:7" x14ac:dyDescent="0.25">
      <c r="A282" s="260"/>
      <c r="B282" s="262"/>
      <c r="C282" s="260"/>
      <c r="D282" s="259"/>
      <c r="E282" s="259"/>
      <c r="F282" s="259"/>
      <c r="G282" s="260"/>
    </row>
    <row r="283" spans="1:7" x14ac:dyDescent="0.25">
      <c r="A283" s="260"/>
      <c r="B283" s="262"/>
      <c r="C283" s="260"/>
      <c r="D283" s="259"/>
      <c r="E283" s="259"/>
      <c r="F283" s="259"/>
      <c r="G283" s="260"/>
    </row>
    <row r="284" spans="1:7" x14ac:dyDescent="0.25">
      <c r="A284" s="260"/>
      <c r="B284" s="262"/>
      <c r="C284" s="260"/>
      <c r="D284" s="259"/>
      <c r="E284" s="259"/>
      <c r="F284" s="259"/>
      <c r="G284" s="260"/>
    </row>
    <row r="285" spans="1:7" x14ac:dyDescent="0.25">
      <c r="A285" s="260"/>
      <c r="B285" s="262"/>
      <c r="C285" s="260"/>
      <c r="D285" s="259"/>
      <c r="E285" s="259"/>
      <c r="F285" s="259"/>
      <c r="G285" s="260"/>
    </row>
    <row r="286" spans="1:7" x14ac:dyDescent="0.25">
      <c r="A286" s="260"/>
      <c r="B286" s="262"/>
      <c r="C286" s="260"/>
      <c r="D286" s="259"/>
      <c r="E286" s="259"/>
      <c r="F286" s="259"/>
      <c r="G286" s="260"/>
    </row>
    <row r="287" spans="1:7" x14ac:dyDescent="0.25">
      <c r="A287" s="260"/>
      <c r="B287" s="262"/>
      <c r="C287" s="260"/>
      <c r="D287" s="259"/>
      <c r="E287" s="259"/>
      <c r="F287" s="259"/>
      <c r="G287" s="260"/>
    </row>
    <row r="288" spans="1:7" x14ac:dyDescent="0.25">
      <c r="A288" s="260"/>
      <c r="B288" s="262"/>
      <c r="C288" s="260"/>
      <c r="D288" s="259"/>
      <c r="E288" s="259"/>
      <c r="F288" s="259"/>
      <c r="G288" s="260"/>
    </row>
    <row r="289" spans="1:7" x14ac:dyDescent="0.25">
      <c r="A289" s="260"/>
      <c r="B289" s="262"/>
      <c r="C289" s="260"/>
      <c r="D289" s="259"/>
      <c r="E289" s="259"/>
      <c r="F289" s="259"/>
      <c r="G289" s="260"/>
    </row>
    <row r="290" spans="1:7" x14ac:dyDescent="0.25">
      <c r="A290" s="260"/>
      <c r="B290" s="262"/>
      <c r="C290" s="260"/>
      <c r="D290" s="259"/>
      <c r="E290" s="259"/>
      <c r="F290" s="259"/>
      <c r="G290" s="260"/>
    </row>
    <row r="291" spans="1:7" x14ac:dyDescent="0.25">
      <c r="A291" s="260"/>
      <c r="B291" s="262"/>
      <c r="C291" s="260"/>
      <c r="D291" s="259"/>
      <c r="E291" s="259"/>
      <c r="F291" s="259"/>
      <c r="G291" s="260"/>
    </row>
    <row r="292" spans="1:7" x14ac:dyDescent="0.25">
      <c r="A292" s="260"/>
      <c r="B292" s="262"/>
      <c r="C292" s="260"/>
      <c r="D292" s="259"/>
      <c r="E292" s="259"/>
      <c r="F292" s="259"/>
      <c r="G292" s="260"/>
    </row>
    <row r="293" spans="1:7" x14ac:dyDescent="0.25">
      <c r="A293" s="260"/>
      <c r="B293" s="262"/>
      <c r="C293" s="260"/>
      <c r="D293" s="259"/>
      <c r="E293" s="259"/>
      <c r="F293" s="259"/>
      <c r="G293" s="260"/>
    </row>
    <row r="294" spans="1:7" x14ac:dyDescent="0.25">
      <c r="A294" s="260"/>
      <c r="B294" s="262"/>
      <c r="C294" s="260"/>
      <c r="D294" s="259"/>
      <c r="E294" s="259"/>
      <c r="F294" s="259"/>
      <c r="G294" s="260"/>
    </row>
    <row r="295" spans="1:7" x14ac:dyDescent="0.25">
      <c r="A295" s="260"/>
      <c r="B295" s="262"/>
      <c r="C295" s="260"/>
      <c r="D295" s="259"/>
      <c r="E295" s="259"/>
      <c r="F295" s="259"/>
      <c r="G295" s="260"/>
    </row>
    <row r="296" spans="1:7" x14ac:dyDescent="0.25">
      <c r="A296" s="260"/>
      <c r="B296" s="262"/>
      <c r="C296" s="260"/>
      <c r="D296" s="259"/>
      <c r="E296" s="259"/>
      <c r="F296" s="259"/>
      <c r="G296" s="260"/>
    </row>
    <row r="297" spans="1:7" x14ac:dyDescent="0.25">
      <c r="A297" s="260"/>
      <c r="B297" s="262"/>
      <c r="C297" s="260"/>
      <c r="D297" s="259"/>
      <c r="E297" s="259"/>
      <c r="F297" s="259"/>
      <c r="G297" s="260"/>
    </row>
    <row r="298" spans="1:7" x14ac:dyDescent="0.25">
      <c r="A298" s="260"/>
      <c r="B298" s="262"/>
      <c r="C298" s="260"/>
      <c r="D298" s="259"/>
      <c r="E298" s="259"/>
      <c r="F298" s="259"/>
      <c r="G298" s="260"/>
    </row>
    <row r="299" spans="1:7" x14ac:dyDescent="0.25">
      <c r="A299" s="260"/>
      <c r="B299" s="262"/>
      <c r="C299" s="260"/>
      <c r="D299" s="259"/>
      <c r="E299" s="259"/>
      <c r="F299" s="259"/>
      <c r="G299" s="260"/>
    </row>
    <row r="300" spans="1:7" x14ac:dyDescent="0.25">
      <c r="A300" s="260"/>
      <c r="B300" s="262"/>
      <c r="C300" s="260"/>
      <c r="D300" s="259"/>
      <c r="E300" s="259"/>
      <c r="F300" s="259"/>
      <c r="G300" s="260"/>
    </row>
    <row r="301" spans="1:7" x14ac:dyDescent="0.25">
      <c r="A301" s="260"/>
      <c r="B301" s="262"/>
      <c r="C301" s="260"/>
      <c r="D301" s="259"/>
      <c r="E301" s="259"/>
      <c r="F301" s="259"/>
      <c r="G301" s="260"/>
    </row>
    <row r="302" spans="1:7" x14ac:dyDescent="0.25">
      <c r="A302" s="260"/>
      <c r="B302" s="262"/>
      <c r="C302" s="260"/>
      <c r="D302" s="259"/>
      <c r="E302" s="259"/>
      <c r="F302" s="259"/>
      <c r="G302" s="260"/>
    </row>
    <row r="303" spans="1:7" x14ac:dyDescent="0.25">
      <c r="A303" s="260"/>
      <c r="B303" s="262"/>
      <c r="C303" s="260"/>
      <c r="D303" s="259"/>
      <c r="E303" s="259"/>
      <c r="F303" s="259"/>
      <c r="G303" s="260"/>
    </row>
    <row r="304" spans="1:7" x14ac:dyDescent="0.25">
      <c r="A304" s="260"/>
      <c r="B304" s="262"/>
      <c r="C304" s="260"/>
      <c r="D304" s="259"/>
      <c r="E304" s="259"/>
      <c r="F304" s="259"/>
      <c r="G304" s="260"/>
    </row>
    <row r="305" spans="1:7" x14ac:dyDescent="0.25">
      <c r="A305" s="260"/>
      <c r="B305" s="262"/>
      <c r="C305" s="260"/>
      <c r="D305" s="259"/>
      <c r="E305" s="259"/>
      <c r="F305" s="259"/>
      <c r="G305" s="260"/>
    </row>
    <row r="306" spans="1:7" x14ac:dyDescent="0.25">
      <c r="A306" s="260"/>
      <c r="B306" s="262"/>
      <c r="C306" s="260"/>
      <c r="D306" s="259"/>
      <c r="E306" s="259"/>
      <c r="F306" s="259"/>
      <c r="G306" s="260"/>
    </row>
    <row r="307" spans="1:7" x14ac:dyDescent="0.25">
      <c r="A307" s="260"/>
      <c r="B307" s="262"/>
      <c r="C307" s="260"/>
      <c r="D307" s="259"/>
      <c r="E307" s="259"/>
      <c r="F307" s="259"/>
      <c r="G307" s="260"/>
    </row>
    <row r="308" spans="1:7" x14ac:dyDescent="0.25">
      <c r="A308" s="260"/>
      <c r="B308" s="262"/>
      <c r="C308" s="260"/>
      <c r="D308" s="259"/>
      <c r="E308" s="259"/>
      <c r="F308" s="259"/>
      <c r="G308" s="260"/>
    </row>
    <row r="309" spans="1:7" x14ac:dyDescent="0.25">
      <c r="A309" s="260"/>
      <c r="B309" s="262"/>
      <c r="C309" s="260"/>
      <c r="D309" s="259"/>
      <c r="E309" s="259"/>
      <c r="F309" s="259"/>
      <c r="G309" s="260"/>
    </row>
    <row r="310" spans="1:7" x14ac:dyDescent="0.25">
      <c r="A310" s="260"/>
      <c r="B310" s="262"/>
      <c r="C310" s="260"/>
      <c r="D310" s="259"/>
      <c r="E310" s="259"/>
      <c r="F310" s="259"/>
      <c r="G310" s="260"/>
    </row>
    <row r="311" spans="1:7" x14ac:dyDescent="0.25">
      <c r="A311" s="260"/>
      <c r="B311" s="262"/>
      <c r="C311" s="260"/>
      <c r="D311" s="259"/>
      <c r="E311" s="259"/>
      <c r="F311" s="259"/>
      <c r="G311" s="260"/>
    </row>
    <row r="312" spans="1:7" x14ac:dyDescent="0.25">
      <c r="A312" s="260"/>
      <c r="B312" s="262"/>
      <c r="C312" s="260"/>
      <c r="D312" s="259"/>
      <c r="E312" s="259"/>
      <c r="F312" s="259"/>
      <c r="G312" s="260"/>
    </row>
    <row r="313" spans="1:7" x14ac:dyDescent="0.25">
      <c r="A313" s="260"/>
      <c r="B313" s="262"/>
      <c r="C313" s="260"/>
      <c r="D313" s="259"/>
      <c r="E313" s="259"/>
      <c r="F313" s="259"/>
      <c r="G313" s="260"/>
    </row>
    <row r="314" spans="1:7" x14ac:dyDescent="0.25">
      <c r="A314" s="260"/>
      <c r="B314" s="262"/>
      <c r="C314" s="260"/>
      <c r="D314" s="259"/>
      <c r="E314" s="259"/>
      <c r="F314" s="259"/>
      <c r="G314" s="260"/>
    </row>
    <row r="315" spans="1:7" x14ac:dyDescent="0.25">
      <c r="A315" s="260"/>
      <c r="B315" s="262"/>
      <c r="C315" s="260"/>
      <c r="D315" s="259"/>
      <c r="E315" s="259"/>
      <c r="F315" s="259"/>
      <c r="G315" s="260"/>
    </row>
    <row r="316" spans="1:7" x14ac:dyDescent="0.25">
      <c r="A316" s="260"/>
      <c r="B316" s="262"/>
      <c r="C316" s="260"/>
      <c r="D316" s="259"/>
      <c r="E316" s="259"/>
      <c r="F316" s="259"/>
      <c r="G316" s="260"/>
    </row>
    <row r="317" spans="1:7" x14ac:dyDescent="0.25">
      <c r="A317" s="260"/>
      <c r="B317" s="262"/>
      <c r="C317" s="260"/>
      <c r="D317" s="259"/>
      <c r="E317" s="259"/>
      <c r="F317" s="259"/>
      <c r="G317" s="260"/>
    </row>
    <row r="318" spans="1:7" x14ac:dyDescent="0.25">
      <c r="A318" s="260"/>
      <c r="B318" s="262"/>
      <c r="C318" s="260"/>
      <c r="D318" s="259"/>
      <c r="E318" s="259"/>
      <c r="F318" s="259"/>
      <c r="G318" s="260"/>
    </row>
    <row r="319" spans="1:7" x14ac:dyDescent="0.25">
      <c r="A319" s="260"/>
      <c r="B319" s="262"/>
      <c r="C319" s="260"/>
      <c r="D319" s="259"/>
      <c r="E319" s="259"/>
      <c r="F319" s="259"/>
      <c r="G319" s="260"/>
    </row>
    <row r="320" spans="1:7" x14ac:dyDescent="0.25">
      <c r="A320" s="260"/>
      <c r="B320" s="262"/>
      <c r="C320" s="260"/>
      <c r="D320" s="259"/>
      <c r="E320" s="259"/>
      <c r="F320" s="259"/>
      <c r="G320" s="260"/>
    </row>
    <row r="321" spans="1:7" x14ac:dyDescent="0.25">
      <c r="A321" s="260"/>
      <c r="B321" s="262"/>
      <c r="C321" s="260"/>
      <c r="D321" s="259"/>
      <c r="E321" s="259"/>
      <c r="F321" s="259"/>
      <c r="G321" s="260"/>
    </row>
    <row r="322" spans="1:7" x14ac:dyDescent="0.25">
      <c r="A322" s="260"/>
      <c r="B322" s="262"/>
      <c r="C322" s="260"/>
      <c r="D322" s="259"/>
      <c r="E322" s="259"/>
      <c r="F322" s="259"/>
      <c r="G322" s="260"/>
    </row>
    <row r="323" spans="1:7" x14ac:dyDescent="0.25">
      <c r="A323" s="260"/>
      <c r="B323" s="262"/>
      <c r="C323" s="260"/>
      <c r="D323" s="259"/>
      <c r="E323" s="259"/>
      <c r="F323" s="259"/>
      <c r="G323" s="260"/>
    </row>
    <row r="324" spans="1:7" x14ac:dyDescent="0.25">
      <c r="A324" s="260"/>
      <c r="B324" s="262"/>
      <c r="C324" s="260"/>
      <c r="D324" s="259"/>
      <c r="E324" s="259"/>
      <c r="F324" s="259"/>
      <c r="G324" s="260"/>
    </row>
    <row r="325" spans="1:7" x14ac:dyDescent="0.25">
      <c r="A325" s="260"/>
      <c r="B325" s="262"/>
      <c r="C325" s="260"/>
      <c r="D325" s="259"/>
      <c r="E325" s="259"/>
      <c r="F325" s="259"/>
      <c r="G325" s="260"/>
    </row>
    <row r="326" spans="1:7" x14ac:dyDescent="0.25">
      <c r="A326" s="260"/>
      <c r="B326" s="262"/>
      <c r="C326" s="260"/>
      <c r="D326" s="259"/>
      <c r="E326" s="259"/>
      <c r="F326" s="259"/>
      <c r="G326" s="260"/>
    </row>
    <row r="327" spans="1:7" x14ac:dyDescent="0.25">
      <c r="A327" s="260"/>
      <c r="B327" s="262"/>
      <c r="C327" s="260"/>
      <c r="D327" s="259"/>
      <c r="E327" s="259"/>
      <c r="F327" s="259"/>
      <c r="G327" s="260"/>
    </row>
    <row r="328" spans="1:7" x14ac:dyDescent="0.25">
      <c r="A328" s="260"/>
      <c r="B328" s="262"/>
      <c r="C328" s="260"/>
      <c r="D328" s="259"/>
      <c r="E328" s="259"/>
      <c r="F328" s="259"/>
      <c r="G328" s="260"/>
    </row>
    <row r="329" spans="1:7" x14ac:dyDescent="0.25">
      <c r="A329" s="260"/>
      <c r="B329" s="262"/>
      <c r="C329" s="260"/>
      <c r="D329" s="259"/>
      <c r="E329" s="259"/>
      <c r="F329" s="259"/>
      <c r="G329" s="260"/>
    </row>
    <row r="330" spans="1:7" x14ac:dyDescent="0.25">
      <c r="A330" s="260"/>
      <c r="B330" s="262"/>
      <c r="C330" s="260"/>
      <c r="D330" s="259"/>
      <c r="E330" s="259"/>
      <c r="F330" s="259"/>
      <c r="G330" s="260"/>
    </row>
    <row r="331" spans="1:7" x14ac:dyDescent="0.25">
      <c r="A331" s="260"/>
      <c r="B331" s="262"/>
      <c r="C331" s="260"/>
      <c r="D331" s="259"/>
      <c r="E331" s="259"/>
      <c r="F331" s="259"/>
      <c r="G331" s="260"/>
    </row>
    <row r="332" spans="1:7" x14ac:dyDescent="0.25">
      <c r="A332" s="260"/>
      <c r="B332" s="262"/>
      <c r="C332" s="260"/>
      <c r="D332" s="259"/>
      <c r="E332" s="259"/>
      <c r="F332" s="259"/>
      <c r="G332" s="260"/>
    </row>
    <row r="333" spans="1:7" x14ac:dyDescent="0.25">
      <c r="A333" s="260"/>
      <c r="B333" s="262"/>
      <c r="C333" s="260"/>
      <c r="D333" s="259"/>
      <c r="E333" s="259"/>
      <c r="F333" s="259"/>
      <c r="G333" s="260"/>
    </row>
    <row r="334" spans="1:7" x14ac:dyDescent="0.25">
      <c r="A334" s="260"/>
      <c r="B334" s="262"/>
      <c r="C334" s="260"/>
      <c r="D334" s="259"/>
      <c r="E334" s="259"/>
      <c r="F334" s="259"/>
      <c r="G334" s="260"/>
    </row>
    <row r="335" spans="1:7" x14ac:dyDescent="0.25">
      <c r="A335" s="260"/>
      <c r="B335" s="262"/>
      <c r="C335" s="260"/>
      <c r="D335" s="259"/>
      <c r="E335" s="259"/>
      <c r="F335" s="259"/>
      <c r="G335" s="260"/>
    </row>
    <row r="336" spans="1:7" x14ac:dyDescent="0.25">
      <c r="A336" s="260"/>
      <c r="B336" s="262"/>
      <c r="C336" s="260"/>
      <c r="D336" s="259"/>
      <c r="E336" s="259"/>
      <c r="F336" s="259"/>
      <c r="G336" s="260"/>
    </row>
    <row r="337" spans="1:7" x14ac:dyDescent="0.25">
      <c r="A337" s="260"/>
      <c r="B337" s="262"/>
      <c r="C337" s="260"/>
      <c r="D337" s="259"/>
      <c r="E337" s="259"/>
      <c r="F337" s="259"/>
      <c r="G337" s="260"/>
    </row>
    <row r="338" spans="1:7" x14ac:dyDescent="0.25">
      <c r="A338" s="260"/>
      <c r="B338" s="262"/>
      <c r="C338" s="260"/>
      <c r="D338" s="259"/>
      <c r="E338" s="259"/>
      <c r="F338" s="259"/>
      <c r="G338" s="260"/>
    </row>
    <row r="339" spans="1:7" x14ac:dyDescent="0.25">
      <c r="A339" s="260"/>
      <c r="B339" s="262"/>
      <c r="C339" s="260"/>
      <c r="D339" s="259"/>
      <c r="E339" s="259"/>
      <c r="F339" s="259"/>
      <c r="G339" s="260"/>
    </row>
    <row r="340" spans="1:7" x14ac:dyDescent="0.25">
      <c r="A340" s="260"/>
      <c r="B340" s="262"/>
      <c r="C340" s="260"/>
      <c r="D340" s="259"/>
      <c r="E340" s="259"/>
      <c r="F340" s="259"/>
      <c r="G340" s="260"/>
    </row>
    <row r="341" spans="1:7" x14ac:dyDescent="0.25">
      <c r="A341" s="260"/>
      <c r="B341" s="262"/>
      <c r="C341" s="260"/>
      <c r="D341" s="259"/>
      <c r="E341" s="259"/>
      <c r="F341" s="259"/>
      <c r="G341" s="260"/>
    </row>
    <row r="342" spans="1:7" x14ac:dyDescent="0.25">
      <c r="A342" s="260"/>
      <c r="B342" s="262"/>
      <c r="C342" s="260"/>
      <c r="D342" s="259"/>
      <c r="E342" s="259"/>
      <c r="F342" s="259"/>
      <c r="G342" s="260"/>
    </row>
    <row r="343" spans="1:7" x14ac:dyDescent="0.25">
      <c r="A343" s="260"/>
      <c r="B343" s="262"/>
      <c r="C343" s="260"/>
      <c r="D343" s="259"/>
      <c r="E343" s="259"/>
      <c r="F343" s="259"/>
      <c r="G343" s="260"/>
    </row>
    <row r="344" spans="1:7" x14ac:dyDescent="0.25">
      <c r="A344" s="260"/>
      <c r="B344" s="262"/>
      <c r="C344" s="260"/>
      <c r="D344" s="259"/>
      <c r="E344" s="259"/>
      <c r="F344" s="259"/>
      <c r="G344" s="260"/>
    </row>
    <row r="345" spans="1:7" x14ac:dyDescent="0.25">
      <c r="A345" s="260"/>
      <c r="B345" s="262"/>
      <c r="C345" s="260"/>
      <c r="D345" s="259"/>
      <c r="E345" s="259"/>
      <c r="F345" s="259"/>
      <c r="G345" s="260"/>
    </row>
    <row r="346" spans="1:7" x14ac:dyDescent="0.25">
      <c r="A346" s="260"/>
      <c r="B346" s="262"/>
      <c r="C346" s="260"/>
      <c r="D346" s="259"/>
      <c r="E346" s="259"/>
      <c r="F346" s="259"/>
      <c r="G346" s="260"/>
    </row>
    <row r="347" spans="1:7" x14ac:dyDescent="0.25">
      <c r="A347" s="260"/>
      <c r="B347" s="262"/>
      <c r="C347" s="260"/>
      <c r="D347" s="259"/>
      <c r="E347" s="259"/>
      <c r="F347" s="259"/>
      <c r="G347" s="260"/>
    </row>
    <row r="348" spans="1:7" x14ac:dyDescent="0.25">
      <c r="A348" s="260"/>
      <c r="B348" s="262"/>
      <c r="C348" s="260"/>
      <c r="D348" s="259"/>
      <c r="E348" s="259"/>
      <c r="F348" s="259"/>
      <c r="G348" s="260"/>
    </row>
    <row r="349" spans="1:7" x14ac:dyDescent="0.25">
      <c r="A349" s="260"/>
      <c r="B349" s="262"/>
      <c r="C349" s="260"/>
      <c r="D349" s="259"/>
      <c r="E349" s="259"/>
      <c r="F349" s="259"/>
      <c r="G349" s="260"/>
    </row>
    <row r="350" spans="1:7" x14ac:dyDescent="0.25">
      <c r="A350" s="260"/>
      <c r="B350" s="262"/>
      <c r="C350" s="260"/>
      <c r="D350" s="259"/>
      <c r="E350" s="259"/>
      <c r="F350" s="259"/>
      <c r="G350" s="260"/>
    </row>
    <row r="351" spans="1:7" x14ac:dyDescent="0.25">
      <c r="A351" s="260"/>
      <c r="B351" s="262"/>
      <c r="C351" s="260"/>
      <c r="D351" s="259"/>
      <c r="E351" s="259"/>
      <c r="F351" s="259"/>
      <c r="G351" s="260"/>
    </row>
    <row r="352" spans="1:7" x14ac:dyDescent="0.25">
      <c r="A352" s="260"/>
      <c r="B352" s="262"/>
      <c r="C352" s="260"/>
      <c r="D352" s="259"/>
      <c r="E352" s="259"/>
      <c r="F352" s="259"/>
      <c r="G352" s="260"/>
    </row>
    <row r="353" spans="1:7" x14ac:dyDescent="0.25">
      <c r="A353" s="260"/>
      <c r="B353" s="262"/>
      <c r="C353" s="260"/>
      <c r="D353" s="259"/>
      <c r="E353" s="259"/>
      <c r="F353" s="259"/>
      <c r="G353" s="260"/>
    </row>
    <row r="354" spans="1:7" x14ac:dyDescent="0.25">
      <c r="A354" s="260"/>
      <c r="B354" s="262"/>
      <c r="C354" s="260"/>
      <c r="D354" s="259"/>
      <c r="E354" s="259"/>
      <c r="F354" s="259"/>
      <c r="G354" s="260"/>
    </row>
    <row r="355" spans="1:7" x14ac:dyDescent="0.25">
      <c r="A355" s="260"/>
      <c r="B355" s="262"/>
      <c r="C355" s="260"/>
      <c r="D355" s="259"/>
      <c r="E355" s="259"/>
      <c r="F355" s="259"/>
      <c r="G355" s="260"/>
    </row>
    <row r="356" spans="1:7" x14ac:dyDescent="0.25">
      <c r="A356" s="260"/>
      <c r="B356" s="262"/>
      <c r="C356" s="260"/>
      <c r="D356" s="259"/>
      <c r="E356" s="259"/>
      <c r="F356" s="259"/>
      <c r="G356" s="260"/>
    </row>
    <row r="357" spans="1:7" x14ac:dyDescent="0.25">
      <c r="A357" s="260"/>
      <c r="B357" s="262"/>
      <c r="C357" s="260"/>
      <c r="D357" s="259"/>
      <c r="E357" s="259"/>
      <c r="F357" s="259"/>
      <c r="G357" s="260"/>
    </row>
    <row r="358" spans="1:7" x14ac:dyDescent="0.25">
      <c r="A358" s="260"/>
      <c r="B358" s="262"/>
      <c r="C358" s="260"/>
      <c r="D358" s="259"/>
      <c r="E358" s="259"/>
      <c r="F358" s="259"/>
      <c r="G358" s="260"/>
    </row>
    <row r="359" spans="1:7" x14ac:dyDescent="0.25">
      <c r="A359" s="260"/>
      <c r="B359" s="262"/>
      <c r="C359" s="260"/>
      <c r="D359" s="259"/>
      <c r="E359" s="259"/>
      <c r="F359" s="259"/>
      <c r="G359" s="260"/>
    </row>
    <row r="360" spans="1:7" x14ac:dyDescent="0.25">
      <c r="A360" s="260"/>
      <c r="B360" s="262"/>
      <c r="C360" s="260"/>
      <c r="D360" s="259"/>
      <c r="E360" s="259"/>
      <c r="F360" s="259"/>
      <c r="G360" s="260"/>
    </row>
    <row r="361" spans="1:7" x14ac:dyDescent="0.25">
      <c r="A361" s="260"/>
      <c r="B361" s="262"/>
      <c r="C361" s="260"/>
      <c r="D361" s="259"/>
      <c r="E361" s="259"/>
      <c r="F361" s="259"/>
      <c r="G361" s="260"/>
    </row>
    <row r="362" spans="1:7" x14ac:dyDescent="0.25">
      <c r="A362" s="260"/>
      <c r="B362" s="262"/>
      <c r="C362" s="260"/>
      <c r="D362" s="259"/>
      <c r="E362" s="259"/>
      <c r="F362" s="259"/>
      <c r="G362" s="260"/>
    </row>
    <row r="363" spans="1:7" x14ac:dyDescent="0.25">
      <c r="A363" s="260"/>
      <c r="B363" s="262"/>
      <c r="C363" s="260"/>
      <c r="D363" s="259"/>
      <c r="E363" s="259"/>
      <c r="F363" s="259"/>
      <c r="G363" s="260"/>
    </row>
    <row r="364" spans="1:7" x14ac:dyDescent="0.25">
      <c r="A364" s="260"/>
      <c r="B364" s="262"/>
      <c r="C364" s="260"/>
      <c r="D364" s="259"/>
      <c r="E364" s="259"/>
      <c r="F364" s="259"/>
      <c r="G364" s="260"/>
    </row>
    <row r="365" spans="1:7" x14ac:dyDescent="0.25">
      <c r="A365" s="260"/>
      <c r="B365" s="262"/>
      <c r="C365" s="260"/>
      <c r="D365" s="259"/>
      <c r="E365" s="259"/>
      <c r="F365" s="259"/>
      <c r="G365" s="260"/>
    </row>
    <row r="366" spans="1:7" x14ac:dyDescent="0.25">
      <c r="A366" s="260"/>
      <c r="B366" s="262"/>
      <c r="C366" s="260"/>
      <c r="D366" s="259"/>
      <c r="E366" s="259"/>
      <c r="F366" s="259"/>
      <c r="G366" s="260"/>
    </row>
    <row r="367" spans="1:7" x14ac:dyDescent="0.25">
      <c r="A367" s="260"/>
      <c r="B367" s="262"/>
      <c r="C367" s="260"/>
      <c r="D367" s="259"/>
      <c r="E367" s="259"/>
      <c r="F367" s="259"/>
      <c r="G367" s="260"/>
    </row>
    <row r="368" spans="1:7" x14ac:dyDescent="0.25">
      <c r="A368" s="260"/>
      <c r="B368" s="262"/>
      <c r="C368" s="260"/>
      <c r="D368" s="259"/>
      <c r="E368" s="259"/>
      <c r="F368" s="259"/>
      <c r="G368" s="260"/>
    </row>
    <row r="369" spans="1:7" x14ac:dyDescent="0.25">
      <c r="A369" s="260"/>
      <c r="B369" s="262"/>
      <c r="C369" s="260"/>
      <c r="D369" s="259"/>
      <c r="E369" s="259"/>
      <c r="F369" s="259"/>
      <c r="G369" s="260"/>
    </row>
    <row r="370" spans="1:7" x14ac:dyDescent="0.25">
      <c r="A370" s="260"/>
      <c r="B370" s="262"/>
      <c r="C370" s="260"/>
      <c r="D370" s="259"/>
      <c r="E370" s="259"/>
      <c r="F370" s="259"/>
      <c r="G370" s="260"/>
    </row>
    <row r="371" spans="1:7" x14ac:dyDescent="0.25">
      <c r="A371" s="260"/>
      <c r="B371" s="262"/>
      <c r="C371" s="260"/>
      <c r="D371" s="259"/>
      <c r="E371" s="259"/>
      <c r="F371" s="259"/>
      <c r="G371" s="260"/>
    </row>
    <row r="372" spans="1:7" x14ac:dyDescent="0.25">
      <c r="A372" s="260"/>
      <c r="B372" s="262"/>
      <c r="C372" s="260"/>
      <c r="D372" s="259"/>
      <c r="E372" s="259"/>
      <c r="F372" s="259"/>
      <c r="G372" s="260"/>
    </row>
    <row r="373" spans="1:7" x14ac:dyDescent="0.25">
      <c r="A373" s="260"/>
      <c r="B373" s="262"/>
      <c r="C373" s="260"/>
      <c r="D373" s="259"/>
      <c r="E373" s="259"/>
      <c r="F373" s="259"/>
      <c r="G373" s="260"/>
    </row>
    <row r="374" spans="1:7" x14ac:dyDescent="0.25">
      <c r="A374" s="260"/>
      <c r="B374" s="262"/>
      <c r="C374" s="260"/>
      <c r="D374" s="259"/>
      <c r="E374" s="259"/>
      <c r="F374" s="259"/>
      <c r="G374" s="260"/>
    </row>
    <row r="375" spans="1:7" x14ac:dyDescent="0.25">
      <c r="A375" s="260"/>
      <c r="B375" s="262"/>
      <c r="C375" s="260"/>
      <c r="D375" s="259"/>
      <c r="E375" s="259"/>
      <c r="F375" s="259"/>
      <c r="G375" s="260"/>
    </row>
    <row r="376" spans="1:7" x14ac:dyDescent="0.25">
      <c r="A376" s="260"/>
      <c r="B376" s="262"/>
      <c r="C376" s="260"/>
      <c r="D376" s="259"/>
      <c r="E376" s="259"/>
      <c r="F376" s="259"/>
      <c r="G376" s="260"/>
    </row>
    <row r="377" spans="1:7" x14ac:dyDescent="0.25">
      <c r="A377" s="260"/>
      <c r="B377" s="262"/>
      <c r="C377" s="260"/>
      <c r="D377" s="259"/>
      <c r="E377" s="259"/>
      <c r="F377" s="259"/>
      <c r="G377" s="260"/>
    </row>
    <row r="378" spans="1:7" x14ac:dyDescent="0.25">
      <c r="A378" s="260"/>
      <c r="B378" s="262"/>
      <c r="C378" s="260"/>
      <c r="D378" s="259"/>
      <c r="E378" s="259"/>
      <c r="F378" s="259"/>
      <c r="G378" s="260"/>
    </row>
    <row r="379" spans="1:7" x14ac:dyDescent="0.25">
      <c r="A379" s="260"/>
      <c r="B379" s="262"/>
      <c r="C379" s="260"/>
      <c r="D379" s="259"/>
      <c r="E379" s="259"/>
      <c r="F379" s="259"/>
      <c r="G379" s="260"/>
    </row>
  </sheetData>
  <mergeCells count="7">
    <mergeCell ref="G8:G9"/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17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0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21" style="2" customWidth="1"/>
    <col min="10" max="10" width="12.5703125" bestFit="1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" t="s">
        <v>159</v>
      </c>
    </row>
    <row r="4" spans="1:7" x14ac:dyDescent="0.25">
      <c r="E4" s="2" t="s">
        <v>9</v>
      </c>
      <c r="F4" s="2">
        <v>86200000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SUM(D10:D145)</f>
        <v>1411993800</v>
      </c>
    </row>
    <row r="6" spans="1:7" x14ac:dyDescent="0.25">
      <c r="E6" s="2" t="s">
        <v>11</v>
      </c>
      <c r="F6" s="2">
        <f>SUM(E10:E145)</f>
        <v>1498193800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6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555</v>
      </c>
      <c r="G8" s="413" t="s">
        <v>2</v>
      </c>
    </row>
    <row r="9" spans="1:7" x14ac:dyDescent="0.25">
      <c r="A9" s="416"/>
      <c r="B9" s="412"/>
      <c r="C9" s="412"/>
      <c r="D9" s="265" t="s">
        <v>6</v>
      </c>
      <c r="E9" s="265" t="s">
        <v>7</v>
      </c>
      <c r="F9" s="415"/>
      <c r="G9" s="414"/>
    </row>
    <row r="10" spans="1:7" x14ac:dyDescent="0.25">
      <c r="A10" s="262">
        <v>1</v>
      </c>
      <c r="B10" s="261">
        <v>43619</v>
      </c>
      <c r="C10" s="260" t="s">
        <v>158</v>
      </c>
      <c r="D10" s="259"/>
      <c r="E10" s="259">
        <v>40000000</v>
      </c>
      <c r="F10" s="259">
        <f>F4+D10-E10</f>
        <v>46200000</v>
      </c>
      <c r="G10" s="260"/>
    </row>
    <row r="11" spans="1:7" x14ac:dyDescent="0.25">
      <c r="A11" s="262">
        <v>2</v>
      </c>
      <c r="B11" s="261">
        <v>43647</v>
      </c>
      <c r="C11" s="260" t="s">
        <v>158</v>
      </c>
      <c r="D11" s="259"/>
      <c r="E11" s="259">
        <v>46200000</v>
      </c>
      <c r="F11" s="259">
        <f>F10+D11-E11</f>
        <v>0</v>
      </c>
      <c r="G11" s="260"/>
    </row>
    <row r="12" spans="1:7" x14ac:dyDescent="0.25">
      <c r="A12" s="262">
        <v>3</v>
      </c>
      <c r="B12" s="261">
        <v>43646</v>
      </c>
      <c r="C12" s="260" t="s">
        <v>195</v>
      </c>
      <c r="D12" s="259">
        <v>24000000</v>
      </c>
      <c r="E12" s="259"/>
      <c r="F12" s="259">
        <f t="shared" ref="F12:F66" si="0">F11+D12-E12</f>
        <v>24000000</v>
      </c>
      <c r="G12" s="260"/>
    </row>
    <row r="13" spans="1:7" x14ac:dyDescent="0.25">
      <c r="A13" s="262">
        <v>4</v>
      </c>
      <c r="B13" s="261">
        <v>43677</v>
      </c>
      <c r="C13" s="260" t="s">
        <v>196</v>
      </c>
      <c r="D13" s="259">
        <v>300000</v>
      </c>
      <c r="E13" s="259"/>
      <c r="F13" s="259">
        <f t="shared" si="0"/>
        <v>24300000</v>
      </c>
      <c r="G13" s="260"/>
    </row>
    <row r="14" spans="1:7" x14ac:dyDescent="0.25">
      <c r="A14" s="262">
        <v>5</v>
      </c>
      <c r="B14" s="261">
        <v>43677</v>
      </c>
      <c r="C14" s="260" t="s">
        <v>232</v>
      </c>
      <c r="D14" s="259">
        <v>30200000</v>
      </c>
      <c r="E14" s="259"/>
      <c r="F14" s="259">
        <f t="shared" si="0"/>
        <v>54500000</v>
      </c>
      <c r="G14" s="260"/>
    </row>
    <row r="15" spans="1:7" x14ac:dyDescent="0.25">
      <c r="A15" s="262">
        <v>6</v>
      </c>
      <c r="B15" s="261">
        <v>43678</v>
      </c>
      <c r="C15" s="260" t="s">
        <v>158</v>
      </c>
      <c r="D15" s="259"/>
      <c r="E15" s="259">
        <v>24300000</v>
      </c>
      <c r="F15" s="259">
        <f t="shared" si="0"/>
        <v>30200000</v>
      </c>
      <c r="G15" s="260"/>
    </row>
    <row r="16" spans="1:7" x14ac:dyDescent="0.25">
      <c r="A16" s="262">
        <v>7</v>
      </c>
      <c r="B16" s="261">
        <v>43625</v>
      </c>
      <c r="C16" s="260" t="s">
        <v>158</v>
      </c>
      <c r="D16" s="259"/>
      <c r="E16" s="259">
        <v>30200000</v>
      </c>
      <c r="F16" s="259">
        <f t="shared" si="0"/>
        <v>0</v>
      </c>
      <c r="G16" s="260"/>
    </row>
    <row r="17" spans="1:7" x14ac:dyDescent="0.25">
      <c r="A17" s="262">
        <v>8</v>
      </c>
      <c r="B17" s="262" t="s">
        <v>333</v>
      </c>
      <c r="C17" s="260" t="s">
        <v>334</v>
      </c>
      <c r="D17" s="259">
        <v>10798000</v>
      </c>
      <c r="E17" s="259"/>
      <c r="F17" s="259">
        <f t="shared" si="0"/>
        <v>10798000</v>
      </c>
      <c r="G17" s="260"/>
    </row>
    <row r="18" spans="1:7" x14ac:dyDescent="0.25">
      <c r="A18" s="262">
        <v>9</v>
      </c>
      <c r="B18" s="262" t="s">
        <v>331</v>
      </c>
      <c r="C18" s="260" t="s">
        <v>158</v>
      </c>
      <c r="D18" s="259"/>
      <c r="E18" s="259">
        <v>10798000</v>
      </c>
      <c r="F18" s="259">
        <f t="shared" si="0"/>
        <v>0</v>
      </c>
      <c r="G18" s="259" t="s">
        <v>335</v>
      </c>
    </row>
    <row r="19" spans="1:7" x14ac:dyDescent="0.25">
      <c r="A19" s="262">
        <v>10</v>
      </c>
      <c r="B19" s="262" t="s">
        <v>376</v>
      </c>
      <c r="C19" s="260" t="s">
        <v>387</v>
      </c>
      <c r="D19" s="259">
        <v>5000000</v>
      </c>
      <c r="E19" s="259"/>
      <c r="F19" s="259">
        <f t="shared" si="0"/>
        <v>5000000</v>
      </c>
      <c r="G19" s="260"/>
    </row>
    <row r="20" spans="1:7" x14ac:dyDescent="0.25">
      <c r="A20" s="262">
        <v>11</v>
      </c>
      <c r="B20" s="261">
        <v>43892</v>
      </c>
      <c r="C20" s="260" t="s">
        <v>158</v>
      </c>
      <c r="D20" s="259"/>
      <c r="E20" s="259">
        <v>5000000</v>
      </c>
      <c r="F20" s="259">
        <f t="shared" si="0"/>
        <v>0</v>
      </c>
      <c r="G20" s="260"/>
    </row>
    <row r="21" spans="1:7" x14ac:dyDescent="0.25">
      <c r="A21" s="262">
        <v>12</v>
      </c>
      <c r="B21" s="262" t="s">
        <v>420</v>
      </c>
      <c r="C21" s="260" t="s">
        <v>433</v>
      </c>
      <c r="D21" s="259">
        <v>32000000</v>
      </c>
      <c r="E21" s="259"/>
      <c r="F21" s="259">
        <f t="shared" si="0"/>
        <v>32000000</v>
      </c>
      <c r="G21" s="260"/>
    </row>
    <row r="22" spans="1:7" x14ac:dyDescent="0.25">
      <c r="A22" s="262">
        <v>13</v>
      </c>
      <c r="B22" s="262" t="s">
        <v>420</v>
      </c>
      <c r="C22" s="260" t="s">
        <v>435</v>
      </c>
      <c r="D22" s="259">
        <v>8400000</v>
      </c>
      <c r="E22" s="259"/>
      <c r="F22" s="259">
        <f t="shared" si="0"/>
        <v>40400000</v>
      </c>
      <c r="G22" s="260"/>
    </row>
    <row r="23" spans="1:7" x14ac:dyDescent="0.25">
      <c r="A23" s="262">
        <v>14</v>
      </c>
      <c r="B23" s="262" t="s">
        <v>467</v>
      </c>
      <c r="C23" s="260" t="s">
        <v>468</v>
      </c>
      <c r="D23" s="259"/>
      <c r="E23" s="259">
        <v>40400000</v>
      </c>
      <c r="F23" s="259">
        <f t="shared" si="0"/>
        <v>0</v>
      </c>
      <c r="G23" s="260"/>
    </row>
    <row r="24" spans="1:7" x14ac:dyDescent="0.25">
      <c r="A24" s="262">
        <v>15</v>
      </c>
      <c r="B24" s="262" t="s">
        <v>449</v>
      </c>
      <c r="C24" s="260" t="s">
        <v>464</v>
      </c>
      <c r="D24" s="259">
        <v>64800000</v>
      </c>
      <c r="E24" s="259"/>
      <c r="F24" s="259">
        <f t="shared" si="0"/>
        <v>64800000</v>
      </c>
      <c r="G24" s="260"/>
    </row>
    <row r="25" spans="1:7" x14ac:dyDescent="0.25">
      <c r="A25" s="262">
        <v>16</v>
      </c>
      <c r="B25" s="262" t="s">
        <v>449</v>
      </c>
      <c r="C25" s="260" t="s">
        <v>465</v>
      </c>
      <c r="D25" s="259">
        <v>10920000</v>
      </c>
      <c r="E25" s="259"/>
      <c r="F25" s="259">
        <f t="shared" si="0"/>
        <v>75720000</v>
      </c>
      <c r="G25" s="260"/>
    </row>
    <row r="26" spans="1:7" x14ac:dyDescent="0.25">
      <c r="A26" s="262">
        <v>17</v>
      </c>
      <c r="B26" s="262" t="s">
        <v>485</v>
      </c>
      <c r="C26" s="260" t="s">
        <v>497</v>
      </c>
      <c r="D26" s="259">
        <v>59900000</v>
      </c>
      <c r="E26" s="259"/>
      <c r="F26" s="259">
        <f t="shared" si="0"/>
        <v>135620000</v>
      </c>
      <c r="G26" s="260"/>
    </row>
    <row r="27" spans="1:7" x14ac:dyDescent="0.25">
      <c r="A27" s="262">
        <v>18</v>
      </c>
      <c r="B27" s="262" t="s">
        <v>485</v>
      </c>
      <c r="C27" s="260" t="s">
        <v>498</v>
      </c>
      <c r="D27" s="259">
        <v>8820000</v>
      </c>
      <c r="E27" s="259"/>
      <c r="F27" s="259">
        <f t="shared" si="0"/>
        <v>144440000</v>
      </c>
      <c r="G27" s="260"/>
    </row>
    <row r="28" spans="1:7" x14ac:dyDescent="0.25">
      <c r="A28" s="262">
        <v>19</v>
      </c>
      <c r="B28" s="261">
        <v>43926</v>
      </c>
      <c r="C28" s="260" t="s">
        <v>158</v>
      </c>
      <c r="D28" s="259"/>
      <c r="E28" s="259">
        <v>75720000</v>
      </c>
      <c r="F28" s="259">
        <f t="shared" si="0"/>
        <v>68720000</v>
      </c>
      <c r="G28" s="260"/>
    </row>
    <row r="29" spans="1:7" x14ac:dyDescent="0.25">
      <c r="A29" s="262">
        <v>20</v>
      </c>
      <c r="B29" s="261">
        <v>43981</v>
      </c>
      <c r="C29" s="260" t="s">
        <v>518</v>
      </c>
      <c r="D29" s="259">
        <v>99500000</v>
      </c>
      <c r="E29" s="259"/>
      <c r="F29" s="259">
        <f t="shared" si="0"/>
        <v>168220000</v>
      </c>
      <c r="G29" s="260"/>
    </row>
    <row r="30" spans="1:7" x14ac:dyDescent="0.25">
      <c r="A30" s="262">
        <v>21</v>
      </c>
      <c r="B30" s="261">
        <v>43981</v>
      </c>
      <c r="C30" s="260" t="s">
        <v>519</v>
      </c>
      <c r="D30" s="259">
        <f>13170000+1560000</f>
        <v>14730000</v>
      </c>
      <c r="E30" s="259"/>
      <c r="F30" s="259">
        <f t="shared" si="0"/>
        <v>182950000</v>
      </c>
      <c r="G30" s="260"/>
    </row>
    <row r="31" spans="1:7" x14ac:dyDescent="0.25">
      <c r="A31" s="262">
        <v>22</v>
      </c>
      <c r="B31" s="261">
        <v>43957</v>
      </c>
      <c r="C31" s="260" t="s">
        <v>158</v>
      </c>
      <c r="D31" s="259"/>
      <c r="E31" s="259">
        <v>28720000</v>
      </c>
      <c r="F31" s="259">
        <f t="shared" si="0"/>
        <v>154230000</v>
      </c>
      <c r="G31" s="260"/>
    </row>
    <row r="32" spans="1:7" x14ac:dyDescent="0.25">
      <c r="A32" s="262">
        <v>23</v>
      </c>
      <c r="B32" s="262" t="s">
        <v>523</v>
      </c>
      <c r="C32" s="260" t="s">
        <v>158</v>
      </c>
      <c r="D32" s="259"/>
      <c r="E32" s="259">
        <v>20000000</v>
      </c>
      <c r="F32" s="259">
        <f t="shared" si="0"/>
        <v>134230000</v>
      </c>
      <c r="G32" s="260"/>
    </row>
    <row r="33" spans="1:10" x14ac:dyDescent="0.25">
      <c r="A33" s="262">
        <v>24</v>
      </c>
      <c r="B33" s="262" t="s">
        <v>541</v>
      </c>
      <c r="C33" s="260" t="s">
        <v>158</v>
      </c>
      <c r="D33" s="259"/>
      <c r="E33" s="259">
        <v>20000000</v>
      </c>
      <c r="F33" s="259">
        <f t="shared" si="0"/>
        <v>114230000</v>
      </c>
      <c r="G33" s="260"/>
    </row>
    <row r="34" spans="1:10" x14ac:dyDescent="0.25">
      <c r="A34" s="262">
        <v>25</v>
      </c>
      <c r="B34" s="262" t="s">
        <v>542</v>
      </c>
      <c r="C34" s="260" t="s">
        <v>549</v>
      </c>
      <c r="D34" s="259">
        <v>80000000</v>
      </c>
      <c r="E34" s="259"/>
      <c r="F34" s="259">
        <f t="shared" si="0"/>
        <v>194230000</v>
      </c>
      <c r="G34" s="260"/>
    </row>
    <row r="35" spans="1:10" x14ac:dyDescent="0.25">
      <c r="A35" s="262">
        <v>26</v>
      </c>
      <c r="B35" s="262" t="s">
        <v>542</v>
      </c>
      <c r="C35" s="260" t="s">
        <v>556</v>
      </c>
      <c r="D35" s="259">
        <v>10500000</v>
      </c>
      <c r="E35" s="259"/>
      <c r="F35" s="259">
        <f t="shared" si="0"/>
        <v>204730000</v>
      </c>
      <c r="G35" s="260"/>
      <c r="J35" s="242"/>
    </row>
    <row r="36" spans="1:10" x14ac:dyDescent="0.25">
      <c r="A36" s="262">
        <v>27</v>
      </c>
      <c r="B36" s="261">
        <v>44026</v>
      </c>
      <c r="C36" s="260" t="s">
        <v>559</v>
      </c>
      <c r="D36" s="259"/>
      <c r="E36" s="259">
        <v>114230000</v>
      </c>
      <c r="F36" s="259">
        <f t="shared" si="0"/>
        <v>90500000</v>
      </c>
      <c r="G36" s="260" t="s">
        <v>558</v>
      </c>
    </row>
    <row r="37" spans="1:10" x14ac:dyDescent="0.25">
      <c r="A37" s="262">
        <v>28</v>
      </c>
      <c r="B37" s="261">
        <v>44048</v>
      </c>
      <c r="C37" s="260" t="s">
        <v>571</v>
      </c>
      <c r="D37" s="259"/>
      <c r="E37" s="259">
        <v>90500000</v>
      </c>
      <c r="F37" s="259">
        <f t="shared" si="0"/>
        <v>0</v>
      </c>
      <c r="G37" s="260"/>
    </row>
    <row r="38" spans="1:10" x14ac:dyDescent="0.25">
      <c r="A38" s="262">
        <v>29</v>
      </c>
      <c r="B38" s="261">
        <v>44043</v>
      </c>
      <c r="C38" s="260" t="s">
        <v>573</v>
      </c>
      <c r="D38" s="259">
        <v>63700000</v>
      </c>
      <c r="E38" s="259"/>
      <c r="F38" s="259">
        <f t="shared" si="0"/>
        <v>63700000</v>
      </c>
      <c r="G38" s="260"/>
    </row>
    <row r="39" spans="1:10" x14ac:dyDescent="0.25">
      <c r="A39" s="262">
        <v>30</v>
      </c>
      <c r="B39" s="261">
        <v>44043</v>
      </c>
      <c r="C39" s="260" t="s">
        <v>574</v>
      </c>
      <c r="D39" s="259">
        <f>700000+10060000</f>
        <v>10760000</v>
      </c>
      <c r="E39" s="259"/>
      <c r="F39" s="259">
        <f t="shared" si="0"/>
        <v>74460000</v>
      </c>
      <c r="G39" s="260"/>
    </row>
    <row r="40" spans="1:10" x14ac:dyDescent="0.25">
      <c r="A40" s="262">
        <v>31</v>
      </c>
      <c r="B40" s="261">
        <v>44077</v>
      </c>
      <c r="C40" s="260" t="s">
        <v>595</v>
      </c>
      <c r="D40" s="259"/>
      <c r="E40" s="259">
        <v>74460000</v>
      </c>
      <c r="F40" s="259">
        <f t="shared" si="0"/>
        <v>0</v>
      </c>
      <c r="G40" s="260" t="s">
        <v>596</v>
      </c>
    </row>
    <row r="41" spans="1:10" x14ac:dyDescent="0.25">
      <c r="A41" s="262">
        <v>32</v>
      </c>
      <c r="B41" s="261">
        <v>44077</v>
      </c>
      <c r="C41" s="260" t="s">
        <v>623</v>
      </c>
      <c r="D41" s="259">
        <v>38400000</v>
      </c>
      <c r="E41" s="259"/>
      <c r="F41" s="259">
        <f t="shared" si="0"/>
        <v>38400000</v>
      </c>
      <c r="G41" s="260"/>
    </row>
    <row r="42" spans="1:10" x14ac:dyDescent="0.25">
      <c r="A42" s="262">
        <v>33</v>
      </c>
      <c r="B42" s="261">
        <v>44077</v>
      </c>
      <c r="C42" s="260" t="s">
        <v>598</v>
      </c>
      <c r="D42" s="259">
        <v>5040000</v>
      </c>
      <c r="E42" s="259"/>
      <c r="F42" s="259">
        <f t="shared" si="0"/>
        <v>43440000</v>
      </c>
      <c r="G42" s="260"/>
    </row>
    <row r="43" spans="1:10" x14ac:dyDescent="0.25">
      <c r="A43" s="262">
        <v>34</v>
      </c>
      <c r="B43" s="261">
        <v>44104</v>
      </c>
      <c r="C43" s="260" t="s">
        <v>622</v>
      </c>
      <c r="D43" s="259">
        <v>6100000</v>
      </c>
      <c r="E43" s="259"/>
      <c r="F43" s="259">
        <f t="shared" si="0"/>
        <v>49540000</v>
      </c>
      <c r="G43" s="260"/>
    </row>
    <row r="44" spans="1:10" x14ac:dyDescent="0.25">
      <c r="A44" s="262">
        <v>35</v>
      </c>
      <c r="B44" s="261">
        <v>44104</v>
      </c>
      <c r="C44" s="260" t="s">
        <v>821</v>
      </c>
      <c r="D44" s="259">
        <v>1120000</v>
      </c>
      <c r="E44" s="259"/>
      <c r="F44" s="259">
        <f t="shared" si="0"/>
        <v>50660000</v>
      </c>
      <c r="G44" s="260"/>
    </row>
    <row r="45" spans="1:10" x14ac:dyDescent="0.25">
      <c r="A45" s="262">
        <v>36</v>
      </c>
      <c r="B45" s="261">
        <v>44109</v>
      </c>
      <c r="C45" s="260" t="s">
        <v>624</v>
      </c>
      <c r="D45" s="259"/>
      <c r="E45" s="259">
        <v>50660000</v>
      </c>
      <c r="F45" s="259">
        <f t="shared" si="0"/>
        <v>0</v>
      </c>
      <c r="G45" s="260" t="s">
        <v>625</v>
      </c>
    </row>
    <row r="46" spans="1:10" x14ac:dyDescent="0.25">
      <c r="A46" s="262">
        <v>37</v>
      </c>
      <c r="B46" s="261">
        <v>44135</v>
      </c>
      <c r="C46" s="260" t="s">
        <v>659</v>
      </c>
      <c r="D46" s="259">
        <v>15700000</v>
      </c>
      <c r="E46" s="259"/>
      <c r="F46" s="259">
        <f t="shared" si="0"/>
        <v>15700000</v>
      </c>
      <c r="G46" s="260"/>
    </row>
    <row r="47" spans="1:10" x14ac:dyDescent="0.25">
      <c r="A47" s="262">
        <v>38</v>
      </c>
      <c r="B47" s="261">
        <v>44135</v>
      </c>
      <c r="C47" s="260" t="s">
        <v>822</v>
      </c>
      <c r="D47" s="259">
        <f>1680000+700000</f>
        <v>2380000</v>
      </c>
      <c r="E47" s="259"/>
      <c r="F47" s="259">
        <f t="shared" si="0"/>
        <v>18080000</v>
      </c>
      <c r="G47" s="260"/>
    </row>
    <row r="48" spans="1:10" x14ac:dyDescent="0.25">
      <c r="A48" s="262">
        <v>39</v>
      </c>
      <c r="B48" s="261">
        <v>44174</v>
      </c>
      <c r="C48" s="260" t="s">
        <v>685</v>
      </c>
      <c r="D48" s="259"/>
      <c r="E48" s="259">
        <v>18080000</v>
      </c>
      <c r="F48" s="259">
        <f t="shared" si="0"/>
        <v>0</v>
      </c>
      <c r="G48" s="260"/>
    </row>
    <row r="49" spans="1:7" x14ac:dyDescent="0.25">
      <c r="A49" s="262">
        <v>40</v>
      </c>
      <c r="B49" s="261">
        <v>44196</v>
      </c>
      <c r="C49" s="260" t="s">
        <v>693</v>
      </c>
      <c r="D49" s="259">
        <v>25600000</v>
      </c>
      <c r="E49" s="259"/>
      <c r="F49" s="259">
        <f t="shared" si="0"/>
        <v>25600000</v>
      </c>
      <c r="G49" s="260"/>
    </row>
    <row r="50" spans="1:7" x14ac:dyDescent="0.25">
      <c r="A50" s="262">
        <v>41</v>
      </c>
      <c r="B50" s="261">
        <v>44196</v>
      </c>
      <c r="C50" s="260" t="s">
        <v>823</v>
      </c>
      <c r="D50" s="259">
        <v>3360000</v>
      </c>
      <c r="E50" s="259"/>
      <c r="F50" s="259">
        <f t="shared" si="0"/>
        <v>28960000</v>
      </c>
      <c r="G50" s="260"/>
    </row>
    <row r="51" spans="1:7" x14ac:dyDescent="0.25">
      <c r="A51" s="262">
        <v>42</v>
      </c>
      <c r="B51" s="261">
        <v>44227</v>
      </c>
      <c r="C51" s="260" t="s">
        <v>726</v>
      </c>
      <c r="D51" s="259">
        <v>12500000</v>
      </c>
      <c r="E51" s="259"/>
      <c r="F51" s="259">
        <f>F50+D51-E51</f>
        <v>41460000</v>
      </c>
      <c r="G51" s="260"/>
    </row>
    <row r="52" spans="1:7" x14ac:dyDescent="0.25">
      <c r="A52" s="262">
        <v>43</v>
      </c>
      <c r="B52" s="261">
        <v>44227</v>
      </c>
      <c r="C52" s="260" t="s">
        <v>824</v>
      </c>
      <c r="D52" s="259">
        <v>1960000</v>
      </c>
      <c r="E52" s="259"/>
      <c r="F52" s="259">
        <f t="shared" si="0"/>
        <v>43420000</v>
      </c>
      <c r="G52" s="260"/>
    </row>
    <row r="53" spans="1:7" x14ac:dyDescent="0.25">
      <c r="A53" s="262">
        <v>44</v>
      </c>
      <c r="B53" s="261">
        <v>44232</v>
      </c>
      <c r="C53" s="260" t="s">
        <v>733</v>
      </c>
      <c r="D53" s="259"/>
      <c r="E53" s="259">
        <v>28960000</v>
      </c>
      <c r="F53" s="259">
        <f t="shared" si="0"/>
        <v>14460000</v>
      </c>
      <c r="G53" s="260" t="s">
        <v>657</v>
      </c>
    </row>
    <row r="54" spans="1:7" x14ac:dyDescent="0.25">
      <c r="A54" s="262">
        <v>45</v>
      </c>
      <c r="B54" s="261">
        <v>44255</v>
      </c>
      <c r="C54" s="260" t="s">
        <v>747</v>
      </c>
      <c r="D54" s="259">
        <v>12800000</v>
      </c>
      <c r="E54" s="259"/>
      <c r="F54" s="259">
        <f t="shared" si="0"/>
        <v>27260000</v>
      </c>
      <c r="G54" s="260"/>
    </row>
    <row r="55" spans="1:7" x14ac:dyDescent="0.25">
      <c r="A55" s="262">
        <v>46</v>
      </c>
      <c r="B55" s="261">
        <v>44255</v>
      </c>
      <c r="C55" s="260" t="s">
        <v>838</v>
      </c>
      <c r="D55" s="259">
        <v>1680000</v>
      </c>
      <c r="E55" s="259"/>
      <c r="F55" s="259">
        <f t="shared" si="0"/>
        <v>28940000</v>
      </c>
      <c r="G55" s="260"/>
    </row>
    <row r="56" spans="1:7" x14ac:dyDescent="0.25">
      <c r="A56" s="262">
        <v>47</v>
      </c>
      <c r="B56" s="261">
        <v>44259</v>
      </c>
      <c r="C56" s="260" t="s">
        <v>756</v>
      </c>
      <c r="D56" s="259"/>
      <c r="E56" s="259">
        <v>14460000</v>
      </c>
      <c r="F56" s="259">
        <f>F55+D56-E56</f>
        <v>14480000</v>
      </c>
      <c r="G56" s="260"/>
    </row>
    <row r="57" spans="1:7" x14ac:dyDescent="0.25">
      <c r="A57" s="262">
        <v>48</v>
      </c>
      <c r="B57" s="261">
        <v>44286</v>
      </c>
      <c r="C57" s="260" t="s">
        <v>762</v>
      </c>
      <c r="D57" s="259">
        <v>70800000</v>
      </c>
      <c r="E57" s="259"/>
      <c r="F57" s="259">
        <f t="shared" si="0"/>
        <v>85280000</v>
      </c>
      <c r="G57" s="260"/>
    </row>
    <row r="58" spans="1:7" x14ac:dyDescent="0.25">
      <c r="A58" s="262">
        <v>49</v>
      </c>
      <c r="B58" s="261">
        <v>44286</v>
      </c>
      <c r="C58" s="260" t="s">
        <v>837</v>
      </c>
      <c r="D58" s="259">
        <v>8820000</v>
      </c>
      <c r="E58" s="259"/>
      <c r="F58" s="259">
        <f t="shared" si="0"/>
        <v>94100000</v>
      </c>
      <c r="G58" s="260"/>
    </row>
    <row r="59" spans="1:7" x14ac:dyDescent="0.25">
      <c r="A59" s="262">
        <v>50</v>
      </c>
      <c r="B59" s="261">
        <v>44295</v>
      </c>
      <c r="C59" s="260" t="s">
        <v>768</v>
      </c>
      <c r="D59" s="259"/>
      <c r="E59" s="259">
        <v>14480000</v>
      </c>
      <c r="F59" s="259">
        <f>F58+D59-E59</f>
        <v>79620000</v>
      </c>
      <c r="G59" s="260"/>
    </row>
    <row r="60" spans="1:7" x14ac:dyDescent="0.25">
      <c r="A60" s="262">
        <v>51</v>
      </c>
      <c r="B60" s="261">
        <v>44315</v>
      </c>
      <c r="C60" s="260" t="s">
        <v>794</v>
      </c>
      <c r="D60" s="272">
        <v>68000000</v>
      </c>
      <c r="E60" s="259"/>
      <c r="F60" s="259">
        <f t="shared" si="0"/>
        <v>147620000</v>
      </c>
      <c r="G60" s="260"/>
    </row>
    <row r="61" spans="1:7" x14ac:dyDescent="0.25">
      <c r="A61" s="260"/>
      <c r="B61" s="262"/>
      <c r="C61" s="260" t="s">
        <v>836</v>
      </c>
      <c r="D61" s="259">
        <v>8400000</v>
      </c>
      <c r="E61" s="259"/>
      <c r="F61" s="259">
        <f t="shared" si="0"/>
        <v>156020000</v>
      </c>
      <c r="G61" s="260"/>
    </row>
    <row r="62" spans="1:7" x14ac:dyDescent="0.25">
      <c r="A62" s="262">
        <v>52</v>
      </c>
      <c r="B62" s="261">
        <v>44323</v>
      </c>
      <c r="C62" s="260" t="s">
        <v>795</v>
      </c>
      <c r="D62" s="259"/>
      <c r="E62" s="259">
        <v>79620000</v>
      </c>
      <c r="F62" s="259">
        <f t="shared" si="0"/>
        <v>76400000</v>
      </c>
      <c r="G62" s="260"/>
    </row>
    <row r="63" spans="1:7" x14ac:dyDescent="0.25">
      <c r="A63" s="262">
        <v>53</v>
      </c>
      <c r="B63" s="261">
        <v>44347</v>
      </c>
      <c r="C63" s="260" t="s">
        <v>835</v>
      </c>
      <c r="D63" s="259">
        <v>98300000</v>
      </c>
      <c r="E63" s="259"/>
      <c r="F63" s="259">
        <f t="shared" si="0"/>
        <v>174700000</v>
      </c>
      <c r="G63" s="260"/>
    </row>
    <row r="64" spans="1:7" x14ac:dyDescent="0.25">
      <c r="A64" s="262"/>
      <c r="B64" s="262"/>
      <c r="C64" s="260" t="s">
        <v>852</v>
      </c>
      <c r="D64" s="259">
        <f>14760000+700000</f>
        <v>15460000</v>
      </c>
      <c r="E64" s="259"/>
      <c r="F64" s="259">
        <f t="shared" si="0"/>
        <v>190160000</v>
      </c>
      <c r="G64" s="260"/>
    </row>
    <row r="65" spans="1:7" x14ac:dyDescent="0.25">
      <c r="A65" s="262">
        <v>54</v>
      </c>
      <c r="B65" s="261">
        <v>44350</v>
      </c>
      <c r="C65" s="260" t="s">
        <v>840</v>
      </c>
      <c r="D65" s="259"/>
      <c r="E65" s="259">
        <v>36400000</v>
      </c>
      <c r="F65" s="259">
        <f t="shared" si="0"/>
        <v>153760000</v>
      </c>
      <c r="G65" s="260" t="s">
        <v>625</v>
      </c>
    </row>
    <row r="66" spans="1:7" x14ac:dyDescent="0.25">
      <c r="A66" s="262">
        <v>55</v>
      </c>
      <c r="B66" s="261">
        <v>44368</v>
      </c>
      <c r="C66" s="260" t="s">
        <v>851</v>
      </c>
      <c r="D66" s="259"/>
      <c r="E66" s="259">
        <v>40000000</v>
      </c>
      <c r="F66" s="259">
        <f t="shared" si="0"/>
        <v>113760000</v>
      </c>
      <c r="G66" s="260"/>
    </row>
    <row r="67" spans="1:7" x14ac:dyDescent="0.25">
      <c r="A67" s="262">
        <v>56</v>
      </c>
      <c r="B67" s="261">
        <v>44386</v>
      </c>
      <c r="C67" s="260" t="s">
        <v>865</v>
      </c>
      <c r="D67" s="259"/>
      <c r="E67" s="259">
        <v>61435800</v>
      </c>
      <c r="F67" s="259">
        <f>F66+D67-E67</f>
        <v>52324200</v>
      </c>
      <c r="G67" s="260"/>
    </row>
    <row r="68" spans="1:7" x14ac:dyDescent="0.25">
      <c r="A68" s="262">
        <v>57</v>
      </c>
      <c r="B68" s="261">
        <v>44407</v>
      </c>
      <c r="C68" s="260" t="s">
        <v>865</v>
      </c>
      <c r="D68" s="259"/>
      <c r="E68" s="259">
        <v>52324200</v>
      </c>
      <c r="F68" s="259">
        <f t="shared" ref="F68:F87" si="1">F67+D68-E68</f>
        <v>0</v>
      </c>
      <c r="G68" s="260" t="s">
        <v>625</v>
      </c>
    </row>
    <row r="69" spans="1:7" x14ac:dyDescent="0.25">
      <c r="A69" s="262">
        <v>58</v>
      </c>
      <c r="B69" s="261">
        <v>44407</v>
      </c>
      <c r="C69" s="260" t="s">
        <v>886</v>
      </c>
      <c r="D69" s="259">
        <v>39600000</v>
      </c>
      <c r="E69" s="259"/>
      <c r="F69" s="259">
        <f t="shared" si="1"/>
        <v>39600000</v>
      </c>
      <c r="G69" s="260" t="s">
        <v>625</v>
      </c>
    </row>
    <row r="70" spans="1:7" x14ac:dyDescent="0.25">
      <c r="A70" s="262"/>
      <c r="B70" s="261"/>
      <c r="C70" s="260" t="s">
        <v>904</v>
      </c>
      <c r="D70" s="259">
        <v>4620000</v>
      </c>
      <c r="E70" s="259"/>
      <c r="F70" s="259">
        <f t="shared" si="1"/>
        <v>44220000</v>
      </c>
      <c r="G70" s="260" t="s">
        <v>625</v>
      </c>
    </row>
    <row r="71" spans="1:7" x14ac:dyDescent="0.25">
      <c r="A71" s="262">
        <v>59</v>
      </c>
      <c r="B71" s="261">
        <v>44420</v>
      </c>
      <c r="C71" s="260" t="s">
        <v>903</v>
      </c>
      <c r="D71" s="259">
        <v>8400000</v>
      </c>
      <c r="E71" s="259"/>
      <c r="F71" s="259">
        <f t="shared" si="1"/>
        <v>52620000</v>
      </c>
      <c r="G71" s="260"/>
    </row>
    <row r="72" spans="1:7" x14ac:dyDescent="0.25">
      <c r="A72" s="262">
        <v>60</v>
      </c>
      <c r="B72" s="261">
        <v>44438</v>
      </c>
      <c r="C72" s="260" t="s">
        <v>927</v>
      </c>
      <c r="D72" s="259">
        <v>32400000</v>
      </c>
      <c r="E72" s="259"/>
      <c r="F72" s="259">
        <f t="shared" si="1"/>
        <v>85020000</v>
      </c>
      <c r="G72" s="260"/>
    </row>
    <row r="73" spans="1:7" x14ac:dyDescent="0.25">
      <c r="A73" s="262">
        <v>61</v>
      </c>
      <c r="B73" s="261">
        <v>44453</v>
      </c>
      <c r="C73" s="260" t="s">
        <v>932</v>
      </c>
      <c r="D73" s="259"/>
      <c r="E73" s="259">
        <v>44220000</v>
      </c>
      <c r="F73" s="259">
        <f t="shared" si="1"/>
        <v>40800000</v>
      </c>
      <c r="G73" s="260"/>
    </row>
    <row r="74" spans="1:7" x14ac:dyDescent="0.25">
      <c r="A74" s="262">
        <v>62</v>
      </c>
      <c r="B74" s="261">
        <v>44469</v>
      </c>
      <c r="C74" s="260" t="s">
        <v>947</v>
      </c>
      <c r="D74" s="259">
        <v>28800000</v>
      </c>
      <c r="E74" s="259"/>
      <c r="F74" s="259">
        <f t="shared" si="1"/>
        <v>69600000</v>
      </c>
      <c r="G74" s="260"/>
    </row>
    <row r="75" spans="1:7" x14ac:dyDescent="0.25">
      <c r="A75" s="262">
        <v>63</v>
      </c>
      <c r="B75" s="261"/>
      <c r="C75" s="260" t="s">
        <v>948</v>
      </c>
      <c r="D75" s="259">
        <v>3544000</v>
      </c>
      <c r="E75" s="259"/>
      <c r="F75" s="259">
        <f t="shared" si="1"/>
        <v>73144000</v>
      </c>
      <c r="G75" s="260"/>
    </row>
    <row r="76" spans="1:7" x14ac:dyDescent="0.25">
      <c r="A76" s="262">
        <v>64</v>
      </c>
      <c r="B76" s="261">
        <v>44482</v>
      </c>
      <c r="C76" s="260" t="s">
        <v>976</v>
      </c>
      <c r="D76" s="259"/>
      <c r="E76" s="259">
        <v>40800000</v>
      </c>
      <c r="F76" s="259">
        <f t="shared" si="1"/>
        <v>32344000</v>
      </c>
      <c r="G76" s="260"/>
    </row>
    <row r="77" spans="1:7" x14ac:dyDescent="0.25">
      <c r="A77" s="262">
        <v>65</v>
      </c>
      <c r="B77" s="261">
        <v>44510</v>
      </c>
      <c r="C77" s="260" t="s">
        <v>992</v>
      </c>
      <c r="D77" s="259"/>
      <c r="E77" s="259">
        <v>32344000</v>
      </c>
      <c r="F77" s="259">
        <f t="shared" si="1"/>
        <v>0</v>
      </c>
      <c r="G77" s="260"/>
    </row>
    <row r="78" spans="1:7" x14ac:dyDescent="0.25">
      <c r="A78" s="262">
        <v>66</v>
      </c>
      <c r="B78" s="261">
        <v>44560</v>
      </c>
      <c r="C78" s="260" t="s">
        <v>1026</v>
      </c>
      <c r="D78" s="259">
        <v>28000000</v>
      </c>
      <c r="E78" s="259"/>
      <c r="F78" s="259">
        <f t="shared" si="1"/>
        <v>28000000</v>
      </c>
      <c r="G78" s="260"/>
    </row>
    <row r="79" spans="1:7" x14ac:dyDescent="0.25">
      <c r="A79" s="262">
        <v>67</v>
      </c>
      <c r="B79" s="261">
        <v>44560</v>
      </c>
      <c r="C79" s="260" t="s">
        <v>1027</v>
      </c>
      <c r="D79" s="259"/>
      <c r="E79" s="259">
        <v>28000000</v>
      </c>
      <c r="F79" s="259">
        <f t="shared" si="1"/>
        <v>0</v>
      </c>
      <c r="G79" s="260"/>
    </row>
    <row r="80" spans="1:7" x14ac:dyDescent="0.25">
      <c r="A80" s="262">
        <v>68</v>
      </c>
      <c r="B80" s="261">
        <v>44651</v>
      </c>
      <c r="C80" s="260" t="s">
        <v>1091</v>
      </c>
      <c r="D80" s="259">
        <v>166566600</v>
      </c>
      <c r="E80" s="259"/>
      <c r="F80" s="259">
        <f t="shared" si="1"/>
        <v>166566600</v>
      </c>
      <c r="G80" s="260"/>
    </row>
    <row r="81" spans="1:7" x14ac:dyDescent="0.25">
      <c r="A81" s="262">
        <v>69</v>
      </c>
      <c r="B81" s="261">
        <v>44653</v>
      </c>
      <c r="C81" s="260" t="s">
        <v>1102</v>
      </c>
      <c r="D81" s="259"/>
      <c r="E81" s="259">
        <v>166566600</v>
      </c>
      <c r="F81" s="259">
        <f t="shared" si="1"/>
        <v>0</v>
      </c>
      <c r="G81" s="260" t="s">
        <v>625</v>
      </c>
    </row>
    <row r="82" spans="1:7" x14ac:dyDescent="0.25">
      <c r="A82" s="262">
        <v>70</v>
      </c>
      <c r="B82" s="261">
        <v>44678</v>
      </c>
      <c r="C82" s="260" t="s">
        <v>1106</v>
      </c>
      <c r="D82" s="259">
        <f>1255200+2340000</f>
        <v>3595200</v>
      </c>
      <c r="E82" s="259"/>
      <c r="F82" s="259">
        <f t="shared" si="1"/>
        <v>3595200</v>
      </c>
      <c r="G82" s="260"/>
    </row>
    <row r="83" spans="1:7" x14ac:dyDescent="0.25">
      <c r="A83" s="262">
        <v>71</v>
      </c>
      <c r="B83" s="261">
        <v>44678</v>
      </c>
      <c r="C83" s="260" t="s">
        <v>1107</v>
      </c>
      <c r="D83" s="259">
        <v>103880000</v>
      </c>
      <c r="E83" s="259"/>
      <c r="F83" s="259">
        <f t="shared" si="1"/>
        <v>107475200</v>
      </c>
      <c r="G83" s="260"/>
    </row>
    <row r="84" spans="1:7" x14ac:dyDescent="0.25">
      <c r="A84" s="262">
        <v>72</v>
      </c>
      <c r="B84" s="261">
        <v>44680</v>
      </c>
      <c r="C84" s="260" t="s">
        <v>1117</v>
      </c>
      <c r="D84" s="285"/>
      <c r="E84" s="259">
        <v>48535200</v>
      </c>
      <c r="F84" s="259">
        <f t="shared" si="1"/>
        <v>58940000</v>
      </c>
      <c r="G84" s="260" t="s">
        <v>1118</v>
      </c>
    </row>
    <row r="85" spans="1:7" x14ac:dyDescent="0.25">
      <c r="A85" s="262">
        <v>73</v>
      </c>
      <c r="B85" s="261">
        <v>44690</v>
      </c>
      <c r="C85" s="260" t="s">
        <v>1117</v>
      </c>
      <c r="D85" s="259"/>
      <c r="E85" s="259">
        <v>58940000</v>
      </c>
      <c r="F85" s="259">
        <f t="shared" si="1"/>
        <v>0</v>
      </c>
      <c r="G85" s="260"/>
    </row>
    <row r="86" spans="1:7" x14ac:dyDescent="0.25">
      <c r="A86" s="262">
        <v>74</v>
      </c>
      <c r="B86" s="261">
        <v>44708</v>
      </c>
      <c r="C86" s="260" t="s">
        <v>1136</v>
      </c>
      <c r="D86" s="259">
        <v>4800000</v>
      </c>
      <c r="E86" s="259"/>
      <c r="F86" s="259">
        <f t="shared" si="1"/>
        <v>4800000</v>
      </c>
      <c r="G86" s="260"/>
    </row>
    <row r="87" spans="1:7" x14ac:dyDescent="0.25">
      <c r="A87" s="262">
        <v>75</v>
      </c>
      <c r="B87" s="261">
        <v>44712</v>
      </c>
      <c r="C87" s="260" t="s">
        <v>1117</v>
      </c>
      <c r="D87" s="259"/>
      <c r="E87" s="259">
        <v>4800000</v>
      </c>
      <c r="F87" s="259">
        <f t="shared" si="1"/>
        <v>0</v>
      </c>
      <c r="G87" s="260"/>
    </row>
    <row r="88" spans="1:7" x14ac:dyDescent="0.25">
      <c r="A88" s="262">
        <v>76</v>
      </c>
      <c r="B88" s="261">
        <v>44775</v>
      </c>
      <c r="C88" s="260" t="s">
        <v>1200</v>
      </c>
      <c r="D88" s="259">
        <f>3700000*2</f>
        <v>7400000</v>
      </c>
      <c r="E88" s="259"/>
      <c r="F88" s="259"/>
      <c r="G88" s="260"/>
    </row>
    <row r="89" spans="1:7" x14ac:dyDescent="0.25">
      <c r="A89" s="262">
        <v>77</v>
      </c>
      <c r="B89" s="261"/>
      <c r="C89" s="260" t="s">
        <v>1202</v>
      </c>
      <c r="D89" s="259">
        <v>1120000</v>
      </c>
      <c r="E89" s="259"/>
      <c r="F89" s="259"/>
      <c r="G89" s="260"/>
    </row>
    <row r="90" spans="1:7" x14ac:dyDescent="0.25">
      <c r="A90" s="262">
        <v>78</v>
      </c>
      <c r="B90" s="262"/>
      <c r="C90" s="260" t="s">
        <v>1201</v>
      </c>
      <c r="D90" s="259">
        <v>4685600</v>
      </c>
      <c r="E90" s="259"/>
      <c r="F90" s="259"/>
      <c r="G90" s="260"/>
    </row>
    <row r="91" spans="1:7" x14ac:dyDescent="0.25">
      <c r="A91" s="262">
        <v>79</v>
      </c>
      <c r="B91" s="261">
        <v>44788</v>
      </c>
      <c r="C91" s="317" t="s">
        <v>1117</v>
      </c>
      <c r="D91" s="316"/>
      <c r="E91" s="259">
        <v>15120000</v>
      </c>
      <c r="F91" s="259"/>
      <c r="G91" s="260"/>
    </row>
    <row r="92" spans="1:7" x14ac:dyDescent="0.25">
      <c r="A92" s="262">
        <v>80</v>
      </c>
      <c r="B92" s="262"/>
      <c r="C92" s="260" t="s">
        <v>1203</v>
      </c>
      <c r="D92" s="259">
        <v>1914400</v>
      </c>
      <c r="E92" s="259"/>
      <c r="F92" s="259"/>
      <c r="G92" s="260"/>
    </row>
    <row r="93" spans="1:7" x14ac:dyDescent="0.25">
      <c r="A93" s="262">
        <v>81</v>
      </c>
      <c r="B93" s="261">
        <v>44862</v>
      </c>
      <c r="C93" s="260" t="s">
        <v>1200</v>
      </c>
      <c r="D93" s="259">
        <f>3700000*2</f>
        <v>7400000</v>
      </c>
      <c r="E93" s="259"/>
      <c r="F93" s="259"/>
      <c r="G93" s="260"/>
    </row>
    <row r="94" spans="1:7" x14ac:dyDescent="0.25">
      <c r="A94" s="262">
        <v>82</v>
      </c>
      <c r="B94" s="261"/>
      <c r="C94" s="260" t="s">
        <v>1258</v>
      </c>
      <c r="D94" s="259">
        <v>1120000</v>
      </c>
      <c r="E94" s="259"/>
      <c r="F94" s="259"/>
      <c r="G94" s="260"/>
    </row>
    <row r="95" spans="1:7" x14ac:dyDescent="0.25">
      <c r="A95" s="262">
        <v>83</v>
      </c>
      <c r="B95" s="262"/>
      <c r="C95" s="260" t="s">
        <v>1201</v>
      </c>
      <c r="D95" s="259">
        <v>4507200</v>
      </c>
      <c r="E95" s="259"/>
      <c r="F95" s="259"/>
      <c r="G95" s="260"/>
    </row>
    <row r="96" spans="1:7" x14ac:dyDescent="0.25">
      <c r="A96" s="262">
        <v>84</v>
      </c>
      <c r="B96" s="262" t="s">
        <v>1264</v>
      </c>
      <c r="C96" s="317" t="s">
        <v>1117</v>
      </c>
      <c r="D96" s="285"/>
      <c r="E96" s="259">
        <v>15120000</v>
      </c>
      <c r="F96" s="259"/>
      <c r="G96" s="260"/>
    </row>
    <row r="97" spans="1:9" x14ac:dyDescent="0.25">
      <c r="A97" s="262">
        <v>85</v>
      </c>
      <c r="B97" s="261"/>
      <c r="C97" s="260" t="s">
        <v>1203</v>
      </c>
      <c r="D97" s="259">
        <v>2092800</v>
      </c>
      <c r="E97" s="259"/>
      <c r="F97" s="259"/>
      <c r="G97" s="260"/>
    </row>
    <row r="98" spans="1:9" x14ac:dyDescent="0.25">
      <c r="A98" s="262">
        <v>86</v>
      </c>
      <c r="B98" s="261">
        <v>44985</v>
      </c>
      <c r="C98" s="260" t="s">
        <v>1200</v>
      </c>
      <c r="D98" s="259">
        <v>6800000</v>
      </c>
      <c r="E98" s="259"/>
      <c r="F98" s="259"/>
      <c r="G98" s="260"/>
    </row>
    <row r="99" spans="1:9" x14ac:dyDescent="0.25">
      <c r="A99" s="262">
        <v>87</v>
      </c>
      <c r="B99" s="261"/>
      <c r="C99" s="260" t="s">
        <v>1393</v>
      </c>
      <c r="D99" s="259">
        <v>1400000</v>
      </c>
      <c r="E99" s="259"/>
      <c r="F99" s="259"/>
      <c r="G99" s="260"/>
    </row>
    <row r="100" spans="1:9" x14ac:dyDescent="0.25">
      <c r="A100" s="262">
        <v>88</v>
      </c>
      <c r="B100" s="261"/>
      <c r="C100" s="260" t="s">
        <v>1201</v>
      </c>
      <c r="D100" s="259">
        <v>4922000</v>
      </c>
      <c r="E100" s="259"/>
      <c r="F100" s="259"/>
      <c r="G100" s="260"/>
    </row>
    <row r="101" spans="1:9" x14ac:dyDescent="0.25">
      <c r="A101" s="262">
        <v>89</v>
      </c>
      <c r="B101" s="261">
        <v>44988</v>
      </c>
      <c r="C101" s="260" t="s">
        <v>158</v>
      </c>
      <c r="D101" s="259"/>
      <c r="E101" s="259">
        <v>15400000</v>
      </c>
      <c r="F101" s="259"/>
      <c r="G101" s="260"/>
    </row>
    <row r="102" spans="1:9" x14ac:dyDescent="0.25">
      <c r="A102" s="262">
        <v>90</v>
      </c>
      <c r="B102" s="261"/>
      <c r="C102" s="281" t="s">
        <v>1395</v>
      </c>
      <c r="D102" s="287">
        <f>1598000+680000</f>
        <v>2278000</v>
      </c>
      <c r="E102" s="259"/>
      <c r="F102" s="259"/>
      <c r="G102" s="260"/>
    </row>
    <row r="103" spans="1:9" x14ac:dyDescent="0.25">
      <c r="A103" s="262">
        <v>91</v>
      </c>
      <c r="B103" s="261">
        <v>45082</v>
      </c>
      <c r="C103" s="260" t="s">
        <v>1492</v>
      </c>
      <c r="D103" s="259">
        <v>4620000</v>
      </c>
      <c r="E103" s="259"/>
      <c r="F103" s="259"/>
      <c r="G103" s="260"/>
    </row>
    <row r="104" spans="1:9" x14ac:dyDescent="0.25">
      <c r="A104" s="262">
        <v>92</v>
      </c>
      <c r="B104" s="261"/>
      <c r="C104" s="260" t="s">
        <v>1493</v>
      </c>
      <c r="D104" s="259">
        <v>180000</v>
      </c>
      <c r="E104" s="259"/>
      <c r="F104" s="259"/>
      <c r="G104" s="260"/>
    </row>
    <row r="105" spans="1:9" x14ac:dyDescent="0.25">
      <c r="A105" s="262">
        <v>93</v>
      </c>
      <c r="B105" s="261">
        <v>45098</v>
      </c>
      <c r="C105" s="260" t="s">
        <v>1117</v>
      </c>
      <c r="D105" s="259"/>
      <c r="E105" s="259">
        <f>4800000</f>
        <v>4800000</v>
      </c>
      <c r="F105" s="259"/>
      <c r="G105" s="260"/>
    </row>
    <row r="106" spans="1:9" x14ac:dyDescent="0.25">
      <c r="A106" s="262">
        <v>94</v>
      </c>
      <c r="B106" s="261">
        <v>45101</v>
      </c>
      <c r="C106" s="260" t="s">
        <v>1492</v>
      </c>
      <c r="D106" s="259">
        <v>3520000</v>
      </c>
      <c r="E106" s="259"/>
      <c r="F106" s="259"/>
      <c r="G106" s="260"/>
    </row>
    <row r="107" spans="1:9" x14ac:dyDescent="0.25">
      <c r="A107" s="262">
        <v>95</v>
      </c>
      <c r="B107" s="262"/>
      <c r="C107" s="260" t="s">
        <v>1201</v>
      </c>
      <c r="D107" s="259">
        <v>2511000</v>
      </c>
      <c r="E107" s="259"/>
      <c r="F107" s="259"/>
      <c r="G107" s="260"/>
    </row>
    <row r="108" spans="1:9" x14ac:dyDescent="0.25">
      <c r="A108" s="262">
        <v>96</v>
      </c>
      <c r="B108" s="262"/>
      <c r="C108" s="260" t="s">
        <v>1494</v>
      </c>
      <c r="D108" s="259">
        <f>600000-320000</f>
        <v>280000</v>
      </c>
      <c r="E108" s="259"/>
      <c r="F108" s="259"/>
      <c r="G108" s="260"/>
    </row>
    <row r="109" spans="1:9" x14ac:dyDescent="0.25">
      <c r="A109" s="262">
        <v>97</v>
      </c>
      <c r="B109" s="274">
        <v>45101</v>
      </c>
      <c r="C109" s="260" t="s">
        <v>1496</v>
      </c>
      <c r="D109" s="259"/>
      <c r="E109" s="259">
        <v>6600000</v>
      </c>
      <c r="F109" s="259"/>
      <c r="G109" s="260"/>
    </row>
    <row r="110" spans="1:9" x14ac:dyDescent="0.25">
      <c r="A110" s="262">
        <v>98</v>
      </c>
      <c r="B110" s="262"/>
      <c r="C110" s="260" t="s">
        <v>1395</v>
      </c>
      <c r="D110" s="259">
        <v>289000</v>
      </c>
      <c r="E110" s="259"/>
      <c r="F110" s="259"/>
      <c r="G110" s="260"/>
      <c r="I110">
        <v>289000</v>
      </c>
    </row>
    <row r="111" spans="1:9" x14ac:dyDescent="0.25">
      <c r="A111" s="262">
        <v>99</v>
      </c>
      <c r="B111" s="262"/>
      <c r="C111" s="260"/>
      <c r="D111" s="259"/>
      <c r="E111" s="259"/>
      <c r="F111" s="259"/>
      <c r="G111" s="260"/>
    </row>
    <row r="112" spans="1:9" x14ac:dyDescent="0.25">
      <c r="A112" s="262">
        <v>100</v>
      </c>
      <c r="B112" s="262"/>
      <c r="C112" s="260"/>
      <c r="D112" s="259"/>
      <c r="E112" s="259"/>
      <c r="F112" s="259"/>
      <c r="G112" s="260"/>
    </row>
    <row r="113" spans="1:7" x14ac:dyDescent="0.25">
      <c r="A113" s="262">
        <v>101</v>
      </c>
      <c r="B113" s="262"/>
      <c r="C113" s="260"/>
      <c r="D113" s="259"/>
      <c r="E113" s="259"/>
      <c r="F113" s="259"/>
      <c r="G113" s="260"/>
    </row>
    <row r="114" spans="1:7" x14ac:dyDescent="0.25">
      <c r="A114" s="260"/>
      <c r="B114" s="262"/>
      <c r="C114" s="260"/>
      <c r="D114" s="259"/>
      <c r="E114" s="259"/>
      <c r="F114" s="259"/>
      <c r="G114" s="260"/>
    </row>
    <row r="115" spans="1:7" x14ac:dyDescent="0.25">
      <c r="A115" s="260"/>
      <c r="B115" s="262"/>
      <c r="C115" s="260"/>
      <c r="D115" s="259"/>
      <c r="E115" s="259"/>
      <c r="F115" s="259"/>
      <c r="G115" s="260"/>
    </row>
    <row r="116" spans="1:7" x14ac:dyDescent="0.25">
      <c r="A116" s="260"/>
      <c r="B116" s="262"/>
      <c r="C116" s="260"/>
      <c r="D116" s="259"/>
      <c r="E116" s="259"/>
      <c r="F116" s="259"/>
      <c r="G116" s="260"/>
    </row>
    <row r="117" spans="1:7" x14ac:dyDescent="0.25">
      <c r="A117" s="260"/>
      <c r="B117" s="262"/>
      <c r="C117" s="260"/>
      <c r="D117" s="259"/>
      <c r="E117" s="259"/>
      <c r="F117" s="259"/>
      <c r="G117" s="260"/>
    </row>
    <row r="118" spans="1:7" x14ac:dyDescent="0.25">
      <c r="A118" s="260"/>
      <c r="B118" s="262"/>
      <c r="C118" s="260"/>
      <c r="D118" s="259"/>
      <c r="E118" s="259"/>
      <c r="F118" s="259"/>
      <c r="G118" s="260"/>
    </row>
    <row r="119" spans="1:7" x14ac:dyDescent="0.25">
      <c r="A119" s="260"/>
      <c r="B119" s="262"/>
      <c r="C119" s="260"/>
      <c r="D119" s="259"/>
      <c r="E119" s="259"/>
      <c r="F119" s="259"/>
      <c r="G119" s="260"/>
    </row>
    <row r="120" spans="1:7" x14ac:dyDescent="0.25">
      <c r="A120" s="260"/>
      <c r="B120" s="262"/>
      <c r="C120" s="260"/>
      <c r="D120" s="259"/>
      <c r="E120" s="259"/>
      <c r="F120" s="259"/>
      <c r="G120" s="260"/>
    </row>
    <row r="121" spans="1:7" x14ac:dyDescent="0.25">
      <c r="A121" s="260"/>
      <c r="B121" s="262"/>
      <c r="C121" s="260"/>
      <c r="D121" s="259"/>
      <c r="E121" s="259"/>
      <c r="F121" s="259"/>
      <c r="G121" s="260"/>
    </row>
    <row r="122" spans="1:7" x14ac:dyDescent="0.25">
      <c r="A122" s="260"/>
      <c r="B122" s="262"/>
      <c r="C122" s="260"/>
      <c r="D122" s="259"/>
      <c r="E122" s="259"/>
      <c r="F122" s="259"/>
      <c r="G122" s="260"/>
    </row>
    <row r="123" spans="1:7" x14ac:dyDescent="0.25">
      <c r="A123" s="260"/>
      <c r="B123" s="262"/>
      <c r="C123" s="260"/>
      <c r="D123" s="259"/>
      <c r="E123" s="259"/>
      <c r="F123" s="259"/>
      <c r="G123" s="260"/>
    </row>
    <row r="124" spans="1:7" x14ac:dyDescent="0.25">
      <c r="A124" s="260"/>
      <c r="B124" s="262"/>
      <c r="C124" s="260"/>
      <c r="D124" s="259"/>
      <c r="E124" s="259"/>
      <c r="F124" s="259"/>
      <c r="G124" s="260"/>
    </row>
    <row r="125" spans="1:7" x14ac:dyDescent="0.25">
      <c r="A125" s="260"/>
      <c r="B125" s="262"/>
      <c r="C125" s="260"/>
      <c r="D125" s="259"/>
      <c r="E125" s="259"/>
      <c r="F125" s="259"/>
      <c r="G125" s="260"/>
    </row>
    <row r="126" spans="1:7" x14ac:dyDescent="0.25">
      <c r="A126" s="260"/>
      <c r="B126" s="262"/>
      <c r="C126" s="260"/>
      <c r="D126" s="259"/>
      <c r="E126" s="259"/>
      <c r="F126" s="259"/>
      <c r="G126" s="260"/>
    </row>
    <row r="127" spans="1:7" x14ac:dyDescent="0.25">
      <c r="A127" s="260"/>
      <c r="B127" s="262"/>
      <c r="C127" s="260"/>
      <c r="D127" s="259"/>
      <c r="E127" s="259"/>
      <c r="F127" s="259"/>
      <c r="G127" s="260"/>
    </row>
    <row r="128" spans="1:7" x14ac:dyDescent="0.25">
      <c r="A128" s="260"/>
      <c r="B128" s="262"/>
      <c r="C128" s="260"/>
      <c r="D128" s="259"/>
      <c r="E128" s="259"/>
      <c r="F128" s="259"/>
      <c r="G128" s="260"/>
    </row>
    <row r="129" spans="1:7" x14ac:dyDescent="0.25">
      <c r="A129" s="260"/>
      <c r="B129" s="262"/>
      <c r="C129" s="260"/>
      <c r="D129" s="259"/>
      <c r="E129" s="259"/>
      <c r="F129" s="259"/>
      <c r="G129" s="260"/>
    </row>
    <row r="130" spans="1:7" x14ac:dyDescent="0.25">
      <c r="A130" s="260"/>
      <c r="B130" s="262"/>
      <c r="C130" s="260"/>
      <c r="D130" s="259"/>
      <c r="E130" s="259"/>
      <c r="F130" s="259"/>
      <c r="G130" s="260"/>
    </row>
    <row r="131" spans="1:7" x14ac:dyDescent="0.25">
      <c r="A131" s="260"/>
      <c r="B131" s="262"/>
      <c r="C131" s="260"/>
      <c r="D131" s="259"/>
      <c r="E131" s="259"/>
      <c r="F131" s="259"/>
      <c r="G131" s="260"/>
    </row>
    <row r="132" spans="1:7" x14ac:dyDescent="0.25">
      <c r="A132" s="260"/>
      <c r="B132" s="262"/>
      <c r="C132" s="260"/>
      <c r="D132" s="259"/>
      <c r="E132" s="259"/>
      <c r="F132" s="259"/>
      <c r="G132" s="260"/>
    </row>
    <row r="133" spans="1:7" x14ac:dyDescent="0.25">
      <c r="A133" s="260"/>
      <c r="B133" s="262"/>
      <c r="C133" s="260"/>
      <c r="D133" s="259"/>
      <c r="E133" s="259"/>
      <c r="F133" s="259"/>
      <c r="G133" s="260"/>
    </row>
    <row r="134" spans="1:7" x14ac:dyDescent="0.25">
      <c r="A134" s="260"/>
      <c r="B134" s="262"/>
      <c r="C134" s="260"/>
      <c r="D134" s="259"/>
      <c r="E134" s="259"/>
      <c r="F134" s="259"/>
      <c r="G134" s="260"/>
    </row>
    <row r="135" spans="1:7" x14ac:dyDescent="0.25">
      <c r="A135" s="260"/>
      <c r="B135" s="262"/>
      <c r="C135" s="260"/>
      <c r="D135" s="259"/>
      <c r="E135" s="259"/>
      <c r="F135" s="259"/>
      <c r="G135" s="260"/>
    </row>
    <row r="136" spans="1:7" x14ac:dyDescent="0.25">
      <c r="A136" s="260"/>
      <c r="B136" s="262"/>
      <c r="C136" s="260"/>
      <c r="D136" s="259"/>
      <c r="E136" s="259"/>
      <c r="F136" s="259"/>
      <c r="G136" s="260"/>
    </row>
    <row r="137" spans="1:7" x14ac:dyDescent="0.25">
      <c r="A137" s="260"/>
      <c r="B137" s="262"/>
      <c r="C137" s="260"/>
      <c r="D137" s="259"/>
      <c r="E137" s="259"/>
      <c r="F137" s="259"/>
      <c r="G137" s="260"/>
    </row>
    <row r="138" spans="1:7" x14ac:dyDescent="0.25">
      <c r="A138" s="260"/>
      <c r="B138" s="262"/>
      <c r="C138" s="260"/>
      <c r="D138" s="259"/>
      <c r="E138" s="259"/>
      <c r="F138" s="259"/>
      <c r="G138" s="260"/>
    </row>
    <row r="139" spans="1:7" x14ac:dyDescent="0.25">
      <c r="A139" s="260"/>
      <c r="B139" s="262"/>
      <c r="C139" s="260"/>
      <c r="D139" s="259"/>
      <c r="E139" s="259"/>
      <c r="F139" s="259"/>
      <c r="G139" s="260"/>
    </row>
    <row r="140" spans="1:7" x14ac:dyDescent="0.25">
      <c r="A140" s="260"/>
      <c r="B140" s="262"/>
      <c r="C140" s="260"/>
      <c r="D140" s="259"/>
      <c r="E140" s="259"/>
      <c r="F140" s="259"/>
      <c r="G140" s="260"/>
    </row>
    <row r="141" spans="1:7" x14ac:dyDescent="0.25">
      <c r="A141" s="260"/>
      <c r="B141" s="262"/>
      <c r="C141" s="260"/>
      <c r="D141" s="259"/>
      <c r="E141" s="259"/>
      <c r="F141" s="259"/>
      <c r="G141" s="260"/>
    </row>
    <row r="142" spans="1:7" x14ac:dyDescent="0.25">
      <c r="A142" s="260"/>
      <c r="B142" s="262"/>
      <c r="C142" s="260"/>
      <c r="D142" s="259"/>
      <c r="E142" s="259"/>
      <c r="F142" s="259"/>
      <c r="G142" s="260"/>
    </row>
    <row r="143" spans="1:7" x14ac:dyDescent="0.25">
      <c r="A143" s="260"/>
      <c r="B143" s="262"/>
      <c r="C143" s="260"/>
      <c r="D143" s="259"/>
      <c r="E143" s="259"/>
      <c r="F143" s="259"/>
      <c r="G143" s="260"/>
    </row>
    <row r="144" spans="1:7" x14ac:dyDescent="0.25">
      <c r="A144" s="260"/>
      <c r="B144" s="262"/>
      <c r="C144" s="260"/>
      <c r="D144" s="259"/>
      <c r="E144" s="259"/>
      <c r="F144" s="259"/>
      <c r="G144" s="260"/>
    </row>
    <row r="145" spans="1:7" x14ac:dyDescent="0.25">
      <c r="A145" s="260"/>
      <c r="B145" s="262"/>
      <c r="C145" s="260"/>
      <c r="D145" s="259"/>
      <c r="E145" s="259"/>
      <c r="F145" s="259"/>
      <c r="G145" s="260"/>
    </row>
    <row r="146" spans="1:7" x14ac:dyDescent="0.25">
      <c r="A146" s="260"/>
      <c r="B146" s="262"/>
      <c r="C146" s="260"/>
      <c r="D146" s="259"/>
      <c r="E146" s="259"/>
      <c r="F146" s="259"/>
      <c r="G146" s="260"/>
    </row>
    <row r="147" spans="1:7" x14ac:dyDescent="0.25">
      <c r="A147" s="260"/>
      <c r="B147" s="262"/>
      <c r="C147" s="260"/>
      <c r="D147" s="259"/>
      <c r="E147" s="259"/>
      <c r="F147" s="259"/>
      <c r="G147" s="260"/>
    </row>
    <row r="148" spans="1:7" x14ac:dyDescent="0.25">
      <c r="A148" s="260"/>
      <c r="B148" s="262"/>
      <c r="C148" s="260"/>
      <c r="D148" s="259"/>
      <c r="E148" s="259"/>
      <c r="F148" s="259"/>
      <c r="G148" s="260"/>
    </row>
    <row r="149" spans="1:7" x14ac:dyDescent="0.25">
      <c r="A149" s="260"/>
      <c r="B149" s="262"/>
      <c r="C149" s="260"/>
      <c r="D149" s="259"/>
      <c r="E149" s="259"/>
      <c r="F149" s="259"/>
      <c r="G149" s="260"/>
    </row>
    <row r="150" spans="1:7" x14ac:dyDescent="0.25">
      <c r="A150" s="260"/>
      <c r="B150" s="262"/>
      <c r="C150" s="260"/>
      <c r="D150" s="259"/>
      <c r="E150" s="259"/>
      <c r="F150" s="259"/>
      <c r="G150" s="260"/>
    </row>
    <row r="151" spans="1:7" x14ac:dyDescent="0.25">
      <c r="A151" s="260"/>
      <c r="B151" s="262"/>
      <c r="C151" s="260"/>
      <c r="D151" s="259"/>
      <c r="E151" s="259"/>
      <c r="F151" s="259"/>
      <c r="G151" s="260"/>
    </row>
    <row r="152" spans="1:7" x14ac:dyDescent="0.25">
      <c r="A152" s="260"/>
      <c r="B152" s="262"/>
      <c r="C152" s="260"/>
      <c r="D152" s="259"/>
      <c r="E152" s="259"/>
      <c r="F152" s="259"/>
      <c r="G152" s="260"/>
    </row>
    <row r="153" spans="1:7" x14ac:dyDescent="0.25">
      <c r="A153" s="260"/>
      <c r="B153" s="262"/>
      <c r="C153" s="260"/>
      <c r="D153" s="259"/>
      <c r="E153" s="259"/>
      <c r="F153" s="259"/>
      <c r="G153" s="260"/>
    </row>
    <row r="154" spans="1:7" x14ac:dyDescent="0.25">
      <c r="A154" s="260"/>
      <c r="B154" s="262"/>
      <c r="C154" s="260"/>
      <c r="D154" s="259"/>
      <c r="E154" s="259"/>
      <c r="F154" s="259"/>
      <c r="G154" s="260"/>
    </row>
    <row r="155" spans="1:7" x14ac:dyDescent="0.25">
      <c r="A155" s="260"/>
      <c r="B155" s="262"/>
      <c r="C155" s="260"/>
      <c r="D155" s="259"/>
      <c r="E155" s="259"/>
      <c r="F155" s="259"/>
      <c r="G155" s="260"/>
    </row>
    <row r="156" spans="1:7" x14ac:dyDescent="0.25">
      <c r="A156" s="260"/>
      <c r="B156" s="262"/>
      <c r="C156" s="260"/>
      <c r="D156" s="259"/>
      <c r="E156" s="259"/>
      <c r="F156" s="259"/>
      <c r="G156" s="260"/>
    </row>
    <row r="157" spans="1:7" x14ac:dyDescent="0.25">
      <c r="A157" s="260"/>
      <c r="B157" s="262"/>
      <c r="C157" s="260"/>
      <c r="D157" s="259"/>
      <c r="E157" s="259"/>
      <c r="F157" s="259"/>
      <c r="G157" s="260"/>
    </row>
    <row r="158" spans="1:7" x14ac:dyDescent="0.25">
      <c r="A158" s="260"/>
      <c r="B158" s="262"/>
      <c r="C158" s="260"/>
      <c r="D158" s="259"/>
      <c r="E158" s="259"/>
      <c r="F158" s="259"/>
      <c r="G158" s="260"/>
    </row>
    <row r="159" spans="1:7" x14ac:dyDescent="0.25">
      <c r="A159" s="260"/>
      <c r="B159" s="262"/>
      <c r="C159" s="260"/>
      <c r="D159" s="259"/>
      <c r="E159" s="259"/>
      <c r="F159" s="259"/>
      <c r="G159" s="260"/>
    </row>
    <row r="160" spans="1:7" x14ac:dyDescent="0.25">
      <c r="A160" s="260"/>
      <c r="B160" s="262"/>
      <c r="C160" s="260"/>
      <c r="D160" s="259"/>
      <c r="E160" s="259"/>
      <c r="F160" s="259"/>
      <c r="G160" s="260"/>
    </row>
    <row r="161" spans="1:7" x14ac:dyDescent="0.25">
      <c r="A161" s="260"/>
      <c r="B161" s="262"/>
      <c r="C161" s="260"/>
      <c r="D161" s="259"/>
      <c r="E161" s="259"/>
      <c r="F161" s="259"/>
      <c r="G161" s="260"/>
    </row>
    <row r="162" spans="1:7" x14ac:dyDescent="0.25">
      <c r="A162" s="260"/>
      <c r="B162" s="262"/>
      <c r="C162" s="260"/>
      <c r="D162" s="259"/>
      <c r="E162" s="259"/>
      <c r="F162" s="259"/>
      <c r="G162" s="260"/>
    </row>
    <row r="163" spans="1:7" x14ac:dyDescent="0.25">
      <c r="A163" s="260"/>
      <c r="B163" s="262"/>
      <c r="C163" s="260"/>
      <c r="D163" s="259"/>
      <c r="E163" s="259"/>
      <c r="F163" s="259"/>
      <c r="G163" s="260"/>
    </row>
    <row r="164" spans="1:7" x14ac:dyDescent="0.25">
      <c r="A164" s="260"/>
      <c r="B164" s="262"/>
      <c r="C164" s="260"/>
      <c r="D164" s="259"/>
      <c r="E164" s="259"/>
      <c r="F164" s="259"/>
      <c r="G164" s="260"/>
    </row>
    <row r="165" spans="1:7" x14ac:dyDescent="0.25">
      <c r="A165" s="260"/>
      <c r="B165" s="262"/>
      <c r="C165" s="260"/>
      <c r="D165" s="259"/>
      <c r="E165" s="259"/>
      <c r="F165" s="259"/>
      <c r="G165" s="260"/>
    </row>
    <row r="166" spans="1:7" x14ac:dyDescent="0.25">
      <c r="A166" s="260"/>
      <c r="B166" s="262"/>
      <c r="C166" s="260"/>
      <c r="D166" s="259"/>
      <c r="E166" s="259"/>
      <c r="F166" s="259"/>
      <c r="G166" s="260"/>
    </row>
    <row r="167" spans="1:7" x14ac:dyDescent="0.25">
      <c r="A167" s="260"/>
      <c r="B167" s="262"/>
      <c r="C167" s="260"/>
      <c r="D167" s="259"/>
      <c r="E167" s="259"/>
      <c r="F167" s="259"/>
      <c r="G167" s="260"/>
    </row>
    <row r="168" spans="1:7" x14ac:dyDescent="0.25">
      <c r="A168" s="260"/>
      <c r="B168" s="262"/>
      <c r="C168" s="260"/>
      <c r="D168" s="259"/>
      <c r="E168" s="259"/>
      <c r="F168" s="259"/>
      <c r="G168" s="260"/>
    </row>
    <row r="169" spans="1:7" x14ac:dyDescent="0.25">
      <c r="A169" s="260"/>
      <c r="B169" s="262"/>
      <c r="C169" s="260"/>
      <c r="D169" s="259"/>
      <c r="E169" s="259"/>
      <c r="F169" s="259"/>
      <c r="G169" s="260"/>
    </row>
    <row r="170" spans="1:7" x14ac:dyDescent="0.25">
      <c r="A170" s="260"/>
      <c r="B170" s="262"/>
      <c r="C170" s="260"/>
      <c r="D170" s="259"/>
      <c r="E170" s="259"/>
      <c r="F170" s="259"/>
      <c r="G170" s="260"/>
    </row>
    <row r="171" spans="1:7" x14ac:dyDescent="0.25">
      <c r="A171" s="260"/>
      <c r="B171" s="262"/>
      <c r="C171" s="260"/>
      <c r="D171" s="259"/>
      <c r="E171" s="259"/>
      <c r="F171" s="259"/>
      <c r="G171" s="260"/>
    </row>
    <row r="172" spans="1:7" x14ac:dyDescent="0.25">
      <c r="A172" s="260"/>
      <c r="B172" s="262"/>
      <c r="C172" s="260"/>
      <c r="D172" s="259"/>
      <c r="E172" s="259"/>
      <c r="F172" s="259"/>
      <c r="G172" s="260"/>
    </row>
    <row r="173" spans="1:7" x14ac:dyDescent="0.25">
      <c r="A173" s="260"/>
      <c r="B173" s="262"/>
      <c r="C173" s="260"/>
      <c r="D173" s="259"/>
      <c r="E173" s="259"/>
      <c r="F173" s="259"/>
      <c r="G173" s="260"/>
    </row>
    <row r="174" spans="1:7" x14ac:dyDescent="0.25">
      <c r="A174" s="260"/>
      <c r="B174" s="262"/>
      <c r="C174" s="260"/>
      <c r="D174" s="259"/>
      <c r="E174" s="259"/>
      <c r="F174" s="259"/>
      <c r="G174" s="260"/>
    </row>
    <row r="175" spans="1:7" x14ac:dyDescent="0.25">
      <c r="A175" s="260"/>
      <c r="B175" s="262"/>
      <c r="C175" s="260"/>
      <c r="D175" s="259"/>
      <c r="E175" s="259"/>
      <c r="F175" s="259"/>
      <c r="G175" s="260"/>
    </row>
    <row r="176" spans="1:7" x14ac:dyDescent="0.25">
      <c r="A176" s="260"/>
      <c r="B176" s="262"/>
      <c r="C176" s="260"/>
      <c r="D176" s="259"/>
      <c r="E176" s="259"/>
      <c r="F176" s="259"/>
      <c r="G176" s="260"/>
    </row>
    <row r="177" spans="1:7" x14ac:dyDescent="0.25">
      <c r="A177" s="260"/>
      <c r="B177" s="262"/>
      <c r="C177" s="260"/>
      <c r="D177" s="259"/>
      <c r="E177" s="259"/>
      <c r="F177" s="259"/>
      <c r="G177" s="260"/>
    </row>
    <row r="178" spans="1:7" x14ac:dyDescent="0.25">
      <c r="A178" s="260"/>
      <c r="B178" s="262"/>
      <c r="C178" s="260"/>
      <c r="D178" s="259"/>
      <c r="E178" s="259"/>
      <c r="F178" s="259"/>
      <c r="G178" s="260"/>
    </row>
    <row r="179" spans="1:7" x14ac:dyDescent="0.25">
      <c r="A179" s="260"/>
      <c r="B179" s="262"/>
      <c r="C179" s="260"/>
      <c r="D179" s="259"/>
      <c r="E179" s="259"/>
      <c r="F179" s="259"/>
      <c r="G179" s="260"/>
    </row>
    <row r="180" spans="1:7" x14ac:dyDescent="0.25">
      <c r="A180" s="260"/>
      <c r="B180" s="262"/>
      <c r="C180" s="260"/>
      <c r="D180" s="259"/>
      <c r="E180" s="259"/>
      <c r="F180" s="259"/>
      <c r="G180" s="260"/>
    </row>
    <row r="181" spans="1:7" x14ac:dyDescent="0.25">
      <c r="A181" s="260"/>
      <c r="B181" s="262"/>
      <c r="C181" s="260"/>
      <c r="D181" s="259"/>
      <c r="E181" s="259"/>
      <c r="F181" s="259"/>
      <c r="G181" s="260"/>
    </row>
    <row r="182" spans="1:7" x14ac:dyDescent="0.25">
      <c r="A182" s="260"/>
      <c r="B182" s="262"/>
      <c r="C182" s="260"/>
      <c r="D182" s="259"/>
      <c r="E182" s="259"/>
      <c r="F182" s="259"/>
      <c r="G182" s="260"/>
    </row>
    <row r="183" spans="1:7" x14ac:dyDescent="0.25">
      <c r="A183" s="260"/>
      <c r="B183" s="262"/>
      <c r="C183" s="260"/>
      <c r="D183" s="259"/>
      <c r="E183" s="259"/>
      <c r="F183" s="259"/>
      <c r="G183" s="260"/>
    </row>
    <row r="184" spans="1:7" x14ac:dyDescent="0.25">
      <c r="A184" s="260"/>
      <c r="B184" s="262"/>
      <c r="C184" s="260"/>
      <c r="D184" s="259"/>
      <c r="E184" s="259"/>
      <c r="F184" s="259"/>
      <c r="G184" s="260"/>
    </row>
    <row r="185" spans="1:7" x14ac:dyDescent="0.25">
      <c r="A185" s="260"/>
      <c r="B185" s="262"/>
      <c r="C185" s="260"/>
      <c r="D185" s="259"/>
      <c r="E185" s="259"/>
      <c r="F185" s="259"/>
      <c r="G185" s="260"/>
    </row>
    <row r="186" spans="1:7" x14ac:dyDescent="0.25">
      <c r="A186" s="260"/>
      <c r="B186" s="262"/>
      <c r="C186" s="260"/>
      <c r="D186" s="259"/>
      <c r="E186" s="259"/>
      <c r="F186" s="259"/>
      <c r="G186" s="260"/>
    </row>
    <row r="187" spans="1:7" x14ac:dyDescent="0.25">
      <c r="A187" s="260"/>
      <c r="B187" s="262"/>
      <c r="C187" s="260"/>
      <c r="D187" s="259"/>
      <c r="E187" s="259"/>
      <c r="F187" s="259"/>
      <c r="G187" s="260"/>
    </row>
    <row r="188" spans="1:7" x14ac:dyDescent="0.25">
      <c r="A188" s="260"/>
      <c r="B188" s="262"/>
      <c r="C188" s="260"/>
      <c r="D188" s="259"/>
      <c r="E188" s="259"/>
      <c r="F188" s="259"/>
      <c r="G188" s="260"/>
    </row>
    <row r="189" spans="1:7" x14ac:dyDescent="0.25">
      <c r="A189" s="260"/>
      <c r="B189" s="262"/>
      <c r="C189" s="260"/>
      <c r="D189" s="259"/>
      <c r="E189" s="259"/>
      <c r="F189" s="259"/>
      <c r="G189" s="260"/>
    </row>
    <row r="190" spans="1:7" x14ac:dyDescent="0.25">
      <c r="A190" s="260"/>
      <c r="B190" s="262"/>
      <c r="C190" s="260"/>
      <c r="D190" s="259"/>
      <c r="E190" s="259"/>
      <c r="F190" s="259"/>
      <c r="G190" s="260"/>
    </row>
    <row r="191" spans="1:7" x14ac:dyDescent="0.25">
      <c r="A191" s="260"/>
      <c r="B191" s="262"/>
      <c r="C191" s="260"/>
      <c r="D191" s="259"/>
      <c r="E191" s="259"/>
      <c r="F191" s="259"/>
      <c r="G191" s="260"/>
    </row>
    <row r="192" spans="1:7" x14ac:dyDescent="0.25">
      <c r="A192" s="260"/>
      <c r="B192" s="262"/>
      <c r="C192" s="260"/>
      <c r="D192" s="259"/>
      <c r="E192" s="259"/>
      <c r="F192" s="259"/>
      <c r="G192" s="260"/>
    </row>
    <row r="193" spans="1:7" x14ac:dyDescent="0.25">
      <c r="A193" s="260"/>
      <c r="B193" s="262"/>
      <c r="C193" s="260"/>
      <c r="D193" s="259"/>
      <c r="E193" s="259"/>
      <c r="F193" s="259"/>
      <c r="G193" s="260"/>
    </row>
    <row r="194" spans="1:7" x14ac:dyDescent="0.25">
      <c r="A194" s="260"/>
      <c r="B194" s="262"/>
      <c r="C194" s="260"/>
      <c r="D194" s="259"/>
      <c r="E194" s="259"/>
      <c r="F194" s="259"/>
      <c r="G194" s="260"/>
    </row>
    <row r="195" spans="1:7" x14ac:dyDescent="0.25">
      <c r="A195" s="260"/>
      <c r="B195" s="262"/>
      <c r="C195" s="260"/>
      <c r="D195" s="259"/>
      <c r="E195" s="259"/>
      <c r="F195" s="259"/>
      <c r="G195" s="260"/>
    </row>
    <row r="196" spans="1:7" x14ac:dyDescent="0.25">
      <c r="A196" s="260"/>
      <c r="B196" s="262"/>
      <c r="C196" s="260"/>
      <c r="D196" s="259"/>
      <c r="E196" s="259"/>
      <c r="F196" s="259"/>
      <c r="G196" s="260"/>
    </row>
    <row r="197" spans="1:7" x14ac:dyDescent="0.25">
      <c r="A197" s="260"/>
      <c r="B197" s="262"/>
      <c r="C197" s="260"/>
      <c r="D197" s="259"/>
      <c r="E197" s="259"/>
      <c r="F197" s="259"/>
      <c r="G197" s="260"/>
    </row>
    <row r="198" spans="1:7" x14ac:dyDescent="0.25">
      <c r="A198" s="260"/>
      <c r="B198" s="262"/>
      <c r="C198" s="260"/>
      <c r="D198" s="259"/>
      <c r="E198" s="259"/>
      <c r="F198" s="259"/>
      <c r="G198" s="260"/>
    </row>
    <row r="199" spans="1:7" x14ac:dyDescent="0.25">
      <c r="A199" s="260"/>
      <c r="B199" s="262"/>
      <c r="C199" s="260"/>
      <c r="D199" s="259"/>
      <c r="E199" s="259"/>
      <c r="F199" s="259"/>
      <c r="G199" s="260"/>
    </row>
    <row r="200" spans="1:7" x14ac:dyDescent="0.25">
      <c r="A200" s="260"/>
      <c r="B200" s="262"/>
      <c r="C200" s="260"/>
      <c r="D200" s="259"/>
      <c r="E200" s="259"/>
      <c r="F200" s="259"/>
      <c r="G200" s="260"/>
    </row>
    <row r="201" spans="1:7" x14ac:dyDescent="0.25">
      <c r="A201" s="260"/>
      <c r="B201" s="262"/>
      <c r="C201" s="260"/>
      <c r="D201" s="259"/>
      <c r="E201" s="259"/>
      <c r="F201" s="259"/>
      <c r="G201" s="260"/>
    </row>
    <row r="202" spans="1:7" x14ac:dyDescent="0.25">
      <c r="A202" s="260"/>
      <c r="B202" s="262"/>
      <c r="C202" s="260"/>
      <c r="D202" s="259"/>
      <c r="E202" s="259"/>
      <c r="F202" s="259"/>
      <c r="G202" s="260"/>
    </row>
    <row r="203" spans="1:7" x14ac:dyDescent="0.25">
      <c r="A203" s="260"/>
      <c r="B203" s="262"/>
      <c r="C203" s="260"/>
      <c r="D203" s="259"/>
      <c r="E203" s="259"/>
      <c r="F203" s="259"/>
      <c r="G203" s="260"/>
    </row>
    <row r="204" spans="1:7" x14ac:dyDescent="0.25">
      <c r="A204" s="260"/>
      <c r="B204" s="262"/>
      <c r="C204" s="260"/>
      <c r="D204" s="259"/>
      <c r="E204" s="259"/>
      <c r="F204" s="259"/>
      <c r="G204" s="260"/>
    </row>
    <row r="205" spans="1:7" x14ac:dyDescent="0.25">
      <c r="A205" s="260"/>
      <c r="B205" s="262"/>
      <c r="C205" s="260"/>
      <c r="D205" s="259"/>
      <c r="E205" s="259"/>
      <c r="F205" s="259"/>
      <c r="G205" s="260"/>
    </row>
    <row r="206" spans="1:7" x14ac:dyDescent="0.25">
      <c r="A206" s="260"/>
      <c r="B206" s="262"/>
      <c r="C206" s="260"/>
      <c r="D206" s="259"/>
      <c r="E206" s="259"/>
      <c r="F206" s="259"/>
      <c r="G206" s="260"/>
    </row>
    <row r="207" spans="1:7" x14ac:dyDescent="0.25">
      <c r="A207" s="260"/>
      <c r="B207" s="262"/>
      <c r="C207" s="260"/>
      <c r="D207" s="259"/>
      <c r="E207" s="259"/>
      <c r="F207" s="259"/>
      <c r="G207" s="260"/>
    </row>
    <row r="208" spans="1:7" x14ac:dyDescent="0.25">
      <c r="A208" s="260"/>
      <c r="B208" s="262"/>
      <c r="C208" s="260"/>
      <c r="D208" s="259"/>
      <c r="E208" s="259"/>
      <c r="F208" s="259"/>
      <c r="G208" s="260"/>
    </row>
    <row r="209" spans="1:7" x14ac:dyDescent="0.25">
      <c r="A209" s="260"/>
      <c r="B209" s="262"/>
      <c r="C209" s="260"/>
      <c r="D209" s="259"/>
      <c r="E209" s="259"/>
      <c r="F209" s="259"/>
      <c r="G209" s="260"/>
    </row>
    <row r="210" spans="1:7" x14ac:dyDescent="0.25">
      <c r="A210" s="260"/>
      <c r="B210" s="262"/>
      <c r="C210" s="260"/>
      <c r="D210" s="259"/>
      <c r="E210" s="259"/>
      <c r="F210" s="259"/>
      <c r="G210" s="260"/>
    </row>
    <row r="211" spans="1:7" x14ac:dyDescent="0.25">
      <c r="A211" s="260"/>
      <c r="B211" s="262"/>
      <c r="C211" s="260"/>
      <c r="D211" s="259"/>
      <c r="E211" s="259"/>
      <c r="F211" s="259"/>
      <c r="G211" s="260"/>
    </row>
    <row r="212" spans="1:7" x14ac:dyDescent="0.25">
      <c r="A212" s="260"/>
      <c r="B212" s="262"/>
      <c r="C212" s="260"/>
      <c r="D212" s="259"/>
      <c r="E212" s="259"/>
      <c r="F212" s="259"/>
      <c r="G212" s="260"/>
    </row>
    <row r="213" spans="1:7" x14ac:dyDescent="0.25">
      <c r="A213" s="260"/>
      <c r="B213" s="262"/>
      <c r="C213" s="260"/>
      <c r="D213" s="259"/>
      <c r="E213" s="259"/>
      <c r="F213" s="259"/>
      <c r="G213" s="260"/>
    </row>
    <row r="214" spans="1:7" x14ac:dyDescent="0.25">
      <c r="A214" s="260"/>
      <c r="B214" s="262"/>
      <c r="C214" s="260"/>
      <c r="D214" s="259"/>
      <c r="E214" s="259"/>
      <c r="F214" s="259"/>
      <c r="G214" s="260"/>
    </row>
    <row r="215" spans="1:7" x14ac:dyDescent="0.25">
      <c r="A215" s="260"/>
      <c r="B215" s="262"/>
      <c r="C215" s="260"/>
      <c r="D215" s="259"/>
      <c r="E215" s="259"/>
      <c r="F215" s="259"/>
      <c r="G215" s="260"/>
    </row>
    <row r="216" spans="1:7" x14ac:dyDescent="0.25">
      <c r="A216" s="260"/>
      <c r="B216" s="262"/>
      <c r="C216" s="260"/>
      <c r="D216" s="259"/>
      <c r="E216" s="259"/>
      <c r="F216" s="259"/>
      <c r="G216" s="260"/>
    </row>
    <row r="217" spans="1:7" x14ac:dyDescent="0.25">
      <c r="A217" s="260"/>
      <c r="B217" s="262"/>
      <c r="C217" s="260"/>
      <c r="D217" s="259"/>
      <c r="E217" s="259"/>
      <c r="F217" s="259"/>
      <c r="G217" s="260"/>
    </row>
    <row r="218" spans="1:7" x14ac:dyDescent="0.25">
      <c r="A218" s="260"/>
      <c r="B218" s="262"/>
      <c r="C218" s="260"/>
      <c r="D218" s="259"/>
      <c r="E218" s="259"/>
      <c r="F218" s="259"/>
      <c r="G218" s="260"/>
    </row>
    <row r="219" spans="1:7" x14ac:dyDescent="0.25">
      <c r="A219" s="260"/>
      <c r="B219" s="262"/>
      <c r="C219" s="260"/>
      <c r="D219" s="259"/>
      <c r="E219" s="259"/>
      <c r="F219" s="259"/>
      <c r="G219" s="260"/>
    </row>
    <row r="220" spans="1:7" x14ac:dyDescent="0.25">
      <c r="A220" s="260"/>
      <c r="B220" s="262"/>
      <c r="C220" s="260"/>
      <c r="D220" s="259"/>
      <c r="E220" s="259"/>
      <c r="F220" s="259"/>
      <c r="G220" s="260"/>
    </row>
    <row r="221" spans="1:7" x14ac:dyDescent="0.25">
      <c r="A221" s="260"/>
      <c r="B221" s="262"/>
      <c r="C221" s="260"/>
      <c r="D221" s="259"/>
      <c r="E221" s="259"/>
      <c r="F221" s="259"/>
      <c r="G221" s="260"/>
    </row>
    <row r="222" spans="1:7" x14ac:dyDescent="0.25">
      <c r="A222" s="260"/>
      <c r="B222" s="262"/>
      <c r="C222" s="260"/>
      <c r="D222" s="259"/>
      <c r="E222" s="259"/>
      <c r="F222" s="259"/>
      <c r="G222" s="260"/>
    </row>
    <row r="223" spans="1:7" x14ac:dyDescent="0.25">
      <c r="A223" s="260"/>
      <c r="B223" s="262"/>
      <c r="C223" s="260"/>
      <c r="D223" s="259"/>
      <c r="E223" s="259"/>
      <c r="F223" s="259"/>
      <c r="G223" s="260"/>
    </row>
    <row r="224" spans="1:7" x14ac:dyDescent="0.25">
      <c r="A224" s="260"/>
      <c r="B224" s="262"/>
      <c r="C224" s="260"/>
      <c r="D224" s="259"/>
      <c r="E224" s="259"/>
      <c r="F224" s="259"/>
      <c r="G224" s="260"/>
    </row>
    <row r="225" spans="1:7" x14ac:dyDescent="0.25">
      <c r="A225" s="260"/>
      <c r="B225" s="262"/>
      <c r="C225" s="260"/>
      <c r="D225" s="259"/>
      <c r="E225" s="259"/>
      <c r="F225" s="259"/>
      <c r="G225" s="260"/>
    </row>
    <row r="226" spans="1:7" x14ac:dyDescent="0.25">
      <c r="A226" s="260"/>
      <c r="B226" s="262"/>
      <c r="C226" s="260"/>
      <c r="D226" s="259"/>
      <c r="E226" s="259"/>
      <c r="F226" s="259"/>
      <c r="G226" s="260"/>
    </row>
    <row r="227" spans="1:7" x14ac:dyDescent="0.25">
      <c r="A227" s="260"/>
      <c r="B227" s="262"/>
      <c r="C227" s="260"/>
      <c r="D227" s="259"/>
      <c r="E227" s="259"/>
      <c r="F227" s="259"/>
      <c r="G227" s="260"/>
    </row>
    <row r="228" spans="1:7" x14ac:dyDescent="0.25">
      <c r="A228" s="260"/>
      <c r="B228" s="262"/>
      <c r="C228" s="260"/>
      <c r="D228" s="259"/>
      <c r="E228" s="259"/>
      <c r="F228" s="259"/>
      <c r="G228" s="260"/>
    </row>
    <row r="229" spans="1:7" x14ac:dyDescent="0.25">
      <c r="A229" s="260"/>
      <c r="B229" s="262"/>
      <c r="C229" s="260"/>
      <c r="D229" s="259"/>
      <c r="E229" s="259"/>
      <c r="F229" s="259"/>
      <c r="G229" s="260"/>
    </row>
    <row r="230" spans="1:7" x14ac:dyDescent="0.25">
      <c r="A230" s="260"/>
      <c r="B230" s="262"/>
      <c r="C230" s="260"/>
      <c r="D230" s="259"/>
      <c r="E230" s="259"/>
      <c r="F230" s="259"/>
      <c r="G230" s="260"/>
    </row>
    <row r="231" spans="1:7" x14ac:dyDescent="0.25">
      <c r="A231" s="260"/>
      <c r="B231" s="262"/>
      <c r="C231" s="260"/>
      <c r="D231" s="259"/>
      <c r="E231" s="259"/>
      <c r="F231" s="259"/>
      <c r="G231" s="260"/>
    </row>
    <row r="232" spans="1:7" x14ac:dyDescent="0.25">
      <c r="A232" s="260"/>
      <c r="B232" s="262"/>
      <c r="C232" s="260"/>
      <c r="D232" s="259"/>
      <c r="E232" s="259"/>
      <c r="F232" s="259"/>
      <c r="G232" s="260"/>
    </row>
    <row r="233" spans="1:7" x14ac:dyDescent="0.25">
      <c r="A233" s="260"/>
      <c r="B233" s="262"/>
      <c r="C233" s="260"/>
      <c r="D233" s="259"/>
      <c r="E233" s="259"/>
      <c r="F233" s="259"/>
      <c r="G233" s="260"/>
    </row>
    <row r="234" spans="1:7" x14ac:dyDescent="0.25">
      <c r="A234" s="260"/>
      <c r="B234" s="262"/>
      <c r="C234" s="260"/>
      <c r="D234" s="259"/>
      <c r="E234" s="259"/>
      <c r="F234" s="259"/>
      <c r="G234" s="260"/>
    </row>
    <row r="235" spans="1:7" x14ac:dyDescent="0.25">
      <c r="A235" s="260"/>
      <c r="B235" s="262"/>
      <c r="C235" s="260"/>
      <c r="D235" s="259"/>
      <c r="E235" s="259"/>
      <c r="F235" s="259"/>
      <c r="G235" s="260"/>
    </row>
    <row r="236" spans="1:7" x14ac:dyDescent="0.25">
      <c r="A236" s="260"/>
      <c r="B236" s="262"/>
      <c r="C236" s="260"/>
      <c r="D236" s="259"/>
      <c r="E236" s="259"/>
      <c r="F236" s="259"/>
      <c r="G236" s="260"/>
    </row>
    <row r="237" spans="1:7" x14ac:dyDescent="0.25">
      <c r="A237" s="260"/>
      <c r="B237" s="262"/>
      <c r="C237" s="260"/>
      <c r="D237" s="259"/>
      <c r="E237" s="259"/>
      <c r="F237" s="259"/>
      <c r="G237" s="260"/>
    </row>
    <row r="238" spans="1:7" x14ac:dyDescent="0.25">
      <c r="A238" s="260"/>
      <c r="B238" s="262"/>
      <c r="C238" s="260"/>
      <c r="D238" s="259"/>
      <c r="E238" s="259"/>
      <c r="F238" s="259"/>
      <c r="G238" s="260"/>
    </row>
    <row r="239" spans="1:7" x14ac:dyDescent="0.25">
      <c r="A239" s="260"/>
      <c r="B239" s="262"/>
      <c r="C239" s="260"/>
      <c r="D239" s="259"/>
      <c r="E239" s="259"/>
      <c r="F239" s="259"/>
      <c r="G239" s="260"/>
    </row>
    <row r="240" spans="1:7" x14ac:dyDescent="0.25">
      <c r="A240" s="260"/>
      <c r="B240" s="262"/>
      <c r="C240" s="260"/>
      <c r="D240" s="259"/>
      <c r="E240" s="259"/>
      <c r="F240" s="259"/>
      <c r="G240" s="260"/>
    </row>
    <row r="241" spans="1:7" x14ac:dyDescent="0.25">
      <c r="A241" s="260"/>
      <c r="B241" s="262"/>
      <c r="C241" s="260"/>
      <c r="D241" s="259"/>
      <c r="E241" s="259"/>
      <c r="F241" s="259"/>
      <c r="G241" s="260"/>
    </row>
    <row r="242" spans="1:7" x14ac:dyDescent="0.25">
      <c r="A242" s="260"/>
      <c r="B242" s="262"/>
      <c r="C242" s="260"/>
      <c r="D242" s="259"/>
      <c r="E242" s="259"/>
      <c r="F242" s="259"/>
      <c r="G242" s="260"/>
    </row>
    <row r="243" spans="1:7" x14ac:dyDescent="0.25">
      <c r="A243" s="260"/>
      <c r="B243" s="262"/>
      <c r="C243" s="260"/>
      <c r="D243" s="259"/>
      <c r="E243" s="259"/>
      <c r="F243" s="259"/>
      <c r="G243" s="260"/>
    </row>
    <row r="244" spans="1:7" x14ac:dyDescent="0.25">
      <c r="A244" s="260"/>
      <c r="B244" s="262"/>
      <c r="C244" s="260"/>
      <c r="D244" s="259"/>
      <c r="E244" s="259"/>
      <c r="F244" s="259"/>
      <c r="G244" s="260"/>
    </row>
    <row r="245" spans="1:7" x14ac:dyDescent="0.25">
      <c r="A245" s="260"/>
      <c r="B245" s="262"/>
      <c r="C245" s="260"/>
      <c r="D245" s="259"/>
      <c r="E245" s="259"/>
      <c r="F245" s="259"/>
      <c r="G245" s="260"/>
    </row>
    <row r="246" spans="1:7" x14ac:dyDescent="0.25">
      <c r="A246" s="260"/>
      <c r="B246" s="262"/>
      <c r="C246" s="260"/>
      <c r="D246" s="259"/>
      <c r="E246" s="259"/>
      <c r="F246" s="259"/>
      <c r="G246" s="260"/>
    </row>
    <row r="247" spans="1:7" x14ac:dyDescent="0.25">
      <c r="A247" s="260"/>
      <c r="B247" s="262"/>
      <c r="C247" s="260"/>
      <c r="D247" s="259"/>
      <c r="E247" s="259"/>
      <c r="F247" s="259"/>
      <c r="G247" s="260"/>
    </row>
    <row r="248" spans="1:7" x14ac:dyDescent="0.25">
      <c r="A248" s="260"/>
      <c r="B248" s="262"/>
      <c r="C248" s="260"/>
      <c r="D248" s="259"/>
      <c r="E248" s="259"/>
      <c r="F248" s="259"/>
      <c r="G248" s="260"/>
    </row>
    <row r="249" spans="1:7" x14ac:dyDescent="0.25">
      <c r="A249" s="260"/>
      <c r="B249" s="262"/>
      <c r="C249" s="260"/>
      <c r="D249" s="259"/>
      <c r="E249" s="259"/>
      <c r="F249" s="259"/>
      <c r="G249" s="260"/>
    </row>
    <row r="250" spans="1:7" x14ac:dyDescent="0.25">
      <c r="A250" s="260"/>
      <c r="B250" s="262"/>
      <c r="C250" s="260"/>
      <c r="D250" s="259"/>
      <c r="E250" s="259"/>
      <c r="F250" s="259"/>
      <c r="G250" s="260"/>
    </row>
    <row r="251" spans="1:7" x14ac:dyDescent="0.25">
      <c r="A251" s="260"/>
      <c r="B251" s="262"/>
      <c r="C251" s="260"/>
      <c r="D251" s="259"/>
      <c r="E251" s="259"/>
      <c r="F251" s="259"/>
      <c r="G251" s="260"/>
    </row>
    <row r="252" spans="1:7" x14ac:dyDescent="0.25">
      <c r="A252" s="260"/>
      <c r="B252" s="262"/>
      <c r="C252" s="260"/>
      <c r="D252" s="259"/>
      <c r="E252" s="259"/>
      <c r="F252" s="259"/>
      <c r="G252" s="260"/>
    </row>
    <row r="253" spans="1:7" x14ac:dyDescent="0.25">
      <c r="A253" s="260"/>
      <c r="B253" s="262"/>
      <c r="C253" s="260"/>
      <c r="D253" s="259"/>
      <c r="E253" s="259"/>
      <c r="F253" s="259"/>
      <c r="G253" s="260"/>
    </row>
    <row r="254" spans="1:7" x14ac:dyDescent="0.25">
      <c r="A254" s="260"/>
      <c r="B254" s="262"/>
      <c r="C254" s="260"/>
      <c r="D254" s="259"/>
      <c r="E254" s="259"/>
      <c r="F254" s="259"/>
      <c r="G254" s="260"/>
    </row>
    <row r="255" spans="1:7" x14ac:dyDescent="0.25">
      <c r="A255" s="260"/>
      <c r="B255" s="262"/>
      <c r="C255" s="260"/>
      <c r="D255" s="259"/>
      <c r="E255" s="259"/>
      <c r="F255" s="259"/>
      <c r="G255" s="260"/>
    </row>
    <row r="256" spans="1:7" x14ac:dyDescent="0.25">
      <c r="A256" s="260"/>
      <c r="B256" s="262"/>
      <c r="C256" s="260"/>
      <c r="D256" s="259"/>
      <c r="E256" s="259"/>
      <c r="F256" s="259"/>
      <c r="G256" s="260"/>
    </row>
    <row r="257" spans="1:7" x14ac:dyDescent="0.25">
      <c r="A257" s="260"/>
      <c r="B257" s="262"/>
      <c r="C257" s="260"/>
      <c r="D257" s="259"/>
      <c r="E257" s="259"/>
      <c r="F257" s="259"/>
      <c r="G257" s="260"/>
    </row>
    <row r="258" spans="1:7" x14ac:dyDescent="0.25">
      <c r="A258" s="260"/>
      <c r="B258" s="262"/>
      <c r="C258" s="260"/>
      <c r="D258" s="259"/>
      <c r="E258" s="259"/>
      <c r="F258" s="259"/>
      <c r="G258" s="260"/>
    </row>
    <row r="259" spans="1:7" x14ac:dyDescent="0.25">
      <c r="A259" s="260"/>
      <c r="B259" s="262"/>
      <c r="C259" s="260"/>
      <c r="D259" s="259"/>
      <c r="E259" s="259"/>
      <c r="F259" s="259"/>
      <c r="G259" s="260"/>
    </row>
    <row r="260" spans="1:7" x14ac:dyDescent="0.25">
      <c r="A260" s="260"/>
      <c r="B260" s="262"/>
      <c r="C260" s="260"/>
      <c r="D260" s="259"/>
      <c r="E260" s="259"/>
      <c r="F260" s="259"/>
      <c r="G260" s="260"/>
    </row>
    <row r="261" spans="1:7" x14ac:dyDescent="0.25">
      <c r="A261" s="260"/>
      <c r="B261" s="262"/>
      <c r="C261" s="260"/>
      <c r="D261" s="259"/>
      <c r="E261" s="259"/>
      <c r="F261" s="259"/>
      <c r="G261" s="260"/>
    </row>
    <row r="262" spans="1:7" x14ac:dyDescent="0.25">
      <c r="A262" s="260"/>
      <c r="B262" s="262"/>
      <c r="C262" s="260"/>
      <c r="D262" s="259"/>
      <c r="E262" s="259"/>
      <c r="F262" s="259"/>
      <c r="G262" s="260"/>
    </row>
    <row r="263" spans="1:7" x14ac:dyDescent="0.25">
      <c r="A263" s="260"/>
      <c r="B263" s="262"/>
      <c r="C263" s="260"/>
      <c r="D263" s="259"/>
      <c r="E263" s="259"/>
      <c r="F263" s="259"/>
      <c r="G263" s="260"/>
    </row>
    <row r="264" spans="1:7" x14ac:dyDescent="0.25">
      <c r="A264" s="260"/>
      <c r="B264" s="262"/>
      <c r="C264" s="260"/>
      <c r="D264" s="259"/>
      <c r="E264" s="259"/>
      <c r="F264" s="259"/>
      <c r="G264" s="260"/>
    </row>
    <row r="265" spans="1:7" x14ac:dyDescent="0.25">
      <c r="A265" s="260"/>
      <c r="B265" s="262"/>
      <c r="C265" s="260"/>
      <c r="D265" s="259"/>
      <c r="E265" s="259"/>
      <c r="F265" s="259"/>
      <c r="G265" s="260"/>
    </row>
    <row r="266" spans="1:7" x14ac:dyDescent="0.25">
      <c r="A266" s="260"/>
      <c r="B266" s="262"/>
      <c r="C266" s="260"/>
      <c r="D266" s="259"/>
      <c r="E266" s="259"/>
      <c r="F266" s="259"/>
      <c r="G266" s="260"/>
    </row>
    <row r="267" spans="1:7" x14ac:dyDescent="0.25">
      <c r="A267" s="260"/>
      <c r="B267" s="262"/>
      <c r="C267" s="260"/>
      <c r="D267" s="259"/>
      <c r="E267" s="259"/>
      <c r="F267" s="259"/>
      <c r="G267" s="260"/>
    </row>
    <row r="268" spans="1:7" x14ac:dyDescent="0.25">
      <c r="A268" s="260"/>
      <c r="B268" s="262"/>
      <c r="C268" s="260"/>
      <c r="D268" s="259"/>
      <c r="E268" s="259"/>
      <c r="F268" s="259"/>
      <c r="G268" s="260"/>
    </row>
    <row r="269" spans="1:7" x14ac:dyDescent="0.25">
      <c r="A269" s="260"/>
      <c r="B269" s="262"/>
      <c r="C269" s="260"/>
      <c r="D269" s="259"/>
      <c r="E269" s="259"/>
      <c r="F269" s="259"/>
      <c r="G269" s="260"/>
    </row>
    <row r="270" spans="1:7" x14ac:dyDescent="0.25">
      <c r="A270" s="260"/>
      <c r="B270" s="262"/>
      <c r="C270" s="260"/>
      <c r="D270" s="259"/>
      <c r="E270" s="259"/>
      <c r="F270" s="259"/>
      <c r="G270" s="260"/>
    </row>
    <row r="271" spans="1:7" x14ac:dyDescent="0.25">
      <c r="A271" s="260"/>
      <c r="B271" s="262"/>
      <c r="C271" s="260"/>
      <c r="D271" s="259"/>
      <c r="E271" s="259"/>
      <c r="F271" s="259"/>
      <c r="G271" s="260"/>
    </row>
    <row r="272" spans="1:7" x14ac:dyDescent="0.25">
      <c r="A272" s="260"/>
      <c r="B272" s="262"/>
      <c r="C272" s="260"/>
      <c r="D272" s="259"/>
      <c r="E272" s="259"/>
      <c r="F272" s="259"/>
      <c r="G272" s="260"/>
    </row>
    <row r="273" spans="1:7" x14ac:dyDescent="0.25">
      <c r="A273" s="260"/>
      <c r="B273" s="262"/>
      <c r="C273" s="260"/>
      <c r="D273" s="259"/>
      <c r="E273" s="259"/>
      <c r="F273" s="259"/>
      <c r="G273" s="260"/>
    </row>
    <row r="274" spans="1:7" x14ac:dyDescent="0.25">
      <c r="A274" s="260"/>
      <c r="B274" s="262"/>
      <c r="C274" s="260"/>
      <c r="D274" s="259"/>
      <c r="E274" s="259"/>
      <c r="F274" s="259"/>
      <c r="G274" s="260"/>
    </row>
    <row r="275" spans="1:7" x14ac:dyDescent="0.25">
      <c r="A275" s="260"/>
      <c r="B275" s="262"/>
      <c r="C275" s="260"/>
      <c r="D275" s="259"/>
      <c r="E275" s="259"/>
      <c r="F275" s="259"/>
      <c r="G275" s="260"/>
    </row>
    <row r="276" spans="1:7" x14ac:dyDescent="0.25">
      <c r="A276" s="260"/>
      <c r="B276" s="262"/>
      <c r="C276" s="260"/>
      <c r="D276" s="259"/>
      <c r="E276" s="259"/>
      <c r="F276" s="259"/>
      <c r="G276" s="260"/>
    </row>
    <row r="277" spans="1:7" x14ac:dyDescent="0.25">
      <c r="A277" s="260"/>
      <c r="B277" s="262"/>
      <c r="C277" s="260"/>
      <c r="D277" s="259"/>
      <c r="E277" s="259"/>
      <c r="F277" s="259"/>
      <c r="G277" s="260"/>
    </row>
    <row r="278" spans="1:7" x14ac:dyDescent="0.25">
      <c r="A278" s="260"/>
      <c r="B278" s="262"/>
      <c r="C278" s="260"/>
      <c r="D278" s="259"/>
      <c r="E278" s="259"/>
      <c r="F278" s="259"/>
      <c r="G278" s="260"/>
    </row>
    <row r="279" spans="1:7" x14ac:dyDescent="0.25">
      <c r="A279" s="260"/>
      <c r="B279" s="262"/>
      <c r="C279" s="260"/>
      <c r="D279" s="259"/>
      <c r="E279" s="259"/>
      <c r="F279" s="259"/>
      <c r="G279" s="260"/>
    </row>
    <row r="280" spans="1:7" x14ac:dyDescent="0.25">
      <c r="A280" s="260"/>
      <c r="B280" s="262"/>
      <c r="C280" s="260"/>
      <c r="D280" s="259"/>
      <c r="E280" s="259"/>
      <c r="F280" s="259"/>
      <c r="G280" s="260"/>
    </row>
    <row r="281" spans="1:7" x14ac:dyDescent="0.25">
      <c r="A281" s="260"/>
      <c r="B281" s="262"/>
      <c r="C281" s="260"/>
      <c r="D281" s="259"/>
      <c r="E281" s="259"/>
      <c r="F281" s="259"/>
      <c r="G281" s="260"/>
    </row>
    <row r="282" spans="1:7" x14ac:dyDescent="0.25">
      <c r="A282" s="260"/>
      <c r="B282" s="262"/>
      <c r="C282" s="260"/>
      <c r="D282" s="259"/>
      <c r="E282" s="259"/>
      <c r="F282" s="259"/>
      <c r="G282" s="260"/>
    </row>
    <row r="283" spans="1:7" x14ac:dyDescent="0.25">
      <c r="A283" s="260"/>
      <c r="B283" s="262"/>
      <c r="C283" s="260"/>
      <c r="D283" s="259"/>
      <c r="E283" s="259"/>
      <c r="F283" s="259"/>
      <c r="G283" s="260"/>
    </row>
    <row r="284" spans="1:7" x14ac:dyDescent="0.25">
      <c r="A284" s="260"/>
      <c r="B284" s="262"/>
      <c r="C284" s="260"/>
      <c r="D284" s="259"/>
      <c r="E284" s="259"/>
      <c r="F284" s="259"/>
      <c r="G284" s="260"/>
    </row>
    <row r="285" spans="1:7" x14ac:dyDescent="0.25">
      <c r="A285" s="260"/>
      <c r="B285" s="262"/>
      <c r="C285" s="260"/>
      <c r="D285" s="259"/>
      <c r="E285" s="259"/>
      <c r="F285" s="259"/>
      <c r="G285" s="260"/>
    </row>
    <row r="286" spans="1:7" x14ac:dyDescent="0.25">
      <c r="A286" s="260"/>
      <c r="B286" s="262"/>
      <c r="C286" s="260"/>
      <c r="D286" s="259"/>
      <c r="E286" s="259"/>
      <c r="F286" s="259"/>
      <c r="G286" s="260"/>
    </row>
    <row r="287" spans="1:7" x14ac:dyDescent="0.25">
      <c r="A287" s="260"/>
      <c r="B287" s="262"/>
      <c r="C287" s="260"/>
      <c r="D287" s="259"/>
      <c r="E287" s="259"/>
      <c r="F287" s="259"/>
      <c r="G287" s="260"/>
    </row>
    <row r="288" spans="1:7" x14ac:dyDescent="0.25">
      <c r="A288" s="260"/>
      <c r="B288" s="262"/>
      <c r="C288" s="260"/>
      <c r="D288" s="259"/>
      <c r="E288" s="259"/>
      <c r="F288" s="259"/>
      <c r="G288" s="260"/>
    </row>
    <row r="289" spans="1:7" x14ac:dyDescent="0.25">
      <c r="A289" s="260"/>
      <c r="B289" s="262"/>
      <c r="C289" s="260"/>
      <c r="D289" s="259"/>
      <c r="E289" s="259"/>
      <c r="F289" s="259"/>
      <c r="G289" s="260"/>
    </row>
    <row r="290" spans="1:7" x14ac:dyDescent="0.25">
      <c r="A290" s="260"/>
      <c r="B290" s="262"/>
      <c r="C290" s="260"/>
      <c r="D290" s="259"/>
      <c r="E290" s="259"/>
      <c r="F290" s="259"/>
      <c r="G290" s="260"/>
    </row>
    <row r="291" spans="1:7" x14ac:dyDescent="0.25">
      <c r="A291" s="260"/>
      <c r="B291" s="262"/>
      <c r="C291" s="260"/>
      <c r="D291" s="259"/>
      <c r="E291" s="259"/>
      <c r="F291" s="259"/>
      <c r="G291" s="260"/>
    </row>
    <row r="292" spans="1:7" x14ac:dyDescent="0.25">
      <c r="A292" s="260"/>
      <c r="B292" s="262"/>
      <c r="C292" s="260"/>
      <c r="D292" s="259"/>
      <c r="E292" s="259"/>
      <c r="F292" s="259"/>
      <c r="G292" s="260"/>
    </row>
    <row r="293" spans="1:7" x14ac:dyDescent="0.25">
      <c r="A293" s="260"/>
      <c r="B293" s="262"/>
      <c r="C293" s="260"/>
      <c r="D293" s="259"/>
      <c r="E293" s="259"/>
      <c r="F293" s="259"/>
      <c r="G293" s="260"/>
    </row>
    <row r="294" spans="1:7" x14ac:dyDescent="0.25">
      <c r="A294" s="260"/>
      <c r="B294" s="262"/>
      <c r="C294" s="260"/>
      <c r="D294" s="259"/>
      <c r="E294" s="259"/>
      <c r="F294" s="259"/>
      <c r="G294" s="260"/>
    </row>
    <row r="295" spans="1:7" x14ac:dyDescent="0.25">
      <c r="A295" s="260"/>
      <c r="B295" s="262"/>
      <c r="C295" s="260"/>
      <c r="D295" s="259"/>
      <c r="E295" s="259"/>
      <c r="F295" s="259"/>
      <c r="G295" s="260"/>
    </row>
    <row r="296" spans="1:7" x14ac:dyDescent="0.25">
      <c r="A296" s="260"/>
      <c r="B296" s="262"/>
      <c r="C296" s="260"/>
      <c r="D296" s="259"/>
      <c r="E296" s="259"/>
      <c r="F296" s="259"/>
      <c r="G296" s="260"/>
    </row>
    <row r="297" spans="1:7" x14ac:dyDescent="0.25">
      <c r="A297" s="260"/>
      <c r="B297" s="262"/>
      <c r="C297" s="260"/>
      <c r="D297" s="259"/>
      <c r="E297" s="259"/>
      <c r="F297" s="259"/>
      <c r="G297" s="260"/>
    </row>
    <row r="298" spans="1:7" x14ac:dyDescent="0.25">
      <c r="A298" s="260"/>
      <c r="B298" s="262"/>
      <c r="C298" s="260"/>
      <c r="D298" s="259"/>
      <c r="E298" s="259"/>
      <c r="F298" s="259"/>
      <c r="G298" s="260"/>
    </row>
    <row r="299" spans="1:7" x14ac:dyDescent="0.25">
      <c r="A299" s="260"/>
      <c r="B299" s="262"/>
      <c r="C299" s="260"/>
      <c r="D299" s="259"/>
      <c r="E299" s="259"/>
      <c r="F299" s="259"/>
      <c r="G299" s="260"/>
    </row>
    <row r="300" spans="1:7" x14ac:dyDescent="0.25">
      <c r="A300" s="260"/>
      <c r="B300" s="262"/>
      <c r="C300" s="260"/>
      <c r="D300" s="259"/>
      <c r="E300" s="259"/>
      <c r="F300" s="259"/>
      <c r="G300" s="260"/>
    </row>
    <row r="301" spans="1:7" x14ac:dyDescent="0.25">
      <c r="A301" s="260"/>
      <c r="B301" s="262"/>
      <c r="C301" s="260"/>
      <c r="D301" s="259"/>
      <c r="E301" s="259"/>
      <c r="F301" s="259"/>
      <c r="G301" s="260"/>
    </row>
    <row r="302" spans="1:7" x14ac:dyDescent="0.25">
      <c r="A302" s="260"/>
      <c r="B302" s="262"/>
      <c r="C302" s="260"/>
      <c r="D302" s="259"/>
      <c r="E302" s="259"/>
      <c r="F302" s="259"/>
      <c r="G302" s="260"/>
    </row>
    <row r="303" spans="1:7" x14ac:dyDescent="0.25">
      <c r="A303" s="260"/>
      <c r="B303" s="262"/>
      <c r="C303" s="260"/>
      <c r="D303" s="259"/>
      <c r="E303" s="259"/>
      <c r="F303" s="259"/>
      <c r="G303" s="260"/>
    </row>
    <row r="304" spans="1:7" x14ac:dyDescent="0.25">
      <c r="A304" s="260"/>
      <c r="B304" s="262"/>
      <c r="C304" s="260"/>
      <c r="D304" s="259"/>
      <c r="E304" s="259"/>
      <c r="F304" s="259"/>
      <c r="G304" s="260"/>
    </row>
    <row r="305" spans="1:7" x14ac:dyDescent="0.25">
      <c r="A305" s="260"/>
      <c r="B305" s="262"/>
      <c r="C305" s="260"/>
      <c r="D305" s="259"/>
      <c r="E305" s="259"/>
      <c r="F305" s="259"/>
      <c r="G305" s="260"/>
    </row>
    <row r="306" spans="1:7" x14ac:dyDescent="0.25">
      <c r="A306" s="260"/>
      <c r="B306" s="262"/>
      <c r="C306" s="260"/>
      <c r="D306" s="259"/>
      <c r="E306" s="259"/>
      <c r="F306" s="259"/>
      <c r="G306" s="260"/>
    </row>
    <row r="307" spans="1:7" x14ac:dyDescent="0.25">
      <c r="A307" s="260"/>
      <c r="B307" s="262"/>
      <c r="C307" s="260"/>
      <c r="D307" s="259"/>
      <c r="E307" s="259"/>
      <c r="F307" s="259"/>
      <c r="G307" s="260"/>
    </row>
    <row r="308" spans="1:7" x14ac:dyDescent="0.25">
      <c r="A308" s="260"/>
      <c r="B308" s="262"/>
      <c r="C308" s="260"/>
      <c r="D308" s="259"/>
      <c r="E308" s="259"/>
      <c r="F308" s="259"/>
      <c r="G308" s="260"/>
    </row>
    <row r="309" spans="1:7" x14ac:dyDescent="0.25">
      <c r="A309" s="260"/>
      <c r="B309" s="262"/>
      <c r="C309" s="260"/>
      <c r="D309" s="259"/>
      <c r="E309" s="259"/>
      <c r="F309" s="259"/>
      <c r="G309" s="260"/>
    </row>
    <row r="310" spans="1:7" x14ac:dyDescent="0.25">
      <c r="A310" s="260"/>
      <c r="B310" s="262"/>
      <c r="C310" s="260"/>
      <c r="D310" s="259"/>
      <c r="E310" s="259"/>
      <c r="F310" s="259"/>
      <c r="G310" s="260"/>
    </row>
    <row r="311" spans="1:7" x14ac:dyDescent="0.25">
      <c r="A311" s="260"/>
      <c r="B311" s="262"/>
      <c r="C311" s="260"/>
      <c r="D311" s="259"/>
      <c r="E311" s="259"/>
      <c r="F311" s="259"/>
      <c r="G311" s="260"/>
    </row>
    <row r="312" spans="1:7" x14ac:dyDescent="0.25">
      <c r="A312" s="260"/>
      <c r="B312" s="262"/>
      <c r="C312" s="260"/>
      <c r="D312" s="259"/>
      <c r="E312" s="259"/>
      <c r="F312" s="259"/>
      <c r="G312" s="260"/>
    </row>
    <row r="313" spans="1:7" x14ac:dyDescent="0.25">
      <c r="A313" s="260"/>
      <c r="B313" s="262"/>
      <c r="C313" s="260"/>
      <c r="D313" s="259"/>
      <c r="E313" s="259"/>
      <c r="F313" s="259"/>
      <c r="G313" s="260"/>
    </row>
    <row r="314" spans="1:7" x14ac:dyDescent="0.25">
      <c r="A314" s="260"/>
      <c r="B314" s="262"/>
      <c r="C314" s="260"/>
      <c r="D314" s="259"/>
      <c r="E314" s="259"/>
      <c r="F314" s="259"/>
      <c r="G314" s="260"/>
    </row>
    <row r="315" spans="1:7" x14ac:dyDescent="0.25">
      <c r="A315" s="260"/>
      <c r="B315" s="262"/>
      <c r="C315" s="260"/>
      <c r="D315" s="259"/>
      <c r="E315" s="259"/>
      <c r="F315" s="259"/>
      <c r="G315" s="260"/>
    </row>
    <row r="316" spans="1:7" x14ac:dyDescent="0.25">
      <c r="A316" s="260"/>
      <c r="B316" s="262"/>
      <c r="C316" s="260"/>
      <c r="D316" s="259"/>
      <c r="E316" s="259"/>
      <c r="F316" s="259"/>
      <c r="G316" s="260"/>
    </row>
    <row r="317" spans="1:7" x14ac:dyDescent="0.25">
      <c r="A317" s="260"/>
      <c r="B317" s="262"/>
      <c r="C317" s="260"/>
      <c r="D317" s="259"/>
      <c r="E317" s="259"/>
      <c r="F317" s="259"/>
      <c r="G317" s="260"/>
    </row>
    <row r="318" spans="1:7" x14ac:dyDescent="0.25">
      <c r="A318" s="260"/>
      <c r="B318" s="262"/>
      <c r="C318" s="260"/>
      <c r="D318" s="259"/>
      <c r="E318" s="259"/>
      <c r="F318" s="259"/>
      <c r="G318" s="260"/>
    </row>
    <row r="319" spans="1:7" x14ac:dyDescent="0.25">
      <c r="A319" s="260"/>
      <c r="B319" s="262"/>
      <c r="C319" s="260"/>
      <c r="D319" s="259"/>
      <c r="E319" s="259"/>
      <c r="F319" s="259"/>
      <c r="G319" s="260"/>
    </row>
    <row r="320" spans="1:7" x14ac:dyDescent="0.25">
      <c r="A320" s="260"/>
      <c r="B320" s="262"/>
      <c r="C320" s="260"/>
      <c r="D320" s="259"/>
      <c r="E320" s="259"/>
      <c r="F320" s="259"/>
      <c r="G320" s="260"/>
    </row>
    <row r="321" spans="1:7" x14ac:dyDescent="0.25">
      <c r="A321" s="260"/>
      <c r="B321" s="262"/>
      <c r="C321" s="260"/>
      <c r="D321" s="259"/>
      <c r="E321" s="259"/>
      <c r="F321" s="259"/>
      <c r="G321" s="260"/>
    </row>
    <row r="322" spans="1:7" x14ac:dyDescent="0.25">
      <c r="A322" s="260"/>
      <c r="B322" s="262"/>
      <c r="C322" s="260"/>
      <c r="D322" s="259"/>
      <c r="E322" s="259"/>
      <c r="F322" s="259"/>
      <c r="G322" s="260"/>
    </row>
    <row r="323" spans="1:7" x14ac:dyDescent="0.25">
      <c r="A323" s="260"/>
      <c r="B323" s="262"/>
      <c r="C323" s="260"/>
      <c r="D323" s="259"/>
      <c r="E323" s="259"/>
      <c r="F323" s="259"/>
      <c r="G323" s="260"/>
    </row>
    <row r="324" spans="1:7" x14ac:dyDescent="0.25">
      <c r="A324" s="260"/>
      <c r="B324" s="262"/>
      <c r="C324" s="260"/>
      <c r="D324" s="259"/>
      <c r="E324" s="259"/>
      <c r="F324" s="259"/>
      <c r="G324" s="260"/>
    </row>
    <row r="325" spans="1:7" x14ac:dyDescent="0.25">
      <c r="A325" s="260"/>
      <c r="B325" s="262"/>
      <c r="C325" s="260"/>
      <c r="D325" s="259"/>
      <c r="E325" s="259"/>
      <c r="F325" s="259"/>
      <c r="G325" s="260"/>
    </row>
    <row r="326" spans="1:7" x14ac:dyDescent="0.25">
      <c r="A326" s="260"/>
      <c r="B326" s="262"/>
      <c r="C326" s="260"/>
      <c r="D326" s="259"/>
      <c r="E326" s="259"/>
      <c r="F326" s="259"/>
      <c r="G326" s="260"/>
    </row>
    <row r="327" spans="1:7" x14ac:dyDescent="0.25">
      <c r="A327" s="260"/>
      <c r="B327" s="262"/>
      <c r="C327" s="260"/>
      <c r="D327" s="259"/>
      <c r="E327" s="259"/>
      <c r="F327" s="259"/>
      <c r="G327" s="260"/>
    </row>
    <row r="328" spans="1:7" x14ac:dyDescent="0.25">
      <c r="A328" s="260"/>
      <c r="B328" s="262"/>
      <c r="C328" s="260"/>
      <c r="D328" s="259"/>
      <c r="E328" s="259"/>
      <c r="F328" s="259"/>
      <c r="G328" s="260"/>
    </row>
    <row r="329" spans="1:7" x14ac:dyDescent="0.25">
      <c r="A329" s="260"/>
      <c r="B329" s="262"/>
      <c r="C329" s="260"/>
      <c r="D329" s="259"/>
      <c r="E329" s="259"/>
      <c r="F329" s="259"/>
      <c r="G329" s="260"/>
    </row>
    <row r="330" spans="1:7" x14ac:dyDescent="0.25">
      <c r="A330" s="260"/>
      <c r="B330" s="262"/>
      <c r="C330" s="260"/>
      <c r="D330" s="259"/>
      <c r="E330" s="259"/>
      <c r="F330" s="259"/>
      <c r="G330" s="260"/>
    </row>
    <row r="331" spans="1:7" x14ac:dyDescent="0.25">
      <c r="A331" s="260"/>
      <c r="B331" s="262"/>
      <c r="C331" s="260"/>
      <c r="D331" s="259"/>
      <c r="E331" s="259"/>
      <c r="F331" s="259"/>
      <c r="G331" s="260"/>
    </row>
    <row r="332" spans="1:7" x14ac:dyDescent="0.25">
      <c r="A332" s="260"/>
      <c r="B332" s="262"/>
      <c r="C332" s="260"/>
      <c r="D332" s="259"/>
      <c r="E332" s="259"/>
      <c r="F332" s="259"/>
      <c r="G332" s="260"/>
    </row>
    <row r="333" spans="1:7" x14ac:dyDescent="0.25">
      <c r="A333" s="260"/>
      <c r="B333" s="262"/>
      <c r="C333" s="260"/>
      <c r="D333" s="259"/>
      <c r="E333" s="259"/>
      <c r="F333" s="259"/>
      <c r="G333" s="260"/>
    </row>
    <row r="334" spans="1:7" x14ac:dyDescent="0.25">
      <c r="A334" s="260"/>
      <c r="B334" s="262"/>
      <c r="C334" s="260"/>
      <c r="D334" s="259"/>
      <c r="E334" s="259"/>
      <c r="F334" s="259"/>
      <c r="G334" s="260"/>
    </row>
    <row r="335" spans="1:7" x14ac:dyDescent="0.25">
      <c r="A335" s="260"/>
      <c r="B335" s="262"/>
      <c r="C335" s="260"/>
      <c r="D335" s="259"/>
      <c r="E335" s="259"/>
      <c r="F335" s="259"/>
      <c r="G335" s="260"/>
    </row>
    <row r="336" spans="1:7" x14ac:dyDescent="0.25">
      <c r="A336" s="260"/>
      <c r="B336" s="262"/>
      <c r="C336" s="260"/>
      <c r="D336" s="259"/>
      <c r="E336" s="259"/>
      <c r="F336" s="259"/>
      <c r="G336" s="260"/>
    </row>
    <row r="337" spans="1:7" x14ac:dyDescent="0.25">
      <c r="A337" s="260"/>
      <c r="B337" s="262"/>
      <c r="C337" s="260"/>
      <c r="D337" s="259"/>
      <c r="E337" s="259"/>
      <c r="F337" s="259"/>
      <c r="G337" s="260"/>
    </row>
    <row r="338" spans="1:7" x14ac:dyDescent="0.25">
      <c r="A338" s="260"/>
      <c r="B338" s="262"/>
      <c r="C338" s="260"/>
      <c r="D338" s="259"/>
      <c r="E338" s="259"/>
      <c r="F338" s="259"/>
      <c r="G338" s="260"/>
    </row>
    <row r="339" spans="1:7" x14ac:dyDescent="0.25">
      <c r="A339" s="260"/>
      <c r="B339" s="262"/>
      <c r="C339" s="260"/>
      <c r="D339" s="259"/>
      <c r="E339" s="259"/>
      <c r="F339" s="259"/>
      <c r="G339" s="260"/>
    </row>
    <row r="340" spans="1:7" x14ac:dyDescent="0.25">
      <c r="A340" s="260"/>
      <c r="B340" s="262"/>
      <c r="C340" s="260"/>
      <c r="D340" s="259"/>
      <c r="E340" s="259"/>
      <c r="F340" s="259"/>
      <c r="G340" s="260"/>
    </row>
    <row r="341" spans="1:7" x14ac:dyDescent="0.25">
      <c r="A341" s="260"/>
      <c r="B341" s="262"/>
      <c r="C341" s="260"/>
      <c r="D341" s="259"/>
      <c r="E341" s="259"/>
      <c r="F341" s="259"/>
      <c r="G341" s="260"/>
    </row>
    <row r="342" spans="1:7" x14ac:dyDescent="0.25">
      <c r="A342" s="260"/>
      <c r="B342" s="262"/>
      <c r="C342" s="260"/>
      <c r="D342" s="259"/>
      <c r="E342" s="259"/>
      <c r="F342" s="259"/>
      <c r="G342" s="260"/>
    </row>
    <row r="343" spans="1:7" x14ac:dyDescent="0.25">
      <c r="A343" s="260"/>
      <c r="B343" s="262"/>
      <c r="C343" s="260"/>
      <c r="D343" s="259"/>
      <c r="E343" s="259"/>
      <c r="F343" s="259"/>
      <c r="G343" s="260"/>
    </row>
    <row r="344" spans="1:7" x14ac:dyDescent="0.25">
      <c r="A344" s="260"/>
      <c r="B344" s="262"/>
      <c r="C344" s="260"/>
      <c r="D344" s="259"/>
      <c r="E344" s="259"/>
      <c r="F344" s="259"/>
      <c r="G344" s="260"/>
    </row>
    <row r="345" spans="1:7" x14ac:dyDescent="0.25">
      <c r="A345" s="260"/>
      <c r="B345" s="262"/>
      <c r="C345" s="260"/>
      <c r="D345" s="259"/>
      <c r="E345" s="259"/>
      <c r="F345" s="259"/>
      <c r="G345" s="260"/>
    </row>
    <row r="346" spans="1:7" x14ac:dyDescent="0.25">
      <c r="A346" s="260"/>
      <c r="B346" s="262"/>
      <c r="C346" s="260"/>
      <c r="D346" s="259"/>
      <c r="E346" s="259"/>
      <c r="F346" s="259"/>
      <c r="G346" s="260"/>
    </row>
    <row r="347" spans="1:7" x14ac:dyDescent="0.25">
      <c r="A347" s="260"/>
      <c r="B347" s="262"/>
      <c r="C347" s="260"/>
      <c r="D347" s="259"/>
      <c r="E347" s="259"/>
      <c r="F347" s="259"/>
      <c r="G347" s="260"/>
    </row>
    <row r="348" spans="1:7" x14ac:dyDescent="0.25">
      <c r="A348" s="260"/>
      <c r="B348" s="262"/>
      <c r="C348" s="260"/>
      <c r="D348" s="259"/>
      <c r="E348" s="259"/>
      <c r="F348" s="259"/>
      <c r="G348" s="260"/>
    </row>
    <row r="349" spans="1:7" x14ac:dyDescent="0.25">
      <c r="A349" s="260"/>
      <c r="B349" s="262"/>
      <c r="C349" s="260"/>
      <c r="D349" s="259"/>
      <c r="E349" s="259"/>
      <c r="F349" s="259"/>
      <c r="G349" s="260"/>
    </row>
    <row r="350" spans="1:7" x14ac:dyDescent="0.25">
      <c r="A350" s="260"/>
      <c r="B350" s="262"/>
      <c r="C350" s="260"/>
      <c r="D350" s="259"/>
      <c r="E350" s="259"/>
      <c r="F350" s="259"/>
      <c r="G350" s="260"/>
    </row>
    <row r="351" spans="1:7" x14ac:dyDescent="0.25">
      <c r="A351" s="260"/>
      <c r="B351" s="262"/>
      <c r="C351" s="260"/>
      <c r="D351" s="259"/>
      <c r="E351" s="259"/>
      <c r="F351" s="259"/>
      <c r="G351" s="260"/>
    </row>
    <row r="352" spans="1:7" x14ac:dyDescent="0.25">
      <c r="A352" s="260"/>
      <c r="B352" s="262"/>
      <c r="C352" s="260"/>
      <c r="D352" s="259"/>
      <c r="E352" s="259"/>
      <c r="F352" s="259"/>
      <c r="G352" s="260"/>
    </row>
    <row r="353" spans="1:7" x14ac:dyDescent="0.25">
      <c r="A353" s="260"/>
      <c r="B353" s="262"/>
      <c r="C353" s="260"/>
      <c r="D353" s="259"/>
      <c r="E353" s="259"/>
      <c r="F353" s="259"/>
      <c r="G353" s="260"/>
    </row>
    <row r="354" spans="1:7" x14ac:dyDescent="0.25">
      <c r="A354" s="260"/>
      <c r="B354" s="262"/>
      <c r="C354" s="260"/>
      <c r="D354" s="259"/>
      <c r="E354" s="259"/>
      <c r="F354" s="259"/>
      <c r="G354" s="260"/>
    </row>
    <row r="355" spans="1:7" x14ac:dyDescent="0.25">
      <c r="A355" s="260"/>
      <c r="B355" s="262"/>
      <c r="C355" s="260"/>
      <c r="D355" s="259"/>
      <c r="E355" s="259"/>
      <c r="F355" s="259"/>
      <c r="G355" s="260"/>
    </row>
    <row r="356" spans="1:7" x14ac:dyDescent="0.25">
      <c r="A356" s="260"/>
      <c r="B356" s="262"/>
      <c r="C356" s="260"/>
      <c r="D356" s="259"/>
      <c r="E356" s="259"/>
      <c r="F356" s="259"/>
      <c r="G356" s="260"/>
    </row>
    <row r="357" spans="1:7" x14ac:dyDescent="0.25">
      <c r="A357" s="260"/>
      <c r="B357" s="262"/>
      <c r="C357" s="260"/>
      <c r="D357" s="259"/>
      <c r="E357" s="259"/>
      <c r="F357" s="259"/>
      <c r="G357" s="260"/>
    </row>
    <row r="358" spans="1:7" x14ac:dyDescent="0.25">
      <c r="A358" s="260"/>
      <c r="B358" s="262"/>
      <c r="C358" s="260"/>
      <c r="D358" s="259"/>
      <c r="E358" s="259"/>
      <c r="F358" s="259"/>
      <c r="G358" s="260"/>
    </row>
    <row r="359" spans="1:7" x14ac:dyDescent="0.25">
      <c r="A359" s="260"/>
      <c r="B359" s="262"/>
      <c r="C359" s="260"/>
      <c r="D359" s="259"/>
      <c r="E359" s="259"/>
      <c r="F359" s="259"/>
      <c r="G359" s="260"/>
    </row>
    <row r="360" spans="1:7" x14ac:dyDescent="0.25">
      <c r="A360" s="260"/>
      <c r="B360" s="262"/>
      <c r="C360" s="260"/>
      <c r="D360" s="259"/>
      <c r="E360" s="259"/>
      <c r="F360" s="259"/>
      <c r="G360" s="260"/>
    </row>
    <row r="361" spans="1:7" x14ac:dyDescent="0.25">
      <c r="A361" s="260"/>
      <c r="B361" s="262"/>
      <c r="C361" s="260"/>
      <c r="D361" s="259"/>
      <c r="E361" s="259"/>
      <c r="F361" s="259"/>
      <c r="G361" s="260"/>
    </row>
    <row r="362" spans="1:7" x14ac:dyDescent="0.25">
      <c r="A362" s="260"/>
      <c r="B362" s="262"/>
      <c r="C362" s="260"/>
      <c r="D362" s="259"/>
      <c r="E362" s="259"/>
      <c r="F362" s="259"/>
      <c r="G362" s="260"/>
    </row>
    <row r="363" spans="1:7" x14ac:dyDescent="0.25">
      <c r="A363" s="260"/>
      <c r="B363" s="262"/>
      <c r="C363" s="260"/>
      <c r="D363" s="259"/>
      <c r="E363" s="259"/>
      <c r="F363" s="259"/>
      <c r="G363" s="260"/>
    </row>
    <row r="364" spans="1:7" x14ac:dyDescent="0.25">
      <c r="A364" s="260"/>
      <c r="B364" s="262"/>
      <c r="C364" s="260"/>
      <c r="D364" s="259"/>
      <c r="E364" s="259"/>
      <c r="F364" s="259"/>
      <c r="G364" s="260"/>
    </row>
    <row r="365" spans="1:7" x14ac:dyDescent="0.25">
      <c r="A365" s="260"/>
      <c r="B365" s="262"/>
      <c r="C365" s="260"/>
      <c r="D365" s="259"/>
      <c r="E365" s="259"/>
      <c r="F365" s="259"/>
      <c r="G365" s="260"/>
    </row>
    <row r="366" spans="1:7" x14ac:dyDescent="0.25">
      <c r="A366" s="260"/>
      <c r="B366" s="262"/>
      <c r="C366" s="260"/>
      <c r="D366" s="259"/>
      <c r="E366" s="259"/>
      <c r="F366" s="259"/>
      <c r="G366" s="260"/>
    </row>
    <row r="367" spans="1:7" x14ac:dyDescent="0.25">
      <c r="A367" s="260"/>
      <c r="B367" s="262"/>
      <c r="C367" s="260"/>
      <c r="D367" s="259"/>
      <c r="E367" s="259"/>
      <c r="F367" s="259"/>
      <c r="G367" s="260"/>
    </row>
    <row r="368" spans="1:7" x14ac:dyDescent="0.25">
      <c r="A368" s="260"/>
      <c r="B368" s="262"/>
      <c r="C368" s="260"/>
      <c r="D368" s="259"/>
      <c r="E368" s="259"/>
      <c r="F368" s="259"/>
      <c r="G368" s="260"/>
    </row>
    <row r="369" spans="1:7" x14ac:dyDescent="0.25">
      <c r="A369" s="260"/>
      <c r="B369" s="262"/>
      <c r="C369" s="260"/>
      <c r="D369" s="259"/>
      <c r="E369" s="259"/>
      <c r="F369" s="259"/>
      <c r="G369" s="260"/>
    </row>
    <row r="370" spans="1:7" x14ac:dyDescent="0.25">
      <c r="A370" s="260"/>
      <c r="B370" s="262"/>
      <c r="C370" s="260"/>
      <c r="D370" s="259"/>
      <c r="E370" s="259"/>
      <c r="F370" s="259"/>
      <c r="G370" s="260"/>
    </row>
    <row r="371" spans="1:7" x14ac:dyDescent="0.25">
      <c r="A371" s="260"/>
      <c r="B371" s="262"/>
      <c r="C371" s="260"/>
      <c r="D371" s="259"/>
      <c r="E371" s="259"/>
      <c r="F371" s="259"/>
      <c r="G371" s="260"/>
    </row>
    <row r="372" spans="1:7" x14ac:dyDescent="0.25">
      <c r="A372" s="260"/>
      <c r="B372" s="262"/>
      <c r="C372" s="260"/>
      <c r="D372" s="259"/>
      <c r="E372" s="259"/>
      <c r="F372" s="259"/>
      <c r="G372" s="260"/>
    </row>
    <row r="373" spans="1:7" x14ac:dyDescent="0.25">
      <c r="A373" s="260"/>
      <c r="B373" s="262"/>
      <c r="C373" s="260"/>
      <c r="D373" s="259"/>
      <c r="E373" s="259"/>
      <c r="F373" s="259"/>
      <c r="G373" s="260"/>
    </row>
    <row r="374" spans="1:7" x14ac:dyDescent="0.25">
      <c r="A374" s="260"/>
      <c r="B374" s="262"/>
      <c r="C374" s="260"/>
      <c r="D374" s="259"/>
      <c r="E374" s="259"/>
      <c r="F374" s="259"/>
      <c r="G374" s="260"/>
    </row>
    <row r="375" spans="1:7" x14ac:dyDescent="0.25">
      <c r="A375" s="260"/>
      <c r="B375" s="262"/>
      <c r="C375" s="260"/>
      <c r="D375" s="259"/>
      <c r="E375" s="259"/>
      <c r="F375" s="259"/>
      <c r="G375" s="260"/>
    </row>
    <row r="376" spans="1:7" x14ac:dyDescent="0.25">
      <c r="A376" s="260"/>
      <c r="B376" s="262"/>
      <c r="C376" s="260"/>
      <c r="D376" s="259"/>
      <c r="E376" s="259"/>
      <c r="F376" s="259"/>
      <c r="G376" s="260"/>
    </row>
    <row r="377" spans="1:7" x14ac:dyDescent="0.25">
      <c r="A377" s="260"/>
      <c r="B377" s="262"/>
      <c r="C377" s="260"/>
      <c r="D377" s="259"/>
      <c r="E377" s="259"/>
      <c r="F377" s="259"/>
      <c r="G377" s="260"/>
    </row>
    <row r="378" spans="1:7" x14ac:dyDescent="0.25">
      <c r="A378" s="260"/>
      <c r="B378" s="262"/>
      <c r="C378" s="260"/>
      <c r="D378" s="259"/>
      <c r="E378" s="259"/>
      <c r="F378" s="259"/>
      <c r="G378" s="260"/>
    </row>
    <row r="379" spans="1:7" x14ac:dyDescent="0.25">
      <c r="A379" s="260"/>
      <c r="B379" s="262"/>
      <c r="C379" s="260"/>
      <c r="D379" s="259"/>
      <c r="E379" s="259"/>
      <c r="F379" s="259"/>
      <c r="G379" s="260"/>
    </row>
    <row r="380" spans="1:7" x14ac:dyDescent="0.25">
      <c r="A380" s="260"/>
      <c r="B380" s="262"/>
      <c r="C380" s="260"/>
      <c r="D380" s="259"/>
      <c r="E380" s="259"/>
      <c r="F380" s="259"/>
      <c r="G380" s="260"/>
    </row>
    <row r="381" spans="1:7" x14ac:dyDescent="0.25">
      <c r="A381" s="260"/>
      <c r="B381" s="262"/>
      <c r="C381" s="260"/>
      <c r="D381" s="259"/>
      <c r="E381" s="259"/>
      <c r="F381" s="259"/>
      <c r="G381" s="260"/>
    </row>
    <row r="382" spans="1:7" x14ac:dyDescent="0.25">
      <c r="A382" s="260"/>
      <c r="B382" s="262"/>
      <c r="C382" s="260"/>
      <c r="D382" s="259"/>
      <c r="E382" s="259"/>
      <c r="F382" s="259"/>
      <c r="G382" s="260"/>
    </row>
    <row r="383" spans="1:7" x14ac:dyDescent="0.25">
      <c r="A383" s="260"/>
      <c r="B383" s="262"/>
      <c r="C383" s="260"/>
      <c r="D383" s="259"/>
      <c r="E383" s="259"/>
      <c r="F383" s="259"/>
      <c r="G383" s="260"/>
    </row>
    <row r="384" spans="1:7" x14ac:dyDescent="0.25">
      <c r="A384" s="260"/>
      <c r="B384" s="262"/>
      <c r="C384" s="260"/>
      <c r="D384" s="259"/>
      <c r="E384" s="259"/>
      <c r="F384" s="259"/>
      <c r="G384" s="260"/>
    </row>
    <row r="385" spans="1:7" x14ac:dyDescent="0.25">
      <c r="A385" s="260"/>
      <c r="B385" s="262"/>
      <c r="C385" s="260"/>
      <c r="D385" s="259"/>
      <c r="E385" s="259"/>
      <c r="F385" s="259"/>
      <c r="G385" s="260"/>
    </row>
    <row r="386" spans="1:7" x14ac:dyDescent="0.25">
      <c r="A386" s="260"/>
      <c r="B386" s="262"/>
      <c r="C386" s="260"/>
      <c r="D386" s="259"/>
      <c r="E386" s="259"/>
      <c r="F386" s="259"/>
      <c r="G386" s="260"/>
    </row>
    <row r="387" spans="1:7" x14ac:dyDescent="0.25">
      <c r="A387" s="260"/>
      <c r="B387" s="262"/>
      <c r="C387" s="260"/>
      <c r="D387" s="259"/>
      <c r="E387" s="259"/>
      <c r="F387" s="259"/>
      <c r="G387" s="260"/>
    </row>
    <row r="388" spans="1:7" x14ac:dyDescent="0.25">
      <c r="A388" s="260"/>
      <c r="B388" s="262"/>
      <c r="C388" s="260"/>
      <c r="D388" s="259"/>
      <c r="E388" s="259"/>
      <c r="F388" s="259"/>
      <c r="G388" s="260"/>
    </row>
    <row r="389" spans="1:7" x14ac:dyDescent="0.25">
      <c r="A389" s="260"/>
      <c r="B389" s="262"/>
      <c r="C389" s="260"/>
      <c r="D389" s="259"/>
      <c r="E389" s="259"/>
      <c r="F389" s="259"/>
      <c r="G389" s="260"/>
    </row>
    <row r="390" spans="1:7" x14ac:dyDescent="0.25">
      <c r="A390" s="260"/>
      <c r="B390" s="262"/>
      <c r="C390" s="260"/>
      <c r="D390" s="259"/>
      <c r="E390" s="259"/>
      <c r="F390" s="259"/>
      <c r="G390" s="260"/>
    </row>
    <row r="391" spans="1:7" x14ac:dyDescent="0.25">
      <c r="A391" s="260"/>
      <c r="B391" s="262"/>
      <c r="C391" s="260"/>
      <c r="D391" s="259"/>
      <c r="E391" s="259"/>
      <c r="F391" s="259"/>
      <c r="G391" s="260"/>
    </row>
    <row r="392" spans="1:7" x14ac:dyDescent="0.25">
      <c r="A392" s="260"/>
      <c r="B392" s="262"/>
      <c r="C392" s="260"/>
      <c r="D392" s="259"/>
      <c r="E392" s="259"/>
      <c r="F392" s="259"/>
      <c r="G392" s="260"/>
    </row>
    <row r="393" spans="1:7" x14ac:dyDescent="0.25">
      <c r="A393" s="260"/>
      <c r="B393" s="262"/>
      <c r="C393" s="260"/>
      <c r="D393" s="259"/>
      <c r="E393" s="259"/>
      <c r="F393" s="259"/>
      <c r="G393" s="260"/>
    </row>
    <row r="394" spans="1:7" x14ac:dyDescent="0.25">
      <c r="A394" s="260"/>
      <c r="B394" s="262"/>
      <c r="C394" s="260"/>
      <c r="D394" s="259"/>
      <c r="E394" s="259"/>
      <c r="F394" s="259"/>
      <c r="G394" s="260"/>
    </row>
    <row r="395" spans="1:7" x14ac:dyDescent="0.25">
      <c r="A395" s="260"/>
      <c r="B395" s="262"/>
      <c r="C395" s="260"/>
      <c r="D395" s="259"/>
      <c r="E395" s="259"/>
      <c r="F395" s="259"/>
      <c r="G395" s="260"/>
    </row>
    <row r="396" spans="1:7" x14ac:dyDescent="0.25">
      <c r="A396" s="260"/>
      <c r="B396" s="262"/>
      <c r="C396" s="260"/>
      <c r="D396" s="259"/>
      <c r="E396" s="259"/>
      <c r="F396" s="259"/>
      <c r="G396" s="260"/>
    </row>
    <row r="397" spans="1:7" x14ac:dyDescent="0.25">
      <c r="A397" s="260"/>
      <c r="B397" s="262"/>
      <c r="C397" s="260"/>
      <c r="D397" s="259"/>
      <c r="E397" s="259"/>
      <c r="F397" s="259"/>
      <c r="G397" s="260"/>
    </row>
    <row r="398" spans="1:7" x14ac:dyDescent="0.25">
      <c r="A398" s="260"/>
      <c r="B398" s="262"/>
      <c r="C398" s="260"/>
      <c r="D398" s="259"/>
      <c r="E398" s="259"/>
      <c r="F398" s="259"/>
      <c r="G398" s="260"/>
    </row>
    <row r="399" spans="1:7" x14ac:dyDescent="0.25">
      <c r="A399" s="260"/>
      <c r="B399" s="262"/>
      <c r="C399" s="260"/>
      <c r="D399" s="259"/>
      <c r="E399" s="259"/>
      <c r="F399" s="259"/>
      <c r="G399" s="260"/>
    </row>
    <row r="400" spans="1:7" x14ac:dyDescent="0.25">
      <c r="A400" s="260"/>
      <c r="B400" s="262"/>
      <c r="C400" s="260"/>
      <c r="D400" s="259"/>
      <c r="E400" s="259"/>
      <c r="F400" s="259"/>
      <c r="G400" s="260"/>
    </row>
    <row r="401" spans="1:7" x14ac:dyDescent="0.25">
      <c r="A401" s="260"/>
      <c r="B401" s="262"/>
      <c r="C401" s="260"/>
      <c r="D401" s="259"/>
      <c r="E401" s="259"/>
      <c r="F401" s="259"/>
      <c r="G401" s="260"/>
    </row>
  </sheetData>
  <mergeCells count="7">
    <mergeCell ref="G8:G9"/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1800-000000000000}"/>
  </hyperlinks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35"/>
  <sheetViews>
    <sheetView workbookViewId="0">
      <selection activeCell="G1" sqref="G1"/>
    </sheetView>
  </sheetViews>
  <sheetFormatPr defaultRowHeight="15" x14ac:dyDescent="0.25"/>
  <cols>
    <col min="2" max="2" width="12.5703125" customWidth="1"/>
    <col min="3" max="3" width="32.42578125" customWidth="1"/>
    <col min="4" max="4" width="19.85546875" style="2" customWidth="1"/>
    <col min="5" max="5" width="13.85546875" style="2" customWidth="1"/>
    <col min="6" max="6" width="19.28515625" style="2" customWidth="1"/>
  </cols>
  <sheetData>
    <row r="1" spans="1:10" x14ac:dyDescent="0.25">
      <c r="A1" s="1"/>
      <c r="B1" s="1"/>
      <c r="G1" s="1" t="s">
        <v>16</v>
      </c>
    </row>
    <row r="2" spans="1:10" x14ac:dyDescent="0.25">
      <c r="A2" s="411" t="s">
        <v>3</v>
      </c>
      <c r="B2" s="411"/>
      <c r="C2" s="411"/>
      <c r="D2" s="411"/>
      <c r="E2" s="411"/>
      <c r="F2" s="411"/>
    </row>
    <row r="3" spans="1:10" x14ac:dyDescent="0.25">
      <c r="A3" t="s">
        <v>4</v>
      </c>
      <c r="D3" s="2" t="s">
        <v>1452</v>
      </c>
    </row>
    <row r="4" spans="1:10" x14ac:dyDescent="0.25">
      <c r="E4" s="2" t="s">
        <v>9</v>
      </c>
    </row>
    <row r="5" spans="1:10" x14ac:dyDescent="0.25">
      <c r="A5" t="s">
        <v>13</v>
      </c>
      <c r="D5" s="3">
        <f ca="1">+'Tổng hợp'!$G$2</f>
        <v>45784</v>
      </c>
      <c r="E5" s="2" t="s">
        <v>10</v>
      </c>
      <c r="F5" s="2">
        <f>SUM(D10:D161)</f>
        <v>144208400</v>
      </c>
    </row>
    <row r="6" spans="1:10" x14ac:dyDescent="0.25">
      <c r="E6" s="2" t="s">
        <v>11</v>
      </c>
      <c r="F6" s="2">
        <f>SUM(E10:E161)</f>
        <v>129346000</v>
      </c>
    </row>
    <row r="7" spans="1:10" x14ac:dyDescent="0.25">
      <c r="E7" s="2" t="s">
        <v>12</v>
      </c>
      <c r="F7" s="2">
        <f>+F4+F5-F6</f>
        <v>14862400</v>
      </c>
    </row>
    <row r="8" spans="1:10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553</v>
      </c>
      <c r="G8" s="412" t="s">
        <v>2</v>
      </c>
    </row>
    <row r="9" spans="1:10" x14ac:dyDescent="0.25">
      <c r="A9" s="412"/>
      <c r="B9" s="412"/>
      <c r="C9" s="412"/>
      <c r="D9" s="263" t="s">
        <v>6</v>
      </c>
      <c r="E9" s="263" t="s">
        <v>7</v>
      </c>
      <c r="F9" s="415"/>
      <c r="G9" s="412"/>
      <c r="J9" t="s">
        <v>222</v>
      </c>
    </row>
    <row r="10" spans="1:10" ht="25.5" customHeight="1" x14ac:dyDescent="0.25">
      <c r="A10" s="15">
        <v>1</v>
      </c>
      <c r="B10" s="280">
        <v>44985</v>
      </c>
      <c r="C10" s="334" t="s">
        <v>1472</v>
      </c>
      <c r="D10" s="259"/>
      <c r="E10" s="259">
        <v>4300000</v>
      </c>
      <c r="F10" s="259">
        <f>-E10</f>
        <v>-4300000</v>
      </c>
      <c r="G10" s="260"/>
    </row>
    <row r="11" spans="1:10" ht="25.5" customHeight="1" x14ac:dyDescent="0.25">
      <c r="A11" s="15">
        <v>2</v>
      </c>
      <c r="B11" s="280">
        <v>45013</v>
      </c>
      <c r="C11" s="334" t="s">
        <v>1472</v>
      </c>
      <c r="D11" s="259"/>
      <c r="E11" s="259">
        <v>44400000</v>
      </c>
      <c r="F11" s="259">
        <f>F10+D11-E11</f>
        <v>-48700000</v>
      </c>
      <c r="G11" s="260"/>
    </row>
    <row r="12" spans="1:10" ht="25.5" customHeight="1" x14ac:dyDescent="0.25">
      <c r="A12" s="15">
        <v>3</v>
      </c>
      <c r="B12" s="280">
        <v>45016</v>
      </c>
      <c r="C12" s="334" t="s">
        <v>1536</v>
      </c>
      <c r="D12" s="259"/>
      <c r="E12" s="259">
        <v>4690000</v>
      </c>
      <c r="F12" s="259">
        <f t="shared" ref="F12:F19" si="0">F11+D12-E12</f>
        <v>-53390000</v>
      </c>
      <c r="G12" s="260"/>
    </row>
    <row r="13" spans="1:10" ht="25.5" customHeight="1" x14ac:dyDescent="0.25">
      <c r="A13" s="15">
        <v>4</v>
      </c>
      <c r="B13" s="280">
        <v>45098</v>
      </c>
      <c r="C13" s="334" t="s">
        <v>1495</v>
      </c>
      <c r="D13" s="259">
        <v>4300000</v>
      </c>
      <c r="E13" s="259"/>
      <c r="F13" s="259">
        <f t="shared" si="0"/>
        <v>-49090000</v>
      </c>
      <c r="G13" s="260"/>
    </row>
    <row r="14" spans="1:10" ht="25.5" customHeight="1" x14ac:dyDescent="0.25">
      <c r="A14" s="15">
        <v>5</v>
      </c>
      <c r="B14" s="280">
        <v>45127</v>
      </c>
      <c r="C14" s="334" t="s">
        <v>1537</v>
      </c>
      <c r="D14" s="259">
        <v>44400000</v>
      </c>
      <c r="E14" s="259"/>
      <c r="F14" s="259">
        <f t="shared" si="0"/>
        <v>-4690000</v>
      </c>
      <c r="G14" s="260"/>
    </row>
    <row r="15" spans="1:10" ht="25.5" customHeight="1" x14ac:dyDescent="0.25">
      <c r="A15" s="15">
        <v>6</v>
      </c>
      <c r="B15" s="280">
        <v>45163</v>
      </c>
      <c r="C15" s="334" t="s">
        <v>1465</v>
      </c>
      <c r="D15" s="259">
        <v>4690000</v>
      </c>
      <c r="E15" s="259"/>
      <c r="F15" s="259">
        <f t="shared" si="0"/>
        <v>0</v>
      </c>
      <c r="G15" s="260"/>
    </row>
    <row r="16" spans="1:10" ht="25.5" customHeight="1" x14ac:dyDescent="0.25">
      <c r="A16" s="15">
        <v>7</v>
      </c>
      <c r="B16" s="280">
        <v>45168</v>
      </c>
      <c r="C16" s="334" t="s">
        <v>1620</v>
      </c>
      <c r="D16" s="259"/>
      <c r="E16" s="259">
        <v>31200000</v>
      </c>
      <c r="F16" s="259">
        <f t="shared" si="0"/>
        <v>-31200000</v>
      </c>
      <c r="G16" s="260"/>
    </row>
    <row r="17" spans="1:8" ht="33" customHeight="1" x14ac:dyDescent="0.25">
      <c r="A17" s="15">
        <v>8</v>
      </c>
      <c r="B17" s="280">
        <v>45199</v>
      </c>
      <c r="C17" s="334" t="s">
        <v>1652</v>
      </c>
      <c r="D17" s="259"/>
      <c r="E17" s="259">
        <v>26500000</v>
      </c>
      <c r="F17" s="259">
        <f t="shared" si="0"/>
        <v>-57700000</v>
      </c>
      <c r="G17" s="260"/>
      <c r="H17" s="229"/>
    </row>
    <row r="18" spans="1:8" ht="33" customHeight="1" x14ac:dyDescent="0.25">
      <c r="A18" s="15">
        <v>9</v>
      </c>
      <c r="B18" s="280">
        <v>45211</v>
      </c>
      <c r="C18" s="334" t="s">
        <v>1619</v>
      </c>
      <c r="D18" s="259">
        <v>31200000</v>
      </c>
      <c r="E18" s="259"/>
      <c r="F18" s="259">
        <f t="shared" si="0"/>
        <v>-26500000</v>
      </c>
      <c r="G18" s="260"/>
    </row>
    <row r="19" spans="1:8" ht="33" customHeight="1" x14ac:dyDescent="0.25">
      <c r="A19" s="15">
        <v>10</v>
      </c>
      <c r="B19" s="280">
        <v>45238</v>
      </c>
      <c r="C19" s="334" t="s">
        <v>1651</v>
      </c>
      <c r="D19" s="259">
        <v>26500000</v>
      </c>
      <c r="E19" s="259"/>
      <c r="F19" s="259">
        <f t="shared" si="0"/>
        <v>0</v>
      </c>
      <c r="G19" s="260"/>
    </row>
    <row r="20" spans="1:8" ht="33" customHeight="1" x14ac:dyDescent="0.25">
      <c r="A20" s="15">
        <v>11</v>
      </c>
      <c r="B20" s="280">
        <v>45351</v>
      </c>
      <c r="C20" s="334" t="s">
        <v>1735</v>
      </c>
      <c r="D20" s="259"/>
      <c r="E20" s="259">
        <v>4300000</v>
      </c>
      <c r="F20" s="259">
        <f>F19+D20-E20</f>
        <v>-4300000</v>
      </c>
      <c r="G20" s="260"/>
    </row>
    <row r="21" spans="1:8" ht="33" customHeight="1" x14ac:dyDescent="0.25">
      <c r="A21" s="15">
        <v>12</v>
      </c>
      <c r="B21" s="280">
        <v>45470</v>
      </c>
      <c r="C21" s="334" t="s">
        <v>1465</v>
      </c>
      <c r="D21" s="259">
        <v>4300000</v>
      </c>
      <c r="E21" s="259"/>
      <c r="F21" s="259">
        <f>F20+D21-E21</f>
        <v>0</v>
      </c>
      <c r="G21" s="260"/>
    </row>
    <row r="22" spans="1:8" ht="33" customHeight="1" x14ac:dyDescent="0.25">
      <c r="A22" s="15">
        <v>13</v>
      </c>
      <c r="B22" s="280">
        <v>45624</v>
      </c>
      <c r="C22" s="334" t="s">
        <v>1915</v>
      </c>
      <c r="D22" s="259">
        <v>13956000</v>
      </c>
      <c r="E22" s="259"/>
      <c r="F22" s="259">
        <f t="shared" ref="F22:F62" si="1">F21+D22-E22</f>
        <v>13956000</v>
      </c>
      <c r="G22" s="260"/>
    </row>
    <row r="23" spans="1:8" ht="33" customHeight="1" x14ac:dyDescent="0.25">
      <c r="A23" s="15">
        <v>14</v>
      </c>
      <c r="B23" s="280">
        <v>45654</v>
      </c>
      <c r="C23" s="334" t="s">
        <v>1939</v>
      </c>
      <c r="D23" s="259">
        <v>4644000</v>
      </c>
      <c r="E23" s="259"/>
      <c r="F23" s="259">
        <f t="shared" si="1"/>
        <v>18600000</v>
      </c>
      <c r="G23" s="260"/>
    </row>
    <row r="24" spans="1:8" ht="33" customHeight="1" x14ac:dyDescent="0.25">
      <c r="A24" s="15">
        <v>15</v>
      </c>
      <c r="B24" s="280">
        <v>45716</v>
      </c>
      <c r="C24" s="334" t="s">
        <v>1982</v>
      </c>
      <c r="D24" s="259">
        <v>3240000</v>
      </c>
      <c r="E24" s="259"/>
      <c r="F24" s="259">
        <f t="shared" si="1"/>
        <v>21840000</v>
      </c>
      <c r="G24" s="260"/>
    </row>
    <row r="25" spans="1:8" ht="33" customHeight="1" x14ac:dyDescent="0.25">
      <c r="A25" s="15">
        <v>16</v>
      </c>
      <c r="B25" s="280">
        <v>45748</v>
      </c>
      <c r="C25" s="334" t="s">
        <v>1996</v>
      </c>
      <c r="D25" s="259"/>
      <c r="E25" s="259">
        <v>4400000</v>
      </c>
      <c r="F25" s="259">
        <f t="shared" si="1"/>
        <v>17440000</v>
      </c>
      <c r="G25" s="260" t="s">
        <v>1893</v>
      </c>
    </row>
    <row r="26" spans="1:8" ht="33" customHeight="1" x14ac:dyDescent="0.25">
      <c r="A26" s="15">
        <v>17</v>
      </c>
      <c r="B26" s="280">
        <v>45750</v>
      </c>
      <c r="C26" s="334" t="s">
        <v>1996</v>
      </c>
      <c r="D26" s="259"/>
      <c r="E26" s="259">
        <v>9556000</v>
      </c>
      <c r="F26" s="259">
        <f t="shared" si="1"/>
        <v>7884000</v>
      </c>
      <c r="G26" s="260"/>
    </row>
    <row r="27" spans="1:8" ht="33" customHeight="1" x14ac:dyDescent="0.25">
      <c r="A27" s="15">
        <v>18</v>
      </c>
      <c r="B27" s="280">
        <v>45776</v>
      </c>
      <c r="C27" s="334" t="s">
        <v>2015</v>
      </c>
      <c r="D27" s="259">
        <v>6978400</v>
      </c>
      <c r="E27" s="259"/>
      <c r="F27" s="259">
        <f t="shared" si="1"/>
        <v>14862400</v>
      </c>
      <c r="G27" s="260"/>
    </row>
    <row r="28" spans="1:8" ht="33" customHeight="1" x14ac:dyDescent="0.25">
      <c r="A28" s="15">
        <v>19</v>
      </c>
      <c r="B28" s="280"/>
      <c r="C28" s="317"/>
      <c r="D28" s="259"/>
      <c r="E28" s="259"/>
      <c r="F28" s="259">
        <f t="shared" si="1"/>
        <v>14862400</v>
      </c>
      <c r="G28" s="260"/>
    </row>
    <row r="29" spans="1:8" ht="33" customHeight="1" x14ac:dyDescent="0.25">
      <c r="A29" s="15">
        <v>20</v>
      </c>
      <c r="B29" s="280"/>
      <c r="C29" s="317"/>
      <c r="D29" s="259"/>
      <c r="E29" s="259"/>
      <c r="F29" s="259">
        <f t="shared" si="1"/>
        <v>14862400</v>
      </c>
      <c r="G29" s="260"/>
    </row>
    <row r="30" spans="1:8" ht="33" customHeight="1" x14ac:dyDescent="0.25">
      <c r="A30" s="15">
        <v>21</v>
      </c>
      <c r="B30" s="280"/>
      <c r="C30" s="317"/>
      <c r="D30" s="259"/>
      <c r="E30" s="259"/>
      <c r="F30" s="259">
        <f t="shared" si="1"/>
        <v>14862400</v>
      </c>
      <c r="G30" s="260"/>
    </row>
    <row r="31" spans="1:8" ht="33" customHeight="1" x14ac:dyDescent="0.25">
      <c r="A31" s="15">
        <v>22</v>
      </c>
      <c r="B31" s="280"/>
      <c r="C31" s="317"/>
      <c r="D31" s="259"/>
      <c r="E31" s="259"/>
      <c r="F31" s="259">
        <f t="shared" si="1"/>
        <v>14862400</v>
      </c>
      <c r="G31" s="260"/>
    </row>
    <row r="32" spans="1:8" ht="33" customHeight="1" x14ac:dyDescent="0.25">
      <c r="A32" s="15">
        <v>23</v>
      </c>
      <c r="B32" s="280"/>
      <c r="C32" s="317"/>
      <c r="D32" s="259"/>
      <c r="E32" s="259"/>
      <c r="F32" s="259">
        <f t="shared" si="1"/>
        <v>14862400</v>
      </c>
      <c r="G32" s="260"/>
    </row>
    <row r="33" spans="1:7" ht="33" customHeight="1" x14ac:dyDescent="0.25">
      <c r="A33" s="15">
        <v>24</v>
      </c>
      <c r="B33" s="280"/>
      <c r="C33" s="317"/>
      <c r="D33" s="259"/>
      <c r="E33" s="259"/>
      <c r="F33" s="259">
        <f t="shared" si="1"/>
        <v>14862400</v>
      </c>
      <c r="G33" s="260"/>
    </row>
    <row r="34" spans="1:7" ht="33" customHeight="1" x14ac:dyDescent="0.25">
      <c r="A34" s="15">
        <v>25</v>
      </c>
      <c r="B34" s="280"/>
      <c r="C34" s="317"/>
      <c r="D34" s="259"/>
      <c r="E34" s="259"/>
      <c r="F34" s="259">
        <f t="shared" si="1"/>
        <v>14862400</v>
      </c>
      <c r="G34" s="260"/>
    </row>
    <row r="35" spans="1:7" ht="33" customHeight="1" x14ac:dyDescent="0.25">
      <c r="A35" s="15">
        <v>26</v>
      </c>
      <c r="B35" s="280"/>
      <c r="C35" s="317"/>
      <c r="D35" s="259"/>
      <c r="E35" s="259"/>
      <c r="F35" s="259">
        <f t="shared" si="1"/>
        <v>14862400</v>
      </c>
      <c r="G35" s="260"/>
    </row>
    <row r="36" spans="1:7" ht="33" customHeight="1" x14ac:dyDescent="0.25">
      <c r="A36" s="15">
        <v>27</v>
      </c>
      <c r="B36" s="280"/>
      <c r="C36" s="317"/>
      <c r="D36" s="259"/>
      <c r="E36" s="259"/>
      <c r="F36" s="259">
        <f t="shared" si="1"/>
        <v>14862400</v>
      </c>
      <c r="G36" s="260"/>
    </row>
    <row r="37" spans="1:7" ht="33" customHeight="1" x14ac:dyDescent="0.25">
      <c r="A37" s="15">
        <v>28</v>
      </c>
      <c r="B37" s="280"/>
      <c r="C37" s="317"/>
      <c r="D37" s="259"/>
      <c r="E37" s="259"/>
      <c r="F37" s="259">
        <f t="shared" si="1"/>
        <v>14862400</v>
      </c>
      <c r="G37" s="260"/>
    </row>
    <row r="38" spans="1:7" ht="33" customHeight="1" x14ac:dyDescent="0.25">
      <c r="A38" s="15">
        <v>29</v>
      </c>
      <c r="B38" s="280"/>
      <c r="C38" s="317"/>
      <c r="D38" s="259"/>
      <c r="E38" s="259"/>
      <c r="F38" s="259">
        <f t="shared" si="1"/>
        <v>14862400</v>
      </c>
      <c r="G38" s="260"/>
    </row>
    <row r="39" spans="1:7" ht="33" customHeight="1" x14ac:dyDescent="0.25">
      <c r="A39" s="15">
        <v>30</v>
      </c>
      <c r="B39" s="280"/>
      <c r="C39" s="317"/>
      <c r="D39" s="259"/>
      <c r="E39" s="259"/>
      <c r="F39" s="259">
        <f t="shared" si="1"/>
        <v>14862400</v>
      </c>
      <c r="G39" s="260"/>
    </row>
    <row r="40" spans="1:7" ht="33" customHeight="1" x14ac:dyDescent="0.25">
      <c r="A40" s="15">
        <v>31</v>
      </c>
      <c r="B40" s="280"/>
      <c r="C40" s="317"/>
      <c r="D40" s="259"/>
      <c r="E40" s="259"/>
      <c r="F40" s="259">
        <f t="shared" si="1"/>
        <v>14862400</v>
      </c>
      <c r="G40" s="260"/>
    </row>
    <row r="41" spans="1:7" ht="33" customHeight="1" x14ac:dyDescent="0.25">
      <c r="A41" s="15">
        <v>32</v>
      </c>
      <c r="B41" s="280"/>
      <c r="C41" s="317"/>
      <c r="D41" s="259"/>
      <c r="E41" s="259"/>
      <c r="F41" s="259">
        <f t="shared" si="1"/>
        <v>14862400</v>
      </c>
      <c r="G41" s="260"/>
    </row>
    <row r="42" spans="1:7" ht="33" customHeight="1" x14ac:dyDescent="0.25">
      <c r="A42" s="15">
        <v>33</v>
      </c>
      <c r="B42" s="280"/>
      <c r="C42" s="317"/>
      <c r="D42" s="259"/>
      <c r="E42" s="259"/>
      <c r="F42" s="259">
        <f t="shared" si="1"/>
        <v>14862400</v>
      </c>
      <c r="G42" s="260"/>
    </row>
    <row r="43" spans="1:7" ht="33" customHeight="1" x14ac:dyDescent="0.25">
      <c r="A43" s="15">
        <v>34</v>
      </c>
      <c r="B43" s="280"/>
      <c r="C43" s="317"/>
      <c r="D43" s="259"/>
      <c r="E43" s="259"/>
      <c r="F43" s="259">
        <f t="shared" si="1"/>
        <v>14862400</v>
      </c>
      <c r="G43" s="260"/>
    </row>
    <row r="44" spans="1:7" ht="33" customHeight="1" x14ac:dyDescent="0.25">
      <c r="A44" s="15">
        <v>35</v>
      </c>
      <c r="B44" s="280"/>
      <c r="C44" s="317"/>
      <c r="D44" s="259"/>
      <c r="E44" s="259"/>
      <c r="F44" s="259">
        <f t="shared" si="1"/>
        <v>14862400</v>
      </c>
      <c r="G44" s="260"/>
    </row>
    <row r="45" spans="1:7" ht="33" customHeight="1" x14ac:dyDescent="0.25">
      <c r="A45" s="15">
        <v>36</v>
      </c>
      <c r="B45" s="280"/>
      <c r="C45" s="317"/>
      <c r="D45" s="259"/>
      <c r="E45" s="259"/>
      <c r="F45" s="259">
        <f t="shared" si="1"/>
        <v>14862400</v>
      </c>
      <c r="G45" s="260"/>
    </row>
    <row r="46" spans="1:7" ht="33" customHeight="1" x14ac:dyDescent="0.25">
      <c r="A46" s="15">
        <v>37</v>
      </c>
      <c r="B46" s="280"/>
      <c r="C46" s="317"/>
      <c r="D46" s="259"/>
      <c r="E46" s="259"/>
      <c r="F46" s="259">
        <f t="shared" si="1"/>
        <v>14862400</v>
      </c>
      <c r="G46" s="260"/>
    </row>
    <row r="47" spans="1:7" ht="33" customHeight="1" x14ac:dyDescent="0.25">
      <c r="A47" s="15">
        <v>38</v>
      </c>
      <c r="B47" s="280"/>
      <c r="C47" s="317"/>
      <c r="D47" s="259"/>
      <c r="E47" s="259"/>
      <c r="F47" s="259">
        <f t="shared" si="1"/>
        <v>14862400</v>
      </c>
      <c r="G47" s="260"/>
    </row>
    <row r="48" spans="1:7" ht="33" customHeight="1" x14ac:dyDescent="0.25">
      <c r="A48" s="15">
        <v>39</v>
      </c>
      <c r="B48" s="280"/>
      <c r="C48" s="317"/>
      <c r="D48" s="259"/>
      <c r="E48" s="259"/>
      <c r="F48" s="259">
        <f t="shared" si="1"/>
        <v>14862400</v>
      </c>
      <c r="G48" s="260"/>
    </row>
    <row r="49" spans="1:7" ht="33" customHeight="1" x14ac:dyDescent="0.25">
      <c r="A49" s="15">
        <v>40</v>
      </c>
      <c r="B49" s="280"/>
      <c r="C49" s="317"/>
      <c r="D49" s="259"/>
      <c r="E49" s="259"/>
      <c r="F49" s="259">
        <f t="shared" si="1"/>
        <v>14862400</v>
      </c>
      <c r="G49" s="260"/>
    </row>
    <row r="50" spans="1:7" ht="33" customHeight="1" x14ac:dyDescent="0.25">
      <c r="A50" s="15">
        <v>41</v>
      </c>
      <c r="B50" s="280"/>
      <c r="C50" s="317"/>
      <c r="D50" s="259"/>
      <c r="E50" s="259"/>
      <c r="F50" s="259">
        <f t="shared" si="1"/>
        <v>14862400</v>
      </c>
      <c r="G50" s="260"/>
    </row>
    <row r="51" spans="1:7" ht="33" customHeight="1" x14ac:dyDescent="0.25">
      <c r="A51" s="15">
        <v>42</v>
      </c>
      <c r="B51" s="280"/>
      <c r="C51" s="317"/>
      <c r="D51" s="259"/>
      <c r="E51" s="259"/>
      <c r="F51" s="259">
        <f t="shared" si="1"/>
        <v>14862400</v>
      </c>
      <c r="G51" s="260"/>
    </row>
    <row r="52" spans="1:7" ht="33" customHeight="1" x14ac:dyDescent="0.25">
      <c r="A52" s="15">
        <v>43</v>
      </c>
      <c r="B52" s="280"/>
      <c r="C52" s="317"/>
      <c r="D52" s="259"/>
      <c r="E52" s="259"/>
      <c r="F52" s="259">
        <f t="shared" si="1"/>
        <v>14862400</v>
      </c>
      <c r="G52" s="260"/>
    </row>
    <row r="53" spans="1:7" ht="33" customHeight="1" x14ac:dyDescent="0.25">
      <c r="A53" s="15">
        <v>44</v>
      </c>
      <c r="B53" s="280"/>
      <c r="C53" s="317"/>
      <c r="D53" s="259"/>
      <c r="E53" s="259"/>
      <c r="F53" s="259">
        <f t="shared" si="1"/>
        <v>14862400</v>
      </c>
      <c r="G53" s="260"/>
    </row>
    <row r="54" spans="1:7" ht="33" customHeight="1" x14ac:dyDescent="0.25">
      <c r="A54" s="15">
        <v>45</v>
      </c>
      <c r="B54" s="280"/>
      <c r="C54" s="317"/>
      <c r="D54" s="259"/>
      <c r="E54" s="259"/>
      <c r="F54" s="259">
        <f t="shared" si="1"/>
        <v>14862400</v>
      </c>
      <c r="G54" s="260"/>
    </row>
    <row r="55" spans="1:7" ht="33" customHeight="1" x14ac:dyDescent="0.25">
      <c r="A55" s="15">
        <v>46</v>
      </c>
      <c r="B55" s="280"/>
      <c r="C55" s="317"/>
      <c r="D55" s="259"/>
      <c r="E55" s="259"/>
      <c r="F55" s="259">
        <f t="shared" si="1"/>
        <v>14862400</v>
      </c>
      <c r="G55" s="260"/>
    </row>
    <row r="56" spans="1:7" ht="33" customHeight="1" x14ac:dyDescent="0.25">
      <c r="A56" s="15">
        <v>47</v>
      </c>
      <c r="B56" s="280"/>
      <c r="C56" s="317"/>
      <c r="D56" s="259"/>
      <c r="E56" s="259"/>
      <c r="F56" s="259">
        <f t="shared" si="1"/>
        <v>14862400</v>
      </c>
      <c r="G56" s="260"/>
    </row>
    <row r="57" spans="1:7" ht="33" customHeight="1" x14ac:dyDescent="0.25">
      <c r="A57" s="15">
        <v>48</v>
      </c>
      <c r="B57" s="280"/>
      <c r="C57" s="317"/>
      <c r="D57" s="259"/>
      <c r="E57" s="259"/>
      <c r="F57" s="259">
        <f t="shared" si="1"/>
        <v>14862400</v>
      </c>
      <c r="G57" s="260"/>
    </row>
    <row r="58" spans="1:7" ht="33" customHeight="1" x14ac:dyDescent="0.25">
      <c r="A58" s="15">
        <v>49</v>
      </c>
      <c r="B58" s="280"/>
      <c r="C58" s="317"/>
      <c r="D58" s="259"/>
      <c r="E58" s="259"/>
      <c r="F58" s="259">
        <f t="shared" si="1"/>
        <v>14862400</v>
      </c>
      <c r="G58" s="260"/>
    </row>
    <row r="59" spans="1:7" ht="33" customHeight="1" x14ac:dyDescent="0.25">
      <c r="A59" s="15">
        <v>50</v>
      </c>
      <c r="B59" s="280"/>
      <c r="C59" s="317"/>
      <c r="D59" s="259"/>
      <c r="E59" s="259"/>
      <c r="F59" s="259">
        <f t="shared" si="1"/>
        <v>14862400</v>
      </c>
      <c r="G59" s="260"/>
    </row>
    <row r="60" spans="1:7" ht="33" customHeight="1" x14ac:dyDescent="0.25">
      <c r="A60" s="15">
        <v>51</v>
      </c>
      <c r="B60" s="280"/>
      <c r="C60" s="317"/>
      <c r="D60" s="259"/>
      <c r="E60" s="259"/>
      <c r="F60" s="259">
        <f t="shared" si="1"/>
        <v>14862400</v>
      </c>
      <c r="G60" s="260"/>
    </row>
    <row r="61" spans="1:7" ht="33" customHeight="1" x14ac:dyDescent="0.25">
      <c r="A61" s="15">
        <v>52</v>
      </c>
      <c r="B61" s="280"/>
      <c r="C61" s="317"/>
      <c r="D61" s="259"/>
      <c r="E61" s="259"/>
      <c r="F61" s="259">
        <f t="shared" si="1"/>
        <v>14862400</v>
      </c>
      <c r="G61" s="260"/>
    </row>
    <row r="62" spans="1:7" ht="33" customHeight="1" x14ac:dyDescent="0.25">
      <c r="A62" s="15">
        <v>53</v>
      </c>
      <c r="B62" s="280"/>
      <c r="C62" s="317"/>
      <c r="D62" s="259"/>
      <c r="E62" s="259"/>
      <c r="F62" s="259">
        <f t="shared" si="1"/>
        <v>14862400</v>
      </c>
      <c r="G62" s="260"/>
    </row>
    <row r="63" spans="1:7" ht="33" customHeight="1" x14ac:dyDescent="0.25">
      <c r="A63" s="15">
        <v>54</v>
      </c>
      <c r="B63" s="280"/>
      <c r="C63" s="317"/>
      <c r="D63" s="259"/>
      <c r="E63" s="259"/>
      <c r="F63" s="259"/>
      <c r="G63" s="260"/>
    </row>
    <row r="64" spans="1:7" ht="33" customHeight="1" x14ac:dyDescent="0.25">
      <c r="A64" s="15">
        <v>55</v>
      </c>
      <c r="B64" s="280"/>
      <c r="C64" s="317"/>
      <c r="D64" s="259"/>
      <c r="E64" s="259"/>
      <c r="F64" s="259"/>
      <c r="G64" s="260"/>
    </row>
    <row r="65" spans="1:7" ht="33" customHeight="1" x14ac:dyDescent="0.25">
      <c r="A65" s="15">
        <v>56</v>
      </c>
      <c r="B65" s="280"/>
      <c r="C65" s="317"/>
      <c r="D65" s="259"/>
      <c r="E65" s="259"/>
      <c r="F65" s="259"/>
      <c r="G65" s="260"/>
    </row>
    <row r="66" spans="1:7" ht="33" customHeight="1" x14ac:dyDescent="0.25">
      <c r="A66" s="15">
        <v>57</v>
      </c>
      <c r="B66" s="280"/>
      <c r="C66" s="317"/>
      <c r="D66" s="259"/>
      <c r="E66" s="259"/>
      <c r="F66" s="259"/>
      <c r="G66" s="260"/>
    </row>
    <row r="67" spans="1:7" ht="33" customHeight="1" x14ac:dyDescent="0.25">
      <c r="A67" s="15">
        <v>58</v>
      </c>
      <c r="B67" s="280"/>
      <c r="C67" s="317"/>
      <c r="D67" s="259"/>
      <c r="E67" s="259"/>
      <c r="F67" s="259"/>
      <c r="G67" s="260"/>
    </row>
    <row r="68" spans="1:7" ht="33" customHeight="1" x14ac:dyDescent="0.25">
      <c r="A68" s="15">
        <v>59</v>
      </c>
      <c r="B68" s="280"/>
      <c r="C68" s="317"/>
      <c r="D68" s="259"/>
      <c r="E68" s="259"/>
      <c r="F68" s="259"/>
      <c r="G68" s="260"/>
    </row>
    <row r="69" spans="1:7" ht="33" customHeight="1" x14ac:dyDescent="0.25">
      <c r="A69" s="15">
        <v>60</v>
      </c>
      <c r="B69" s="280"/>
      <c r="C69" s="317"/>
      <c r="D69" s="259"/>
      <c r="E69" s="259"/>
      <c r="F69" s="259"/>
      <c r="G69" s="260"/>
    </row>
    <row r="70" spans="1:7" ht="33" customHeight="1" x14ac:dyDescent="0.25">
      <c r="A70" s="15">
        <v>61</v>
      </c>
      <c r="B70" s="280"/>
      <c r="C70" s="317"/>
      <c r="D70" s="259"/>
      <c r="E70" s="259"/>
      <c r="F70" s="259"/>
      <c r="G70" s="260"/>
    </row>
    <row r="71" spans="1:7" ht="33" customHeight="1" x14ac:dyDescent="0.25">
      <c r="A71" s="15">
        <v>62</v>
      </c>
      <c r="B71" s="280"/>
      <c r="C71" s="317"/>
      <c r="D71" s="259"/>
      <c r="E71" s="259"/>
      <c r="F71" s="259"/>
      <c r="G71" s="260"/>
    </row>
    <row r="72" spans="1:7" ht="33" customHeight="1" x14ac:dyDescent="0.25">
      <c r="A72" s="15">
        <v>63</v>
      </c>
      <c r="B72" s="280"/>
      <c r="C72" s="317"/>
      <c r="D72" s="259"/>
      <c r="E72" s="259"/>
      <c r="F72" s="259"/>
      <c r="G72" s="260"/>
    </row>
    <row r="73" spans="1:7" ht="33" customHeight="1" x14ac:dyDescent="0.25">
      <c r="A73" s="15">
        <v>64</v>
      </c>
      <c r="B73" s="280"/>
      <c r="C73" s="317"/>
      <c r="D73" s="259"/>
      <c r="E73" s="259"/>
      <c r="F73" s="259"/>
      <c r="G73" s="260"/>
    </row>
    <row r="74" spans="1:7" ht="33" customHeight="1" x14ac:dyDescent="0.25">
      <c r="A74" s="15">
        <v>65</v>
      </c>
      <c r="B74" s="280"/>
      <c r="C74" s="317"/>
      <c r="D74" s="259"/>
      <c r="E74" s="259"/>
      <c r="F74" s="259"/>
      <c r="G74" s="260"/>
    </row>
    <row r="75" spans="1:7" ht="33" customHeight="1" x14ac:dyDescent="0.25">
      <c r="A75" s="15">
        <v>66</v>
      </c>
      <c r="B75" s="280"/>
      <c r="C75" s="317"/>
      <c r="D75" s="259"/>
      <c r="E75" s="259"/>
      <c r="F75" s="259"/>
      <c r="G75" s="260"/>
    </row>
    <row r="76" spans="1:7" ht="33" customHeight="1" x14ac:dyDescent="0.25">
      <c r="A76" s="15">
        <v>67</v>
      </c>
      <c r="B76" s="280"/>
      <c r="C76" s="317"/>
      <c r="D76" s="259"/>
      <c r="E76" s="259"/>
      <c r="F76" s="259"/>
      <c r="G76" s="260"/>
    </row>
    <row r="77" spans="1:7" ht="33" customHeight="1" x14ac:dyDescent="0.25">
      <c r="A77" s="15">
        <v>68</v>
      </c>
      <c r="B77" s="280"/>
      <c r="C77" s="317"/>
      <c r="D77" s="259"/>
      <c r="E77" s="259"/>
      <c r="F77" s="259"/>
      <c r="G77" s="260"/>
    </row>
    <row r="78" spans="1:7" ht="33" customHeight="1" x14ac:dyDescent="0.25">
      <c r="A78" s="15">
        <v>69</v>
      </c>
      <c r="B78" s="280"/>
      <c r="C78" s="317"/>
      <c r="D78" s="259"/>
      <c r="E78" s="259"/>
      <c r="F78" s="259"/>
      <c r="G78" s="260"/>
    </row>
    <row r="79" spans="1:7" ht="33" customHeight="1" x14ac:dyDescent="0.25">
      <c r="A79" s="15">
        <v>70</v>
      </c>
      <c r="B79" s="280"/>
      <c r="C79" s="317"/>
      <c r="D79" s="259"/>
      <c r="E79" s="259"/>
      <c r="F79" s="259"/>
      <c r="G79" s="260"/>
    </row>
    <row r="80" spans="1:7" ht="33" customHeight="1" x14ac:dyDescent="0.25">
      <c r="A80" s="15">
        <v>71</v>
      </c>
      <c r="B80" s="280"/>
      <c r="C80" s="317"/>
      <c r="D80" s="259"/>
      <c r="E80" s="259"/>
      <c r="F80" s="259"/>
      <c r="G80" s="260"/>
    </row>
    <row r="81" spans="1:7" ht="33" customHeight="1" x14ac:dyDescent="0.25">
      <c r="A81" s="15">
        <v>72</v>
      </c>
      <c r="B81" s="280"/>
      <c r="C81" s="317"/>
      <c r="D81" s="259"/>
      <c r="E81" s="259"/>
      <c r="F81" s="259"/>
      <c r="G81" s="260"/>
    </row>
    <row r="82" spans="1:7" ht="33" customHeight="1" x14ac:dyDescent="0.25">
      <c r="A82" s="15">
        <v>73</v>
      </c>
      <c r="B82" s="280"/>
      <c r="C82" s="317"/>
      <c r="D82" s="259"/>
      <c r="E82" s="259"/>
      <c r="F82" s="259"/>
      <c r="G82" s="260"/>
    </row>
    <row r="83" spans="1:7" ht="33" customHeight="1" x14ac:dyDescent="0.25">
      <c r="A83" s="15">
        <v>74</v>
      </c>
      <c r="B83" s="280"/>
      <c r="C83" s="317"/>
      <c r="D83" s="259"/>
      <c r="E83" s="259"/>
      <c r="F83" s="259"/>
      <c r="G83" s="260"/>
    </row>
    <row r="84" spans="1:7" ht="33" customHeight="1" x14ac:dyDescent="0.25">
      <c r="A84" s="15">
        <v>75</v>
      </c>
      <c r="B84" s="280"/>
      <c r="C84" s="317"/>
      <c r="D84" s="259"/>
      <c r="E84" s="259"/>
      <c r="F84" s="259"/>
      <c r="G84" s="260"/>
    </row>
    <row r="85" spans="1:7" ht="33" customHeight="1" x14ac:dyDescent="0.25">
      <c r="A85" s="15">
        <v>76</v>
      </c>
      <c r="B85" s="280"/>
      <c r="C85" s="317"/>
      <c r="D85" s="259"/>
      <c r="E85" s="259"/>
      <c r="F85" s="259"/>
      <c r="G85" s="260"/>
    </row>
    <row r="86" spans="1:7" ht="33" customHeight="1" x14ac:dyDescent="0.25">
      <c r="A86" s="15">
        <v>77</v>
      </c>
      <c r="B86" s="280"/>
      <c r="C86" s="317"/>
      <c r="D86" s="259"/>
      <c r="E86" s="259"/>
      <c r="F86" s="259"/>
      <c r="G86" s="260"/>
    </row>
    <row r="87" spans="1:7" ht="33" customHeight="1" x14ac:dyDescent="0.25">
      <c r="A87" s="15">
        <v>78</v>
      </c>
      <c r="B87" s="280"/>
      <c r="C87" s="317"/>
      <c r="D87" s="259"/>
      <c r="E87" s="259"/>
      <c r="F87" s="259"/>
      <c r="G87" s="260"/>
    </row>
    <row r="88" spans="1:7" ht="33" customHeight="1" x14ac:dyDescent="0.25">
      <c r="A88" s="15">
        <v>79</v>
      </c>
      <c r="B88" s="280"/>
      <c r="C88" s="317"/>
      <c r="D88" s="259"/>
      <c r="E88" s="259"/>
      <c r="F88" s="259"/>
      <c r="G88" s="260"/>
    </row>
    <row r="89" spans="1:7" ht="33" customHeight="1" x14ac:dyDescent="0.25">
      <c r="A89" s="15">
        <v>80</v>
      </c>
      <c r="B89" s="280"/>
      <c r="C89" s="317"/>
      <c r="D89" s="259"/>
      <c r="E89" s="259"/>
      <c r="F89" s="259"/>
      <c r="G89" s="260"/>
    </row>
    <row r="90" spans="1:7" ht="33" customHeight="1" x14ac:dyDescent="0.25">
      <c r="A90" s="15">
        <v>81</v>
      </c>
      <c r="B90" s="280"/>
      <c r="C90" s="317"/>
      <c r="D90" s="259"/>
      <c r="E90" s="259"/>
      <c r="F90" s="259"/>
      <c r="G90" s="260"/>
    </row>
    <row r="91" spans="1:7" ht="33" customHeight="1" x14ac:dyDescent="0.25">
      <c r="A91" s="15">
        <v>82</v>
      </c>
      <c r="B91" s="280"/>
      <c r="C91" s="317"/>
      <c r="D91" s="259"/>
      <c r="E91" s="259"/>
      <c r="F91" s="259"/>
      <c r="G91" s="260"/>
    </row>
    <row r="92" spans="1:7" ht="33" customHeight="1" x14ac:dyDescent="0.25">
      <c r="A92" s="15">
        <v>83</v>
      </c>
      <c r="B92" s="280"/>
      <c r="C92" s="317"/>
      <c r="D92" s="259"/>
      <c r="E92" s="259"/>
      <c r="F92" s="259"/>
      <c r="G92" s="260"/>
    </row>
    <row r="93" spans="1:7" ht="33" customHeight="1" x14ac:dyDescent="0.25">
      <c r="A93" s="15">
        <v>84</v>
      </c>
      <c r="B93" s="280"/>
      <c r="C93" s="317"/>
      <c r="D93" s="259"/>
      <c r="E93" s="259"/>
      <c r="F93" s="259"/>
      <c r="G93" s="260"/>
    </row>
    <row r="94" spans="1:7" ht="33" customHeight="1" x14ac:dyDescent="0.25">
      <c r="A94" s="15">
        <v>85</v>
      </c>
      <c r="B94" s="280"/>
      <c r="C94" s="317"/>
      <c r="D94" s="259"/>
      <c r="E94" s="259"/>
      <c r="F94" s="259"/>
      <c r="G94" s="260"/>
    </row>
    <row r="95" spans="1:7" ht="33" customHeight="1" x14ac:dyDescent="0.25">
      <c r="A95" s="15">
        <v>86</v>
      </c>
      <c r="B95" s="280"/>
      <c r="C95" s="317"/>
      <c r="D95" s="259"/>
      <c r="E95" s="259"/>
      <c r="F95" s="259"/>
      <c r="G95" s="260"/>
    </row>
    <row r="96" spans="1:7" ht="33" customHeight="1" x14ac:dyDescent="0.25">
      <c r="A96" s="15">
        <v>87</v>
      </c>
      <c r="B96" s="280"/>
      <c r="C96" s="317"/>
      <c r="D96" s="259"/>
      <c r="E96" s="259"/>
      <c r="F96" s="259"/>
      <c r="G96" s="260"/>
    </row>
    <row r="97" spans="1:7" ht="33" customHeight="1" x14ac:dyDescent="0.25">
      <c r="A97" s="15">
        <v>88</v>
      </c>
      <c r="B97" s="280"/>
      <c r="C97" s="317"/>
      <c r="D97" s="259"/>
      <c r="E97" s="259"/>
      <c r="F97" s="259"/>
      <c r="G97" s="260"/>
    </row>
    <row r="98" spans="1:7" ht="33" customHeight="1" x14ac:dyDescent="0.25">
      <c r="A98" s="15">
        <v>89</v>
      </c>
      <c r="B98" s="280"/>
      <c r="C98" s="317"/>
      <c r="D98" s="259"/>
      <c r="E98" s="259"/>
      <c r="F98" s="259"/>
      <c r="G98" s="260"/>
    </row>
    <row r="99" spans="1:7" ht="33" customHeight="1" x14ac:dyDescent="0.25">
      <c r="A99" s="15">
        <v>90</v>
      </c>
      <c r="B99" s="280"/>
      <c r="C99" s="317"/>
      <c r="D99" s="259"/>
      <c r="E99" s="259"/>
      <c r="F99" s="259"/>
      <c r="G99" s="260"/>
    </row>
    <row r="100" spans="1:7" ht="33" customHeight="1" x14ac:dyDescent="0.25">
      <c r="A100" s="15">
        <v>91</v>
      </c>
      <c r="B100" s="280"/>
      <c r="C100" s="317"/>
      <c r="D100" s="259"/>
      <c r="E100" s="259"/>
      <c r="F100" s="259"/>
      <c r="G100" s="260"/>
    </row>
    <row r="101" spans="1:7" ht="33" customHeight="1" x14ac:dyDescent="0.25">
      <c r="A101" s="15">
        <v>92</v>
      </c>
      <c r="B101" s="280"/>
      <c r="C101" s="317"/>
      <c r="D101" s="259"/>
      <c r="E101" s="259"/>
      <c r="F101" s="259"/>
      <c r="G101" s="260"/>
    </row>
    <row r="102" spans="1:7" ht="33" customHeight="1" x14ac:dyDescent="0.25">
      <c r="A102" s="15">
        <v>93</v>
      </c>
      <c r="B102" s="280"/>
      <c r="C102" s="317"/>
      <c r="D102" s="259"/>
      <c r="E102" s="259"/>
      <c r="F102" s="259"/>
      <c r="G102" s="260"/>
    </row>
    <row r="103" spans="1:7" ht="33" customHeight="1" x14ac:dyDescent="0.25">
      <c r="A103" s="15">
        <v>94</v>
      </c>
      <c r="B103" s="280"/>
      <c r="C103" s="317"/>
      <c r="D103" s="259"/>
      <c r="E103" s="259"/>
      <c r="F103" s="259"/>
      <c r="G103" s="260"/>
    </row>
    <row r="104" spans="1:7" ht="33" customHeight="1" x14ac:dyDescent="0.25">
      <c r="A104" s="15">
        <v>95</v>
      </c>
      <c r="B104" s="280"/>
      <c r="C104" s="317"/>
      <c r="D104" s="259"/>
      <c r="E104" s="259"/>
      <c r="F104" s="259"/>
      <c r="G104" s="260"/>
    </row>
    <row r="105" spans="1:7" ht="33" customHeight="1" x14ac:dyDescent="0.25">
      <c r="A105" s="15">
        <v>96</v>
      </c>
      <c r="B105" s="280"/>
      <c r="C105" s="317"/>
      <c r="D105" s="259"/>
      <c r="E105" s="259"/>
      <c r="F105" s="259"/>
      <c r="G105" s="260"/>
    </row>
    <row r="106" spans="1:7" ht="33" customHeight="1" x14ac:dyDescent="0.25">
      <c r="A106" s="15">
        <v>97</v>
      </c>
      <c r="B106" s="280"/>
      <c r="C106" s="317"/>
      <c r="D106" s="259"/>
      <c r="E106" s="259"/>
      <c r="F106" s="259"/>
      <c r="G106" s="260"/>
    </row>
    <row r="107" spans="1:7" ht="33" customHeight="1" x14ac:dyDescent="0.25">
      <c r="A107" s="15">
        <v>98</v>
      </c>
      <c r="B107" s="280"/>
      <c r="C107" s="317"/>
      <c r="D107" s="259"/>
      <c r="E107" s="259"/>
      <c r="F107" s="259"/>
      <c r="G107" s="260"/>
    </row>
    <row r="108" spans="1:7" ht="33" customHeight="1" x14ac:dyDescent="0.25">
      <c r="A108" s="15">
        <v>99</v>
      </c>
      <c r="B108" s="280"/>
      <c r="C108" s="317"/>
      <c r="D108" s="259"/>
      <c r="E108" s="259"/>
      <c r="F108" s="259"/>
      <c r="G108" s="260"/>
    </row>
    <row r="109" spans="1:7" ht="33" customHeight="1" x14ac:dyDescent="0.25">
      <c r="A109" s="15">
        <v>100</v>
      </c>
      <c r="B109" s="280"/>
      <c r="C109" s="317"/>
      <c r="D109" s="259"/>
      <c r="E109" s="259"/>
      <c r="F109" s="259"/>
      <c r="G109" s="260"/>
    </row>
    <row r="110" spans="1:7" ht="33" customHeight="1" x14ac:dyDescent="0.25">
      <c r="A110" s="15">
        <v>101</v>
      </c>
      <c r="B110" s="280"/>
      <c r="C110" s="317"/>
      <c r="D110" s="259"/>
      <c r="E110" s="259"/>
      <c r="F110" s="259"/>
      <c r="G110" s="260"/>
    </row>
    <row r="111" spans="1:7" ht="33" customHeight="1" x14ac:dyDescent="0.25">
      <c r="A111" s="15">
        <v>102</v>
      </c>
      <c r="B111" s="280"/>
      <c r="C111" s="317"/>
      <c r="D111" s="259"/>
      <c r="E111" s="259"/>
      <c r="F111" s="259"/>
      <c r="G111" s="260"/>
    </row>
    <row r="112" spans="1:7" ht="33" customHeight="1" x14ac:dyDescent="0.25">
      <c r="A112" s="15">
        <v>103</v>
      </c>
      <c r="B112" s="280"/>
      <c r="C112" s="317"/>
      <c r="D112" s="259"/>
      <c r="E112" s="259"/>
      <c r="F112" s="259"/>
      <c r="G112" s="260"/>
    </row>
    <row r="113" spans="1:7" ht="33" customHeight="1" x14ac:dyDescent="0.25">
      <c r="A113" s="15">
        <v>104</v>
      </c>
      <c r="B113" s="280"/>
      <c r="C113" s="317"/>
      <c r="D113" s="259"/>
      <c r="E113" s="259"/>
      <c r="F113" s="259"/>
      <c r="G113" s="260"/>
    </row>
    <row r="114" spans="1:7" ht="33" customHeight="1" x14ac:dyDescent="0.25">
      <c r="A114" s="15">
        <v>105</v>
      </c>
      <c r="B114" s="280"/>
      <c r="C114" s="317"/>
      <c r="D114" s="259"/>
      <c r="E114" s="259"/>
      <c r="F114" s="259"/>
      <c r="G114" s="260"/>
    </row>
    <row r="115" spans="1:7" ht="33" customHeight="1" x14ac:dyDescent="0.25">
      <c r="A115" s="15">
        <v>106</v>
      </c>
      <c r="B115" s="280"/>
      <c r="C115" s="317"/>
      <c r="D115" s="259"/>
      <c r="E115" s="259"/>
      <c r="F115" s="259"/>
      <c r="G115" s="260"/>
    </row>
    <row r="116" spans="1:7" ht="33" customHeight="1" x14ac:dyDescent="0.25">
      <c r="A116" s="15">
        <v>107</v>
      </c>
      <c r="B116" s="280"/>
      <c r="C116" s="317"/>
      <c r="D116" s="259"/>
      <c r="E116" s="259"/>
      <c r="F116" s="259"/>
      <c r="G116" s="260"/>
    </row>
    <row r="117" spans="1:7" ht="33" customHeight="1" x14ac:dyDescent="0.25">
      <c r="A117" s="15">
        <v>108</v>
      </c>
      <c r="B117" s="280"/>
      <c r="C117" s="317"/>
      <c r="D117" s="259"/>
      <c r="E117" s="259"/>
      <c r="F117" s="259"/>
      <c r="G117" s="260"/>
    </row>
    <row r="118" spans="1:7" ht="33" customHeight="1" x14ac:dyDescent="0.25">
      <c r="A118" s="15">
        <v>109</v>
      </c>
      <c r="B118" s="280"/>
      <c r="C118" s="317"/>
      <c r="D118" s="259"/>
      <c r="E118" s="259"/>
      <c r="F118" s="259"/>
      <c r="G118" s="260"/>
    </row>
    <row r="119" spans="1:7" ht="33" customHeight="1" x14ac:dyDescent="0.25">
      <c r="A119" s="15">
        <v>110</v>
      </c>
      <c r="B119" s="280"/>
      <c r="C119" s="317"/>
      <c r="D119" s="259"/>
      <c r="E119" s="259"/>
      <c r="F119" s="259"/>
      <c r="G119" s="260"/>
    </row>
    <row r="120" spans="1:7" ht="33" customHeight="1" x14ac:dyDescent="0.25">
      <c r="A120" s="15">
        <v>111</v>
      </c>
      <c r="B120" s="280"/>
      <c r="C120" s="317"/>
      <c r="D120" s="259"/>
      <c r="E120" s="259"/>
      <c r="F120" s="259"/>
      <c r="G120" s="260"/>
    </row>
    <row r="121" spans="1:7" ht="33" customHeight="1" x14ac:dyDescent="0.25">
      <c r="A121" s="15">
        <v>112</v>
      </c>
      <c r="B121" s="280"/>
      <c r="C121" s="317"/>
      <c r="D121" s="259"/>
      <c r="E121" s="259"/>
      <c r="F121" s="259"/>
      <c r="G121" s="260"/>
    </row>
    <row r="122" spans="1:7" ht="33" customHeight="1" x14ac:dyDescent="0.25">
      <c r="A122" s="15">
        <v>113</v>
      </c>
      <c r="B122" s="280"/>
      <c r="C122" s="317"/>
      <c r="D122" s="259"/>
      <c r="E122" s="259"/>
      <c r="F122" s="259"/>
      <c r="G122" s="260"/>
    </row>
    <row r="123" spans="1:7" ht="33" customHeight="1" x14ac:dyDescent="0.25">
      <c r="A123" s="15">
        <v>114</v>
      </c>
      <c r="B123" s="280"/>
      <c r="C123" s="317"/>
      <c r="D123" s="259"/>
      <c r="E123" s="259"/>
      <c r="F123" s="259"/>
      <c r="G123" s="260"/>
    </row>
    <row r="124" spans="1:7" ht="33" customHeight="1" x14ac:dyDescent="0.25">
      <c r="A124" s="15">
        <v>115</v>
      </c>
      <c r="B124" s="280"/>
      <c r="C124" s="317"/>
      <c r="D124" s="259"/>
      <c r="E124" s="259"/>
      <c r="F124" s="259"/>
      <c r="G124" s="260"/>
    </row>
    <row r="132" spans="17:17" x14ac:dyDescent="0.25">
      <c r="Q132">
        <f>276*3</f>
        <v>828</v>
      </c>
    </row>
    <row r="133" spans="17:17" x14ac:dyDescent="0.25">
      <c r="Q133">
        <v>30</v>
      </c>
    </row>
    <row r="134" spans="17:17" x14ac:dyDescent="0.25">
      <c r="Q134">
        <f>276*2+30</f>
        <v>582</v>
      </c>
    </row>
    <row r="135" spans="17:17" x14ac:dyDescent="0.25">
      <c r="Q135" t="s">
        <v>227</v>
      </c>
    </row>
  </sheetData>
  <mergeCells count="7">
    <mergeCell ref="G8:G9"/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1A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97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  <col min="9" max="9" width="14.28515625" bestFit="1" customWidth="1"/>
    <col min="10" max="10" width="21.5703125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" t="s">
        <v>1722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6480000</v>
      </c>
    </row>
    <row r="6" spans="1:7" x14ac:dyDescent="0.25">
      <c r="E6" s="2" t="s">
        <v>11</v>
      </c>
      <c r="F6" s="2">
        <f>SUM(E10:E68)</f>
        <v>6480000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6" t="s">
        <v>0</v>
      </c>
      <c r="B8" s="416" t="s">
        <v>13</v>
      </c>
      <c r="C8" s="416" t="s">
        <v>5</v>
      </c>
      <c r="D8" s="417" t="s">
        <v>8</v>
      </c>
      <c r="E8" s="417"/>
      <c r="F8" s="417" t="s">
        <v>2</v>
      </c>
    </row>
    <row r="9" spans="1:7" x14ac:dyDescent="0.25">
      <c r="A9" s="416"/>
      <c r="B9" s="416"/>
      <c r="C9" s="416"/>
      <c r="D9" s="259" t="s">
        <v>6</v>
      </c>
      <c r="E9" s="259" t="s">
        <v>7</v>
      </c>
      <c r="F9" s="417"/>
    </row>
    <row r="10" spans="1:7" x14ac:dyDescent="0.25">
      <c r="A10" s="262">
        <v>1</v>
      </c>
      <c r="B10" s="261">
        <v>45350</v>
      </c>
      <c r="C10" s="260" t="s">
        <v>1723</v>
      </c>
      <c r="D10" s="259">
        <v>6480000</v>
      </c>
      <c r="E10" s="259"/>
      <c r="F10" s="259"/>
    </row>
    <row r="11" spans="1:7" x14ac:dyDescent="0.25">
      <c r="A11" s="262">
        <v>2</v>
      </c>
      <c r="B11" s="261">
        <v>45450</v>
      </c>
      <c r="C11" s="260" t="s">
        <v>1803</v>
      </c>
      <c r="D11" s="259"/>
      <c r="E11" s="259">
        <v>6480000</v>
      </c>
      <c r="F11" s="259"/>
    </row>
    <row r="12" spans="1:7" x14ac:dyDescent="0.25">
      <c r="A12" s="262">
        <v>3</v>
      </c>
      <c r="B12" s="261"/>
      <c r="C12" s="260"/>
      <c r="D12" s="259"/>
      <c r="E12" s="259"/>
      <c r="F12" s="259"/>
    </row>
    <row r="13" spans="1:7" x14ac:dyDescent="0.25">
      <c r="A13" s="262">
        <v>4</v>
      </c>
      <c r="B13" s="261"/>
      <c r="C13" s="260"/>
      <c r="D13" s="259"/>
      <c r="E13" s="259"/>
      <c r="F13" s="259"/>
    </row>
    <row r="14" spans="1:7" x14ac:dyDescent="0.25">
      <c r="A14" s="262">
        <v>5</v>
      </c>
      <c r="B14" s="261"/>
      <c r="C14" s="260"/>
      <c r="D14" s="259"/>
      <c r="E14" s="259"/>
      <c r="F14" s="259"/>
    </row>
    <row r="15" spans="1:7" x14ac:dyDescent="0.25">
      <c r="A15" s="262">
        <v>6</v>
      </c>
      <c r="B15" s="261"/>
      <c r="C15" s="260"/>
      <c r="D15" s="259"/>
      <c r="E15" s="259"/>
      <c r="F15" s="259"/>
    </row>
    <row r="16" spans="1:7" x14ac:dyDescent="0.25">
      <c r="A16" s="262">
        <v>7</v>
      </c>
      <c r="B16" s="262"/>
      <c r="C16" s="260"/>
      <c r="D16" s="259"/>
      <c r="E16" s="259"/>
      <c r="F16" s="259"/>
    </row>
    <row r="17" spans="1:10" x14ac:dyDescent="0.25">
      <c r="A17" s="262">
        <v>8</v>
      </c>
      <c r="B17" s="262"/>
      <c r="C17" s="260"/>
      <c r="D17" s="259"/>
      <c r="E17" s="259"/>
      <c r="F17" s="259"/>
    </row>
    <row r="18" spans="1:10" x14ac:dyDescent="0.25">
      <c r="A18" s="262">
        <v>9</v>
      </c>
      <c r="B18" s="261"/>
      <c r="C18" s="260"/>
      <c r="D18" s="259"/>
      <c r="E18" s="259"/>
      <c r="F18" s="259"/>
    </row>
    <row r="19" spans="1:10" x14ac:dyDescent="0.25">
      <c r="A19" s="262">
        <v>10</v>
      </c>
      <c r="B19" s="262"/>
      <c r="C19" s="260"/>
      <c r="D19" s="259"/>
      <c r="E19" s="259"/>
      <c r="F19" s="259"/>
    </row>
    <row r="20" spans="1:10" x14ac:dyDescent="0.25">
      <c r="A20" s="262">
        <v>11</v>
      </c>
      <c r="B20" s="262"/>
      <c r="C20" s="260"/>
      <c r="D20" s="259"/>
      <c r="E20" s="259"/>
      <c r="F20" s="259"/>
    </row>
    <row r="21" spans="1:10" x14ac:dyDescent="0.25">
      <c r="A21" s="262">
        <v>12</v>
      </c>
      <c r="B21" s="262"/>
      <c r="C21" s="260"/>
      <c r="D21" s="259"/>
      <c r="E21" s="259"/>
      <c r="F21" s="259"/>
    </row>
    <row r="22" spans="1:10" x14ac:dyDescent="0.25">
      <c r="A22" s="262">
        <v>13</v>
      </c>
      <c r="B22" s="261"/>
      <c r="C22" s="260"/>
      <c r="D22" s="259"/>
      <c r="E22" s="259"/>
      <c r="F22" s="259"/>
    </row>
    <row r="23" spans="1:10" x14ac:dyDescent="0.25">
      <c r="A23" s="262">
        <v>14</v>
      </c>
      <c r="B23" s="261"/>
      <c r="C23" s="260"/>
      <c r="D23" s="259"/>
      <c r="E23" s="259"/>
      <c r="F23" s="259"/>
    </row>
    <row r="24" spans="1:10" x14ac:dyDescent="0.25">
      <c r="A24" s="262">
        <v>15</v>
      </c>
      <c r="B24" s="262"/>
      <c r="C24" s="260"/>
      <c r="D24" s="259"/>
      <c r="E24" s="259"/>
      <c r="F24" s="259"/>
    </row>
    <row r="25" spans="1:10" x14ac:dyDescent="0.25">
      <c r="A25" s="262">
        <v>16</v>
      </c>
      <c r="B25" s="262"/>
      <c r="C25" s="260"/>
      <c r="D25" s="259"/>
      <c r="E25" s="259"/>
      <c r="F25" s="259"/>
      <c r="I25" s="240"/>
      <c r="J25" s="240"/>
    </row>
    <row r="26" spans="1:10" x14ac:dyDescent="0.25">
      <c r="A26" s="262">
        <v>17</v>
      </c>
      <c r="B26" s="261"/>
      <c r="C26" s="260"/>
      <c r="D26" s="259"/>
      <c r="E26" s="259"/>
      <c r="F26" s="259"/>
      <c r="I26" s="240"/>
      <c r="J26" s="240"/>
    </row>
    <row r="27" spans="1:10" x14ac:dyDescent="0.25">
      <c r="A27" s="262">
        <v>18</v>
      </c>
      <c r="B27" s="261"/>
      <c r="C27" s="260"/>
      <c r="D27" s="259"/>
      <c r="E27" s="259"/>
      <c r="F27" s="259"/>
      <c r="I27" s="240"/>
      <c r="J27" s="240"/>
    </row>
    <row r="28" spans="1:10" x14ac:dyDescent="0.25">
      <c r="A28" s="262">
        <v>19</v>
      </c>
      <c r="B28" s="261"/>
      <c r="C28" s="260"/>
      <c r="D28" s="259"/>
      <c r="E28" s="259"/>
      <c r="F28" s="259"/>
      <c r="I28" s="240"/>
      <c r="J28" s="240"/>
    </row>
    <row r="29" spans="1:10" x14ac:dyDescent="0.25">
      <c r="A29" s="262">
        <v>20</v>
      </c>
      <c r="B29" s="261"/>
      <c r="C29" s="260"/>
      <c r="D29" s="259"/>
      <c r="E29" s="259"/>
      <c r="F29" s="259"/>
      <c r="I29" s="240"/>
      <c r="J29" s="240"/>
    </row>
    <row r="30" spans="1:10" x14ac:dyDescent="0.25">
      <c r="A30" s="262">
        <v>21</v>
      </c>
      <c r="B30" s="261"/>
      <c r="C30" s="260"/>
      <c r="D30" s="259"/>
      <c r="E30" s="259"/>
      <c r="F30" s="259"/>
      <c r="I30" s="240"/>
      <c r="J30" s="240"/>
    </row>
    <row r="31" spans="1:10" x14ac:dyDescent="0.25">
      <c r="A31" s="262">
        <v>22</v>
      </c>
      <c r="B31" s="261"/>
      <c r="C31" s="260"/>
      <c r="D31" s="259"/>
      <c r="E31" s="259"/>
      <c r="F31" s="259"/>
      <c r="I31" s="240"/>
      <c r="J31" s="240"/>
    </row>
    <row r="32" spans="1:10" x14ac:dyDescent="0.25">
      <c r="A32" s="262">
        <v>23</v>
      </c>
      <c r="B32" s="261"/>
      <c r="C32" s="260"/>
      <c r="D32" s="259"/>
      <c r="E32" s="259"/>
      <c r="F32" s="259"/>
      <c r="I32" s="240"/>
      <c r="J32" s="240"/>
    </row>
    <row r="33" spans="1:10" x14ac:dyDescent="0.25">
      <c r="A33" s="262">
        <v>24</v>
      </c>
      <c r="B33" s="261"/>
      <c r="C33" s="260"/>
      <c r="D33" s="259"/>
      <c r="E33" s="259"/>
      <c r="F33" s="259"/>
      <c r="I33" s="240"/>
      <c r="J33" s="240"/>
    </row>
    <row r="34" spans="1:10" x14ac:dyDescent="0.25">
      <c r="A34" s="262">
        <v>25</v>
      </c>
      <c r="B34" s="261"/>
      <c r="C34" s="260"/>
      <c r="D34" s="259"/>
      <c r="E34" s="259"/>
      <c r="F34" s="259"/>
      <c r="I34" s="240"/>
      <c r="J34" s="240"/>
    </row>
    <row r="35" spans="1:10" x14ac:dyDescent="0.25">
      <c r="A35" s="262">
        <v>26</v>
      </c>
      <c r="B35" s="261"/>
      <c r="C35" s="260"/>
      <c r="D35" s="259"/>
      <c r="E35" s="259"/>
      <c r="F35" s="259"/>
      <c r="I35" s="240"/>
      <c r="J35" s="240"/>
    </row>
    <row r="36" spans="1:10" x14ac:dyDescent="0.25">
      <c r="A36" s="262">
        <v>27</v>
      </c>
      <c r="B36" s="261"/>
      <c r="C36" s="260"/>
      <c r="D36" s="259"/>
      <c r="E36" s="259"/>
      <c r="F36" s="259"/>
      <c r="I36" s="240"/>
      <c r="J36" s="240"/>
    </row>
    <row r="37" spans="1:10" x14ac:dyDescent="0.25">
      <c r="A37" s="262">
        <v>28</v>
      </c>
      <c r="B37" s="261"/>
      <c r="C37" s="260"/>
      <c r="D37" s="259"/>
      <c r="E37" s="259"/>
      <c r="F37" s="259"/>
      <c r="I37" s="240"/>
      <c r="J37" s="240"/>
    </row>
    <row r="38" spans="1:10" x14ac:dyDescent="0.25">
      <c r="A38" s="262">
        <v>29</v>
      </c>
      <c r="B38" s="261"/>
      <c r="C38" s="260"/>
      <c r="D38" s="259"/>
      <c r="E38" s="259"/>
      <c r="F38" s="259"/>
      <c r="I38" s="240"/>
      <c r="J38" s="240"/>
    </row>
    <row r="39" spans="1:10" x14ac:dyDescent="0.25">
      <c r="A39" s="262">
        <v>30</v>
      </c>
      <c r="B39" s="261"/>
      <c r="C39" s="260"/>
      <c r="D39" s="259"/>
      <c r="E39" s="259"/>
      <c r="F39" s="259"/>
      <c r="I39" s="240"/>
      <c r="J39" s="240"/>
    </row>
    <row r="40" spans="1:10" x14ac:dyDescent="0.25">
      <c r="A40" s="262">
        <v>31</v>
      </c>
      <c r="B40" s="261"/>
      <c r="C40" s="260"/>
      <c r="D40" s="259"/>
      <c r="E40" s="259"/>
      <c r="F40" s="259"/>
      <c r="I40" s="240"/>
      <c r="J40" s="240"/>
    </row>
    <row r="41" spans="1:10" x14ac:dyDescent="0.25">
      <c r="A41" s="262">
        <v>32</v>
      </c>
      <c r="B41" s="261"/>
      <c r="C41" s="260"/>
      <c r="D41" s="259"/>
      <c r="E41" s="259"/>
      <c r="F41" s="259"/>
      <c r="I41" s="240"/>
      <c r="J41" s="240"/>
    </row>
    <row r="42" spans="1:10" x14ac:dyDescent="0.25">
      <c r="A42" s="262">
        <v>33</v>
      </c>
      <c r="B42" s="261"/>
      <c r="C42" s="260"/>
      <c r="D42" s="259"/>
      <c r="E42" s="259"/>
      <c r="F42" s="259"/>
      <c r="I42" s="240"/>
      <c r="J42" s="240"/>
    </row>
    <row r="43" spans="1:10" x14ac:dyDescent="0.25">
      <c r="A43" s="262">
        <v>34</v>
      </c>
      <c r="B43" s="261"/>
      <c r="C43" s="260"/>
      <c r="D43" s="259"/>
      <c r="E43" s="259"/>
      <c r="F43" s="259"/>
      <c r="J43" s="241"/>
    </row>
    <row r="44" spans="1:10" x14ac:dyDescent="0.25">
      <c r="A44" s="262">
        <v>35</v>
      </c>
      <c r="B44" s="261"/>
      <c r="C44" s="260"/>
      <c r="D44" s="259"/>
      <c r="E44" s="259"/>
      <c r="F44" s="259"/>
    </row>
    <row r="45" spans="1:10" x14ac:dyDescent="0.25">
      <c r="A45" s="262">
        <v>36</v>
      </c>
      <c r="B45" s="261"/>
      <c r="C45" s="260"/>
      <c r="D45" s="259"/>
      <c r="E45" s="259"/>
      <c r="F45" s="259"/>
      <c r="J45" s="241"/>
    </row>
    <row r="46" spans="1:10" x14ac:dyDescent="0.25">
      <c r="A46" s="262">
        <v>37</v>
      </c>
      <c r="B46" s="261"/>
      <c r="C46" s="260"/>
      <c r="D46" s="259"/>
      <c r="E46" s="259"/>
      <c r="F46" s="259"/>
    </row>
    <row r="47" spans="1:10" x14ac:dyDescent="0.25">
      <c r="A47" s="315">
        <v>38</v>
      </c>
      <c r="B47" s="261"/>
      <c r="C47" s="260"/>
      <c r="D47" s="259"/>
      <c r="E47" s="259"/>
      <c r="F47" s="259"/>
    </row>
    <row r="48" spans="1:10" x14ac:dyDescent="0.25">
      <c r="A48" s="315">
        <v>39</v>
      </c>
      <c r="B48" s="261"/>
      <c r="C48" s="260"/>
      <c r="D48" s="259"/>
      <c r="E48" s="259"/>
      <c r="F48" s="259"/>
    </row>
    <row r="49" spans="1:6" x14ac:dyDescent="0.25">
      <c r="A49" s="315">
        <v>40</v>
      </c>
      <c r="B49" s="261"/>
      <c r="C49" s="260"/>
      <c r="D49" s="259"/>
      <c r="E49" s="259"/>
      <c r="F49" s="259"/>
    </row>
    <row r="50" spans="1:6" x14ac:dyDescent="0.25">
      <c r="A50" s="315">
        <v>41</v>
      </c>
      <c r="B50" s="261"/>
      <c r="C50" s="260"/>
      <c r="D50" s="259"/>
      <c r="E50" s="259"/>
      <c r="F50" s="259"/>
    </row>
    <row r="51" spans="1:6" x14ac:dyDescent="0.25">
      <c r="A51" s="315">
        <v>42</v>
      </c>
      <c r="B51" s="261"/>
      <c r="C51" s="260"/>
      <c r="D51" s="259"/>
      <c r="E51" s="259"/>
      <c r="F51" s="259"/>
    </row>
    <row r="52" spans="1:6" x14ac:dyDescent="0.25">
      <c r="A52" s="315">
        <v>43</v>
      </c>
      <c r="B52" s="261"/>
      <c r="C52" s="260"/>
      <c r="D52" s="259"/>
      <c r="E52" s="259"/>
      <c r="F52" s="259"/>
    </row>
    <row r="53" spans="1:6" x14ac:dyDescent="0.25">
      <c r="A53" s="315">
        <v>44</v>
      </c>
      <c r="B53" s="261"/>
      <c r="C53" s="260"/>
      <c r="D53" s="259"/>
      <c r="E53" s="259"/>
      <c r="F53" s="259"/>
    </row>
    <row r="54" spans="1:6" x14ac:dyDescent="0.25">
      <c r="A54" s="315">
        <v>45</v>
      </c>
      <c r="B54" s="261"/>
      <c r="C54" s="260"/>
      <c r="D54" s="259"/>
      <c r="E54" s="259"/>
      <c r="F54" s="259"/>
    </row>
    <row r="55" spans="1:6" x14ac:dyDescent="0.25">
      <c r="A55" s="315">
        <v>46</v>
      </c>
      <c r="B55" s="262"/>
      <c r="C55" s="260"/>
      <c r="D55" s="259"/>
      <c r="E55" s="259"/>
      <c r="F55" s="259"/>
    </row>
    <row r="56" spans="1:6" x14ac:dyDescent="0.25">
      <c r="A56" s="315">
        <v>47</v>
      </c>
      <c r="B56" s="262"/>
      <c r="C56" s="260"/>
      <c r="D56" s="259"/>
      <c r="E56" s="259"/>
      <c r="F56" s="259"/>
    </row>
    <row r="57" spans="1:6" x14ac:dyDescent="0.25">
      <c r="A57" s="315">
        <v>48</v>
      </c>
      <c r="B57" s="262"/>
      <c r="C57" s="260"/>
      <c r="D57" s="259"/>
      <c r="E57" s="259"/>
      <c r="F57" s="259"/>
    </row>
    <row r="58" spans="1:6" x14ac:dyDescent="0.25">
      <c r="A58" s="315">
        <v>49</v>
      </c>
      <c r="B58" s="262"/>
      <c r="C58" s="260"/>
      <c r="D58" s="259"/>
      <c r="E58" s="259"/>
      <c r="F58" s="259"/>
    </row>
    <row r="59" spans="1:6" x14ac:dyDescent="0.25">
      <c r="A59" s="315">
        <v>50</v>
      </c>
      <c r="B59" s="262"/>
      <c r="C59" s="260"/>
      <c r="D59" s="259"/>
      <c r="E59" s="259"/>
      <c r="F59" s="259"/>
    </row>
    <row r="60" spans="1:6" x14ac:dyDescent="0.25">
      <c r="A60" s="315">
        <v>51</v>
      </c>
      <c r="B60" s="262"/>
      <c r="C60" s="260"/>
      <c r="D60" s="259"/>
      <c r="E60" s="259"/>
      <c r="F60" s="259"/>
    </row>
    <row r="61" spans="1:6" x14ac:dyDescent="0.25">
      <c r="A61" s="315">
        <v>52</v>
      </c>
      <c r="B61" s="262"/>
      <c r="C61" s="260"/>
      <c r="D61" s="259"/>
      <c r="E61" s="259"/>
      <c r="F61" s="259"/>
    </row>
    <row r="62" spans="1:6" x14ac:dyDescent="0.25">
      <c r="A62" s="315">
        <v>53</v>
      </c>
      <c r="B62" s="262"/>
      <c r="C62" s="260"/>
      <c r="D62" s="259"/>
      <c r="E62" s="259"/>
      <c r="F62" s="259"/>
    </row>
    <row r="63" spans="1:6" x14ac:dyDescent="0.25">
      <c r="A63" s="315">
        <v>54</v>
      </c>
      <c r="B63" s="262"/>
      <c r="C63" s="260"/>
      <c r="D63" s="259"/>
      <c r="E63" s="259"/>
      <c r="F63" s="259"/>
    </row>
    <row r="64" spans="1:6" x14ac:dyDescent="0.25">
      <c r="A64" s="315">
        <v>55</v>
      </c>
      <c r="B64" s="262"/>
      <c r="C64" s="260"/>
      <c r="D64" s="259"/>
      <c r="E64" s="259"/>
      <c r="F64" s="259"/>
    </row>
    <row r="65" spans="1:6" x14ac:dyDescent="0.25">
      <c r="A65" s="315">
        <v>56</v>
      </c>
      <c r="B65" s="262"/>
      <c r="C65" s="260"/>
      <c r="D65" s="259"/>
      <c r="E65" s="259"/>
      <c r="F65" s="259"/>
    </row>
    <row r="66" spans="1:6" x14ac:dyDescent="0.25">
      <c r="A66" s="315">
        <v>57</v>
      </c>
      <c r="B66" s="262"/>
      <c r="C66" s="260"/>
      <c r="D66" s="259"/>
      <c r="E66" s="259"/>
      <c r="F66" s="259"/>
    </row>
    <row r="67" spans="1:6" x14ac:dyDescent="0.25">
      <c r="A67" s="315">
        <v>58</v>
      </c>
      <c r="B67" s="262"/>
      <c r="C67" s="260"/>
      <c r="D67" s="259"/>
      <c r="E67" s="259"/>
      <c r="F67" s="259"/>
    </row>
    <row r="68" spans="1:6" x14ac:dyDescent="0.25">
      <c r="A68" s="315">
        <v>59</v>
      </c>
      <c r="B68" s="262"/>
      <c r="C68" s="260"/>
      <c r="D68" s="259"/>
      <c r="E68" s="259"/>
      <c r="F68" s="259"/>
    </row>
    <row r="69" spans="1:6" x14ac:dyDescent="0.25">
      <c r="A69" s="315">
        <v>60</v>
      </c>
      <c r="B69" s="262"/>
      <c r="C69" s="260"/>
      <c r="D69" s="259"/>
      <c r="E69" s="259"/>
      <c r="F69" s="259"/>
    </row>
    <row r="70" spans="1:6" x14ac:dyDescent="0.25">
      <c r="A70" s="315">
        <v>61</v>
      </c>
      <c r="B70" s="262"/>
      <c r="C70" s="260"/>
      <c r="D70" s="259"/>
      <c r="E70" s="259"/>
      <c r="F70" s="259"/>
    </row>
    <row r="71" spans="1:6" x14ac:dyDescent="0.25">
      <c r="A71" s="315">
        <v>62</v>
      </c>
      <c r="B71" s="262"/>
      <c r="C71" s="260"/>
      <c r="D71" s="259"/>
      <c r="E71" s="259"/>
      <c r="F71" s="259"/>
    </row>
    <row r="72" spans="1:6" x14ac:dyDescent="0.25">
      <c r="A72" s="315">
        <v>63</v>
      </c>
      <c r="B72" s="262"/>
      <c r="C72" s="260"/>
      <c r="D72" s="259"/>
      <c r="E72" s="259"/>
      <c r="F72" s="259"/>
    </row>
    <row r="73" spans="1:6" x14ac:dyDescent="0.25">
      <c r="A73" s="315">
        <v>64</v>
      </c>
      <c r="B73" s="262"/>
      <c r="C73" s="260"/>
      <c r="D73" s="259"/>
      <c r="E73" s="259"/>
      <c r="F73" s="259"/>
    </row>
    <row r="74" spans="1:6" x14ac:dyDescent="0.25">
      <c r="A74" s="315">
        <v>65</v>
      </c>
      <c r="B74" s="262"/>
      <c r="C74" s="260"/>
      <c r="D74" s="259"/>
      <c r="E74" s="259"/>
      <c r="F74" s="259"/>
    </row>
    <row r="75" spans="1:6" x14ac:dyDescent="0.25">
      <c r="A75" s="315">
        <v>66</v>
      </c>
      <c r="B75" s="262"/>
      <c r="C75" s="260"/>
      <c r="D75" s="259"/>
      <c r="E75" s="259"/>
      <c r="F75" s="259"/>
    </row>
    <row r="76" spans="1:6" x14ac:dyDescent="0.25">
      <c r="A76" s="315">
        <v>67</v>
      </c>
      <c r="B76" s="262"/>
      <c r="C76" s="260"/>
      <c r="D76" s="259"/>
      <c r="E76" s="259"/>
      <c r="F76" s="259"/>
    </row>
    <row r="77" spans="1:6" x14ac:dyDescent="0.25">
      <c r="A77" s="315">
        <v>68</v>
      </c>
      <c r="B77" s="262"/>
      <c r="C77" s="260"/>
      <c r="D77" s="259"/>
      <c r="E77" s="259"/>
      <c r="F77" s="259"/>
    </row>
    <row r="78" spans="1:6" x14ac:dyDescent="0.25">
      <c r="A78" s="315">
        <v>69</v>
      </c>
      <c r="B78" s="262"/>
      <c r="C78" s="260"/>
      <c r="D78" s="259"/>
      <c r="E78" s="259"/>
      <c r="F78" s="259"/>
    </row>
    <row r="79" spans="1:6" x14ac:dyDescent="0.25">
      <c r="A79" s="315">
        <v>70</v>
      </c>
      <c r="B79" s="262"/>
      <c r="C79" s="260"/>
      <c r="D79" s="259"/>
      <c r="E79" s="259"/>
      <c r="F79" s="259"/>
    </row>
    <row r="80" spans="1:6" x14ac:dyDescent="0.25">
      <c r="A80" s="315">
        <v>71</v>
      </c>
      <c r="B80" s="262"/>
      <c r="C80" s="260"/>
      <c r="D80" s="259"/>
      <c r="E80" s="259"/>
      <c r="F80" s="259"/>
    </row>
    <row r="81" spans="1:6" x14ac:dyDescent="0.25">
      <c r="A81" s="315">
        <v>72</v>
      </c>
      <c r="B81" s="262"/>
      <c r="C81" s="260"/>
      <c r="D81" s="259"/>
      <c r="E81" s="259"/>
      <c r="F81" s="259"/>
    </row>
    <row r="82" spans="1:6" x14ac:dyDescent="0.25">
      <c r="A82" s="315">
        <v>73</v>
      </c>
      <c r="B82" s="262"/>
      <c r="C82" s="260"/>
      <c r="D82" s="259"/>
      <c r="E82" s="259"/>
      <c r="F82" s="259"/>
    </row>
    <row r="83" spans="1:6" x14ac:dyDescent="0.25">
      <c r="A83" s="315">
        <v>74</v>
      </c>
      <c r="B83" s="262"/>
      <c r="C83" s="260"/>
      <c r="D83" s="259"/>
      <c r="E83" s="259"/>
      <c r="F83" s="259"/>
    </row>
    <row r="84" spans="1:6" x14ac:dyDescent="0.25">
      <c r="A84" s="315">
        <v>75</v>
      </c>
      <c r="B84" s="262"/>
      <c r="C84" s="260"/>
      <c r="D84" s="259"/>
      <c r="E84" s="259"/>
      <c r="F84" s="259"/>
    </row>
    <row r="85" spans="1:6" x14ac:dyDescent="0.25">
      <c r="A85" s="315">
        <v>76</v>
      </c>
      <c r="B85" s="262"/>
      <c r="C85" s="260"/>
      <c r="D85" s="259"/>
      <c r="E85" s="259"/>
      <c r="F85" s="259"/>
    </row>
    <row r="86" spans="1:6" x14ac:dyDescent="0.25">
      <c r="A86" s="315">
        <v>77</v>
      </c>
      <c r="B86" s="262"/>
      <c r="C86" s="260"/>
      <c r="D86" s="259"/>
      <c r="E86" s="259"/>
      <c r="F86" s="259"/>
    </row>
    <row r="87" spans="1:6" x14ac:dyDescent="0.25">
      <c r="A87" s="315">
        <v>78</v>
      </c>
      <c r="B87" s="262"/>
      <c r="C87" s="260"/>
      <c r="D87" s="259"/>
      <c r="E87" s="259"/>
      <c r="F87" s="259"/>
    </row>
    <row r="88" spans="1:6" x14ac:dyDescent="0.25">
      <c r="A88" s="315">
        <v>79</v>
      </c>
      <c r="B88" s="262"/>
      <c r="C88" s="260"/>
      <c r="D88" s="259"/>
      <c r="E88" s="259"/>
      <c r="F88" s="259"/>
    </row>
    <row r="89" spans="1:6" x14ac:dyDescent="0.25">
      <c r="A89" s="315">
        <v>80</v>
      </c>
      <c r="B89" s="262"/>
      <c r="C89" s="260"/>
      <c r="D89" s="259"/>
      <c r="E89" s="259"/>
      <c r="F89" s="259"/>
    </row>
    <row r="90" spans="1:6" x14ac:dyDescent="0.25">
      <c r="A90" s="315">
        <v>81</v>
      </c>
      <c r="B90" s="262"/>
      <c r="C90" s="260"/>
      <c r="D90" s="259"/>
      <c r="E90" s="259"/>
      <c r="F90" s="259"/>
    </row>
    <row r="91" spans="1:6" x14ac:dyDescent="0.25">
      <c r="A91" s="315">
        <v>82</v>
      </c>
      <c r="B91" s="262"/>
      <c r="C91" s="260"/>
      <c r="D91" s="259"/>
      <c r="E91" s="259"/>
      <c r="F91" s="259"/>
    </row>
    <row r="92" spans="1:6" x14ac:dyDescent="0.25">
      <c r="A92" s="315">
        <v>83</v>
      </c>
      <c r="B92" s="262"/>
      <c r="C92" s="260"/>
      <c r="D92" s="259"/>
      <c r="E92" s="259"/>
      <c r="F92" s="259"/>
    </row>
    <row r="93" spans="1:6" x14ac:dyDescent="0.25">
      <c r="A93" s="315">
        <v>84</v>
      </c>
      <c r="B93" s="262"/>
      <c r="C93" s="260"/>
      <c r="D93" s="259"/>
      <c r="E93" s="259"/>
      <c r="F93" s="259"/>
    </row>
    <row r="94" spans="1:6" x14ac:dyDescent="0.25">
      <c r="A94" s="315">
        <v>85</v>
      </c>
      <c r="B94" s="262"/>
      <c r="C94" s="260"/>
      <c r="D94" s="259"/>
      <c r="E94" s="259"/>
      <c r="F94" s="259"/>
    </row>
    <row r="95" spans="1:6" x14ac:dyDescent="0.25">
      <c r="A95" s="315">
        <v>86</v>
      </c>
      <c r="B95" s="262"/>
      <c r="C95" s="260"/>
      <c r="D95" s="259"/>
      <c r="E95" s="259"/>
      <c r="F95" s="259"/>
    </row>
    <row r="96" spans="1:6" x14ac:dyDescent="0.25">
      <c r="A96" s="315">
        <v>87</v>
      </c>
      <c r="B96" s="262"/>
      <c r="C96" s="260"/>
      <c r="D96" s="259"/>
      <c r="E96" s="259"/>
      <c r="F96" s="259"/>
    </row>
    <row r="97" spans="1:6" x14ac:dyDescent="0.25">
      <c r="A97" s="315">
        <v>88</v>
      </c>
      <c r="B97" s="262"/>
      <c r="C97" s="260"/>
      <c r="D97" s="259"/>
      <c r="E97" s="259"/>
      <c r="F97" s="259"/>
    </row>
    <row r="98" spans="1:6" x14ac:dyDescent="0.25">
      <c r="A98" s="315">
        <v>89</v>
      </c>
      <c r="B98" s="262"/>
      <c r="C98" s="260"/>
      <c r="D98" s="259"/>
      <c r="E98" s="259"/>
      <c r="F98" s="259"/>
    </row>
    <row r="99" spans="1:6" x14ac:dyDescent="0.25">
      <c r="A99" s="315">
        <v>90</v>
      </c>
      <c r="B99" s="262"/>
      <c r="C99" s="260"/>
      <c r="D99" s="259"/>
      <c r="E99" s="259"/>
      <c r="F99" s="259"/>
    </row>
    <row r="100" spans="1:6" x14ac:dyDescent="0.25">
      <c r="A100" s="315">
        <v>91</v>
      </c>
      <c r="B100" s="262"/>
      <c r="C100" s="260"/>
      <c r="D100" s="259"/>
      <c r="E100" s="259"/>
      <c r="F100" s="259"/>
    </row>
    <row r="101" spans="1:6" x14ac:dyDescent="0.25">
      <c r="A101" s="315">
        <v>92</v>
      </c>
      <c r="B101" s="262"/>
      <c r="C101" s="260"/>
      <c r="D101" s="259"/>
      <c r="E101" s="259"/>
      <c r="F101" s="259"/>
    </row>
    <row r="102" spans="1:6" x14ac:dyDescent="0.25">
      <c r="A102" s="315">
        <v>93</v>
      </c>
      <c r="B102" s="262"/>
      <c r="C102" s="260"/>
      <c r="D102" s="259"/>
      <c r="E102" s="259"/>
      <c r="F102" s="259"/>
    </row>
    <row r="103" spans="1:6" x14ac:dyDescent="0.25">
      <c r="A103" s="315">
        <v>94</v>
      </c>
      <c r="B103" s="262"/>
      <c r="C103" s="260"/>
      <c r="D103" s="259"/>
      <c r="E103" s="259"/>
      <c r="F103" s="259"/>
    </row>
    <row r="104" spans="1:6" x14ac:dyDescent="0.25">
      <c r="A104" s="315">
        <v>95</v>
      </c>
      <c r="B104" s="262"/>
      <c r="C104" s="260"/>
      <c r="D104" s="259"/>
      <c r="E104" s="259"/>
      <c r="F104" s="259"/>
    </row>
    <row r="105" spans="1:6" x14ac:dyDescent="0.25">
      <c r="A105" s="315">
        <v>96</v>
      </c>
      <c r="B105" s="262"/>
      <c r="C105" s="260"/>
      <c r="D105" s="259"/>
      <c r="E105" s="259"/>
      <c r="F105" s="259"/>
    </row>
    <row r="106" spans="1:6" x14ac:dyDescent="0.25">
      <c r="A106" s="315">
        <v>97</v>
      </c>
      <c r="B106" s="262"/>
      <c r="C106" s="260"/>
      <c r="D106" s="259"/>
      <c r="E106" s="259"/>
      <c r="F106" s="259"/>
    </row>
    <row r="107" spans="1:6" x14ac:dyDescent="0.25">
      <c r="A107" s="315">
        <v>98</v>
      </c>
      <c r="B107" s="262"/>
      <c r="C107" s="260"/>
      <c r="D107" s="259"/>
      <c r="E107" s="259"/>
      <c r="F107" s="259"/>
    </row>
    <row r="108" spans="1:6" x14ac:dyDescent="0.25">
      <c r="A108" s="315">
        <v>99</v>
      </c>
      <c r="B108" s="262"/>
      <c r="C108" s="260"/>
      <c r="D108" s="259"/>
      <c r="E108" s="259"/>
      <c r="F108" s="259"/>
    </row>
    <row r="109" spans="1:6" x14ac:dyDescent="0.25">
      <c r="A109" s="315">
        <v>100</v>
      </c>
      <c r="B109" s="262"/>
      <c r="C109" s="260"/>
      <c r="D109" s="259"/>
      <c r="E109" s="259"/>
      <c r="F109" s="259"/>
    </row>
    <row r="110" spans="1:6" x14ac:dyDescent="0.25">
      <c r="A110" s="315">
        <v>101</v>
      </c>
      <c r="B110" s="262"/>
      <c r="C110" s="260"/>
      <c r="D110" s="259"/>
      <c r="E110" s="259"/>
      <c r="F110" s="259"/>
    </row>
    <row r="111" spans="1:6" x14ac:dyDescent="0.25">
      <c r="A111" s="315">
        <v>102</v>
      </c>
      <c r="B111" s="262"/>
      <c r="C111" s="260"/>
      <c r="D111" s="259"/>
      <c r="E111" s="259"/>
      <c r="F111" s="259"/>
    </row>
    <row r="112" spans="1:6" x14ac:dyDescent="0.25">
      <c r="A112" s="315">
        <v>103</v>
      </c>
      <c r="B112" s="262"/>
      <c r="C112" s="260"/>
      <c r="D112" s="259"/>
      <c r="E112" s="259"/>
      <c r="F112" s="259"/>
    </row>
    <row r="113" spans="1:6" x14ac:dyDescent="0.25">
      <c r="A113" s="315">
        <v>104</v>
      </c>
      <c r="B113" s="262"/>
      <c r="C113" s="260"/>
      <c r="D113" s="259"/>
      <c r="E113" s="259"/>
      <c r="F113" s="259"/>
    </row>
    <row r="114" spans="1:6" x14ac:dyDescent="0.25">
      <c r="A114" s="315">
        <v>105</v>
      </c>
      <c r="B114" s="262"/>
      <c r="C114" s="260"/>
      <c r="D114" s="259"/>
      <c r="E114" s="259"/>
      <c r="F114" s="259"/>
    </row>
    <row r="115" spans="1:6" x14ac:dyDescent="0.25">
      <c r="A115" s="315">
        <v>106</v>
      </c>
      <c r="B115" s="262"/>
      <c r="C115" s="260"/>
      <c r="D115" s="259"/>
      <c r="E115" s="259"/>
      <c r="F115" s="259"/>
    </row>
    <row r="116" spans="1:6" x14ac:dyDescent="0.25">
      <c r="A116" s="315">
        <v>107</v>
      </c>
      <c r="B116" s="262"/>
      <c r="C116" s="260"/>
      <c r="D116" s="259"/>
      <c r="E116" s="259"/>
      <c r="F116" s="259"/>
    </row>
    <row r="117" spans="1:6" x14ac:dyDescent="0.25">
      <c r="A117" s="315">
        <v>108</v>
      </c>
      <c r="B117" s="262"/>
      <c r="C117" s="260"/>
      <c r="D117" s="259"/>
      <c r="E117" s="259"/>
      <c r="F117" s="259"/>
    </row>
    <row r="118" spans="1:6" x14ac:dyDescent="0.25">
      <c r="A118" s="315">
        <v>109</v>
      </c>
      <c r="B118" s="262"/>
      <c r="C118" s="260"/>
      <c r="D118" s="259"/>
      <c r="E118" s="259"/>
      <c r="F118" s="259"/>
    </row>
    <row r="119" spans="1:6" x14ac:dyDescent="0.25">
      <c r="A119" s="315">
        <v>110</v>
      </c>
      <c r="B119" s="262"/>
      <c r="C119" s="260"/>
      <c r="D119" s="259"/>
      <c r="E119" s="259"/>
      <c r="F119" s="259"/>
    </row>
    <row r="120" spans="1:6" x14ac:dyDescent="0.25">
      <c r="A120" s="315">
        <v>111</v>
      </c>
      <c r="B120" s="262"/>
      <c r="C120" s="260"/>
      <c r="D120" s="259"/>
      <c r="E120" s="259"/>
      <c r="F120" s="259"/>
    </row>
    <row r="121" spans="1:6" x14ac:dyDescent="0.25">
      <c r="A121" s="315">
        <v>112</v>
      </c>
      <c r="B121" s="262"/>
      <c r="C121" s="260"/>
      <c r="D121" s="259"/>
      <c r="E121" s="259"/>
      <c r="F121" s="259"/>
    </row>
    <row r="122" spans="1:6" x14ac:dyDescent="0.25">
      <c r="A122" s="315">
        <v>113</v>
      </c>
      <c r="B122" s="262"/>
      <c r="C122" s="260"/>
      <c r="D122" s="259"/>
      <c r="E122" s="259"/>
      <c r="F122" s="259"/>
    </row>
    <row r="123" spans="1:6" x14ac:dyDescent="0.25">
      <c r="A123" s="315">
        <v>114</v>
      </c>
      <c r="B123" s="262"/>
      <c r="C123" s="260"/>
      <c r="D123" s="259"/>
      <c r="E123" s="259"/>
      <c r="F123" s="259"/>
    </row>
    <row r="124" spans="1:6" x14ac:dyDescent="0.25">
      <c r="A124" s="315">
        <v>115</v>
      </c>
      <c r="B124" s="262"/>
      <c r="C124" s="260"/>
      <c r="D124" s="259"/>
      <c r="E124" s="259"/>
      <c r="F124" s="259"/>
    </row>
    <row r="125" spans="1:6" x14ac:dyDescent="0.25">
      <c r="A125" s="315">
        <v>116</v>
      </c>
      <c r="B125" s="262"/>
      <c r="C125" s="260"/>
      <c r="D125" s="259"/>
      <c r="E125" s="259"/>
      <c r="F125" s="259"/>
    </row>
    <row r="126" spans="1:6" x14ac:dyDescent="0.25">
      <c r="A126" s="315">
        <v>117</v>
      </c>
      <c r="B126" s="262"/>
      <c r="C126" s="260"/>
      <c r="D126" s="259"/>
      <c r="E126" s="259"/>
      <c r="F126" s="259"/>
    </row>
    <row r="127" spans="1:6" x14ac:dyDescent="0.25">
      <c r="B127" s="262"/>
      <c r="C127" s="260"/>
      <c r="D127" s="259"/>
      <c r="E127" s="259"/>
      <c r="F127" s="259"/>
    </row>
    <row r="128" spans="1:6" x14ac:dyDescent="0.25">
      <c r="B128" s="262"/>
      <c r="C128" s="260"/>
      <c r="D128" s="259"/>
      <c r="E128" s="259"/>
      <c r="F128" s="259"/>
    </row>
    <row r="129" spans="2:6" x14ac:dyDescent="0.25">
      <c r="B129" s="262"/>
      <c r="C129" s="260"/>
      <c r="D129" s="259"/>
      <c r="E129" s="259"/>
      <c r="F129" s="259"/>
    </row>
    <row r="130" spans="2:6" x14ac:dyDescent="0.25">
      <c r="B130" s="262"/>
      <c r="C130" s="260"/>
      <c r="D130" s="259"/>
      <c r="E130" s="259"/>
      <c r="F130" s="259"/>
    </row>
    <row r="131" spans="2:6" x14ac:dyDescent="0.25">
      <c r="B131" s="262"/>
      <c r="C131" s="260"/>
      <c r="D131" s="259"/>
      <c r="E131" s="259"/>
      <c r="F131" s="259"/>
    </row>
    <row r="132" spans="2:6" x14ac:dyDescent="0.25">
      <c r="B132" s="262"/>
      <c r="C132" s="260"/>
      <c r="D132" s="259"/>
      <c r="E132" s="259"/>
      <c r="F132" s="259"/>
    </row>
    <row r="133" spans="2:6" x14ac:dyDescent="0.25">
      <c r="B133" s="262"/>
      <c r="C133" s="260"/>
      <c r="D133" s="259"/>
      <c r="E133" s="259"/>
      <c r="F133" s="259"/>
    </row>
    <row r="134" spans="2:6" x14ac:dyDescent="0.25">
      <c r="B134" s="262"/>
      <c r="C134" s="260"/>
      <c r="D134" s="259"/>
      <c r="E134" s="259"/>
      <c r="F134" s="259"/>
    </row>
    <row r="135" spans="2:6" x14ac:dyDescent="0.25">
      <c r="B135" s="262"/>
      <c r="C135" s="260"/>
      <c r="D135" s="259"/>
      <c r="E135" s="259"/>
      <c r="F135" s="259"/>
    </row>
    <row r="136" spans="2:6" x14ac:dyDescent="0.25">
      <c r="B136" s="262"/>
      <c r="C136" s="260"/>
      <c r="D136" s="259"/>
      <c r="E136" s="259"/>
      <c r="F136" s="259"/>
    </row>
    <row r="137" spans="2:6" x14ac:dyDescent="0.25">
      <c r="B137" s="262"/>
      <c r="C137" s="260"/>
      <c r="D137" s="259"/>
      <c r="E137" s="259"/>
      <c r="F137" s="259"/>
    </row>
    <row r="138" spans="2:6" x14ac:dyDescent="0.25">
      <c r="B138" s="262"/>
      <c r="C138" s="260"/>
      <c r="D138" s="259"/>
      <c r="E138" s="259"/>
      <c r="F138" s="259"/>
    </row>
    <row r="139" spans="2:6" x14ac:dyDescent="0.25">
      <c r="B139" s="262"/>
      <c r="C139" s="260"/>
      <c r="D139" s="259"/>
      <c r="E139" s="259"/>
      <c r="F139" s="259"/>
    </row>
    <row r="140" spans="2:6" x14ac:dyDescent="0.25">
      <c r="B140" s="262"/>
      <c r="C140" s="260"/>
      <c r="D140" s="259"/>
      <c r="E140" s="259"/>
      <c r="F140" s="259"/>
    </row>
    <row r="141" spans="2:6" x14ac:dyDescent="0.25">
      <c r="B141" s="262"/>
      <c r="C141" s="260"/>
      <c r="D141" s="259"/>
      <c r="E141" s="259"/>
      <c r="F141" s="259"/>
    </row>
    <row r="142" spans="2:6" x14ac:dyDescent="0.25">
      <c r="B142" s="262"/>
      <c r="C142" s="260"/>
      <c r="D142" s="259"/>
      <c r="E142" s="259"/>
      <c r="F142" s="259"/>
    </row>
    <row r="143" spans="2:6" x14ac:dyDescent="0.25">
      <c r="B143" s="262"/>
      <c r="C143" s="260"/>
      <c r="D143" s="259"/>
      <c r="E143" s="259"/>
      <c r="F143" s="259"/>
    </row>
    <row r="144" spans="2:6" x14ac:dyDescent="0.25">
      <c r="B144" s="262"/>
      <c r="C144" s="260"/>
      <c r="D144" s="259"/>
      <c r="E144" s="259"/>
      <c r="F144" s="259"/>
    </row>
    <row r="145" spans="2:6" x14ac:dyDescent="0.25">
      <c r="B145" s="262"/>
      <c r="C145" s="260"/>
      <c r="D145" s="259"/>
      <c r="E145" s="259"/>
      <c r="F145" s="259"/>
    </row>
    <row r="146" spans="2:6" x14ac:dyDescent="0.25">
      <c r="B146" s="262"/>
      <c r="C146" s="260"/>
      <c r="D146" s="259"/>
      <c r="E146" s="259"/>
      <c r="F146" s="259"/>
    </row>
    <row r="147" spans="2:6" x14ac:dyDescent="0.25">
      <c r="B147" s="262"/>
      <c r="C147" s="260"/>
      <c r="D147" s="259"/>
      <c r="E147" s="259"/>
      <c r="F147" s="259"/>
    </row>
    <row r="148" spans="2:6" x14ac:dyDescent="0.25">
      <c r="B148" s="262"/>
      <c r="C148" s="260"/>
      <c r="D148" s="259"/>
      <c r="E148" s="259"/>
      <c r="F148" s="259"/>
    </row>
    <row r="149" spans="2:6" x14ac:dyDescent="0.25">
      <c r="B149" s="262"/>
      <c r="C149" s="260"/>
      <c r="D149" s="259"/>
      <c r="E149" s="259"/>
      <c r="F149" s="259"/>
    </row>
    <row r="150" spans="2:6" x14ac:dyDescent="0.25">
      <c r="B150" s="262"/>
      <c r="C150" s="260"/>
      <c r="D150" s="259"/>
      <c r="E150" s="259"/>
      <c r="F150" s="259"/>
    </row>
    <row r="151" spans="2:6" x14ac:dyDescent="0.25">
      <c r="B151" s="262"/>
      <c r="C151" s="260"/>
      <c r="D151" s="259"/>
      <c r="E151" s="259"/>
      <c r="F151" s="259"/>
    </row>
    <row r="152" spans="2:6" x14ac:dyDescent="0.25">
      <c r="B152" s="262"/>
      <c r="C152" s="260"/>
      <c r="D152" s="259"/>
      <c r="E152" s="259"/>
      <c r="F152" s="259"/>
    </row>
    <row r="153" spans="2:6" x14ac:dyDescent="0.25">
      <c r="B153" s="262"/>
      <c r="C153" s="260"/>
      <c r="D153" s="259"/>
      <c r="E153" s="259"/>
      <c r="F153" s="259"/>
    </row>
    <row r="154" spans="2:6" x14ac:dyDescent="0.25">
      <c r="B154" s="262"/>
      <c r="C154" s="260"/>
      <c r="D154" s="259"/>
      <c r="E154" s="259"/>
      <c r="F154" s="259"/>
    </row>
    <row r="155" spans="2:6" x14ac:dyDescent="0.25">
      <c r="B155" s="262"/>
      <c r="C155" s="260"/>
      <c r="D155" s="259"/>
      <c r="E155" s="259"/>
      <c r="F155" s="259"/>
    </row>
    <row r="156" spans="2:6" x14ac:dyDescent="0.25">
      <c r="B156" s="262"/>
      <c r="C156" s="260"/>
      <c r="D156" s="259"/>
      <c r="E156" s="259"/>
      <c r="F156" s="259"/>
    </row>
    <row r="157" spans="2:6" x14ac:dyDescent="0.25">
      <c r="B157" s="262"/>
      <c r="C157" s="260"/>
      <c r="D157" s="259"/>
      <c r="E157" s="259"/>
      <c r="F157" s="259"/>
    </row>
    <row r="158" spans="2:6" x14ac:dyDescent="0.25">
      <c r="B158" s="262"/>
      <c r="C158" s="260"/>
      <c r="D158" s="259"/>
      <c r="E158" s="259"/>
      <c r="F158" s="259"/>
    </row>
    <row r="159" spans="2:6" x14ac:dyDescent="0.25">
      <c r="B159" s="262"/>
      <c r="C159" s="260"/>
      <c r="D159" s="259"/>
      <c r="E159" s="259"/>
      <c r="F159" s="259"/>
    </row>
    <row r="160" spans="2:6" x14ac:dyDescent="0.25">
      <c r="B160" s="262"/>
      <c r="C160" s="260"/>
      <c r="D160" s="259"/>
      <c r="E160" s="259"/>
      <c r="F160" s="259"/>
    </row>
    <row r="161" spans="2:6" x14ac:dyDescent="0.25">
      <c r="B161" s="262"/>
      <c r="C161" s="260"/>
      <c r="D161" s="259"/>
      <c r="E161" s="259"/>
      <c r="F161" s="259"/>
    </row>
    <row r="162" spans="2:6" x14ac:dyDescent="0.25">
      <c r="B162" s="262"/>
      <c r="C162" s="260"/>
      <c r="D162" s="259"/>
      <c r="E162" s="259"/>
      <c r="F162" s="259"/>
    </row>
    <row r="163" spans="2:6" x14ac:dyDescent="0.25">
      <c r="B163" s="262"/>
      <c r="C163" s="260"/>
      <c r="D163" s="259"/>
      <c r="E163" s="259"/>
      <c r="F163" s="259"/>
    </row>
    <row r="164" spans="2:6" x14ac:dyDescent="0.25">
      <c r="B164" s="262"/>
      <c r="C164" s="260"/>
      <c r="D164" s="259"/>
      <c r="E164" s="259"/>
      <c r="F164" s="259"/>
    </row>
    <row r="165" spans="2:6" x14ac:dyDescent="0.25">
      <c r="B165" s="262"/>
      <c r="C165" s="260"/>
      <c r="D165" s="259"/>
      <c r="E165" s="259"/>
      <c r="F165" s="259"/>
    </row>
    <row r="166" spans="2:6" x14ac:dyDescent="0.25">
      <c r="B166" s="262"/>
      <c r="C166" s="260"/>
      <c r="D166" s="259"/>
      <c r="E166" s="259"/>
      <c r="F166" s="259"/>
    </row>
    <row r="167" spans="2:6" x14ac:dyDescent="0.25">
      <c r="B167" s="262"/>
      <c r="C167" s="260"/>
      <c r="D167" s="259"/>
      <c r="E167" s="259"/>
      <c r="F167" s="259"/>
    </row>
    <row r="168" spans="2:6" x14ac:dyDescent="0.25">
      <c r="B168" s="262"/>
      <c r="C168" s="260"/>
      <c r="D168" s="259"/>
      <c r="E168" s="259"/>
      <c r="F168" s="259"/>
    </row>
    <row r="169" spans="2:6" x14ac:dyDescent="0.25">
      <c r="B169" s="262"/>
      <c r="C169" s="260"/>
      <c r="D169" s="259"/>
      <c r="E169" s="259"/>
      <c r="F169" s="259"/>
    </row>
    <row r="170" spans="2:6" x14ac:dyDescent="0.25">
      <c r="B170" s="262"/>
      <c r="C170" s="260"/>
      <c r="D170" s="259"/>
      <c r="E170" s="259"/>
      <c r="F170" s="259"/>
    </row>
    <row r="171" spans="2:6" x14ac:dyDescent="0.25">
      <c r="B171" s="262"/>
      <c r="C171" s="260"/>
      <c r="D171" s="259"/>
      <c r="E171" s="259"/>
      <c r="F171" s="259"/>
    </row>
    <row r="172" spans="2:6" x14ac:dyDescent="0.25">
      <c r="B172" s="262"/>
      <c r="C172" s="260"/>
      <c r="D172" s="259"/>
      <c r="E172" s="259"/>
      <c r="F172" s="259"/>
    </row>
    <row r="173" spans="2:6" x14ac:dyDescent="0.25">
      <c r="B173" s="262"/>
      <c r="C173" s="260"/>
      <c r="D173" s="259"/>
      <c r="E173" s="259"/>
      <c r="F173" s="259"/>
    </row>
    <row r="174" spans="2:6" x14ac:dyDescent="0.25">
      <c r="B174" s="262"/>
      <c r="C174" s="260"/>
      <c r="D174" s="259"/>
      <c r="E174" s="259"/>
      <c r="F174" s="259"/>
    </row>
    <row r="175" spans="2:6" x14ac:dyDescent="0.25">
      <c r="B175" s="262"/>
      <c r="C175" s="260"/>
      <c r="D175" s="259"/>
      <c r="E175" s="259"/>
      <c r="F175" s="259"/>
    </row>
    <row r="176" spans="2:6" x14ac:dyDescent="0.25">
      <c r="B176" s="262"/>
      <c r="C176" s="260"/>
      <c r="D176" s="259"/>
      <c r="E176" s="259"/>
      <c r="F176" s="259"/>
    </row>
    <row r="177" spans="2:6" x14ac:dyDescent="0.25">
      <c r="B177" s="262"/>
      <c r="C177" s="260"/>
      <c r="D177" s="259"/>
      <c r="E177" s="259"/>
      <c r="F177" s="259"/>
    </row>
    <row r="178" spans="2:6" x14ac:dyDescent="0.25">
      <c r="B178" s="262"/>
      <c r="C178" s="260"/>
      <c r="D178" s="259"/>
      <c r="E178" s="259"/>
      <c r="F178" s="259"/>
    </row>
    <row r="179" spans="2:6" x14ac:dyDescent="0.25">
      <c r="B179" s="262"/>
      <c r="C179" s="260"/>
      <c r="D179" s="259"/>
      <c r="E179" s="259"/>
      <c r="F179" s="259"/>
    </row>
    <row r="180" spans="2:6" x14ac:dyDescent="0.25">
      <c r="B180" s="262"/>
      <c r="C180" s="260"/>
      <c r="D180" s="259"/>
      <c r="E180" s="259"/>
      <c r="F180" s="259"/>
    </row>
    <row r="181" spans="2:6" x14ac:dyDescent="0.25">
      <c r="B181" s="262"/>
      <c r="C181" s="260"/>
      <c r="D181" s="259"/>
      <c r="E181" s="259"/>
      <c r="F181" s="259"/>
    </row>
    <row r="182" spans="2:6" x14ac:dyDescent="0.25">
      <c r="B182" s="262"/>
      <c r="C182" s="260"/>
      <c r="D182" s="259"/>
      <c r="E182" s="259"/>
      <c r="F182" s="259"/>
    </row>
    <row r="183" spans="2:6" x14ac:dyDescent="0.25">
      <c r="B183" s="262"/>
      <c r="C183" s="260"/>
      <c r="D183" s="259"/>
      <c r="E183" s="259"/>
      <c r="F183" s="259"/>
    </row>
    <row r="184" spans="2:6" x14ac:dyDescent="0.25">
      <c r="B184" s="262"/>
      <c r="C184" s="260"/>
      <c r="D184" s="259"/>
      <c r="E184" s="259"/>
      <c r="F184" s="259"/>
    </row>
    <row r="185" spans="2:6" x14ac:dyDescent="0.25">
      <c r="B185" s="262"/>
      <c r="C185" s="260"/>
      <c r="D185" s="259"/>
      <c r="E185" s="259"/>
      <c r="F185" s="259"/>
    </row>
    <row r="186" spans="2:6" x14ac:dyDescent="0.25">
      <c r="B186" s="262"/>
      <c r="C186" s="260"/>
      <c r="D186" s="259"/>
      <c r="E186" s="259"/>
      <c r="F186" s="259"/>
    </row>
    <row r="187" spans="2:6" x14ac:dyDescent="0.25">
      <c r="B187" s="262"/>
      <c r="C187" s="260"/>
      <c r="D187" s="259"/>
      <c r="E187" s="259"/>
      <c r="F187" s="259"/>
    </row>
    <row r="188" spans="2:6" x14ac:dyDescent="0.25">
      <c r="B188" s="262"/>
      <c r="C188" s="260"/>
      <c r="D188" s="259"/>
      <c r="E188" s="259"/>
      <c r="F188" s="259"/>
    </row>
    <row r="189" spans="2:6" x14ac:dyDescent="0.25">
      <c r="B189" s="262"/>
      <c r="C189" s="260"/>
      <c r="D189" s="259"/>
      <c r="E189" s="259"/>
      <c r="F189" s="259"/>
    </row>
    <row r="190" spans="2:6" x14ac:dyDescent="0.25">
      <c r="B190" s="262"/>
      <c r="C190" s="260"/>
      <c r="D190" s="259"/>
      <c r="E190" s="259"/>
      <c r="F190" s="259"/>
    </row>
    <row r="191" spans="2:6" x14ac:dyDescent="0.25">
      <c r="B191" s="262"/>
      <c r="C191" s="260"/>
      <c r="D191" s="259"/>
      <c r="E191" s="259"/>
      <c r="F191" s="259"/>
    </row>
    <row r="192" spans="2:6" x14ac:dyDescent="0.25">
      <c r="B192" s="262"/>
      <c r="C192" s="260"/>
      <c r="D192" s="259"/>
      <c r="E192" s="259"/>
      <c r="F192" s="259"/>
    </row>
    <row r="193" spans="2:6" x14ac:dyDescent="0.25">
      <c r="B193" s="262"/>
      <c r="C193" s="260"/>
      <c r="D193" s="259"/>
      <c r="E193" s="259"/>
      <c r="F193" s="259"/>
    </row>
    <row r="194" spans="2:6" x14ac:dyDescent="0.25">
      <c r="B194" s="262"/>
      <c r="C194" s="260"/>
      <c r="D194" s="259"/>
      <c r="E194" s="259"/>
      <c r="F194" s="259"/>
    </row>
    <row r="195" spans="2:6" x14ac:dyDescent="0.25">
      <c r="B195" s="262"/>
      <c r="C195" s="260"/>
      <c r="D195" s="259"/>
      <c r="E195" s="259"/>
      <c r="F195" s="259"/>
    </row>
    <row r="196" spans="2:6" x14ac:dyDescent="0.25">
      <c r="B196" s="262"/>
      <c r="C196" s="260"/>
      <c r="D196" s="259"/>
      <c r="E196" s="259"/>
      <c r="F196" s="259"/>
    </row>
    <row r="197" spans="2:6" x14ac:dyDescent="0.25">
      <c r="B197" s="262"/>
      <c r="C197" s="260"/>
      <c r="D197" s="259"/>
      <c r="E197" s="259"/>
      <c r="F197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1D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68"/>
  <sheetViews>
    <sheetView topLeftCell="A71" workbookViewId="0">
      <selection activeCell="B72" sqref="B72:E87"/>
    </sheetView>
  </sheetViews>
  <sheetFormatPr defaultRowHeight="15" x14ac:dyDescent="0.25"/>
  <cols>
    <col min="2" max="2" width="12.5703125" customWidth="1"/>
    <col min="3" max="3" width="37.85546875" customWidth="1"/>
    <col min="4" max="4" width="19.85546875" style="2" customWidth="1"/>
    <col min="5" max="5" width="13.85546875" style="2" customWidth="1"/>
    <col min="6" max="6" width="19" style="2" customWidth="1"/>
  </cols>
  <sheetData>
    <row r="1" spans="1:10" x14ac:dyDescent="0.25">
      <c r="A1" s="1"/>
      <c r="B1" s="1"/>
      <c r="G1" s="1" t="s">
        <v>16</v>
      </c>
    </row>
    <row r="2" spans="1:10" x14ac:dyDescent="0.25">
      <c r="A2" s="411" t="s">
        <v>3</v>
      </c>
      <c r="B2" s="411"/>
      <c r="C2" s="411"/>
      <c r="D2" s="411"/>
      <c r="E2" s="411"/>
      <c r="F2" s="411"/>
    </row>
    <row r="3" spans="1:10" x14ac:dyDescent="0.25">
      <c r="A3" t="s">
        <v>4</v>
      </c>
      <c r="D3" s="2" t="s">
        <v>168</v>
      </c>
    </row>
    <row r="4" spans="1:10" x14ac:dyDescent="0.25">
      <c r="E4" s="2" t="s">
        <v>9</v>
      </c>
      <c r="F4" s="2">
        <v>0</v>
      </c>
    </row>
    <row r="5" spans="1:10" x14ac:dyDescent="0.25">
      <c r="A5" t="s">
        <v>13</v>
      </c>
      <c r="D5" s="3">
        <f ca="1">+'Tổng hợp'!$G$2</f>
        <v>45784</v>
      </c>
      <c r="E5" s="2" t="s">
        <v>10</v>
      </c>
      <c r="F5" s="2">
        <f>SUM(D10:D200)</f>
        <v>618968467</v>
      </c>
    </row>
    <row r="6" spans="1:10" x14ac:dyDescent="0.25">
      <c r="E6" s="2" t="s">
        <v>11</v>
      </c>
      <c r="F6" s="2">
        <f>SUM(E10:E200)</f>
        <v>618968467</v>
      </c>
    </row>
    <row r="7" spans="1:10" x14ac:dyDescent="0.25">
      <c r="E7" s="2" t="s">
        <v>12</v>
      </c>
      <c r="F7" s="2">
        <f>+F4+F5-F6</f>
        <v>0</v>
      </c>
    </row>
    <row r="8" spans="1:10" x14ac:dyDescent="0.25">
      <c r="A8" s="416" t="s">
        <v>0</v>
      </c>
      <c r="B8" s="416" t="s">
        <v>13</v>
      </c>
      <c r="C8" s="416" t="s">
        <v>5</v>
      </c>
      <c r="D8" s="417" t="s">
        <v>8</v>
      </c>
      <c r="E8" s="417"/>
      <c r="F8" s="417" t="s">
        <v>2</v>
      </c>
    </row>
    <row r="9" spans="1:10" x14ac:dyDescent="0.25">
      <c r="A9" s="416"/>
      <c r="B9" s="416"/>
      <c r="C9" s="416"/>
      <c r="D9" s="259" t="s">
        <v>6</v>
      </c>
      <c r="E9" s="259" t="s">
        <v>7</v>
      </c>
      <c r="F9" s="417"/>
    </row>
    <row r="10" spans="1:10" ht="35.25" customHeight="1" x14ac:dyDescent="0.25">
      <c r="A10" s="262">
        <v>1</v>
      </c>
      <c r="B10" s="264">
        <v>43645</v>
      </c>
      <c r="C10" s="260" t="s">
        <v>165</v>
      </c>
      <c r="D10" s="259">
        <v>4600000</v>
      </c>
      <c r="E10" s="259"/>
      <c r="F10" s="259"/>
      <c r="G10" t="s">
        <v>170</v>
      </c>
    </row>
    <row r="11" spans="1:10" ht="35.25" customHeight="1" x14ac:dyDescent="0.25">
      <c r="A11" s="262">
        <v>2</v>
      </c>
      <c r="B11" s="264">
        <v>43645</v>
      </c>
      <c r="C11" s="260" t="s">
        <v>166</v>
      </c>
      <c r="D11" s="259">
        <v>5273000</v>
      </c>
      <c r="E11" s="259">
        <v>0</v>
      </c>
      <c r="F11" s="259" t="s">
        <v>167</v>
      </c>
      <c r="G11" t="s">
        <v>169</v>
      </c>
      <c r="J11" t="s">
        <v>197</v>
      </c>
    </row>
    <row r="12" spans="1:10" ht="35.25" customHeight="1" x14ac:dyDescent="0.25">
      <c r="A12" s="262">
        <v>3</v>
      </c>
      <c r="B12" s="264">
        <v>43655</v>
      </c>
      <c r="C12" s="260" t="s">
        <v>185</v>
      </c>
      <c r="D12" s="259"/>
      <c r="E12" s="259">
        <v>4600000</v>
      </c>
      <c r="F12" s="259"/>
    </row>
    <row r="13" spans="1:10" ht="35.25" customHeight="1" x14ac:dyDescent="0.25">
      <c r="A13" s="262">
        <v>4</v>
      </c>
      <c r="B13" s="264">
        <v>43666</v>
      </c>
      <c r="C13" s="260" t="s">
        <v>166</v>
      </c>
      <c r="D13" s="259">
        <v>400000</v>
      </c>
      <c r="E13" s="259"/>
      <c r="F13" s="259" t="s">
        <v>167</v>
      </c>
      <c r="G13" t="s">
        <v>216</v>
      </c>
      <c r="J13" t="s">
        <v>218</v>
      </c>
    </row>
    <row r="14" spans="1:10" ht="35.25" customHeight="1" x14ac:dyDescent="0.25">
      <c r="A14" s="262">
        <v>5</v>
      </c>
      <c r="B14" s="260"/>
      <c r="C14" s="260" t="s">
        <v>217</v>
      </c>
      <c r="D14" s="259"/>
      <c r="E14" s="259">
        <v>4400000</v>
      </c>
      <c r="F14" s="259"/>
      <c r="J14" t="s">
        <v>219</v>
      </c>
    </row>
    <row r="15" spans="1:10" ht="35.25" customHeight="1" x14ac:dyDescent="0.25">
      <c r="A15" s="262">
        <v>6</v>
      </c>
      <c r="B15" s="264">
        <v>43747</v>
      </c>
      <c r="C15" s="260" t="s">
        <v>217</v>
      </c>
      <c r="D15" s="259"/>
      <c r="E15" s="259">
        <v>1273000</v>
      </c>
      <c r="F15" s="259"/>
    </row>
    <row r="16" spans="1:10" ht="32.25" customHeight="1" x14ac:dyDescent="0.25">
      <c r="A16" s="262">
        <v>7</v>
      </c>
      <c r="B16" s="264">
        <v>44124</v>
      </c>
      <c r="C16" s="260" t="s">
        <v>651</v>
      </c>
      <c r="D16" s="259">
        <v>3305000</v>
      </c>
      <c r="E16" s="259"/>
      <c r="F16" s="259" t="s">
        <v>653</v>
      </c>
      <c r="G16" t="s">
        <v>652</v>
      </c>
    </row>
    <row r="17" spans="1:7" ht="32.25" customHeight="1" x14ac:dyDescent="0.25">
      <c r="A17" s="262">
        <v>8</v>
      </c>
      <c r="B17" s="260"/>
      <c r="C17" s="260" t="s">
        <v>654</v>
      </c>
      <c r="D17" s="259"/>
      <c r="E17" s="259">
        <v>3305000</v>
      </c>
      <c r="F17" s="259"/>
    </row>
    <row r="18" spans="1:7" ht="32.25" customHeight="1" x14ac:dyDescent="0.25">
      <c r="A18" s="262">
        <v>9</v>
      </c>
      <c r="B18" s="264">
        <v>44130</v>
      </c>
      <c r="C18" s="260" t="s">
        <v>649</v>
      </c>
      <c r="D18" s="259">
        <v>6050000</v>
      </c>
      <c r="E18" s="259"/>
      <c r="F18" s="259"/>
      <c r="G18" t="s">
        <v>650</v>
      </c>
    </row>
    <row r="19" spans="1:7" ht="32.25" customHeight="1" x14ac:dyDescent="0.25">
      <c r="A19" s="262">
        <v>10</v>
      </c>
      <c r="B19" s="264">
        <v>44134</v>
      </c>
      <c r="C19" s="260" t="s">
        <v>658</v>
      </c>
      <c r="D19" s="259"/>
      <c r="E19" s="259">
        <v>6050000</v>
      </c>
      <c r="F19" s="259"/>
    </row>
    <row r="20" spans="1:7" ht="32.25" customHeight="1" x14ac:dyDescent="0.25">
      <c r="A20" s="262">
        <v>11</v>
      </c>
      <c r="B20" s="264">
        <v>44133</v>
      </c>
      <c r="C20" s="260" t="s">
        <v>665</v>
      </c>
      <c r="D20" s="259">
        <f>2629510+1908100</f>
        <v>4537610</v>
      </c>
      <c r="E20" s="259"/>
      <c r="F20" s="259"/>
      <c r="G20" t="s">
        <v>667</v>
      </c>
    </row>
    <row r="21" spans="1:7" ht="32.25" customHeight="1" x14ac:dyDescent="0.25">
      <c r="A21" s="262">
        <v>12</v>
      </c>
      <c r="B21" s="264">
        <v>44138</v>
      </c>
      <c r="C21" s="260" t="s">
        <v>666</v>
      </c>
      <c r="D21" s="259"/>
      <c r="E21" s="259">
        <v>4537610</v>
      </c>
      <c r="F21" s="259"/>
    </row>
    <row r="22" spans="1:7" ht="32.25" customHeight="1" x14ac:dyDescent="0.25">
      <c r="A22" s="262">
        <v>13</v>
      </c>
      <c r="B22" s="264">
        <v>44204</v>
      </c>
      <c r="C22" s="260" t="s">
        <v>705</v>
      </c>
      <c r="D22" s="259">
        <v>4345000</v>
      </c>
      <c r="E22" s="259"/>
      <c r="F22" s="259"/>
      <c r="G22" t="s">
        <v>707</v>
      </c>
    </row>
    <row r="23" spans="1:7" ht="32.25" customHeight="1" x14ac:dyDescent="0.25">
      <c r="A23" s="262">
        <v>14</v>
      </c>
      <c r="B23" s="264">
        <v>44207</v>
      </c>
      <c r="C23" s="260" t="s">
        <v>706</v>
      </c>
      <c r="D23" s="259"/>
      <c r="E23" s="259">
        <v>4345000</v>
      </c>
      <c r="F23" s="259"/>
    </row>
    <row r="24" spans="1:7" ht="32.25" customHeight="1" x14ac:dyDescent="0.25">
      <c r="A24" s="262">
        <v>15</v>
      </c>
      <c r="B24" s="264">
        <v>44258</v>
      </c>
      <c r="C24" s="260" t="s">
        <v>749</v>
      </c>
      <c r="D24" s="259">
        <v>8579259</v>
      </c>
      <c r="E24" s="259"/>
      <c r="F24" s="259"/>
      <c r="G24" t="s">
        <v>750</v>
      </c>
    </row>
    <row r="25" spans="1:7" ht="32.25" customHeight="1" x14ac:dyDescent="0.25">
      <c r="A25" s="262">
        <v>16</v>
      </c>
      <c r="B25" s="264">
        <v>44265</v>
      </c>
      <c r="C25" s="260" t="s">
        <v>706</v>
      </c>
      <c r="D25" s="259"/>
      <c r="E25" s="259">
        <v>8579259</v>
      </c>
      <c r="F25" s="259"/>
    </row>
    <row r="26" spans="1:7" ht="32.25" customHeight="1" x14ac:dyDescent="0.25">
      <c r="A26" s="262">
        <v>17</v>
      </c>
      <c r="B26" s="264">
        <v>44265</v>
      </c>
      <c r="C26" s="260" t="s">
        <v>753</v>
      </c>
      <c r="D26" s="259">
        <v>30160676</v>
      </c>
      <c r="E26" s="259"/>
      <c r="F26" s="259"/>
      <c r="G26" t="s">
        <v>754</v>
      </c>
    </row>
    <row r="27" spans="1:7" ht="32.25" customHeight="1" x14ac:dyDescent="0.25">
      <c r="A27" s="262">
        <v>18</v>
      </c>
      <c r="B27" s="264">
        <v>44271</v>
      </c>
      <c r="C27" s="260" t="s">
        <v>755</v>
      </c>
      <c r="D27" s="259"/>
      <c r="E27" s="259">
        <v>30160676</v>
      </c>
      <c r="F27" s="259"/>
    </row>
    <row r="28" spans="1:7" ht="32.25" customHeight="1" x14ac:dyDescent="0.25">
      <c r="A28" s="262">
        <v>19</v>
      </c>
      <c r="B28" s="264">
        <v>44292</v>
      </c>
      <c r="C28" s="260" t="s">
        <v>766</v>
      </c>
      <c r="D28" s="259">
        <v>10000000</v>
      </c>
      <c r="E28" s="259"/>
      <c r="F28" s="259"/>
    </row>
    <row r="29" spans="1:7" ht="32.25" customHeight="1" x14ac:dyDescent="0.25">
      <c r="A29" s="262">
        <v>20</v>
      </c>
      <c r="B29" s="264">
        <v>44292</v>
      </c>
      <c r="C29" s="260" t="s">
        <v>767</v>
      </c>
      <c r="D29" s="259"/>
      <c r="E29" s="259">
        <v>10000000</v>
      </c>
      <c r="F29" s="259"/>
    </row>
    <row r="30" spans="1:7" ht="32.25" customHeight="1" x14ac:dyDescent="0.25">
      <c r="A30" s="262">
        <v>21</v>
      </c>
      <c r="B30" s="264">
        <v>44293</v>
      </c>
      <c r="C30" s="260" t="s">
        <v>770</v>
      </c>
      <c r="D30" s="259">
        <f>43810200+13073520+1675860</f>
        <v>58559580</v>
      </c>
      <c r="E30" s="259"/>
      <c r="F30" s="259"/>
      <c r="G30" t="s">
        <v>772</v>
      </c>
    </row>
    <row r="31" spans="1:7" ht="32.25" customHeight="1" x14ac:dyDescent="0.25">
      <c r="A31" s="262">
        <v>22</v>
      </c>
      <c r="B31" s="264">
        <v>44303</v>
      </c>
      <c r="C31" s="260" t="s">
        <v>771</v>
      </c>
      <c r="D31" s="259"/>
      <c r="E31" s="259">
        <v>58559580</v>
      </c>
      <c r="F31" s="259"/>
    </row>
    <row r="32" spans="1:7" ht="32.25" customHeight="1" x14ac:dyDescent="0.25">
      <c r="A32" s="262">
        <v>23</v>
      </c>
      <c r="B32" s="264">
        <v>44529</v>
      </c>
      <c r="C32" s="260" t="s">
        <v>1005</v>
      </c>
      <c r="D32" s="259">
        <v>84445500</v>
      </c>
      <c r="E32" s="259"/>
      <c r="F32" s="259"/>
    </row>
    <row r="33" spans="1:8" ht="32.25" customHeight="1" x14ac:dyDescent="0.25">
      <c r="A33" s="262">
        <v>24</v>
      </c>
      <c r="B33" s="264"/>
      <c r="C33" s="260" t="s">
        <v>1011</v>
      </c>
      <c r="D33" s="259"/>
      <c r="E33" s="259">
        <v>84445500</v>
      </c>
      <c r="F33" s="259"/>
    </row>
    <row r="34" spans="1:8" ht="32.25" customHeight="1" x14ac:dyDescent="0.25">
      <c r="A34" s="262">
        <v>25</v>
      </c>
      <c r="B34" s="264">
        <v>44790</v>
      </c>
      <c r="C34" s="260" t="s">
        <v>1333</v>
      </c>
      <c r="D34" s="287">
        <v>4400000</v>
      </c>
      <c r="E34" s="259"/>
      <c r="F34" s="259"/>
      <c r="H34" t="s">
        <v>1275</v>
      </c>
    </row>
    <row r="35" spans="1:8" ht="32.25" customHeight="1" x14ac:dyDescent="0.25">
      <c r="A35" s="262">
        <v>26</v>
      </c>
      <c r="B35" s="264">
        <v>44860</v>
      </c>
      <c r="C35" s="260" t="s">
        <v>1334</v>
      </c>
      <c r="D35" s="287">
        <v>3200000</v>
      </c>
      <c r="E35" s="259"/>
      <c r="F35" s="259"/>
    </row>
    <row r="36" spans="1:8" ht="32.25" customHeight="1" x14ac:dyDescent="0.25">
      <c r="A36" s="262">
        <v>27</v>
      </c>
      <c r="B36" s="264">
        <v>44861</v>
      </c>
      <c r="C36" s="260" t="s">
        <v>1320</v>
      </c>
      <c r="D36" s="287">
        <v>3300000</v>
      </c>
      <c r="E36" s="259"/>
      <c r="F36" s="259"/>
    </row>
    <row r="37" spans="1:8" ht="32.25" customHeight="1" x14ac:dyDescent="0.25">
      <c r="A37" s="262">
        <v>28</v>
      </c>
      <c r="B37" s="264">
        <v>44895</v>
      </c>
      <c r="C37" s="260" t="s">
        <v>1335</v>
      </c>
      <c r="D37" s="287">
        <v>29300000</v>
      </c>
      <c r="E37" s="259"/>
      <c r="F37" s="259"/>
    </row>
    <row r="38" spans="1:8" ht="24.75" customHeight="1" x14ac:dyDescent="0.25">
      <c r="A38" s="262">
        <v>29</v>
      </c>
      <c r="B38" s="264">
        <v>44895</v>
      </c>
      <c r="C38" s="260" t="s">
        <v>1321</v>
      </c>
      <c r="D38" s="287">
        <v>3600000</v>
      </c>
      <c r="E38" s="259"/>
      <c r="F38" s="259"/>
    </row>
    <row r="39" spans="1:8" ht="24.75" customHeight="1" x14ac:dyDescent="0.25">
      <c r="A39" s="262">
        <v>30</v>
      </c>
      <c r="B39" s="264">
        <v>44895</v>
      </c>
      <c r="C39" s="260" t="s">
        <v>1322</v>
      </c>
      <c r="D39" s="287">
        <v>2900000</v>
      </c>
      <c r="E39" s="259"/>
      <c r="F39" s="259"/>
    </row>
    <row r="40" spans="1:8" ht="24.75" customHeight="1" x14ac:dyDescent="0.25">
      <c r="A40" s="262">
        <v>31</v>
      </c>
      <c r="B40" s="264">
        <v>44895</v>
      </c>
      <c r="C40" s="260" t="s">
        <v>1324</v>
      </c>
      <c r="D40" s="287">
        <v>3300000</v>
      </c>
      <c r="E40" s="259"/>
      <c r="F40" s="259"/>
    </row>
    <row r="41" spans="1:8" ht="24.75" customHeight="1" x14ac:dyDescent="0.25">
      <c r="A41" s="262">
        <v>32</v>
      </c>
      <c r="B41" s="264">
        <v>44895</v>
      </c>
      <c r="C41" s="260" t="s">
        <v>1325</v>
      </c>
      <c r="D41" s="287">
        <v>8700000</v>
      </c>
      <c r="E41" s="259"/>
      <c r="F41" s="259"/>
    </row>
    <row r="42" spans="1:8" ht="24.75" customHeight="1" x14ac:dyDescent="0.25">
      <c r="A42" s="262">
        <v>33</v>
      </c>
      <c r="B42" s="264">
        <v>44925</v>
      </c>
      <c r="C42" s="260" t="s">
        <v>1348</v>
      </c>
      <c r="D42" s="287">
        <v>4600000</v>
      </c>
      <c r="E42" s="279"/>
      <c r="F42" s="259"/>
    </row>
    <row r="43" spans="1:8" ht="26.25" customHeight="1" x14ac:dyDescent="0.25">
      <c r="A43" s="315">
        <v>34</v>
      </c>
      <c r="B43" s="264">
        <v>44956</v>
      </c>
      <c r="C43" s="260" t="s">
        <v>1373</v>
      </c>
      <c r="D43" s="259"/>
      <c r="E43" s="287">
        <v>4400000</v>
      </c>
      <c r="F43" s="259"/>
    </row>
    <row r="44" spans="1:8" ht="26.25" customHeight="1" x14ac:dyDescent="0.25">
      <c r="A44" s="262">
        <v>35</v>
      </c>
      <c r="B44" s="264">
        <v>44957</v>
      </c>
      <c r="C44" s="260" t="s">
        <v>1383</v>
      </c>
      <c r="D44" s="287">
        <v>4400000</v>
      </c>
      <c r="E44" s="259"/>
      <c r="F44" s="259"/>
    </row>
    <row r="45" spans="1:8" ht="26.25" customHeight="1" x14ac:dyDescent="0.25">
      <c r="A45" s="315">
        <v>36</v>
      </c>
      <c r="B45" s="264">
        <v>44967</v>
      </c>
      <c r="C45" s="260" t="s">
        <v>1377</v>
      </c>
      <c r="D45" s="259"/>
      <c r="E45" s="287">
        <v>3300000</v>
      </c>
      <c r="F45" s="259"/>
    </row>
    <row r="46" spans="1:8" ht="26.25" customHeight="1" x14ac:dyDescent="0.25">
      <c r="A46" s="315">
        <v>37</v>
      </c>
      <c r="B46" s="264">
        <v>44982</v>
      </c>
      <c r="C46" s="260" t="s">
        <v>1398</v>
      </c>
      <c r="D46" s="259"/>
      <c r="E46" s="287">
        <v>29300000</v>
      </c>
      <c r="F46" s="259"/>
    </row>
    <row r="47" spans="1:8" ht="26.25" customHeight="1" x14ac:dyDescent="0.25">
      <c r="A47" s="262">
        <v>38</v>
      </c>
      <c r="B47" s="264">
        <v>44986</v>
      </c>
      <c r="C47" s="260" t="s">
        <v>1394</v>
      </c>
      <c r="D47" s="259"/>
      <c r="E47" s="287">
        <v>3200000</v>
      </c>
      <c r="F47" s="259"/>
    </row>
    <row r="48" spans="1:8" ht="26.25" customHeight="1" x14ac:dyDescent="0.25">
      <c r="A48" s="315">
        <v>39</v>
      </c>
      <c r="B48" s="264">
        <v>45002</v>
      </c>
      <c r="C48" s="260" t="s">
        <v>1410</v>
      </c>
      <c r="D48" s="259"/>
      <c r="E48" s="287">
        <v>3600000</v>
      </c>
      <c r="F48" s="259"/>
    </row>
    <row r="49" spans="1:6" ht="26.25" customHeight="1" x14ac:dyDescent="0.25">
      <c r="A49" s="315">
        <v>40</v>
      </c>
      <c r="B49" s="264">
        <v>45020</v>
      </c>
      <c r="C49" s="260" t="s">
        <v>1421</v>
      </c>
      <c r="D49" s="259"/>
      <c r="E49" s="287">
        <v>3300000</v>
      </c>
      <c r="F49" s="259"/>
    </row>
    <row r="50" spans="1:6" ht="26.25" customHeight="1" x14ac:dyDescent="0.25">
      <c r="A50" s="262">
        <v>41</v>
      </c>
      <c r="B50" s="264">
        <v>45025</v>
      </c>
      <c r="C50" s="260" t="s">
        <v>1424</v>
      </c>
      <c r="D50" s="259"/>
      <c r="E50" s="287">
        <v>4600000</v>
      </c>
      <c r="F50" s="259"/>
    </row>
    <row r="51" spans="1:6" ht="26.25" customHeight="1" x14ac:dyDescent="0.25">
      <c r="A51" s="315">
        <v>42</v>
      </c>
      <c r="B51" s="264">
        <v>45033</v>
      </c>
      <c r="C51" s="260" t="s">
        <v>1431</v>
      </c>
      <c r="D51" s="259"/>
      <c r="E51" s="287">
        <v>8700000</v>
      </c>
      <c r="F51" s="259"/>
    </row>
    <row r="52" spans="1:6" ht="26.25" customHeight="1" x14ac:dyDescent="0.25">
      <c r="A52" s="315">
        <v>43</v>
      </c>
      <c r="B52" s="264">
        <v>45045</v>
      </c>
      <c r="C52" s="260" t="s">
        <v>1445</v>
      </c>
      <c r="D52" s="259"/>
      <c r="E52" s="287">
        <v>2900000</v>
      </c>
      <c r="F52" s="259"/>
    </row>
    <row r="53" spans="1:6" ht="26.25" customHeight="1" x14ac:dyDescent="0.25">
      <c r="A53" s="262">
        <v>44</v>
      </c>
      <c r="B53" s="264">
        <v>45077</v>
      </c>
      <c r="C53" s="260" t="s">
        <v>1488</v>
      </c>
      <c r="D53" s="259"/>
      <c r="E53" s="287">
        <v>4400000</v>
      </c>
      <c r="F53" s="259"/>
    </row>
    <row r="54" spans="1:6" ht="26.25" customHeight="1" x14ac:dyDescent="0.25">
      <c r="A54" s="315">
        <v>45</v>
      </c>
      <c r="B54" s="264">
        <v>45137</v>
      </c>
      <c r="C54" s="260" t="s">
        <v>1656</v>
      </c>
      <c r="D54" s="287">
        <v>3600000</v>
      </c>
      <c r="E54" s="259"/>
      <c r="F54" s="259"/>
    </row>
    <row r="55" spans="1:6" ht="26.25" customHeight="1" x14ac:dyDescent="0.25">
      <c r="A55" s="315">
        <v>46</v>
      </c>
      <c r="B55" s="264">
        <v>45199</v>
      </c>
      <c r="C55" s="260" t="s">
        <v>1622</v>
      </c>
      <c r="D55" s="259"/>
      <c r="E55" s="287">
        <v>13500000</v>
      </c>
      <c r="F55" s="259"/>
    </row>
    <row r="56" spans="1:6" ht="26.25" customHeight="1" x14ac:dyDescent="0.25">
      <c r="A56" s="262">
        <v>47</v>
      </c>
      <c r="B56" s="264">
        <v>45230</v>
      </c>
      <c r="C56" s="260" t="s">
        <v>1622</v>
      </c>
      <c r="D56" s="259"/>
      <c r="E56" s="259">
        <v>25600000</v>
      </c>
      <c r="F56" s="259"/>
    </row>
    <row r="57" spans="1:6" ht="26.25" customHeight="1" x14ac:dyDescent="0.25">
      <c r="A57" s="315">
        <v>48</v>
      </c>
      <c r="B57" s="264">
        <v>45625</v>
      </c>
      <c r="C57" s="260" t="s">
        <v>1694</v>
      </c>
      <c r="D57" s="259"/>
      <c r="E57" s="287">
        <v>3600000</v>
      </c>
      <c r="F57" s="259"/>
    </row>
    <row r="58" spans="1:6" ht="26.25" customHeight="1" x14ac:dyDescent="0.25">
      <c r="A58" s="262">
        <v>49</v>
      </c>
      <c r="B58" s="264">
        <v>45278</v>
      </c>
      <c r="C58" s="260" t="s">
        <v>1673</v>
      </c>
      <c r="D58" s="287">
        <v>13500000</v>
      </c>
      <c r="E58" s="259"/>
      <c r="F58" s="259"/>
    </row>
    <row r="59" spans="1:6" ht="26.25" customHeight="1" x14ac:dyDescent="0.25">
      <c r="A59" s="315">
        <v>50</v>
      </c>
      <c r="B59" s="264">
        <v>45291</v>
      </c>
      <c r="C59" s="260" t="s">
        <v>1622</v>
      </c>
      <c r="D59" s="259"/>
      <c r="E59" s="287">
        <v>20100000</v>
      </c>
      <c r="F59" s="259"/>
    </row>
    <row r="60" spans="1:6" ht="26.25" customHeight="1" x14ac:dyDescent="0.25">
      <c r="A60" s="262">
        <v>51</v>
      </c>
      <c r="B60" s="264">
        <v>45657</v>
      </c>
      <c r="C60" s="260" t="s">
        <v>1695</v>
      </c>
      <c r="D60" s="259"/>
      <c r="E60" s="287">
        <v>5400000</v>
      </c>
      <c r="F60" s="259"/>
    </row>
    <row r="61" spans="1:6" ht="26.25" customHeight="1" x14ac:dyDescent="0.25">
      <c r="A61" s="315">
        <v>52</v>
      </c>
      <c r="B61" s="264">
        <v>45320</v>
      </c>
      <c r="C61" s="260" t="s">
        <v>1673</v>
      </c>
      <c r="D61" s="287">
        <v>20100000</v>
      </c>
      <c r="E61" s="259"/>
      <c r="F61" s="259"/>
    </row>
    <row r="62" spans="1:6" ht="26.25" customHeight="1" x14ac:dyDescent="0.25">
      <c r="A62" s="262">
        <v>53</v>
      </c>
      <c r="B62" s="264">
        <v>45322</v>
      </c>
      <c r="C62" s="260" t="s">
        <v>1712</v>
      </c>
      <c r="D62" s="287">
        <v>5400000</v>
      </c>
      <c r="E62" s="259"/>
      <c r="F62" s="259"/>
    </row>
    <row r="63" spans="1:6" ht="26.25" customHeight="1" x14ac:dyDescent="0.25">
      <c r="A63" s="315">
        <v>54</v>
      </c>
      <c r="B63" s="264">
        <v>45322</v>
      </c>
      <c r="C63" s="260" t="s">
        <v>1622</v>
      </c>
      <c r="D63" s="259"/>
      <c r="E63" s="259">
        <v>24500000</v>
      </c>
      <c r="F63" s="259"/>
    </row>
    <row r="64" spans="1:6" ht="26.25" customHeight="1" x14ac:dyDescent="0.25">
      <c r="A64" s="262">
        <v>55</v>
      </c>
      <c r="B64" s="264">
        <v>45324</v>
      </c>
      <c r="C64" s="260" t="s">
        <v>1673</v>
      </c>
      <c r="D64" s="259">
        <v>25600000</v>
      </c>
      <c r="E64" s="259"/>
      <c r="F64" s="259"/>
    </row>
    <row r="65" spans="1:6" ht="26.25" customHeight="1" x14ac:dyDescent="0.25">
      <c r="A65" s="315">
        <v>56</v>
      </c>
      <c r="B65" s="264">
        <v>45355</v>
      </c>
      <c r="C65" s="260" t="s">
        <v>1673</v>
      </c>
      <c r="D65" s="259">
        <v>10500000</v>
      </c>
      <c r="E65" s="259"/>
      <c r="F65" s="259"/>
    </row>
    <row r="66" spans="1:6" ht="26.25" customHeight="1" x14ac:dyDescent="0.25">
      <c r="A66" s="262">
        <v>57</v>
      </c>
      <c r="B66" s="264">
        <v>45365</v>
      </c>
      <c r="C66" s="260" t="s">
        <v>1673</v>
      </c>
      <c r="D66" s="259">
        <v>14000000</v>
      </c>
      <c r="E66" s="259"/>
      <c r="F66" s="259"/>
    </row>
    <row r="67" spans="1:6" ht="26.25" customHeight="1" x14ac:dyDescent="0.25">
      <c r="A67" s="315">
        <v>58</v>
      </c>
      <c r="B67" s="264">
        <v>45370</v>
      </c>
      <c r="C67" s="260" t="s">
        <v>1739</v>
      </c>
      <c r="D67" s="259">
        <v>32118842</v>
      </c>
      <c r="E67" s="259"/>
      <c r="F67" s="259"/>
    </row>
    <row r="68" spans="1:6" ht="26.25" customHeight="1" x14ac:dyDescent="0.25">
      <c r="A68" s="262">
        <v>59</v>
      </c>
      <c r="B68" s="264">
        <v>45420</v>
      </c>
      <c r="C68" s="260" t="s">
        <v>1772</v>
      </c>
      <c r="D68" s="259"/>
      <c r="E68" s="259">
        <v>32118842</v>
      </c>
      <c r="F68" s="259"/>
    </row>
    <row r="69" spans="1:6" ht="26.25" customHeight="1" x14ac:dyDescent="0.25">
      <c r="A69" s="315">
        <v>60</v>
      </c>
      <c r="B69" s="264">
        <v>45443</v>
      </c>
      <c r="C69" s="260" t="s">
        <v>1788</v>
      </c>
      <c r="D69" s="259">
        <v>1500000</v>
      </c>
      <c r="E69" s="259"/>
      <c r="F69" s="259"/>
    </row>
    <row r="70" spans="1:6" ht="26.25" customHeight="1" x14ac:dyDescent="0.25">
      <c r="A70" s="262">
        <v>61</v>
      </c>
      <c r="B70" s="264">
        <v>45467</v>
      </c>
      <c r="C70" s="260" t="s">
        <v>1804</v>
      </c>
      <c r="D70" s="259"/>
      <c r="E70" s="259">
        <v>1500000</v>
      </c>
      <c r="F70" s="259"/>
    </row>
    <row r="71" spans="1:6" ht="26.25" customHeight="1" x14ac:dyDescent="0.25">
      <c r="A71" s="315">
        <v>62</v>
      </c>
      <c r="B71" s="264">
        <v>45473</v>
      </c>
      <c r="C71" s="260" t="s">
        <v>1811</v>
      </c>
      <c r="D71" s="287">
        <v>3132000</v>
      </c>
      <c r="E71" s="259"/>
      <c r="F71" s="259"/>
    </row>
    <row r="72" spans="1:6" ht="26.25" customHeight="1" x14ac:dyDescent="0.25">
      <c r="A72" s="262">
        <v>63</v>
      </c>
      <c r="B72" s="264">
        <v>45473</v>
      </c>
      <c r="C72" s="260" t="s">
        <v>1815</v>
      </c>
      <c r="D72" s="259"/>
      <c r="E72" s="287">
        <v>14800000</v>
      </c>
      <c r="F72" s="259"/>
    </row>
    <row r="73" spans="1:6" ht="26.25" customHeight="1" x14ac:dyDescent="0.25">
      <c r="A73" s="315">
        <v>64</v>
      </c>
      <c r="B73" s="264"/>
      <c r="C73" s="260" t="s">
        <v>1622</v>
      </c>
      <c r="D73" s="259"/>
      <c r="E73" s="287">
        <v>33700000</v>
      </c>
      <c r="F73" s="259"/>
    </row>
    <row r="74" spans="1:6" ht="26.25" customHeight="1" x14ac:dyDescent="0.25">
      <c r="A74" s="262">
        <v>65</v>
      </c>
      <c r="B74" s="264">
        <v>45503</v>
      </c>
      <c r="C74" s="260" t="s">
        <v>1815</v>
      </c>
      <c r="D74" s="259"/>
      <c r="E74" s="287">
        <v>15200000</v>
      </c>
      <c r="F74" s="259"/>
    </row>
    <row r="75" spans="1:6" ht="26.25" customHeight="1" x14ac:dyDescent="0.25">
      <c r="A75" s="315">
        <v>66</v>
      </c>
      <c r="B75" s="264">
        <v>45505</v>
      </c>
      <c r="C75" s="260" t="s">
        <v>1837</v>
      </c>
      <c r="D75" s="287">
        <v>33700000</v>
      </c>
      <c r="E75" s="259"/>
      <c r="F75" s="259"/>
    </row>
    <row r="76" spans="1:6" ht="26.25" customHeight="1" x14ac:dyDescent="0.25">
      <c r="A76" s="262">
        <v>67</v>
      </c>
      <c r="B76" s="264">
        <v>45505</v>
      </c>
      <c r="C76" s="260" t="s">
        <v>1846</v>
      </c>
      <c r="D76" s="287">
        <v>14800000</v>
      </c>
      <c r="E76" s="259"/>
      <c r="F76" s="259"/>
    </row>
    <row r="77" spans="1:6" ht="26.25" customHeight="1" x14ac:dyDescent="0.25">
      <c r="A77" s="315">
        <v>68</v>
      </c>
      <c r="B77" s="264">
        <v>45534</v>
      </c>
      <c r="C77" s="260" t="s">
        <v>1815</v>
      </c>
      <c r="D77" s="259"/>
      <c r="E77" s="287">
        <v>43200000</v>
      </c>
      <c r="F77" s="259"/>
    </row>
    <row r="78" spans="1:6" ht="26.25" customHeight="1" x14ac:dyDescent="0.25">
      <c r="A78" s="262">
        <v>69</v>
      </c>
      <c r="B78" s="264">
        <v>45549</v>
      </c>
      <c r="C78" s="260" t="s">
        <v>1866</v>
      </c>
      <c r="D78" s="259"/>
      <c r="E78" s="287">
        <v>3132000</v>
      </c>
      <c r="F78" s="259"/>
    </row>
    <row r="79" spans="1:6" ht="26.25" customHeight="1" x14ac:dyDescent="0.25">
      <c r="A79" s="315">
        <v>70</v>
      </c>
      <c r="B79" s="264">
        <v>45548</v>
      </c>
      <c r="C79" s="260" t="s">
        <v>1846</v>
      </c>
      <c r="D79" s="287">
        <v>15200000</v>
      </c>
      <c r="E79" s="259"/>
      <c r="F79" s="259"/>
    </row>
    <row r="80" spans="1:6" ht="26.25" customHeight="1" x14ac:dyDescent="0.25">
      <c r="A80" s="262">
        <v>71</v>
      </c>
      <c r="B80" s="264">
        <v>45565</v>
      </c>
      <c r="C80" s="260" t="s">
        <v>1888</v>
      </c>
      <c r="D80" s="259"/>
      <c r="E80" s="259">
        <v>24624000</v>
      </c>
      <c r="F80" s="259"/>
    </row>
    <row r="81" spans="1:6" ht="26.25" customHeight="1" x14ac:dyDescent="0.25">
      <c r="A81" s="315">
        <v>72</v>
      </c>
      <c r="B81" s="264">
        <v>45580</v>
      </c>
      <c r="C81" s="260" t="s">
        <v>1846</v>
      </c>
      <c r="D81" s="287">
        <v>43200000</v>
      </c>
      <c r="E81" s="259"/>
      <c r="F81" s="259"/>
    </row>
    <row r="82" spans="1:6" ht="26.25" customHeight="1" x14ac:dyDescent="0.25">
      <c r="A82" s="262">
        <v>73</v>
      </c>
      <c r="B82" s="264">
        <v>45615</v>
      </c>
      <c r="C82" s="260" t="s">
        <v>1846</v>
      </c>
      <c r="D82" s="259">
        <v>24624000</v>
      </c>
      <c r="E82" s="259"/>
      <c r="F82" s="259"/>
    </row>
    <row r="83" spans="1:6" ht="26.25" customHeight="1" x14ac:dyDescent="0.25">
      <c r="A83" s="315">
        <v>74</v>
      </c>
      <c r="B83" s="264">
        <v>45626</v>
      </c>
      <c r="C83" s="260" t="s">
        <v>1950</v>
      </c>
      <c r="D83" s="259"/>
      <c r="E83" s="259">
        <v>15930000</v>
      </c>
      <c r="F83" s="259"/>
    </row>
    <row r="84" spans="1:6" ht="26.25" customHeight="1" x14ac:dyDescent="0.25">
      <c r="A84" s="262">
        <v>75</v>
      </c>
      <c r="B84" s="264">
        <v>45656</v>
      </c>
      <c r="C84" s="260" t="s">
        <v>1951</v>
      </c>
      <c r="D84" s="259"/>
      <c r="E84" s="259">
        <v>32508000</v>
      </c>
      <c r="F84" s="259"/>
    </row>
    <row r="85" spans="1:6" ht="26.25" customHeight="1" x14ac:dyDescent="0.25">
      <c r="A85" s="315">
        <v>76</v>
      </c>
      <c r="B85" s="264">
        <v>45666</v>
      </c>
      <c r="C85" s="260" t="s">
        <v>1846</v>
      </c>
      <c r="D85" s="259">
        <v>15930000</v>
      </c>
      <c r="E85" s="259"/>
      <c r="F85" s="259"/>
    </row>
    <row r="86" spans="1:6" ht="26.25" customHeight="1" x14ac:dyDescent="0.25">
      <c r="A86" s="262">
        <v>77</v>
      </c>
      <c r="B86" s="264">
        <v>45680</v>
      </c>
      <c r="C86" s="260" t="s">
        <v>1966</v>
      </c>
      <c r="D86" s="259"/>
      <c r="E86" s="259">
        <v>21600000</v>
      </c>
      <c r="F86" s="259"/>
    </row>
    <row r="87" spans="1:6" ht="26.25" customHeight="1" x14ac:dyDescent="0.25">
      <c r="A87" s="315">
        <v>78</v>
      </c>
      <c r="B87" s="264">
        <v>45716</v>
      </c>
      <c r="C87" s="260" t="s">
        <v>1846</v>
      </c>
      <c r="D87" s="259">
        <v>54108000</v>
      </c>
      <c r="E87" s="259"/>
      <c r="F87" s="259"/>
    </row>
    <row r="88" spans="1:6" ht="26.25" customHeight="1" x14ac:dyDescent="0.25">
      <c r="A88" s="262">
        <v>79</v>
      </c>
      <c r="B88" s="260"/>
      <c r="C88" s="260"/>
      <c r="D88" s="259"/>
      <c r="E88" s="259"/>
      <c r="F88" s="259"/>
    </row>
    <row r="89" spans="1:6" ht="26.25" customHeight="1" x14ac:dyDescent="0.25">
      <c r="A89" s="315">
        <v>80</v>
      </c>
      <c r="B89" s="260"/>
      <c r="C89" s="260"/>
      <c r="D89" s="259"/>
      <c r="E89" s="259"/>
      <c r="F89" s="259"/>
    </row>
    <row r="90" spans="1:6" ht="26.25" customHeight="1" x14ac:dyDescent="0.25">
      <c r="A90" s="262">
        <v>81</v>
      </c>
      <c r="B90" s="260"/>
      <c r="C90" s="260"/>
      <c r="D90" s="259"/>
      <c r="E90" s="259"/>
      <c r="F90" s="259"/>
    </row>
    <row r="91" spans="1:6" ht="26.25" customHeight="1" x14ac:dyDescent="0.25">
      <c r="A91" s="315">
        <v>82</v>
      </c>
      <c r="B91" s="260"/>
      <c r="C91" s="260"/>
      <c r="D91" s="259"/>
      <c r="E91" s="259"/>
      <c r="F91" s="259"/>
    </row>
    <row r="92" spans="1:6" ht="26.25" customHeight="1" x14ac:dyDescent="0.25">
      <c r="A92" s="262">
        <v>83</v>
      </c>
      <c r="B92" s="260"/>
      <c r="C92" s="260"/>
      <c r="D92" s="259"/>
      <c r="E92" s="259"/>
      <c r="F92" s="259"/>
    </row>
    <row r="93" spans="1:6" ht="26.25" customHeight="1" x14ac:dyDescent="0.25">
      <c r="B93" s="260"/>
      <c r="C93" s="260"/>
      <c r="D93" s="259"/>
      <c r="E93" s="259"/>
      <c r="F93" s="259"/>
    </row>
    <row r="94" spans="1:6" ht="26.25" customHeight="1" x14ac:dyDescent="0.25">
      <c r="B94" s="260"/>
      <c r="C94" s="260"/>
      <c r="D94" s="259"/>
      <c r="E94" s="259"/>
      <c r="F94" s="259"/>
    </row>
    <row r="95" spans="1:6" ht="26.25" customHeight="1" x14ac:dyDescent="0.25">
      <c r="B95" s="260"/>
      <c r="C95" s="260"/>
      <c r="D95" s="259"/>
      <c r="E95" s="259"/>
      <c r="F95" s="259"/>
    </row>
    <row r="96" spans="1:6" ht="26.25" customHeight="1" x14ac:dyDescent="0.25">
      <c r="B96" s="260"/>
      <c r="C96" s="260"/>
      <c r="D96" s="259"/>
      <c r="E96" s="259"/>
      <c r="F96" s="259"/>
    </row>
    <row r="97" spans="2:6" ht="26.25" customHeight="1" x14ac:dyDescent="0.25">
      <c r="B97" s="260"/>
      <c r="C97" s="260"/>
      <c r="D97" s="259"/>
      <c r="E97" s="259"/>
      <c r="F97" s="259"/>
    </row>
    <row r="98" spans="2:6" ht="26.25" customHeight="1" x14ac:dyDescent="0.25">
      <c r="B98" s="260"/>
      <c r="C98" s="260"/>
      <c r="D98" s="259"/>
      <c r="E98" s="259"/>
      <c r="F98" s="259"/>
    </row>
    <row r="99" spans="2:6" ht="26.25" customHeight="1" x14ac:dyDescent="0.25">
      <c r="B99" s="260"/>
      <c r="C99" s="260"/>
      <c r="D99" s="259"/>
      <c r="E99" s="259"/>
      <c r="F99" s="259"/>
    </row>
    <row r="100" spans="2:6" ht="26.25" customHeight="1" x14ac:dyDescent="0.25">
      <c r="B100" s="260"/>
      <c r="C100" s="260"/>
      <c r="D100" s="259"/>
      <c r="E100" s="259"/>
      <c r="F100" s="259"/>
    </row>
    <row r="101" spans="2:6" ht="26.25" customHeight="1" x14ac:dyDescent="0.25">
      <c r="B101" s="260"/>
      <c r="C101" s="260"/>
      <c r="D101" s="259"/>
      <c r="E101" s="259"/>
      <c r="F101" s="259"/>
    </row>
    <row r="102" spans="2:6" ht="26.25" customHeight="1" x14ac:dyDescent="0.25">
      <c r="B102" s="260"/>
      <c r="C102" s="260"/>
      <c r="D102" s="259"/>
      <c r="E102" s="259"/>
      <c r="F102" s="259"/>
    </row>
    <row r="103" spans="2:6" ht="26.25" customHeight="1" x14ac:dyDescent="0.25">
      <c r="B103" s="260"/>
      <c r="C103" s="260"/>
      <c r="D103" s="259"/>
      <c r="E103" s="259"/>
      <c r="F103" s="259"/>
    </row>
    <row r="104" spans="2:6" ht="26.25" customHeight="1" x14ac:dyDescent="0.25">
      <c r="B104" s="260"/>
      <c r="C104" s="260"/>
      <c r="D104" s="259"/>
      <c r="E104" s="259"/>
      <c r="F104" s="259"/>
    </row>
    <row r="105" spans="2:6" ht="26.25" customHeight="1" x14ac:dyDescent="0.25">
      <c r="B105" s="260"/>
      <c r="C105" s="260"/>
      <c r="D105" s="259"/>
      <c r="E105" s="259"/>
      <c r="F105" s="259"/>
    </row>
    <row r="106" spans="2:6" ht="26.25" customHeight="1" x14ac:dyDescent="0.25">
      <c r="B106" s="260"/>
      <c r="C106" s="260"/>
      <c r="D106" s="259"/>
      <c r="E106" s="259"/>
      <c r="F106" s="259"/>
    </row>
    <row r="107" spans="2:6" ht="26.25" customHeight="1" x14ac:dyDescent="0.25">
      <c r="B107" s="260"/>
      <c r="C107" s="260"/>
      <c r="D107" s="259"/>
      <c r="E107" s="259"/>
      <c r="F107" s="259"/>
    </row>
    <row r="108" spans="2:6" ht="26.25" customHeight="1" x14ac:dyDescent="0.25">
      <c r="B108" s="260"/>
      <c r="C108" s="260"/>
      <c r="D108" s="259"/>
      <c r="E108" s="259"/>
      <c r="F108" s="259"/>
    </row>
    <row r="109" spans="2:6" ht="26.25" customHeight="1" x14ac:dyDescent="0.25">
      <c r="B109" s="260"/>
      <c r="C109" s="260"/>
      <c r="D109" s="259"/>
      <c r="E109" s="259"/>
      <c r="F109" s="259"/>
    </row>
    <row r="110" spans="2:6" ht="26.25" customHeight="1" x14ac:dyDescent="0.25">
      <c r="B110" s="260"/>
      <c r="C110" s="260"/>
      <c r="D110" s="259"/>
      <c r="E110" s="259"/>
      <c r="F110" s="259"/>
    </row>
    <row r="111" spans="2:6" ht="26.25" customHeight="1" x14ac:dyDescent="0.25">
      <c r="B111" s="260"/>
      <c r="C111" s="260"/>
      <c r="D111" s="259"/>
      <c r="E111" s="259"/>
      <c r="F111" s="259"/>
    </row>
    <row r="112" spans="2:6" ht="26.25" customHeight="1" x14ac:dyDescent="0.25">
      <c r="B112" s="260"/>
      <c r="C112" s="260"/>
      <c r="D112" s="259"/>
      <c r="E112" s="259"/>
      <c r="F112" s="259"/>
    </row>
    <row r="113" spans="2:6" ht="26.25" customHeight="1" x14ac:dyDescent="0.25">
      <c r="B113" s="260"/>
      <c r="C113" s="260"/>
      <c r="D113" s="259"/>
      <c r="E113" s="259"/>
      <c r="F113" s="259"/>
    </row>
    <row r="114" spans="2:6" ht="26.25" customHeight="1" x14ac:dyDescent="0.25">
      <c r="B114" s="260"/>
      <c r="C114" s="260"/>
      <c r="D114" s="259"/>
      <c r="E114" s="259"/>
      <c r="F114" s="259"/>
    </row>
    <row r="115" spans="2:6" ht="26.25" customHeight="1" x14ac:dyDescent="0.25">
      <c r="B115" s="260"/>
      <c r="C115" s="260"/>
      <c r="D115" s="259"/>
      <c r="E115" s="259"/>
      <c r="F115" s="259"/>
    </row>
    <row r="116" spans="2:6" ht="26.25" customHeight="1" x14ac:dyDescent="0.25">
      <c r="B116" s="260"/>
      <c r="C116" s="260"/>
      <c r="D116" s="259"/>
      <c r="E116" s="259"/>
      <c r="F116" s="259"/>
    </row>
    <row r="117" spans="2:6" ht="26.25" customHeight="1" x14ac:dyDescent="0.25">
      <c r="B117" s="260"/>
      <c r="C117" s="260"/>
      <c r="D117" s="259"/>
      <c r="E117" s="259"/>
      <c r="F117" s="259"/>
    </row>
    <row r="118" spans="2:6" ht="26.25" customHeight="1" x14ac:dyDescent="0.25">
      <c r="B118" s="260"/>
      <c r="C118" s="260"/>
      <c r="D118" s="259"/>
      <c r="E118" s="259"/>
      <c r="F118" s="259"/>
    </row>
    <row r="119" spans="2:6" ht="26.25" customHeight="1" x14ac:dyDescent="0.25">
      <c r="B119" s="260"/>
      <c r="C119" s="260"/>
      <c r="D119" s="259"/>
      <c r="E119" s="259"/>
      <c r="F119" s="259"/>
    </row>
    <row r="120" spans="2:6" ht="26.25" customHeight="1" x14ac:dyDescent="0.25">
      <c r="B120" s="260"/>
      <c r="C120" s="260"/>
      <c r="D120" s="259"/>
      <c r="E120" s="259"/>
      <c r="F120" s="259"/>
    </row>
    <row r="121" spans="2:6" ht="26.25" customHeight="1" x14ac:dyDescent="0.25">
      <c r="B121" s="260"/>
      <c r="C121" s="260"/>
      <c r="D121" s="259"/>
      <c r="E121" s="259"/>
      <c r="F121" s="259"/>
    </row>
    <row r="122" spans="2:6" ht="26.25" customHeight="1" x14ac:dyDescent="0.25">
      <c r="B122" s="260"/>
      <c r="C122" s="260"/>
      <c r="D122" s="259"/>
      <c r="E122" s="259"/>
      <c r="F122" s="259"/>
    </row>
    <row r="123" spans="2:6" ht="26.25" customHeight="1" x14ac:dyDescent="0.25">
      <c r="B123" s="260"/>
      <c r="C123" s="260"/>
      <c r="D123" s="259"/>
      <c r="E123" s="259"/>
      <c r="F123" s="259"/>
    </row>
    <row r="124" spans="2:6" ht="26.25" customHeight="1" x14ac:dyDescent="0.25">
      <c r="B124" s="260"/>
      <c r="C124" s="260"/>
      <c r="D124" s="259"/>
      <c r="E124" s="259"/>
      <c r="F124" s="259"/>
    </row>
    <row r="125" spans="2:6" ht="26.25" customHeight="1" x14ac:dyDescent="0.25">
      <c r="B125" s="260"/>
      <c r="C125" s="260"/>
      <c r="D125" s="259"/>
      <c r="E125" s="259"/>
      <c r="F125" s="259"/>
    </row>
    <row r="126" spans="2:6" ht="26.25" customHeight="1" x14ac:dyDescent="0.25">
      <c r="B126" s="260"/>
      <c r="C126" s="260"/>
      <c r="D126" s="259"/>
      <c r="E126" s="259"/>
      <c r="F126" s="259"/>
    </row>
    <row r="127" spans="2:6" ht="26.25" customHeight="1" x14ac:dyDescent="0.25">
      <c r="B127" s="260"/>
      <c r="C127" s="260"/>
      <c r="D127" s="259"/>
      <c r="E127" s="259"/>
      <c r="F127" s="259"/>
    </row>
    <row r="128" spans="2:6" ht="26.25" customHeight="1" x14ac:dyDescent="0.25">
      <c r="B128" s="260"/>
      <c r="C128" s="260"/>
      <c r="D128" s="259"/>
      <c r="E128" s="259"/>
      <c r="F128" s="259"/>
    </row>
    <row r="129" spans="2:6" ht="26.25" customHeight="1" x14ac:dyDescent="0.25">
      <c r="B129" s="260"/>
      <c r="C129" s="260"/>
      <c r="D129" s="259"/>
      <c r="E129" s="259"/>
      <c r="F129" s="259"/>
    </row>
    <row r="130" spans="2:6" ht="26.25" customHeight="1" x14ac:dyDescent="0.25">
      <c r="B130" s="260"/>
      <c r="C130" s="260"/>
      <c r="D130" s="259"/>
      <c r="E130" s="259"/>
      <c r="F130" s="259"/>
    </row>
    <row r="131" spans="2:6" ht="26.25" customHeight="1" x14ac:dyDescent="0.25">
      <c r="B131" s="260"/>
      <c r="C131" s="260"/>
      <c r="D131" s="259"/>
      <c r="E131" s="259"/>
      <c r="F131" s="259"/>
    </row>
    <row r="132" spans="2:6" ht="26.25" customHeight="1" x14ac:dyDescent="0.25">
      <c r="B132" s="260"/>
      <c r="C132" s="260"/>
      <c r="D132" s="259"/>
      <c r="E132" s="259"/>
      <c r="F132" s="259"/>
    </row>
    <row r="133" spans="2:6" ht="26.25" customHeight="1" x14ac:dyDescent="0.25">
      <c r="B133" s="260"/>
      <c r="C133" s="260"/>
      <c r="D133" s="259"/>
      <c r="E133" s="259"/>
      <c r="F133" s="259"/>
    </row>
    <row r="134" spans="2:6" ht="26.25" customHeight="1" x14ac:dyDescent="0.25">
      <c r="B134" s="260"/>
      <c r="C134" s="260"/>
      <c r="D134" s="259"/>
      <c r="E134" s="259"/>
      <c r="F134" s="259"/>
    </row>
    <row r="135" spans="2:6" ht="26.25" customHeight="1" x14ac:dyDescent="0.25">
      <c r="B135" s="260"/>
      <c r="C135" s="260"/>
      <c r="D135" s="259"/>
      <c r="E135" s="259"/>
      <c r="F135" s="259"/>
    </row>
    <row r="136" spans="2:6" ht="26.25" customHeight="1" x14ac:dyDescent="0.25">
      <c r="B136" s="260"/>
      <c r="C136" s="260"/>
      <c r="D136" s="259"/>
      <c r="E136" s="259"/>
      <c r="F136" s="259"/>
    </row>
    <row r="137" spans="2:6" ht="26.25" customHeight="1" x14ac:dyDescent="0.25">
      <c r="B137" s="260"/>
      <c r="C137" s="260"/>
      <c r="D137" s="259"/>
      <c r="E137" s="259"/>
      <c r="F137" s="259"/>
    </row>
    <row r="138" spans="2:6" ht="26.25" customHeight="1" x14ac:dyDescent="0.25">
      <c r="B138" s="260"/>
      <c r="C138" s="260"/>
      <c r="D138" s="259"/>
      <c r="E138" s="259"/>
      <c r="F138" s="259"/>
    </row>
    <row r="139" spans="2:6" ht="26.25" customHeight="1" x14ac:dyDescent="0.25">
      <c r="B139" s="260"/>
      <c r="C139" s="260"/>
      <c r="D139" s="259"/>
      <c r="E139" s="259"/>
      <c r="F139" s="259"/>
    </row>
    <row r="140" spans="2:6" ht="26.25" customHeight="1" x14ac:dyDescent="0.25">
      <c r="B140" s="260"/>
      <c r="C140" s="260"/>
      <c r="D140" s="259"/>
      <c r="E140" s="259"/>
      <c r="F140" s="259"/>
    </row>
    <row r="141" spans="2:6" ht="26.25" customHeight="1" x14ac:dyDescent="0.25">
      <c r="B141" s="260"/>
      <c r="C141" s="260"/>
      <c r="D141" s="259"/>
      <c r="E141" s="259"/>
      <c r="F141" s="259"/>
    </row>
    <row r="142" spans="2:6" ht="26.25" customHeight="1" x14ac:dyDescent="0.25">
      <c r="B142" s="260"/>
      <c r="C142" s="260"/>
      <c r="D142" s="259"/>
      <c r="E142" s="259"/>
      <c r="F142" s="259"/>
    </row>
    <row r="143" spans="2:6" ht="26.25" customHeight="1" x14ac:dyDescent="0.25">
      <c r="B143" s="260"/>
      <c r="C143" s="260"/>
      <c r="D143" s="259"/>
      <c r="E143" s="259"/>
      <c r="F143" s="259"/>
    </row>
    <row r="144" spans="2:6" ht="26.25" customHeight="1" x14ac:dyDescent="0.25">
      <c r="B144" s="260"/>
      <c r="C144" s="260"/>
      <c r="D144" s="259"/>
      <c r="E144" s="259"/>
      <c r="F144" s="259"/>
    </row>
    <row r="145" spans="2:6" ht="26.25" customHeight="1" x14ac:dyDescent="0.25">
      <c r="B145" s="260"/>
      <c r="C145" s="260"/>
      <c r="D145" s="259"/>
      <c r="E145" s="259"/>
      <c r="F145" s="259"/>
    </row>
    <row r="146" spans="2:6" ht="26.25" customHeight="1" x14ac:dyDescent="0.25">
      <c r="B146" s="260"/>
      <c r="C146" s="260"/>
      <c r="D146" s="259"/>
      <c r="E146" s="259"/>
      <c r="F146" s="259"/>
    </row>
    <row r="147" spans="2:6" ht="26.25" customHeight="1" x14ac:dyDescent="0.25">
      <c r="B147" s="260"/>
      <c r="C147" s="260"/>
      <c r="D147" s="259"/>
      <c r="E147" s="259"/>
      <c r="F147" s="259"/>
    </row>
    <row r="148" spans="2:6" ht="26.25" customHeight="1" x14ac:dyDescent="0.25">
      <c r="B148" s="260"/>
      <c r="C148" s="260"/>
      <c r="D148" s="259"/>
      <c r="E148" s="259"/>
      <c r="F148" s="259"/>
    </row>
    <row r="149" spans="2:6" ht="26.25" customHeight="1" x14ac:dyDescent="0.25">
      <c r="B149" s="260"/>
      <c r="C149" s="260"/>
      <c r="D149" s="259"/>
      <c r="E149" s="259"/>
      <c r="F149" s="259"/>
    </row>
    <row r="150" spans="2:6" ht="26.25" customHeight="1" x14ac:dyDescent="0.25">
      <c r="B150" s="260"/>
      <c r="C150" s="260"/>
      <c r="D150" s="259"/>
      <c r="E150" s="259"/>
      <c r="F150" s="259"/>
    </row>
    <row r="151" spans="2:6" ht="26.25" customHeight="1" x14ac:dyDescent="0.25">
      <c r="B151" s="260"/>
      <c r="C151" s="260"/>
      <c r="D151" s="259"/>
      <c r="E151" s="259"/>
      <c r="F151" s="259"/>
    </row>
    <row r="152" spans="2:6" ht="26.25" customHeight="1" x14ac:dyDescent="0.25">
      <c r="B152" s="260"/>
      <c r="C152" s="260"/>
      <c r="D152" s="259"/>
      <c r="E152" s="259"/>
      <c r="F152" s="259"/>
    </row>
    <row r="153" spans="2:6" ht="26.25" customHeight="1" x14ac:dyDescent="0.25">
      <c r="B153" s="260"/>
      <c r="C153" s="260"/>
      <c r="D153" s="259"/>
      <c r="E153" s="259"/>
      <c r="F153" s="259"/>
    </row>
    <row r="154" spans="2:6" ht="26.25" customHeight="1" x14ac:dyDescent="0.25">
      <c r="B154" s="260"/>
      <c r="C154" s="260"/>
      <c r="D154" s="259"/>
      <c r="E154" s="259"/>
      <c r="F154" s="259"/>
    </row>
    <row r="155" spans="2:6" ht="26.25" customHeight="1" x14ac:dyDescent="0.25">
      <c r="B155" s="260"/>
      <c r="C155" s="260"/>
      <c r="D155" s="259"/>
      <c r="E155" s="259"/>
      <c r="F155" s="259"/>
    </row>
    <row r="156" spans="2:6" ht="26.25" customHeight="1" x14ac:dyDescent="0.25">
      <c r="B156" s="260"/>
      <c r="C156" s="260"/>
      <c r="D156" s="259"/>
      <c r="E156" s="259"/>
      <c r="F156" s="259"/>
    </row>
    <row r="157" spans="2:6" ht="26.25" customHeight="1" x14ac:dyDescent="0.25">
      <c r="B157" s="260"/>
      <c r="C157" s="260"/>
      <c r="D157" s="259"/>
      <c r="E157" s="259"/>
      <c r="F157" s="259"/>
    </row>
    <row r="158" spans="2:6" ht="26.25" customHeight="1" x14ac:dyDescent="0.25">
      <c r="B158" s="260"/>
      <c r="C158" s="260"/>
      <c r="D158" s="259"/>
      <c r="E158" s="259"/>
      <c r="F158" s="259"/>
    </row>
    <row r="159" spans="2:6" ht="26.25" customHeight="1" x14ac:dyDescent="0.25">
      <c r="B159" s="260"/>
      <c r="C159" s="260"/>
      <c r="D159" s="259"/>
      <c r="E159" s="259"/>
      <c r="F159" s="259"/>
    </row>
    <row r="160" spans="2:6" ht="26.25" customHeight="1" x14ac:dyDescent="0.25">
      <c r="B160" s="260"/>
      <c r="C160" s="260"/>
      <c r="D160" s="259"/>
      <c r="E160" s="259"/>
      <c r="F160" s="259"/>
    </row>
    <row r="161" spans="2:6" ht="26.25" customHeight="1" x14ac:dyDescent="0.25">
      <c r="B161" s="260"/>
      <c r="C161" s="260"/>
      <c r="D161" s="259"/>
      <c r="E161" s="259"/>
      <c r="F161" s="259"/>
    </row>
    <row r="162" spans="2:6" ht="26.25" customHeight="1" x14ac:dyDescent="0.25">
      <c r="B162" s="260"/>
      <c r="C162" s="260"/>
      <c r="D162" s="259"/>
      <c r="E162" s="259"/>
      <c r="F162" s="259"/>
    </row>
    <row r="163" spans="2:6" ht="26.25" customHeight="1" x14ac:dyDescent="0.25">
      <c r="B163" s="260"/>
      <c r="C163" s="260"/>
      <c r="D163" s="259"/>
      <c r="E163" s="259"/>
      <c r="F163" s="259"/>
    </row>
    <row r="164" spans="2:6" ht="26.25" customHeight="1" x14ac:dyDescent="0.25">
      <c r="B164" s="260"/>
      <c r="C164" s="260"/>
      <c r="D164" s="259"/>
      <c r="E164" s="259"/>
      <c r="F164" s="259"/>
    </row>
    <row r="165" spans="2:6" ht="26.25" customHeight="1" x14ac:dyDescent="0.25">
      <c r="B165" s="260"/>
      <c r="C165" s="260"/>
      <c r="D165" s="259"/>
      <c r="E165" s="259"/>
      <c r="F165" s="259"/>
    </row>
    <row r="166" spans="2:6" ht="26.25" customHeight="1" x14ac:dyDescent="0.25">
      <c r="B166" s="260"/>
      <c r="C166" s="260"/>
      <c r="D166" s="259"/>
      <c r="E166" s="259"/>
      <c r="F166" s="259"/>
    </row>
    <row r="167" spans="2:6" ht="26.25" customHeight="1" x14ac:dyDescent="0.25">
      <c r="B167" s="260"/>
      <c r="C167" s="260"/>
      <c r="D167" s="259"/>
      <c r="E167" s="259"/>
      <c r="F167" s="259"/>
    </row>
    <row r="168" spans="2:6" ht="26.25" customHeight="1" x14ac:dyDescent="0.25">
      <c r="B168" s="260"/>
      <c r="C168" s="260"/>
      <c r="D168" s="259"/>
      <c r="E168" s="259"/>
      <c r="F168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21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16"/>
  <sheetViews>
    <sheetView workbookViewId="0">
      <selection activeCell="G1" sqref="G1"/>
    </sheetView>
  </sheetViews>
  <sheetFormatPr defaultRowHeight="15" x14ac:dyDescent="0.25"/>
  <cols>
    <col min="2" max="2" width="12.5703125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</cols>
  <sheetData>
    <row r="1" spans="1:7" x14ac:dyDescent="0.25">
      <c r="A1" s="1"/>
      <c r="B1" s="1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" t="s">
        <v>1463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17270000</v>
      </c>
    </row>
    <row r="6" spans="1:7" x14ac:dyDescent="0.25">
      <c r="E6" s="2" t="s">
        <v>11</v>
      </c>
      <c r="F6" s="2">
        <f>SUM(E10:E68)</f>
        <v>17270000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27" t="s">
        <v>0</v>
      </c>
      <c r="B8" s="427" t="s">
        <v>13</v>
      </c>
      <c r="C8" s="427" t="s">
        <v>5</v>
      </c>
      <c r="D8" s="428" t="s">
        <v>8</v>
      </c>
      <c r="E8" s="428"/>
      <c r="F8" s="428" t="s">
        <v>2</v>
      </c>
    </row>
    <row r="9" spans="1:7" x14ac:dyDescent="0.25">
      <c r="A9" s="427"/>
      <c r="B9" s="427"/>
      <c r="C9" s="427"/>
      <c r="D9" s="307" t="s">
        <v>6</v>
      </c>
      <c r="E9" s="307" t="s">
        <v>7</v>
      </c>
      <c r="F9" s="428"/>
    </row>
    <row r="10" spans="1:7" ht="24.75" customHeight="1" x14ac:dyDescent="0.25">
      <c r="A10" s="306">
        <v>1</v>
      </c>
      <c r="B10" s="309">
        <v>45016</v>
      </c>
      <c r="C10" s="306" t="s">
        <v>1086</v>
      </c>
      <c r="D10" s="307">
        <v>12430000</v>
      </c>
      <c r="E10" s="307"/>
      <c r="F10" s="307">
        <f>D10</f>
        <v>12430000</v>
      </c>
    </row>
    <row r="11" spans="1:7" ht="24.75" customHeight="1" x14ac:dyDescent="0.25">
      <c r="A11" s="306">
        <v>2</v>
      </c>
      <c r="B11" s="309">
        <v>45046</v>
      </c>
      <c r="C11" s="306" t="s">
        <v>1130</v>
      </c>
      <c r="D11" s="307">
        <v>4840000</v>
      </c>
      <c r="E11" s="307"/>
      <c r="F11" s="307">
        <f>F10+D11</f>
        <v>17270000</v>
      </c>
    </row>
    <row r="12" spans="1:7" ht="24.75" customHeight="1" x14ac:dyDescent="0.25">
      <c r="A12" s="306">
        <v>3</v>
      </c>
      <c r="B12" s="309">
        <v>45107</v>
      </c>
      <c r="C12" s="306" t="s">
        <v>1509</v>
      </c>
      <c r="D12" s="307"/>
      <c r="E12" s="307">
        <v>10000000</v>
      </c>
      <c r="F12" s="323">
        <f>F11-E12</f>
        <v>7270000</v>
      </c>
    </row>
    <row r="13" spans="1:7" ht="24.75" customHeight="1" x14ac:dyDescent="0.25">
      <c r="A13" s="306"/>
      <c r="B13" s="309">
        <v>45145</v>
      </c>
      <c r="C13" s="306" t="s">
        <v>1509</v>
      </c>
      <c r="D13" s="307"/>
      <c r="E13" s="307">
        <v>7270000</v>
      </c>
      <c r="F13" s="307"/>
    </row>
    <row r="14" spans="1:7" ht="24.75" customHeight="1" x14ac:dyDescent="0.25">
      <c r="A14" s="306"/>
      <c r="B14" s="309"/>
      <c r="C14" s="306"/>
      <c r="D14" s="307"/>
      <c r="E14" s="307"/>
      <c r="F14" s="307"/>
    </row>
    <row r="15" spans="1:7" ht="24.75" customHeight="1" x14ac:dyDescent="0.25">
      <c r="A15" s="306"/>
      <c r="B15" s="309"/>
      <c r="C15" s="306"/>
      <c r="D15" s="307"/>
      <c r="E15" s="307"/>
      <c r="F15" s="307"/>
    </row>
    <row r="16" spans="1:7" ht="24.75" customHeight="1" x14ac:dyDescent="0.25">
      <c r="A16" s="306"/>
      <c r="B16" s="309"/>
      <c r="C16" s="306"/>
      <c r="D16" s="307"/>
      <c r="E16" s="307"/>
      <c r="F16" s="307"/>
    </row>
    <row r="17" spans="1:6" ht="24.75" customHeight="1" x14ac:dyDescent="0.25">
      <c r="A17" s="306"/>
      <c r="B17" s="309"/>
      <c r="C17" s="306"/>
      <c r="D17" s="307"/>
      <c r="E17" s="307"/>
      <c r="F17" s="307"/>
    </row>
    <row r="18" spans="1:6" ht="24.75" customHeight="1" x14ac:dyDescent="0.25">
      <c r="A18" s="306"/>
      <c r="B18" s="309"/>
      <c r="C18" s="306"/>
      <c r="D18" s="307"/>
      <c r="E18" s="307"/>
      <c r="F18" s="307"/>
    </row>
    <row r="19" spans="1:6" ht="24.75" customHeight="1" x14ac:dyDescent="0.25">
      <c r="A19" s="306"/>
      <c r="B19" s="309"/>
      <c r="C19" s="306"/>
      <c r="D19" s="307"/>
      <c r="E19" s="307"/>
      <c r="F19" s="307"/>
    </row>
    <row r="20" spans="1:6" ht="24.75" customHeight="1" x14ac:dyDescent="0.25">
      <c r="A20" s="306"/>
      <c r="B20" s="306"/>
      <c r="C20" s="306"/>
      <c r="D20" s="307"/>
      <c r="E20" s="307"/>
      <c r="F20" s="307"/>
    </row>
    <row r="21" spans="1:6" ht="24.75" customHeight="1" x14ac:dyDescent="0.25">
      <c r="A21" s="306"/>
      <c r="B21" s="306"/>
      <c r="C21" s="306"/>
      <c r="D21" s="307"/>
      <c r="E21" s="307"/>
      <c r="F21" s="307"/>
    </row>
    <row r="22" spans="1:6" ht="24.75" customHeight="1" x14ac:dyDescent="0.25">
      <c r="A22" s="306"/>
      <c r="B22" s="306"/>
      <c r="C22" s="306"/>
      <c r="D22" s="307"/>
      <c r="E22" s="307"/>
      <c r="F22" s="307"/>
    </row>
    <row r="23" spans="1:6" ht="24.75" customHeight="1" x14ac:dyDescent="0.25">
      <c r="A23" s="306"/>
      <c r="B23" s="306"/>
      <c r="C23" s="306"/>
      <c r="D23" s="307"/>
      <c r="E23" s="307"/>
      <c r="F23" s="307"/>
    </row>
    <row r="24" spans="1:6" ht="24.75" customHeight="1" x14ac:dyDescent="0.25">
      <c r="A24" s="306"/>
      <c r="B24" s="306"/>
      <c r="C24" s="306"/>
      <c r="D24" s="307"/>
      <c r="E24" s="307"/>
      <c r="F24" s="307"/>
    </row>
    <row r="25" spans="1:6" ht="24.75" customHeight="1" x14ac:dyDescent="0.25">
      <c r="A25" s="306"/>
      <c r="B25" s="306"/>
      <c r="C25" s="306"/>
      <c r="D25" s="307"/>
      <c r="E25" s="307"/>
      <c r="F25" s="307"/>
    </row>
    <row r="26" spans="1:6" ht="24.75" customHeight="1" x14ac:dyDescent="0.25">
      <c r="A26" s="306"/>
      <c r="B26" s="306"/>
      <c r="C26" s="306"/>
      <c r="D26" s="307"/>
      <c r="E26" s="307"/>
      <c r="F26" s="307"/>
    </row>
    <row r="27" spans="1:6" ht="24.75" customHeight="1" x14ac:dyDescent="0.25">
      <c r="A27" s="306"/>
      <c r="B27" s="306"/>
      <c r="C27" s="306"/>
      <c r="D27" s="307"/>
      <c r="E27" s="307"/>
      <c r="F27" s="307"/>
    </row>
    <row r="28" spans="1:6" ht="24.75" customHeight="1" x14ac:dyDescent="0.25">
      <c r="A28" s="306"/>
      <c r="B28" s="306"/>
      <c r="C28" s="306"/>
      <c r="D28" s="307"/>
      <c r="E28" s="307"/>
      <c r="F28" s="307"/>
    </row>
    <row r="29" spans="1:6" ht="24.75" customHeight="1" x14ac:dyDescent="0.25">
      <c r="A29" s="306"/>
      <c r="B29" s="306"/>
      <c r="C29" s="306"/>
      <c r="D29" s="307"/>
      <c r="E29" s="307"/>
      <c r="F29" s="307"/>
    </row>
    <row r="30" spans="1:6" ht="24.75" customHeight="1" x14ac:dyDescent="0.25">
      <c r="A30" s="306"/>
      <c r="B30" s="306"/>
      <c r="C30" s="306"/>
      <c r="D30" s="307"/>
      <c r="E30" s="307"/>
      <c r="F30" s="307"/>
    </row>
    <row r="31" spans="1:6" ht="24.75" customHeight="1" x14ac:dyDescent="0.25">
      <c r="A31" s="306"/>
      <c r="B31" s="306"/>
      <c r="C31" s="306"/>
      <c r="D31" s="307"/>
      <c r="E31" s="307"/>
      <c r="F31" s="307"/>
    </row>
    <row r="32" spans="1:6" ht="24.75" customHeight="1" x14ac:dyDescent="0.25">
      <c r="A32" s="306"/>
      <c r="B32" s="306"/>
      <c r="C32" s="306"/>
      <c r="D32" s="307"/>
      <c r="E32" s="307"/>
      <c r="F32" s="307"/>
    </row>
    <row r="33" spans="1:6" ht="24.75" customHeight="1" x14ac:dyDescent="0.25">
      <c r="A33" s="306"/>
      <c r="B33" s="306"/>
      <c r="C33" s="306"/>
      <c r="D33" s="307"/>
      <c r="E33" s="307"/>
      <c r="F33" s="307"/>
    </row>
    <row r="34" spans="1:6" x14ac:dyDescent="0.25">
      <c r="A34" s="306"/>
      <c r="B34" s="306"/>
      <c r="C34" s="306"/>
      <c r="D34" s="307"/>
      <c r="E34" s="307"/>
      <c r="F34" s="307"/>
    </row>
    <row r="35" spans="1:6" x14ac:dyDescent="0.25">
      <c r="A35" s="306"/>
      <c r="B35" s="306"/>
      <c r="C35" s="306"/>
      <c r="D35" s="307"/>
      <c r="E35" s="307"/>
      <c r="F35" s="307"/>
    </row>
    <row r="36" spans="1:6" x14ac:dyDescent="0.25">
      <c r="A36" s="306"/>
      <c r="B36" s="306"/>
      <c r="C36" s="306"/>
      <c r="D36" s="307"/>
      <c r="E36" s="307"/>
      <c r="F36" s="307"/>
    </row>
    <row r="37" spans="1:6" x14ac:dyDescent="0.25">
      <c r="A37" s="306"/>
      <c r="B37" s="306"/>
      <c r="C37" s="306"/>
      <c r="D37" s="307"/>
      <c r="E37" s="307"/>
      <c r="F37" s="307"/>
    </row>
    <row r="38" spans="1:6" x14ac:dyDescent="0.25">
      <c r="A38" s="306"/>
      <c r="B38" s="306"/>
      <c r="C38" s="306"/>
      <c r="D38" s="307"/>
      <c r="E38" s="307"/>
      <c r="F38" s="307"/>
    </row>
    <row r="39" spans="1:6" x14ac:dyDescent="0.25">
      <c r="A39" s="306"/>
      <c r="B39" s="306"/>
      <c r="C39" s="306"/>
      <c r="D39" s="307"/>
      <c r="E39" s="307"/>
      <c r="F39" s="307"/>
    </row>
    <row r="40" spans="1:6" x14ac:dyDescent="0.25">
      <c r="A40" s="306"/>
      <c r="B40" s="306"/>
      <c r="C40" s="306"/>
      <c r="D40" s="307"/>
      <c r="E40" s="307"/>
      <c r="F40" s="307"/>
    </row>
    <row r="41" spans="1:6" x14ac:dyDescent="0.25">
      <c r="A41" s="306"/>
      <c r="B41" s="306"/>
      <c r="C41" s="306"/>
      <c r="D41" s="307"/>
      <c r="E41" s="307"/>
      <c r="F41" s="307"/>
    </row>
    <row r="42" spans="1:6" x14ac:dyDescent="0.25">
      <c r="A42" s="306"/>
      <c r="B42" s="306"/>
      <c r="C42" s="306"/>
      <c r="D42" s="307"/>
      <c r="E42" s="307"/>
      <c r="F42" s="307"/>
    </row>
    <row r="43" spans="1:6" x14ac:dyDescent="0.25">
      <c r="A43" s="306"/>
      <c r="B43" s="306"/>
      <c r="C43" s="306"/>
      <c r="D43" s="307"/>
      <c r="E43" s="307"/>
      <c r="F43" s="307"/>
    </row>
    <row r="44" spans="1:6" x14ac:dyDescent="0.25">
      <c r="A44" s="306"/>
      <c r="B44" s="306"/>
      <c r="C44" s="306"/>
      <c r="D44" s="307"/>
      <c r="E44" s="307"/>
      <c r="F44" s="307"/>
    </row>
    <row r="45" spans="1:6" x14ac:dyDescent="0.25">
      <c r="A45" s="306"/>
      <c r="B45" s="306"/>
      <c r="C45" s="306"/>
      <c r="D45" s="307"/>
      <c r="E45" s="307"/>
      <c r="F45" s="307"/>
    </row>
    <row r="46" spans="1:6" x14ac:dyDescent="0.25">
      <c r="A46" s="306"/>
      <c r="B46" s="306"/>
      <c r="C46" s="306"/>
      <c r="D46" s="307"/>
      <c r="E46" s="307"/>
      <c r="F46" s="307"/>
    </row>
    <row r="47" spans="1:6" x14ac:dyDescent="0.25">
      <c r="A47" s="306"/>
      <c r="B47" s="306"/>
      <c r="C47" s="306"/>
      <c r="D47" s="307"/>
      <c r="E47" s="307"/>
      <c r="F47" s="307"/>
    </row>
    <row r="48" spans="1:6" x14ac:dyDescent="0.25">
      <c r="A48" s="306"/>
      <c r="B48" s="306"/>
      <c r="C48" s="306"/>
      <c r="D48" s="307"/>
      <c r="E48" s="307"/>
      <c r="F48" s="307"/>
    </row>
    <row r="49" spans="1:6" x14ac:dyDescent="0.25">
      <c r="A49" s="306"/>
      <c r="B49" s="306"/>
      <c r="C49" s="306"/>
      <c r="D49" s="307"/>
      <c r="E49" s="307"/>
      <c r="F49" s="307"/>
    </row>
    <row r="50" spans="1:6" x14ac:dyDescent="0.25">
      <c r="A50" s="306"/>
      <c r="B50" s="306"/>
      <c r="C50" s="306"/>
      <c r="D50" s="307"/>
      <c r="E50" s="307"/>
      <c r="F50" s="307"/>
    </row>
    <row r="51" spans="1:6" x14ac:dyDescent="0.25">
      <c r="A51" s="306"/>
      <c r="B51" s="306"/>
      <c r="C51" s="306"/>
      <c r="D51" s="307"/>
      <c r="E51" s="307"/>
      <c r="F51" s="307"/>
    </row>
    <row r="52" spans="1:6" x14ac:dyDescent="0.25">
      <c r="A52" s="306"/>
      <c r="B52" s="306"/>
      <c r="C52" s="306"/>
      <c r="D52" s="307"/>
      <c r="E52" s="307"/>
      <c r="F52" s="307"/>
    </row>
    <row r="53" spans="1:6" x14ac:dyDescent="0.25">
      <c r="A53" s="306"/>
      <c r="B53" s="306"/>
      <c r="C53" s="306"/>
      <c r="D53" s="307"/>
      <c r="E53" s="307"/>
      <c r="F53" s="307"/>
    </row>
    <row r="54" spans="1:6" x14ac:dyDescent="0.25">
      <c r="A54" s="306"/>
      <c r="B54" s="306"/>
      <c r="C54" s="306"/>
      <c r="D54" s="307"/>
      <c r="E54" s="307"/>
      <c r="F54" s="307"/>
    </row>
    <row r="55" spans="1:6" x14ac:dyDescent="0.25">
      <c r="A55" s="306"/>
      <c r="B55" s="306"/>
      <c r="C55" s="306"/>
      <c r="D55" s="307"/>
      <c r="E55" s="307"/>
      <c r="F55" s="307"/>
    </row>
    <row r="56" spans="1:6" x14ac:dyDescent="0.25">
      <c r="A56" s="306"/>
      <c r="B56" s="306"/>
      <c r="C56" s="306"/>
      <c r="D56" s="307"/>
      <c r="E56" s="307"/>
      <c r="F56" s="307"/>
    </row>
    <row r="57" spans="1:6" x14ac:dyDescent="0.25">
      <c r="A57" s="306"/>
      <c r="B57" s="306"/>
      <c r="C57" s="306"/>
      <c r="D57" s="307"/>
      <c r="E57" s="307"/>
      <c r="F57" s="307"/>
    </row>
    <row r="58" spans="1:6" x14ac:dyDescent="0.25">
      <c r="A58" s="306"/>
      <c r="B58" s="306"/>
      <c r="C58" s="306"/>
      <c r="D58" s="307"/>
      <c r="E58" s="307"/>
      <c r="F58" s="307"/>
    </row>
    <row r="59" spans="1:6" x14ac:dyDescent="0.25">
      <c r="A59" s="306"/>
      <c r="B59" s="306"/>
      <c r="C59" s="306"/>
      <c r="D59" s="307"/>
      <c r="E59" s="307"/>
      <c r="F59" s="307"/>
    </row>
    <row r="60" spans="1:6" x14ac:dyDescent="0.25">
      <c r="A60" s="306"/>
      <c r="B60" s="306"/>
      <c r="C60" s="306"/>
      <c r="D60" s="307"/>
      <c r="E60" s="307"/>
      <c r="F60" s="307"/>
    </row>
    <row r="61" spans="1:6" x14ac:dyDescent="0.25">
      <c r="A61" s="306"/>
      <c r="B61" s="306"/>
      <c r="C61" s="306"/>
      <c r="D61" s="307"/>
      <c r="E61" s="307"/>
      <c r="F61" s="307"/>
    </row>
    <row r="62" spans="1:6" x14ac:dyDescent="0.25">
      <c r="A62" s="306"/>
      <c r="B62" s="306"/>
      <c r="C62" s="306"/>
      <c r="D62" s="307"/>
      <c r="E62" s="307"/>
      <c r="F62" s="307"/>
    </row>
    <row r="63" spans="1:6" x14ac:dyDescent="0.25">
      <c r="A63" s="306"/>
      <c r="B63" s="306"/>
      <c r="C63" s="306"/>
      <c r="D63" s="307"/>
      <c r="E63" s="307"/>
      <c r="F63" s="307"/>
    </row>
    <row r="64" spans="1:6" x14ac:dyDescent="0.25">
      <c r="A64" s="306"/>
      <c r="B64" s="306"/>
      <c r="C64" s="306"/>
      <c r="D64" s="307"/>
      <c r="E64" s="307"/>
      <c r="F64" s="307"/>
    </row>
    <row r="65" spans="1:6" x14ac:dyDescent="0.25">
      <c r="A65" s="306"/>
      <c r="B65" s="306"/>
      <c r="C65" s="306"/>
      <c r="D65" s="307"/>
      <c r="E65" s="307"/>
      <c r="F65" s="307"/>
    </row>
    <row r="66" spans="1:6" x14ac:dyDescent="0.25">
      <c r="A66" s="306"/>
      <c r="B66" s="306"/>
      <c r="C66" s="306"/>
      <c r="D66" s="307"/>
      <c r="E66" s="307"/>
      <c r="F66" s="307"/>
    </row>
    <row r="67" spans="1:6" x14ac:dyDescent="0.25">
      <c r="A67" s="306"/>
      <c r="B67" s="306"/>
      <c r="C67" s="306"/>
      <c r="D67" s="307"/>
      <c r="E67" s="307"/>
      <c r="F67" s="307"/>
    </row>
    <row r="68" spans="1:6" x14ac:dyDescent="0.25">
      <c r="A68" s="306"/>
      <c r="B68" s="306"/>
      <c r="C68" s="306"/>
      <c r="D68" s="307"/>
      <c r="E68" s="307"/>
      <c r="F68" s="307"/>
    </row>
    <row r="69" spans="1:6" x14ac:dyDescent="0.25">
      <c r="A69" s="306"/>
      <c r="B69" s="306"/>
      <c r="C69" s="306"/>
      <c r="D69" s="307"/>
      <c r="E69" s="307"/>
      <c r="F69" s="307"/>
    </row>
    <row r="70" spans="1:6" x14ac:dyDescent="0.25">
      <c r="A70" s="306"/>
      <c r="B70" s="306"/>
      <c r="C70" s="306"/>
      <c r="D70" s="307"/>
      <c r="E70" s="307"/>
      <c r="F70" s="307"/>
    </row>
    <row r="71" spans="1:6" x14ac:dyDescent="0.25">
      <c r="A71" s="306"/>
      <c r="B71" s="306"/>
      <c r="C71" s="306"/>
      <c r="D71" s="307"/>
      <c r="E71" s="307"/>
      <c r="F71" s="307"/>
    </row>
    <row r="72" spans="1:6" x14ac:dyDescent="0.25">
      <c r="A72" s="306"/>
      <c r="B72" s="306"/>
      <c r="C72" s="306"/>
      <c r="D72" s="307"/>
      <c r="E72" s="307"/>
      <c r="F72" s="307"/>
    </row>
    <row r="73" spans="1:6" x14ac:dyDescent="0.25">
      <c r="A73" s="306"/>
      <c r="B73" s="306"/>
      <c r="C73" s="306"/>
      <c r="D73" s="307"/>
      <c r="E73" s="307"/>
      <c r="F73" s="307"/>
    </row>
    <row r="74" spans="1:6" x14ac:dyDescent="0.25">
      <c r="A74" s="306"/>
      <c r="B74" s="306"/>
      <c r="C74" s="306"/>
      <c r="D74" s="307"/>
      <c r="E74" s="307"/>
      <c r="F74" s="307"/>
    </row>
    <row r="75" spans="1:6" x14ac:dyDescent="0.25">
      <c r="A75" s="306"/>
      <c r="B75" s="306"/>
      <c r="C75" s="306"/>
      <c r="D75" s="307"/>
      <c r="E75" s="307"/>
      <c r="F75" s="307"/>
    </row>
    <row r="76" spans="1:6" x14ac:dyDescent="0.25">
      <c r="A76" s="306"/>
      <c r="B76" s="306"/>
      <c r="C76" s="306"/>
      <c r="D76" s="307"/>
      <c r="E76" s="307"/>
      <c r="F76" s="307"/>
    </row>
    <row r="77" spans="1:6" x14ac:dyDescent="0.25">
      <c r="A77" s="306"/>
      <c r="B77" s="306"/>
      <c r="C77" s="306"/>
      <c r="D77" s="307"/>
      <c r="E77" s="307"/>
      <c r="F77" s="307"/>
    </row>
    <row r="78" spans="1:6" x14ac:dyDescent="0.25">
      <c r="A78" s="306"/>
      <c r="B78" s="306"/>
      <c r="C78" s="306"/>
      <c r="D78" s="307"/>
      <c r="E78" s="307"/>
      <c r="F78" s="307"/>
    </row>
    <row r="79" spans="1:6" x14ac:dyDescent="0.25">
      <c r="A79" s="306"/>
      <c r="B79" s="306"/>
      <c r="C79" s="306"/>
      <c r="D79" s="307"/>
      <c r="E79" s="307"/>
      <c r="F79" s="307"/>
    </row>
    <row r="80" spans="1:6" x14ac:dyDescent="0.25">
      <c r="A80" s="306"/>
      <c r="B80" s="306"/>
      <c r="C80" s="306"/>
      <c r="D80" s="307"/>
      <c r="E80" s="307"/>
      <c r="F80" s="307"/>
    </row>
    <row r="81" spans="1:6" x14ac:dyDescent="0.25">
      <c r="A81" s="306"/>
      <c r="B81" s="306"/>
      <c r="C81" s="306"/>
      <c r="D81" s="307"/>
      <c r="E81" s="307"/>
      <c r="F81" s="307"/>
    </row>
    <row r="82" spans="1:6" x14ac:dyDescent="0.25">
      <c r="A82" s="306"/>
      <c r="B82" s="306"/>
      <c r="C82" s="306"/>
      <c r="D82" s="307"/>
      <c r="E82" s="307"/>
      <c r="F82" s="307"/>
    </row>
    <row r="83" spans="1:6" x14ac:dyDescent="0.25">
      <c r="A83" s="306"/>
      <c r="B83" s="306"/>
      <c r="C83" s="306"/>
      <c r="D83" s="307"/>
      <c r="E83" s="307"/>
      <c r="F83" s="307"/>
    </row>
    <row r="84" spans="1:6" x14ac:dyDescent="0.25">
      <c r="A84" s="306"/>
      <c r="B84" s="306"/>
      <c r="C84" s="306"/>
      <c r="D84" s="307"/>
      <c r="E84" s="307"/>
      <c r="F84" s="307"/>
    </row>
    <row r="85" spans="1:6" x14ac:dyDescent="0.25">
      <c r="A85" s="306"/>
      <c r="B85" s="306"/>
      <c r="C85" s="306"/>
      <c r="D85" s="307"/>
      <c r="E85" s="307"/>
      <c r="F85" s="307"/>
    </row>
    <row r="86" spans="1:6" x14ac:dyDescent="0.25">
      <c r="A86" s="306"/>
      <c r="B86" s="306"/>
      <c r="C86" s="306"/>
      <c r="D86" s="307"/>
      <c r="E86" s="307"/>
      <c r="F86" s="307"/>
    </row>
    <row r="87" spans="1:6" x14ac:dyDescent="0.25">
      <c r="A87" s="306"/>
      <c r="B87" s="306"/>
      <c r="C87" s="306"/>
      <c r="D87" s="307"/>
      <c r="E87" s="307"/>
      <c r="F87" s="307"/>
    </row>
    <row r="88" spans="1:6" x14ac:dyDescent="0.25">
      <c r="A88" s="306"/>
      <c r="B88" s="306"/>
      <c r="C88" s="306"/>
      <c r="D88" s="307"/>
      <c r="E88" s="307"/>
      <c r="F88" s="307"/>
    </row>
    <row r="89" spans="1:6" x14ac:dyDescent="0.25">
      <c r="A89" s="306"/>
      <c r="B89" s="306"/>
      <c r="C89" s="306"/>
      <c r="D89" s="307"/>
      <c r="E89" s="307"/>
      <c r="F89" s="307"/>
    </row>
    <row r="90" spans="1:6" x14ac:dyDescent="0.25">
      <c r="A90" s="306"/>
      <c r="B90" s="306"/>
      <c r="C90" s="306"/>
      <c r="D90" s="307"/>
      <c r="E90" s="307"/>
      <c r="F90" s="307"/>
    </row>
    <row r="91" spans="1:6" x14ac:dyDescent="0.25">
      <c r="A91" s="306"/>
      <c r="B91" s="306"/>
      <c r="C91" s="306"/>
      <c r="D91" s="307"/>
      <c r="E91" s="307"/>
      <c r="F91" s="307"/>
    </row>
    <row r="92" spans="1:6" x14ac:dyDescent="0.25">
      <c r="A92" s="306"/>
      <c r="B92" s="306"/>
      <c r="C92" s="306"/>
      <c r="D92" s="307"/>
      <c r="E92" s="307"/>
      <c r="F92" s="307"/>
    </row>
    <row r="93" spans="1:6" x14ac:dyDescent="0.25">
      <c r="A93" s="306"/>
      <c r="B93" s="306"/>
      <c r="C93" s="306"/>
      <c r="D93" s="307"/>
      <c r="E93" s="307"/>
      <c r="F93" s="307"/>
    </row>
    <row r="94" spans="1:6" x14ac:dyDescent="0.25">
      <c r="A94" s="306"/>
      <c r="B94" s="306"/>
      <c r="C94" s="306"/>
      <c r="D94" s="307"/>
      <c r="E94" s="307"/>
      <c r="F94" s="307"/>
    </row>
    <row r="95" spans="1:6" x14ac:dyDescent="0.25">
      <c r="A95" s="306"/>
      <c r="B95" s="306"/>
      <c r="C95" s="306"/>
      <c r="D95" s="307"/>
      <c r="E95" s="307"/>
      <c r="F95" s="307"/>
    </row>
    <row r="96" spans="1:6" x14ac:dyDescent="0.25">
      <c r="A96" s="306"/>
      <c r="B96" s="306"/>
      <c r="C96" s="306"/>
      <c r="D96" s="307"/>
      <c r="E96" s="307"/>
      <c r="F96" s="307"/>
    </row>
    <row r="97" spans="1:6" x14ac:dyDescent="0.25">
      <c r="A97" s="306"/>
      <c r="B97" s="306"/>
      <c r="C97" s="306"/>
      <c r="D97" s="307"/>
      <c r="E97" s="307"/>
      <c r="F97" s="307"/>
    </row>
    <row r="98" spans="1:6" x14ac:dyDescent="0.25">
      <c r="A98" s="306"/>
      <c r="B98" s="306"/>
      <c r="C98" s="306"/>
      <c r="D98" s="307"/>
      <c r="E98" s="307"/>
      <c r="F98" s="307"/>
    </row>
    <row r="99" spans="1:6" x14ac:dyDescent="0.25">
      <c r="A99" s="306"/>
      <c r="B99" s="306"/>
      <c r="C99" s="306"/>
      <c r="D99" s="307"/>
      <c r="E99" s="307"/>
      <c r="F99" s="307"/>
    </row>
    <row r="100" spans="1:6" x14ac:dyDescent="0.25">
      <c r="A100" s="306"/>
      <c r="B100" s="306"/>
      <c r="C100" s="306"/>
      <c r="D100" s="307"/>
      <c r="E100" s="307"/>
      <c r="F100" s="307"/>
    </row>
    <row r="101" spans="1:6" x14ac:dyDescent="0.25">
      <c r="A101" s="306"/>
      <c r="B101" s="306"/>
      <c r="C101" s="306"/>
      <c r="D101" s="307"/>
      <c r="E101" s="307"/>
      <c r="F101" s="307"/>
    </row>
    <row r="102" spans="1:6" x14ac:dyDescent="0.25">
      <c r="A102" s="306"/>
      <c r="B102" s="306"/>
      <c r="C102" s="306"/>
      <c r="D102" s="307"/>
      <c r="E102" s="307"/>
      <c r="F102" s="307"/>
    </row>
    <row r="103" spans="1:6" x14ac:dyDescent="0.25">
      <c r="A103" s="306"/>
      <c r="B103" s="306"/>
      <c r="C103" s="306"/>
      <c r="D103" s="307"/>
      <c r="E103" s="307"/>
      <c r="F103" s="307"/>
    </row>
    <row r="104" spans="1:6" x14ac:dyDescent="0.25">
      <c r="A104" s="306"/>
      <c r="B104" s="306"/>
      <c r="C104" s="306"/>
      <c r="D104" s="307"/>
      <c r="E104" s="307"/>
      <c r="F104" s="307"/>
    </row>
    <row r="105" spans="1:6" x14ac:dyDescent="0.25">
      <c r="A105" s="306"/>
      <c r="B105" s="306"/>
      <c r="C105" s="306"/>
      <c r="D105" s="307"/>
      <c r="E105" s="307"/>
      <c r="F105" s="307"/>
    </row>
    <row r="106" spans="1:6" x14ac:dyDescent="0.25">
      <c r="A106" s="306"/>
      <c r="B106" s="306"/>
      <c r="C106" s="306"/>
      <c r="D106" s="307"/>
      <c r="E106" s="307"/>
      <c r="F106" s="307"/>
    </row>
    <row r="107" spans="1:6" x14ac:dyDescent="0.25">
      <c r="A107" s="306"/>
      <c r="B107" s="306"/>
      <c r="C107" s="306"/>
      <c r="D107" s="307"/>
      <c r="E107" s="307"/>
      <c r="F107" s="307"/>
    </row>
    <row r="108" spans="1:6" x14ac:dyDescent="0.25">
      <c r="A108" s="306"/>
      <c r="B108" s="306"/>
      <c r="C108" s="306"/>
      <c r="D108" s="307"/>
      <c r="E108" s="307"/>
      <c r="F108" s="307"/>
    </row>
    <row r="109" spans="1:6" x14ac:dyDescent="0.25">
      <c r="A109" s="306"/>
      <c r="B109" s="306"/>
      <c r="C109" s="306"/>
      <c r="D109" s="307"/>
      <c r="E109" s="307"/>
      <c r="F109" s="307"/>
    </row>
    <row r="110" spans="1:6" x14ac:dyDescent="0.25">
      <c r="A110" s="306"/>
      <c r="B110" s="306"/>
      <c r="C110" s="306"/>
      <c r="D110" s="307"/>
      <c r="E110" s="307"/>
      <c r="F110" s="307"/>
    </row>
    <row r="111" spans="1:6" x14ac:dyDescent="0.25">
      <c r="A111" s="306"/>
      <c r="B111" s="306"/>
      <c r="C111" s="306"/>
      <c r="D111" s="307"/>
      <c r="E111" s="307"/>
      <c r="F111" s="307"/>
    </row>
    <row r="112" spans="1:6" x14ac:dyDescent="0.25">
      <c r="A112" s="306"/>
      <c r="B112" s="306"/>
      <c r="C112" s="306"/>
      <c r="D112" s="307"/>
      <c r="E112" s="307"/>
      <c r="F112" s="307"/>
    </row>
    <row r="113" spans="1:6" x14ac:dyDescent="0.25">
      <c r="A113" s="306"/>
      <c r="B113" s="306"/>
      <c r="C113" s="306"/>
      <c r="D113" s="307"/>
      <c r="E113" s="307"/>
      <c r="F113" s="307"/>
    </row>
    <row r="114" spans="1:6" x14ac:dyDescent="0.25">
      <c r="A114" s="306"/>
      <c r="B114" s="306"/>
      <c r="C114" s="306"/>
      <c r="D114" s="307"/>
      <c r="E114" s="307"/>
      <c r="F114" s="307"/>
    </row>
    <row r="115" spans="1:6" x14ac:dyDescent="0.25">
      <c r="A115" s="306"/>
      <c r="B115" s="306"/>
      <c r="C115" s="306"/>
      <c r="D115" s="307"/>
      <c r="E115" s="307"/>
      <c r="F115" s="307"/>
    </row>
    <row r="116" spans="1:6" x14ac:dyDescent="0.25">
      <c r="A116" s="306"/>
      <c r="B116" s="306"/>
      <c r="C116" s="306"/>
      <c r="D116" s="307"/>
      <c r="E116" s="307"/>
      <c r="F116" s="307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2200-000000000000}"/>
  </hyperlinks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98"/>
  <sheetViews>
    <sheetView workbookViewId="0">
      <selection activeCell="G1" sqref="G1"/>
    </sheetView>
  </sheetViews>
  <sheetFormatPr defaultRowHeight="15" x14ac:dyDescent="0.25"/>
  <cols>
    <col min="1" max="1" width="9.140625" style="251"/>
    <col min="2" max="2" width="12.5703125" style="251" customWidth="1"/>
    <col min="3" max="3" width="43.28515625" customWidth="1"/>
    <col min="4" max="4" width="19.85546875" style="2" customWidth="1"/>
    <col min="5" max="5" width="13.85546875" style="2" customWidth="1"/>
    <col min="6" max="6" width="19" style="2" customWidth="1"/>
    <col min="8" max="8" width="16.140625" customWidth="1"/>
  </cols>
  <sheetData>
    <row r="1" spans="1:8" x14ac:dyDescent="0.25">
      <c r="A1" s="252"/>
      <c r="B1" s="252"/>
      <c r="G1" s="1" t="s">
        <v>16</v>
      </c>
    </row>
    <row r="2" spans="1:8" x14ac:dyDescent="0.25">
      <c r="A2" s="411" t="s">
        <v>3</v>
      </c>
      <c r="B2" s="411"/>
      <c r="C2" s="411"/>
      <c r="D2" s="411"/>
      <c r="E2" s="411"/>
      <c r="F2" s="411"/>
    </row>
    <row r="3" spans="1:8" x14ac:dyDescent="0.25">
      <c r="A3" s="251" t="s">
        <v>4</v>
      </c>
      <c r="D3" s="2" t="s">
        <v>2024</v>
      </c>
    </row>
    <row r="4" spans="1:8" x14ac:dyDescent="0.25">
      <c r="E4" s="2" t="s">
        <v>9</v>
      </c>
      <c r="F4" s="2">
        <v>0</v>
      </c>
    </row>
    <row r="5" spans="1:8" x14ac:dyDescent="0.25">
      <c r="A5" s="251" t="s">
        <v>13</v>
      </c>
      <c r="D5" s="3">
        <f ca="1">+'Tổng hợp'!$G$2</f>
        <v>45784</v>
      </c>
      <c r="E5" s="2" t="s">
        <v>10</v>
      </c>
      <c r="F5" s="2">
        <f>SUM(D10:D147)</f>
        <v>167862000</v>
      </c>
    </row>
    <row r="6" spans="1:8" x14ac:dyDescent="0.25">
      <c r="E6" s="2" t="s">
        <v>11</v>
      </c>
      <c r="F6" s="2">
        <f>SUM(E10:E147)</f>
        <v>210522000</v>
      </c>
    </row>
    <row r="7" spans="1:8" x14ac:dyDescent="0.25">
      <c r="E7" s="2" t="s">
        <v>12</v>
      </c>
      <c r="F7" s="2">
        <f>+F4+F5-F6</f>
        <v>-42660000</v>
      </c>
    </row>
    <row r="8" spans="1:8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8" x14ac:dyDescent="0.25">
      <c r="A9" s="412"/>
      <c r="B9" s="412"/>
      <c r="C9" s="412"/>
      <c r="D9" s="263" t="s">
        <v>6</v>
      </c>
      <c r="E9" s="263" t="s">
        <v>7</v>
      </c>
      <c r="F9" s="415"/>
    </row>
    <row r="10" spans="1:8" ht="27" customHeight="1" x14ac:dyDescent="0.25">
      <c r="A10" s="262">
        <v>1</v>
      </c>
      <c r="B10" s="264">
        <v>45473</v>
      </c>
      <c r="C10" s="260" t="s">
        <v>1815</v>
      </c>
      <c r="D10" s="259"/>
      <c r="E10" s="287">
        <v>14800000</v>
      </c>
      <c r="F10" s="259"/>
      <c r="H10" s="242"/>
    </row>
    <row r="11" spans="1:8" ht="27" customHeight="1" x14ac:dyDescent="0.25">
      <c r="A11" s="262">
        <v>2</v>
      </c>
      <c r="B11" s="264">
        <v>45503</v>
      </c>
      <c r="C11" s="260" t="s">
        <v>1815</v>
      </c>
      <c r="D11" s="259"/>
      <c r="E11" s="287">
        <v>15200000</v>
      </c>
      <c r="F11" s="259"/>
      <c r="H11" s="242"/>
    </row>
    <row r="12" spans="1:8" ht="27" customHeight="1" x14ac:dyDescent="0.25">
      <c r="A12" s="262">
        <v>3</v>
      </c>
      <c r="B12" s="264">
        <v>45505</v>
      </c>
      <c r="C12" s="260" t="s">
        <v>1846</v>
      </c>
      <c r="D12" s="287">
        <v>14800000</v>
      </c>
      <c r="E12" s="259"/>
      <c r="F12" s="259"/>
      <c r="H12" s="242"/>
    </row>
    <row r="13" spans="1:8" ht="27" customHeight="1" x14ac:dyDescent="0.25">
      <c r="A13" s="262">
        <v>4</v>
      </c>
      <c r="B13" s="264">
        <v>45534</v>
      </c>
      <c r="C13" s="260" t="s">
        <v>1815</v>
      </c>
      <c r="D13" s="259"/>
      <c r="E13" s="287">
        <v>43200000</v>
      </c>
      <c r="F13" s="259"/>
      <c r="H13" s="242"/>
    </row>
    <row r="14" spans="1:8" ht="27" customHeight="1" x14ac:dyDescent="0.25">
      <c r="A14" s="262">
        <v>5</v>
      </c>
      <c r="B14" s="264">
        <v>45548</v>
      </c>
      <c r="C14" s="260" t="s">
        <v>1846</v>
      </c>
      <c r="D14" s="287">
        <v>15200000</v>
      </c>
      <c r="E14" s="259"/>
      <c r="F14" s="259"/>
      <c r="H14" s="242"/>
    </row>
    <row r="15" spans="1:8" ht="27" customHeight="1" x14ac:dyDescent="0.25">
      <c r="A15" s="262">
        <v>6</v>
      </c>
      <c r="B15" s="264">
        <v>45565</v>
      </c>
      <c r="C15" s="260" t="s">
        <v>1888</v>
      </c>
      <c r="D15" s="259"/>
      <c r="E15" s="259">
        <v>24624000</v>
      </c>
      <c r="F15" s="259"/>
      <c r="H15" s="242"/>
    </row>
    <row r="16" spans="1:8" ht="27" customHeight="1" x14ac:dyDescent="0.25">
      <c r="A16" s="262">
        <v>7</v>
      </c>
      <c r="B16" s="264">
        <v>45580</v>
      </c>
      <c r="C16" s="260" t="s">
        <v>1846</v>
      </c>
      <c r="D16" s="287">
        <v>43200000</v>
      </c>
      <c r="E16" s="259"/>
      <c r="F16" s="259"/>
      <c r="H16" s="242"/>
    </row>
    <row r="17" spans="1:8" ht="27" customHeight="1" x14ac:dyDescent="0.25">
      <c r="A17" s="262">
        <v>8</v>
      </c>
      <c r="B17" s="264">
        <v>45615</v>
      </c>
      <c r="C17" s="260" t="s">
        <v>1846</v>
      </c>
      <c r="D17" s="259">
        <v>24624000</v>
      </c>
      <c r="E17" s="259"/>
      <c r="F17" s="259"/>
      <c r="H17" s="242"/>
    </row>
    <row r="18" spans="1:8" ht="27" customHeight="1" x14ac:dyDescent="0.25">
      <c r="A18" s="262">
        <v>9</v>
      </c>
      <c r="B18" s="264">
        <v>45626</v>
      </c>
      <c r="C18" s="260" t="s">
        <v>1950</v>
      </c>
      <c r="D18" s="259"/>
      <c r="E18" s="259">
        <v>15930000</v>
      </c>
      <c r="F18" s="259"/>
      <c r="H18" s="242"/>
    </row>
    <row r="19" spans="1:8" ht="27" customHeight="1" x14ac:dyDescent="0.25">
      <c r="A19" s="262">
        <v>10</v>
      </c>
      <c r="B19" s="264">
        <v>45656</v>
      </c>
      <c r="C19" s="260" t="s">
        <v>1951</v>
      </c>
      <c r="D19" s="259"/>
      <c r="E19" s="259">
        <v>32508000</v>
      </c>
      <c r="F19" s="259"/>
      <c r="H19" s="242"/>
    </row>
    <row r="20" spans="1:8" ht="27" customHeight="1" x14ac:dyDescent="0.25">
      <c r="A20" s="262">
        <v>11</v>
      </c>
      <c r="B20" s="264">
        <v>45666</v>
      </c>
      <c r="C20" s="260" t="s">
        <v>1846</v>
      </c>
      <c r="D20" s="259">
        <v>15930000</v>
      </c>
      <c r="E20" s="259"/>
      <c r="F20" s="259"/>
      <c r="H20" s="242"/>
    </row>
    <row r="21" spans="1:8" ht="27" customHeight="1" x14ac:dyDescent="0.25">
      <c r="A21" s="262">
        <v>12</v>
      </c>
      <c r="B21" s="264">
        <v>45680</v>
      </c>
      <c r="C21" s="260" t="s">
        <v>1966</v>
      </c>
      <c r="D21" s="259"/>
      <c r="E21" s="259">
        <v>21600000</v>
      </c>
      <c r="F21" s="259"/>
      <c r="H21" s="242"/>
    </row>
    <row r="22" spans="1:8" ht="27" customHeight="1" x14ac:dyDescent="0.25">
      <c r="A22" s="262">
        <v>13</v>
      </c>
      <c r="B22" s="264">
        <v>45716</v>
      </c>
      <c r="C22" s="260" t="s">
        <v>1846</v>
      </c>
      <c r="D22" s="259">
        <v>54108000</v>
      </c>
      <c r="E22" s="259"/>
      <c r="F22" s="259"/>
      <c r="H22" s="242"/>
    </row>
    <row r="23" spans="1:8" ht="27" customHeight="1" x14ac:dyDescent="0.25">
      <c r="A23" s="262">
        <v>14</v>
      </c>
      <c r="B23" s="264">
        <v>45776</v>
      </c>
      <c r="C23" s="260" t="s">
        <v>2025</v>
      </c>
      <c r="D23" s="259"/>
      <c r="E23" s="259">
        <v>42660000</v>
      </c>
      <c r="F23" s="259"/>
      <c r="H23" s="242"/>
    </row>
    <row r="24" spans="1:8" ht="27" customHeight="1" x14ac:dyDescent="0.25">
      <c r="A24" s="262">
        <v>15</v>
      </c>
      <c r="B24" s="264"/>
      <c r="C24" s="271"/>
      <c r="D24" s="259"/>
      <c r="E24" s="259"/>
      <c r="F24" s="259"/>
      <c r="H24" s="242"/>
    </row>
    <row r="25" spans="1:8" ht="27" customHeight="1" x14ac:dyDescent="0.25">
      <c r="A25" s="262">
        <v>16</v>
      </c>
      <c r="B25" s="264"/>
      <c r="C25" s="260"/>
      <c r="D25" s="259"/>
      <c r="E25" s="259"/>
      <c r="F25" s="259"/>
      <c r="H25" s="242"/>
    </row>
    <row r="26" spans="1:8" ht="27" customHeight="1" x14ac:dyDescent="0.25">
      <c r="A26" s="262">
        <v>17</v>
      </c>
      <c r="B26" s="264"/>
      <c r="C26" s="260"/>
      <c r="D26" s="259"/>
      <c r="E26" s="259"/>
      <c r="F26" s="259"/>
      <c r="H26" s="242"/>
    </row>
    <row r="27" spans="1:8" ht="27" customHeight="1" x14ac:dyDescent="0.25">
      <c r="A27" s="262">
        <v>18</v>
      </c>
      <c r="B27" s="264"/>
      <c r="C27" s="271"/>
      <c r="D27" s="259"/>
      <c r="E27" s="259"/>
      <c r="F27" s="259"/>
      <c r="H27" s="242"/>
    </row>
    <row r="28" spans="1:8" ht="27" customHeight="1" x14ac:dyDescent="0.25">
      <c r="A28" s="262">
        <v>19</v>
      </c>
      <c r="B28" s="264"/>
      <c r="C28" s="278"/>
      <c r="D28" s="182"/>
      <c r="E28" s="182"/>
      <c r="F28" s="182"/>
      <c r="H28" s="242"/>
    </row>
    <row r="29" spans="1:8" ht="27" customHeight="1" x14ac:dyDescent="0.25">
      <c r="A29" s="262">
        <v>20</v>
      </c>
      <c r="B29" s="264"/>
      <c r="C29" s="275"/>
      <c r="D29" s="182"/>
      <c r="E29" s="182"/>
      <c r="F29" s="182"/>
      <c r="H29" s="242"/>
    </row>
    <row r="30" spans="1:8" ht="27" customHeight="1" x14ac:dyDescent="0.25">
      <c r="A30" s="262">
        <v>21</v>
      </c>
      <c r="B30" s="264"/>
      <c r="C30" s="275"/>
      <c r="D30" s="182"/>
      <c r="E30" s="182"/>
      <c r="F30" s="182"/>
      <c r="H30" s="242"/>
    </row>
    <row r="31" spans="1:8" ht="27" customHeight="1" x14ac:dyDescent="0.25">
      <c r="A31" s="262">
        <v>22</v>
      </c>
      <c r="B31" s="264"/>
      <c r="C31" s="278"/>
      <c r="D31" s="182"/>
      <c r="E31" s="182"/>
      <c r="F31" s="182"/>
      <c r="H31" s="242"/>
    </row>
    <row r="32" spans="1:8" ht="27" customHeight="1" x14ac:dyDescent="0.25">
      <c r="A32" s="262">
        <v>23</v>
      </c>
      <c r="B32" s="264"/>
      <c r="C32" s="278"/>
      <c r="D32" s="182"/>
      <c r="E32" s="182"/>
      <c r="F32" s="182"/>
      <c r="H32" s="242"/>
    </row>
    <row r="33" spans="1:8" ht="27" customHeight="1" x14ac:dyDescent="0.25">
      <c r="A33" s="262">
        <v>24</v>
      </c>
      <c r="B33" s="264"/>
      <c r="C33" s="278"/>
      <c r="D33" s="182"/>
      <c r="E33" s="182"/>
      <c r="F33" s="182"/>
      <c r="H33" s="242"/>
    </row>
    <row r="34" spans="1:8" ht="27" customHeight="1" x14ac:dyDescent="0.25">
      <c r="A34" s="262">
        <v>25</v>
      </c>
      <c r="B34" s="264"/>
      <c r="C34" s="278"/>
      <c r="D34" s="182"/>
      <c r="E34" s="182"/>
      <c r="F34" s="182"/>
      <c r="H34" s="242"/>
    </row>
    <row r="35" spans="1:8" ht="27" customHeight="1" x14ac:dyDescent="0.25">
      <c r="A35" s="262">
        <v>26</v>
      </c>
      <c r="B35" s="264"/>
      <c r="C35" s="275"/>
      <c r="D35" s="182"/>
      <c r="E35" s="182"/>
      <c r="F35" s="182"/>
      <c r="H35" s="242"/>
    </row>
    <row r="36" spans="1:8" ht="27" customHeight="1" x14ac:dyDescent="0.25">
      <c r="A36" s="262">
        <v>27</v>
      </c>
      <c r="B36" s="264"/>
      <c r="C36" s="275"/>
      <c r="D36" s="182"/>
      <c r="E36" s="182"/>
      <c r="F36" s="182"/>
      <c r="H36" s="242"/>
    </row>
    <row r="37" spans="1:8" ht="27" customHeight="1" x14ac:dyDescent="0.25">
      <c r="A37" s="262">
        <v>28</v>
      </c>
      <c r="B37" s="264"/>
      <c r="C37" s="275"/>
      <c r="D37" s="182"/>
      <c r="E37" s="182"/>
      <c r="F37" s="182"/>
      <c r="H37" s="242"/>
    </row>
    <row r="38" spans="1:8" ht="27" customHeight="1" x14ac:dyDescent="0.25">
      <c r="A38" s="262">
        <v>29</v>
      </c>
      <c r="B38" s="264"/>
      <c r="C38" s="275"/>
      <c r="D38" s="182"/>
      <c r="E38" s="182"/>
      <c r="F38" s="182"/>
      <c r="H38" s="242"/>
    </row>
    <row r="39" spans="1:8" ht="27" customHeight="1" x14ac:dyDescent="0.25">
      <c r="A39" s="262">
        <v>30</v>
      </c>
      <c r="B39" s="264"/>
      <c r="C39" s="260"/>
      <c r="D39" s="259"/>
      <c r="E39" s="259"/>
      <c r="F39" s="259"/>
      <c r="H39" s="242"/>
    </row>
    <row r="40" spans="1:8" ht="27" customHeight="1" x14ac:dyDescent="0.25">
      <c r="A40" s="262">
        <v>31</v>
      </c>
      <c r="B40" s="264"/>
      <c r="C40" s="260"/>
      <c r="D40" s="259"/>
      <c r="E40" s="259"/>
      <c r="F40" s="259"/>
      <c r="H40" s="242"/>
    </row>
    <row r="41" spans="1:8" ht="27" customHeight="1" x14ac:dyDescent="0.25">
      <c r="A41" s="262">
        <v>32</v>
      </c>
      <c r="B41" s="264"/>
      <c r="C41" s="275"/>
      <c r="D41" s="259"/>
      <c r="E41" s="259"/>
      <c r="F41" s="259"/>
      <c r="H41" s="242"/>
    </row>
    <row r="42" spans="1:8" ht="27" customHeight="1" x14ac:dyDescent="0.25">
      <c r="A42" s="262">
        <v>33</v>
      </c>
      <c r="B42" s="264"/>
      <c r="C42" s="275"/>
      <c r="D42" s="259"/>
      <c r="E42" s="259"/>
      <c r="F42" s="259"/>
      <c r="H42" s="242"/>
    </row>
    <row r="43" spans="1:8" ht="27" customHeight="1" x14ac:dyDescent="0.25">
      <c r="A43" s="262">
        <v>34</v>
      </c>
      <c r="B43" s="264"/>
      <c r="C43" s="278"/>
      <c r="D43" s="182"/>
      <c r="E43" s="182"/>
      <c r="F43" s="182"/>
      <c r="H43" s="242"/>
    </row>
    <row r="44" spans="1:8" ht="27" customHeight="1" x14ac:dyDescent="0.25">
      <c r="A44" s="262">
        <v>35</v>
      </c>
      <c r="B44" s="264"/>
      <c r="C44" s="278"/>
      <c r="D44" s="182"/>
      <c r="E44" s="182"/>
      <c r="F44" s="182"/>
      <c r="H44" s="242"/>
    </row>
    <row r="45" spans="1:8" ht="27" customHeight="1" x14ac:dyDescent="0.25">
      <c r="A45" s="262">
        <v>36</v>
      </c>
      <c r="B45" s="264"/>
      <c r="C45" s="260"/>
      <c r="D45" s="259"/>
      <c r="E45" s="259"/>
      <c r="F45" s="259"/>
      <c r="H45" s="242"/>
    </row>
    <row r="46" spans="1:8" ht="27" customHeight="1" x14ac:dyDescent="0.25">
      <c r="A46" s="262">
        <v>37</v>
      </c>
      <c r="B46" s="264"/>
      <c r="C46" s="260"/>
      <c r="D46" s="259"/>
      <c r="E46" s="259"/>
      <c r="F46" s="259"/>
      <c r="H46" s="242"/>
    </row>
    <row r="47" spans="1:8" ht="27" customHeight="1" x14ac:dyDescent="0.25">
      <c r="A47" s="262">
        <v>38</v>
      </c>
      <c r="B47" s="264"/>
      <c r="C47" s="271"/>
      <c r="D47" s="259"/>
      <c r="E47" s="259"/>
      <c r="F47" s="259"/>
      <c r="H47" s="242"/>
    </row>
    <row r="48" spans="1:8" ht="27" customHeight="1" x14ac:dyDescent="0.25">
      <c r="A48" s="262">
        <v>39</v>
      </c>
      <c r="B48" s="264"/>
      <c r="C48" s="260"/>
      <c r="D48" s="259"/>
      <c r="E48" s="259"/>
      <c r="F48" s="259"/>
      <c r="H48" s="242"/>
    </row>
    <row r="49" spans="1:8" ht="27" customHeight="1" x14ac:dyDescent="0.25">
      <c r="A49" s="262">
        <v>40</v>
      </c>
      <c r="B49" s="264"/>
      <c r="C49" s="260"/>
      <c r="D49" s="259"/>
      <c r="E49" s="259"/>
      <c r="F49" s="259"/>
      <c r="H49" s="242"/>
    </row>
    <row r="50" spans="1:8" ht="27" customHeight="1" x14ac:dyDescent="0.25">
      <c r="A50" s="262">
        <v>41</v>
      </c>
      <c r="B50" s="264"/>
      <c r="C50" s="275"/>
      <c r="D50" s="182"/>
      <c r="E50" s="182"/>
      <c r="F50" s="182"/>
      <c r="H50" s="242"/>
    </row>
    <row r="51" spans="1:8" ht="27" customHeight="1" x14ac:dyDescent="0.25">
      <c r="A51" s="262">
        <v>42</v>
      </c>
      <c r="B51" s="264"/>
      <c r="C51" s="275"/>
      <c r="D51" s="182"/>
      <c r="E51" s="182"/>
      <c r="F51" s="182"/>
      <c r="H51" s="242"/>
    </row>
    <row r="52" spans="1:8" ht="27" customHeight="1" x14ac:dyDescent="0.25">
      <c r="A52" s="262">
        <v>43</v>
      </c>
      <c r="B52" s="264"/>
      <c r="C52" s="275"/>
      <c r="D52" s="182"/>
      <c r="E52" s="182"/>
      <c r="F52" s="182"/>
      <c r="H52" s="242"/>
    </row>
    <row r="53" spans="1:8" ht="27" customHeight="1" x14ac:dyDescent="0.25">
      <c r="A53" s="262">
        <v>44</v>
      </c>
      <c r="B53" s="264"/>
      <c r="C53" s="260"/>
      <c r="D53" s="259"/>
      <c r="E53" s="259"/>
      <c r="F53" s="259"/>
      <c r="H53" s="242"/>
    </row>
    <row r="54" spans="1:8" ht="27" customHeight="1" x14ac:dyDescent="0.25">
      <c r="A54" s="262">
        <v>45</v>
      </c>
      <c r="B54" s="264"/>
      <c r="C54" s="275"/>
      <c r="D54" s="182"/>
      <c r="E54" s="182"/>
      <c r="F54" s="182"/>
      <c r="H54" s="242"/>
    </row>
    <row r="55" spans="1:8" ht="27" customHeight="1" x14ac:dyDescent="0.25">
      <c r="A55" s="262">
        <v>46</v>
      </c>
      <c r="B55" s="264"/>
      <c r="C55" s="275"/>
      <c r="D55" s="182"/>
      <c r="E55" s="182"/>
      <c r="F55" s="182"/>
      <c r="H55" s="242"/>
    </row>
    <row r="56" spans="1:8" ht="27" customHeight="1" x14ac:dyDescent="0.25">
      <c r="A56" s="262">
        <v>47</v>
      </c>
      <c r="B56" s="264"/>
      <c r="C56" s="275"/>
      <c r="D56" s="259"/>
      <c r="E56" s="259"/>
      <c r="F56" s="259"/>
      <c r="H56" s="242"/>
    </row>
    <row r="57" spans="1:8" ht="27" customHeight="1" x14ac:dyDescent="0.25">
      <c r="A57" s="262">
        <v>48</v>
      </c>
      <c r="B57" s="264"/>
      <c r="C57" s="260"/>
      <c r="D57" s="279"/>
      <c r="E57" s="279"/>
      <c r="F57" s="259"/>
      <c r="H57" s="242"/>
    </row>
    <row r="58" spans="1:8" ht="27" customHeight="1" x14ac:dyDescent="0.25">
      <c r="A58" s="262">
        <v>49</v>
      </c>
      <c r="B58" s="262"/>
      <c r="C58" s="271"/>
      <c r="D58" s="279"/>
      <c r="E58" s="279"/>
      <c r="F58" s="259"/>
      <c r="H58" s="242"/>
    </row>
    <row r="59" spans="1:8" ht="32.25" customHeight="1" x14ac:dyDescent="0.25">
      <c r="A59" s="262">
        <v>50</v>
      </c>
      <c r="B59" s="262"/>
      <c r="C59" s="271"/>
      <c r="D59" s="259"/>
      <c r="E59" s="259"/>
      <c r="F59" s="259"/>
      <c r="H59" s="242"/>
    </row>
    <row r="60" spans="1:8" ht="21.75" customHeight="1" x14ac:dyDescent="0.25">
      <c r="A60" s="262">
        <v>51</v>
      </c>
      <c r="B60" s="262"/>
      <c r="C60" s="260"/>
      <c r="D60" s="259"/>
      <c r="E60" s="259"/>
      <c r="F60" s="259"/>
      <c r="H60" s="242"/>
    </row>
    <row r="61" spans="1:8" ht="21.75" customHeight="1" x14ac:dyDescent="0.25">
      <c r="A61" s="262">
        <v>52</v>
      </c>
      <c r="B61" s="261"/>
      <c r="C61" s="260"/>
      <c r="D61" s="259"/>
      <c r="E61" s="259"/>
      <c r="F61" s="259"/>
      <c r="H61" s="242"/>
    </row>
    <row r="62" spans="1:8" ht="21.75" customHeight="1" x14ac:dyDescent="0.25">
      <c r="A62" s="262">
        <v>53</v>
      </c>
      <c r="B62" s="261"/>
      <c r="C62" s="260"/>
      <c r="D62" s="279"/>
      <c r="E62" s="279"/>
      <c r="F62" s="279"/>
      <c r="H62" s="242"/>
    </row>
    <row r="63" spans="1:8" ht="21.75" customHeight="1" x14ac:dyDescent="0.25">
      <c r="A63" s="262">
        <v>54</v>
      </c>
      <c r="B63" s="262"/>
      <c r="C63" s="260"/>
      <c r="D63" s="259"/>
      <c r="E63" s="259"/>
      <c r="F63" s="279"/>
      <c r="H63" s="242"/>
    </row>
    <row r="64" spans="1:8" x14ac:dyDescent="0.25">
      <c r="A64" s="262"/>
      <c r="B64" s="262"/>
      <c r="C64" s="260"/>
      <c r="D64" s="287"/>
      <c r="E64" s="259"/>
      <c r="F64" s="279"/>
      <c r="H64" s="242"/>
    </row>
    <row r="65" spans="1:8" x14ac:dyDescent="0.25">
      <c r="A65" s="262"/>
      <c r="B65" s="262"/>
      <c r="C65" s="260"/>
      <c r="D65" s="287"/>
      <c r="E65" s="259"/>
      <c r="F65" s="279"/>
      <c r="H65" s="242"/>
    </row>
    <row r="66" spans="1:8" x14ac:dyDescent="0.25">
      <c r="A66" s="262">
        <v>58</v>
      </c>
      <c r="B66" s="261"/>
      <c r="C66" s="260"/>
      <c r="D66" s="279"/>
      <c r="E66" s="259"/>
      <c r="F66" s="279"/>
      <c r="H66" s="242"/>
    </row>
    <row r="67" spans="1:8" x14ac:dyDescent="0.25">
      <c r="A67" s="262">
        <v>59</v>
      </c>
      <c r="B67" s="261"/>
      <c r="C67" s="260"/>
      <c r="D67" s="279"/>
      <c r="E67" s="259"/>
      <c r="F67" s="279"/>
      <c r="H67" s="242"/>
    </row>
    <row r="68" spans="1:8" x14ac:dyDescent="0.25">
      <c r="A68" s="262">
        <v>60</v>
      </c>
      <c r="B68" s="261"/>
      <c r="C68" s="260"/>
      <c r="D68" s="279"/>
      <c r="E68" s="259"/>
      <c r="F68" s="279"/>
      <c r="H68" s="242"/>
    </row>
    <row r="69" spans="1:8" x14ac:dyDescent="0.25">
      <c r="A69" s="262">
        <v>61</v>
      </c>
      <c r="B69" s="262"/>
      <c r="C69" s="260"/>
      <c r="D69" s="279"/>
      <c r="E69" s="259"/>
      <c r="F69" s="279"/>
      <c r="H69" s="242"/>
    </row>
    <row r="70" spans="1:8" x14ac:dyDescent="0.25">
      <c r="A70" s="262">
        <v>62</v>
      </c>
      <c r="B70" s="261"/>
      <c r="C70" s="260"/>
      <c r="D70" s="279"/>
      <c r="E70" s="259"/>
      <c r="F70" s="279"/>
      <c r="H70" s="242"/>
    </row>
    <row r="71" spans="1:8" x14ac:dyDescent="0.25">
      <c r="A71" s="262">
        <v>63</v>
      </c>
      <c r="B71" s="261"/>
      <c r="C71" s="260"/>
      <c r="D71" s="259"/>
      <c r="E71" s="259"/>
      <c r="F71" s="279"/>
      <c r="H71" s="242"/>
    </row>
    <row r="72" spans="1:8" x14ac:dyDescent="0.25">
      <c r="A72" s="262">
        <v>64</v>
      </c>
      <c r="B72" s="261"/>
      <c r="C72" s="260"/>
      <c r="D72" s="259"/>
      <c r="E72" s="259"/>
      <c r="F72" s="279"/>
      <c r="H72" s="242"/>
    </row>
    <row r="73" spans="1:8" x14ac:dyDescent="0.25">
      <c r="A73" s="262">
        <v>65</v>
      </c>
      <c r="B73" s="261"/>
      <c r="C73" s="260"/>
      <c r="D73" s="259"/>
      <c r="E73" s="259"/>
      <c r="F73" s="279"/>
      <c r="H73" s="242"/>
    </row>
    <row r="74" spans="1:8" x14ac:dyDescent="0.25">
      <c r="A74" s="262">
        <v>66</v>
      </c>
      <c r="B74" s="261"/>
      <c r="C74" s="260"/>
      <c r="D74" s="259"/>
      <c r="E74" s="259"/>
      <c r="F74" s="279"/>
      <c r="H74" s="242"/>
    </row>
    <row r="75" spans="1:8" x14ac:dyDescent="0.25">
      <c r="A75" s="262">
        <v>67</v>
      </c>
      <c r="B75" s="261"/>
      <c r="C75" s="260"/>
      <c r="D75" s="259"/>
      <c r="E75" s="259"/>
      <c r="F75" s="279"/>
      <c r="H75" s="242"/>
    </row>
    <row r="76" spans="1:8" x14ac:dyDescent="0.25">
      <c r="A76" s="262">
        <v>68</v>
      </c>
      <c r="B76" s="261"/>
      <c r="C76" s="260"/>
      <c r="D76" s="259"/>
      <c r="E76" s="259"/>
      <c r="F76" s="279"/>
      <c r="H76" s="242"/>
    </row>
    <row r="77" spans="1:8" x14ac:dyDescent="0.25">
      <c r="A77" s="262">
        <v>69</v>
      </c>
      <c r="B77" s="261"/>
      <c r="C77" s="260"/>
      <c r="D77" s="259"/>
      <c r="E77" s="259"/>
      <c r="F77" s="259"/>
      <c r="H77" s="242"/>
    </row>
    <row r="78" spans="1:8" x14ac:dyDescent="0.25">
      <c r="A78" s="262">
        <v>70</v>
      </c>
      <c r="B78" s="261"/>
      <c r="C78" s="260"/>
      <c r="D78" s="259"/>
      <c r="E78" s="259"/>
      <c r="F78" s="259"/>
      <c r="H78" s="242"/>
    </row>
    <row r="79" spans="1:8" x14ac:dyDescent="0.25">
      <c r="A79" s="262">
        <v>71</v>
      </c>
      <c r="B79" s="261"/>
      <c r="C79" s="260"/>
      <c r="D79" s="259"/>
      <c r="E79" s="259"/>
      <c r="F79" s="259"/>
      <c r="H79" s="242"/>
    </row>
    <row r="80" spans="1:8" x14ac:dyDescent="0.25">
      <c r="A80" s="262">
        <v>72</v>
      </c>
      <c r="B80" s="261"/>
      <c r="C80" s="260"/>
      <c r="D80" s="259"/>
      <c r="E80" s="259"/>
      <c r="F80" s="259"/>
      <c r="H80" s="242"/>
    </row>
    <row r="81" spans="1:8" x14ac:dyDescent="0.25">
      <c r="A81" s="262">
        <v>73</v>
      </c>
      <c r="B81" s="261"/>
      <c r="C81" s="260"/>
      <c r="D81" s="259"/>
      <c r="E81" s="259"/>
      <c r="F81" s="259"/>
      <c r="H81" s="242"/>
    </row>
    <row r="82" spans="1:8" x14ac:dyDescent="0.25">
      <c r="A82" s="262">
        <v>74</v>
      </c>
      <c r="B82" s="261"/>
      <c r="C82" s="260"/>
      <c r="D82" s="259"/>
      <c r="E82" s="259"/>
      <c r="F82" s="259"/>
      <c r="H82" s="242"/>
    </row>
    <row r="83" spans="1:8" x14ac:dyDescent="0.25">
      <c r="A83" s="262">
        <v>75</v>
      </c>
      <c r="B83" s="261"/>
      <c r="C83" s="260"/>
      <c r="D83" s="259"/>
      <c r="E83" s="259"/>
      <c r="F83" s="259"/>
      <c r="H83" s="242"/>
    </row>
    <row r="84" spans="1:8" x14ac:dyDescent="0.25">
      <c r="A84" s="262">
        <v>76</v>
      </c>
      <c r="B84" s="261"/>
      <c r="C84" s="260"/>
      <c r="D84" s="259"/>
      <c r="E84" s="259"/>
      <c r="F84" s="259"/>
      <c r="H84" s="242"/>
    </row>
    <row r="85" spans="1:8" x14ac:dyDescent="0.25">
      <c r="A85" s="262">
        <v>77</v>
      </c>
      <c r="B85" s="261"/>
      <c r="C85" s="260"/>
      <c r="D85" s="259"/>
      <c r="E85" s="259"/>
      <c r="F85" s="259"/>
      <c r="H85" s="242"/>
    </row>
    <row r="86" spans="1:8" x14ac:dyDescent="0.25">
      <c r="A86" s="262">
        <v>78</v>
      </c>
      <c r="B86" s="261"/>
      <c r="C86" s="260"/>
      <c r="D86" s="259"/>
      <c r="E86" s="259"/>
      <c r="F86" s="259"/>
      <c r="H86" s="242"/>
    </row>
    <row r="87" spans="1:8" x14ac:dyDescent="0.25">
      <c r="A87" s="262">
        <v>79</v>
      </c>
      <c r="B87" s="261"/>
      <c r="C87" s="260"/>
      <c r="D87" s="259"/>
      <c r="E87" s="259"/>
      <c r="F87" s="259"/>
      <c r="H87" s="242"/>
    </row>
    <row r="88" spans="1:8" x14ac:dyDescent="0.25">
      <c r="A88" s="262">
        <v>80</v>
      </c>
      <c r="B88" s="261"/>
      <c r="C88" s="260"/>
      <c r="D88" s="259"/>
      <c r="E88" s="259"/>
      <c r="F88" s="259"/>
      <c r="H88" s="242">
        <f t="shared" ref="H88:H91" si="0">H87+D88-E88</f>
        <v>0</v>
      </c>
    </row>
    <row r="89" spans="1:8" x14ac:dyDescent="0.25">
      <c r="A89" s="262">
        <v>81</v>
      </c>
      <c r="B89" s="261"/>
      <c r="C89" s="260"/>
      <c r="D89" s="259"/>
      <c r="E89" s="259"/>
      <c r="F89" s="259"/>
      <c r="H89" s="242">
        <f t="shared" si="0"/>
        <v>0</v>
      </c>
    </row>
    <row r="90" spans="1:8" x14ac:dyDescent="0.25">
      <c r="A90" s="262">
        <v>82</v>
      </c>
      <c r="B90" s="261"/>
      <c r="C90" s="260"/>
      <c r="D90" s="259"/>
      <c r="E90" s="259"/>
      <c r="F90" s="259"/>
      <c r="H90" s="242">
        <f t="shared" si="0"/>
        <v>0</v>
      </c>
    </row>
    <row r="91" spans="1:8" x14ac:dyDescent="0.25">
      <c r="A91" s="262">
        <v>83</v>
      </c>
      <c r="B91" s="261"/>
      <c r="C91" s="260"/>
      <c r="D91" s="259"/>
      <c r="E91" s="259"/>
      <c r="F91" s="259"/>
      <c r="H91" s="242">
        <f t="shared" si="0"/>
        <v>0</v>
      </c>
    </row>
    <row r="92" spans="1:8" x14ac:dyDescent="0.25">
      <c r="A92" s="262">
        <v>84</v>
      </c>
      <c r="B92" s="261"/>
      <c r="C92" s="260"/>
      <c r="D92" s="259"/>
      <c r="E92" s="259"/>
      <c r="F92" s="259"/>
    </row>
    <row r="93" spans="1:8" x14ac:dyDescent="0.25">
      <c r="A93" s="262">
        <v>85</v>
      </c>
      <c r="B93" s="261"/>
      <c r="C93" s="260"/>
      <c r="D93" s="259"/>
      <c r="E93" s="259"/>
      <c r="F93" s="259"/>
    </row>
    <row r="94" spans="1:8" x14ac:dyDescent="0.25">
      <c r="A94" s="262">
        <v>86</v>
      </c>
      <c r="B94" s="261"/>
      <c r="C94" s="260"/>
      <c r="D94" s="259"/>
      <c r="E94" s="259"/>
      <c r="F94" s="259"/>
    </row>
    <row r="95" spans="1:8" x14ac:dyDescent="0.25">
      <c r="A95" s="262">
        <v>87</v>
      </c>
      <c r="B95" s="261"/>
      <c r="C95" s="260"/>
      <c r="D95" s="259"/>
      <c r="E95" s="259"/>
      <c r="F95" s="259"/>
    </row>
    <row r="96" spans="1:8" x14ac:dyDescent="0.25">
      <c r="A96" s="262">
        <v>88</v>
      </c>
      <c r="B96" s="261"/>
      <c r="C96" s="260"/>
      <c r="D96" s="259"/>
      <c r="E96" s="259"/>
      <c r="F96" s="259"/>
    </row>
    <row r="97" spans="1:6" x14ac:dyDescent="0.25">
      <c r="A97" s="262">
        <v>89</v>
      </c>
      <c r="B97" s="261"/>
      <c r="C97" s="260"/>
      <c r="D97" s="259"/>
      <c r="E97" s="259"/>
      <c r="F97" s="259"/>
    </row>
    <row r="98" spans="1:6" x14ac:dyDescent="0.25">
      <c r="A98" s="262">
        <v>90</v>
      </c>
      <c r="B98" s="261"/>
      <c r="C98" s="260"/>
      <c r="D98" s="259"/>
      <c r="E98" s="259"/>
      <c r="F98" s="259"/>
    </row>
    <row r="99" spans="1:6" x14ac:dyDescent="0.25">
      <c r="A99" s="262">
        <v>91</v>
      </c>
      <c r="B99" s="261"/>
      <c r="C99" s="260"/>
      <c r="D99" s="259"/>
      <c r="E99" s="259"/>
      <c r="F99" s="259"/>
    </row>
    <row r="100" spans="1:6" x14ac:dyDescent="0.25">
      <c r="A100" s="262">
        <v>92</v>
      </c>
      <c r="B100" s="262"/>
      <c r="C100" s="260"/>
      <c r="D100" s="259"/>
      <c r="E100" s="259"/>
      <c r="F100" s="259"/>
    </row>
    <row r="101" spans="1:6" x14ac:dyDescent="0.25">
      <c r="A101" s="262">
        <v>93</v>
      </c>
      <c r="B101" s="262"/>
      <c r="C101" s="260"/>
      <c r="D101" s="259"/>
      <c r="E101" s="259"/>
      <c r="F101" s="259"/>
    </row>
    <row r="102" spans="1:6" x14ac:dyDescent="0.25">
      <c r="A102" s="262">
        <v>94</v>
      </c>
      <c r="B102" s="262"/>
      <c r="C102" s="260"/>
      <c r="D102" s="259"/>
      <c r="E102" s="259"/>
      <c r="F102" s="259"/>
    </row>
    <row r="103" spans="1:6" x14ac:dyDescent="0.25">
      <c r="A103" s="262">
        <v>95</v>
      </c>
      <c r="B103" s="262"/>
      <c r="C103" s="260"/>
      <c r="D103" s="259"/>
      <c r="E103" s="259"/>
      <c r="F103" s="259"/>
    </row>
    <row r="104" spans="1:6" x14ac:dyDescent="0.25">
      <c r="A104" s="262">
        <v>96</v>
      </c>
      <c r="B104" s="262"/>
      <c r="C104" s="260"/>
      <c r="D104" s="259"/>
      <c r="E104" s="259"/>
      <c r="F104" s="259"/>
    </row>
    <row r="105" spans="1:6" x14ac:dyDescent="0.25">
      <c r="A105" s="262">
        <v>97</v>
      </c>
      <c r="B105" s="262"/>
      <c r="C105" s="260"/>
      <c r="D105" s="259"/>
      <c r="E105" s="259"/>
      <c r="F105" s="259"/>
    </row>
    <row r="106" spans="1:6" x14ac:dyDescent="0.25">
      <c r="A106" s="262"/>
      <c r="B106" s="262"/>
      <c r="C106" s="260"/>
      <c r="D106" s="259"/>
      <c r="E106" s="259"/>
      <c r="F106" s="259"/>
    </row>
    <row r="107" spans="1:6" x14ac:dyDescent="0.25">
      <c r="A107" s="262"/>
      <c r="B107" s="262"/>
      <c r="C107" s="260"/>
      <c r="D107" s="259"/>
      <c r="E107" s="259"/>
      <c r="F107" s="259"/>
    </row>
    <row r="108" spans="1:6" x14ac:dyDescent="0.25">
      <c r="A108" s="262"/>
      <c r="B108" s="262"/>
      <c r="C108" s="260"/>
      <c r="D108" s="259"/>
      <c r="E108" s="259"/>
      <c r="F108" s="259"/>
    </row>
    <row r="109" spans="1:6" x14ac:dyDescent="0.25">
      <c r="A109" s="262"/>
      <c r="B109" s="262"/>
      <c r="C109" s="260"/>
      <c r="D109" s="259"/>
      <c r="E109" s="259"/>
      <c r="F109" s="259"/>
    </row>
    <row r="110" spans="1:6" x14ac:dyDescent="0.25">
      <c r="A110" s="262"/>
      <c r="B110" s="262"/>
      <c r="C110" s="260"/>
      <c r="D110" s="259"/>
      <c r="E110" s="259"/>
      <c r="F110" s="259"/>
    </row>
    <row r="111" spans="1:6" x14ac:dyDescent="0.25">
      <c r="A111" s="262"/>
      <c r="B111" s="262"/>
      <c r="C111" s="260"/>
      <c r="D111" s="259"/>
      <c r="E111" s="259"/>
      <c r="F111" s="259"/>
    </row>
    <row r="112" spans="1:6" x14ac:dyDescent="0.25">
      <c r="A112" s="262"/>
      <c r="B112" s="262"/>
      <c r="C112" s="260"/>
      <c r="D112" s="259"/>
      <c r="E112" s="259"/>
      <c r="F112" s="259"/>
    </row>
    <row r="113" spans="1:6" x14ac:dyDescent="0.25">
      <c r="A113" s="262"/>
      <c r="B113" s="262"/>
      <c r="C113" s="260"/>
      <c r="D113" s="259"/>
      <c r="E113" s="259"/>
      <c r="F113" s="259"/>
    </row>
    <row r="114" spans="1:6" x14ac:dyDescent="0.25">
      <c r="A114" s="262"/>
      <c r="B114" s="262"/>
      <c r="C114" s="260"/>
      <c r="D114" s="259"/>
      <c r="E114" s="259"/>
      <c r="F114" s="259"/>
    </row>
    <row r="115" spans="1:6" x14ac:dyDescent="0.25">
      <c r="A115" s="262"/>
      <c r="B115" s="262"/>
      <c r="C115" s="260"/>
      <c r="D115" s="259"/>
      <c r="E115" s="259"/>
      <c r="F115" s="259"/>
    </row>
    <row r="116" spans="1:6" x14ac:dyDescent="0.25">
      <c r="A116" s="262"/>
      <c r="B116" s="262"/>
      <c r="C116" s="260"/>
      <c r="D116" s="259"/>
      <c r="E116" s="259"/>
      <c r="F116" s="259"/>
    </row>
    <row r="117" spans="1:6" x14ac:dyDescent="0.25">
      <c r="A117" s="262"/>
      <c r="B117" s="262"/>
      <c r="C117" s="260"/>
      <c r="D117" s="259"/>
      <c r="E117" s="259"/>
      <c r="F117" s="259"/>
    </row>
    <row r="118" spans="1:6" x14ac:dyDescent="0.25">
      <c r="A118" s="262"/>
      <c r="B118" s="262"/>
      <c r="C118" s="260"/>
      <c r="D118" s="259"/>
      <c r="E118" s="259"/>
      <c r="F118" s="259"/>
    </row>
    <row r="119" spans="1:6" x14ac:dyDescent="0.25">
      <c r="A119" s="262"/>
      <c r="B119" s="262"/>
      <c r="C119" s="260"/>
      <c r="D119" s="259"/>
      <c r="E119" s="259"/>
      <c r="F119" s="259"/>
    </row>
    <row r="120" spans="1:6" x14ac:dyDescent="0.25">
      <c r="A120" s="262"/>
      <c r="B120" s="262"/>
      <c r="C120" s="260"/>
      <c r="D120" s="259"/>
      <c r="E120" s="259"/>
      <c r="F120" s="259"/>
    </row>
    <row r="121" spans="1:6" x14ac:dyDescent="0.25">
      <c r="A121" s="262"/>
      <c r="B121" s="262"/>
      <c r="C121" s="260"/>
      <c r="D121" s="259"/>
      <c r="E121" s="259"/>
      <c r="F121" s="259"/>
    </row>
    <row r="122" spans="1:6" x14ac:dyDescent="0.25">
      <c r="A122" s="262"/>
      <c r="B122" s="262"/>
      <c r="C122" s="260"/>
      <c r="D122" s="259"/>
      <c r="E122" s="259"/>
      <c r="F122" s="259"/>
    </row>
    <row r="123" spans="1:6" x14ac:dyDescent="0.25">
      <c r="A123" s="262"/>
      <c r="B123" s="262"/>
      <c r="C123" s="260"/>
      <c r="D123" s="259"/>
      <c r="E123" s="259"/>
      <c r="F123" s="259"/>
    </row>
    <row r="124" spans="1:6" x14ac:dyDescent="0.25">
      <c r="A124" s="262"/>
      <c r="B124" s="262"/>
      <c r="C124" s="260"/>
      <c r="D124" s="259"/>
      <c r="E124" s="259"/>
      <c r="F124" s="259"/>
    </row>
    <row r="125" spans="1:6" x14ac:dyDescent="0.25">
      <c r="A125" s="262"/>
      <c r="B125" s="262"/>
      <c r="C125" s="260"/>
      <c r="D125" s="259"/>
      <c r="E125" s="259"/>
      <c r="F125" s="259"/>
    </row>
    <row r="126" spans="1:6" x14ac:dyDescent="0.25">
      <c r="A126" s="262"/>
      <c r="B126" s="262"/>
      <c r="C126" s="260"/>
      <c r="D126" s="259"/>
      <c r="E126" s="259"/>
      <c r="F126" s="259"/>
    </row>
    <row r="127" spans="1:6" x14ac:dyDescent="0.25">
      <c r="A127" s="262"/>
      <c r="B127" s="262"/>
      <c r="C127" s="260"/>
      <c r="D127" s="259"/>
      <c r="E127" s="259"/>
      <c r="F127" s="259"/>
    </row>
    <row r="128" spans="1:6" x14ac:dyDescent="0.25">
      <c r="A128" s="262"/>
      <c r="B128" s="262"/>
      <c r="C128" s="260"/>
      <c r="D128" s="259"/>
      <c r="E128" s="259"/>
      <c r="F128" s="259"/>
    </row>
    <row r="129" spans="1:6" x14ac:dyDescent="0.25">
      <c r="A129" s="262"/>
      <c r="B129" s="262"/>
      <c r="C129" s="260"/>
      <c r="D129" s="259"/>
      <c r="E129" s="259"/>
      <c r="F129" s="259"/>
    </row>
    <row r="130" spans="1:6" x14ac:dyDescent="0.25">
      <c r="A130" s="262"/>
      <c r="B130" s="262"/>
      <c r="C130" s="260"/>
      <c r="D130" s="259"/>
      <c r="E130" s="259"/>
      <c r="F130" s="259"/>
    </row>
    <row r="131" spans="1:6" x14ac:dyDescent="0.25">
      <c r="A131" s="262"/>
      <c r="B131" s="262"/>
      <c r="C131" s="260"/>
      <c r="D131" s="259"/>
      <c r="E131" s="259"/>
      <c r="F131" s="259"/>
    </row>
    <row r="132" spans="1:6" x14ac:dyDescent="0.25">
      <c r="A132" s="262"/>
      <c r="B132" s="262"/>
      <c r="C132" s="260"/>
      <c r="D132" s="259"/>
      <c r="E132" s="259"/>
      <c r="F132" s="259"/>
    </row>
    <row r="133" spans="1:6" x14ac:dyDescent="0.25">
      <c r="A133" s="262"/>
      <c r="B133" s="262"/>
      <c r="C133" s="260"/>
      <c r="D133" s="259"/>
      <c r="E133" s="259"/>
      <c r="F133" s="259"/>
    </row>
    <row r="134" spans="1:6" x14ac:dyDescent="0.25">
      <c r="A134" s="262"/>
      <c r="B134" s="262"/>
      <c r="C134" s="260"/>
      <c r="D134" s="259"/>
      <c r="E134" s="259"/>
      <c r="F134" s="259"/>
    </row>
    <row r="135" spans="1:6" x14ac:dyDescent="0.25">
      <c r="A135" s="262"/>
      <c r="B135" s="262"/>
      <c r="C135" s="260"/>
      <c r="D135" s="259"/>
      <c r="E135" s="259"/>
      <c r="F135" s="259"/>
    </row>
    <row r="136" spans="1:6" x14ac:dyDescent="0.25">
      <c r="A136" s="262"/>
      <c r="B136" s="262"/>
      <c r="C136" s="260"/>
      <c r="D136" s="259"/>
      <c r="E136" s="259"/>
      <c r="F136" s="259"/>
    </row>
    <row r="137" spans="1:6" x14ac:dyDescent="0.25">
      <c r="A137" s="262"/>
      <c r="B137" s="262"/>
      <c r="C137" s="260"/>
      <c r="D137" s="259"/>
      <c r="E137" s="259"/>
      <c r="F137" s="259"/>
    </row>
    <row r="138" spans="1:6" x14ac:dyDescent="0.25">
      <c r="A138" s="262"/>
      <c r="B138" s="262"/>
      <c r="C138" s="260"/>
      <c r="D138" s="259"/>
      <c r="E138" s="259"/>
      <c r="F138" s="259"/>
    </row>
    <row r="139" spans="1:6" x14ac:dyDescent="0.25">
      <c r="A139" s="262"/>
      <c r="B139" s="262"/>
      <c r="C139" s="260"/>
      <c r="D139" s="259"/>
      <c r="E139" s="259"/>
      <c r="F139" s="259"/>
    </row>
    <row r="140" spans="1:6" x14ac:dyDescent="0.25">
      <c r="A140" s="262"/>
      <c r="B140" s="262"/>
      <c r="C140" s="260"/>
      <c r="D140" s="259"/>
      <c r="E140" s="259"/>
      <c r="F140" s="259"/>
    </row>
    <row r="141" spans="1:6" x14ac:dyDescent="0.25">
      <c r="A141" s="262"/>
      <c r="B141" s="262"/>
      <c r="C141" s="260"/>
      <c r="D141" s="259"/>
      <c r="E141" s="259"/>
      <c r="F141" s="259"/>
    </row>
    <row r="142" spans="1:6" x14ac:dyDescent="0.25">
      <c r="A142" s="262"/>
      <c r="B142" s="262"/>
      <c r="C142" s="260"/>
      <c r="D142" s="259"/>
      <c r="E142" s="259"/>
      <c r="F142" s="259"/>
    </row>
    <row r="143" spans="1:6" x14ac:dyDescent="0.25">
      <c r="A143" s="262"/>
      <c r="B143" s="262"/>
      <c r="C143" s="260"/>
      <c r="D143" s="259"/>
      <c r="E143" s="259"/>
      <c r="F143" s="259"/>
    </row>
    <row r="144" spans="1:6" x14ac:dyDescent="0.25">
      <c r="A144" s="262"/>
      <c r="B144" s="262"/>
      <c r="C144" s="260"/>
      <c r="D144" s="259"/>
      <c r="E144" s="259"/>
      <c r="F144" s="259"/>
    </row>
    <row r="145" spans="1:6" x14ac:dyDescent="0.25">
      <c r="A145" s="262"/>
      <c r="B145" s="262"/>
      <c r="C145" s="260"/>
      <c r="D145" s="259"/>
      <c r="E145" s="259"/>
      <c r="F145" s="259"/>
    </row>
    <row r="146" spans="1:6" x14ac:dyDescent="0.25">
      <c r="A146" s="262"/>
      <c r="B146" s="262"/>
      <c r="C146" s="260"/>
      <c r="D146" s="259"/>
      <c r="E146" s="259"/>
      <c r="F146" s="259"/>
    </row>
    <row r="147" spans="1:6" x14ac:dyDescent="0.25">
      <c r="A147" s="262"/>
      <c r="B147" s="262"/>
      <c r="C147" s="260"/>
      <c r="D147" s="259"/>
      <c r="E147" s="259"/>
      <c r="F147" s="259"/>
    </row>
    <row r="148" spans="1:6" x14ac:dyDescent="0.25">
      <c r="A148" s="262"/>
      <c r="B148" s="262"/>
      <c r="C148" s="260"/>
      <c r="D148" s="259"/>
      <c r="E148" s="259"/>
      <c r="F148" s="259"/>
    </row>
    <row r="149" spans="1:6" x14ac:dyDescent="0.25">
      <c r="A149" s="262"/>
      <c r="B149" s="262"/>
      <c r="C149" s="260"/>
      <c r="D149" s="259"/>
      <c r="E149" s="259"/>
      <c r="F149" s="259"/>
    </row>
    <row r="150" spans="1:6" x14ac:dyDescent="0.25">
      <c r="A150" s="262"/>
      <c r="B150" s="262"/>
      <c r="C150" s="260"/>
      <c r="D150" s="259"/>
      <c r="E150" s="259"/>
      <c r="F150" s="259"/>
    </row>
    <row r="151" spans="1:6" x14ac:dyDescent="0.25">
      <c r="A151" s="262"/>
      <c r="B151" s="262"/>
      <c r="C151" s="260"/>
      <c r="D151" s="259"/>
      <c r="E151" s="259"/>
      <c r="F151" s="259"/>
    </row>
    <row r="152" spans="1:6" x14ac:dyDescent="0.25">
      <c r="A152" s="262"/>
      <c r="B152" s="262"/>
      <c r="C152" s="260"/>
      <c r="D152" s="259"/>
      <c r="E152" s="259"/>
      <c r="F152" s="259"/>
    </row>
    <row r="153" spans="1:6" x14ac:dyDescent="0.25">
      <c r="A153" s="262"/>
      <c r="B153" s="262"/>
      <c r="C153" s="260"/>
      <c r="D153" s="259"/>
      <c r="E153" s="259"/>
      <c r="F153" s="259"/>
    </row>
    <row r="154" spans="1:6" x14ac:dyDescent="0.25">
      <c r="A154" s="262"/>
      <c r="B154" s="262"/>
      <c r="C154" s="260"/>
      <c r="D154" s="259"/>
      <c r="E154" s="259"/>
      <c r="F154" s="259"/>
    </row>
    <row r="155" spans="1:6" x14ac:dyDescent="0.25">
      <c r="A155" s="262"/>
      <c r="B155" s="262"/>
      <c r="C155" s="260"/>
      <c r="D155" s="259"/>
      <c r="E155" s="259"/>
      <c r="F155" s="259"/>
    </row>
    <row r="156" spans="1:6" x14ac:dyDescent="0.25">
      <c r="A156" s="262"/>
      <c r="B156" s="262"/>
      <c r="C156" s="260"/>
      <c r="D156" s="259"/>
      <c r="E156" s="259"/>
      <c r="F156" s="259"/>
    </row>
    <row r="157" spans="1:6" x14ac:dyDescent="0.25">
      <c r="A157" s="262"/>
      <c r="B157" s="262"/>
      <c r="C157" s="260"/>
      <c r="D157" s="259"/>
      <c r="E157" s="259"/>
      <c r="F157" s="259"/>
    </row>
    <row r="158" spans="1:6" x14ac:dyDescent="0.25">
      <c r="A158" s="262"/>
      <c r="B158" s="262"/>
      <c r="C158" s="260"/>
      <c r="D158" s="259"/>
      <c r="E158" s="259"/>
      <c r="F158" s="259"/>
    </row>
    <row r="159" spans="1:6" x14ac:dyDescent="0.25">
      <c r="A159" s="262"/>
      <c r="B159" s="262"/>
      <c r="C159" s="260"/>
      <c r="D159" s="259"/>
      <c r="E159" s="259"/>
      <c r="F159" s="259"/>
    </row>
    <row r="160" spans="1:6" x14ac:dyDescent="0.25">
      <c r="A160" s="262"/>
      <c r="B160" s="262"/>
      <c r="C160" s="260"/>
      <c r="D160" s="259"/>
      <c r="E160" s="259"/>
      <c r="F160" s="259"/>
    </row>
    <row r="161" spans="1:6" x14ac:dyDescent="0.25">
      <c r="A161" s="262"/>
      <c r="B161" s="262"/>
      <c r="C161" s="260"/>
      <c r="D161" s="259"/>
      <c r="E161" s="259"/>
      <c r="F161" s="259"/>
    </row>
    <row r="162" spans="1:6" x14ac:dyDescent="0.25">
      <c r="A162" s="262"/>
      <c r="B162" s="262"/>
      <c r="C162" s="260"/>
      <c r="D162" s="259"/>
      <c r="E162" s="259"/>
      <c r="F162" s="259"/>
    </row>
    <row r="163" spans="1:6" x14ac:dyDescent="0.25">
      <c r="A163" s="262"/>
      <c r="B163" s="262"/>
      <c r="C163" s="260"/>
      <c r="D163" s="259"/>
      <c r="E163" s="259"/>
      <c r="F163" s="259"/>
    </row>
    <row r="164" spans="1:6" x14ac:dyDescent="0.25">
      <c r="A164" s="262"/>
      <c r="B164" s="262"/>
      <c r="C164" s="260"/>
      <c r="D164" s="259"/>
      <c r="E164" s="259"/>
      <c r="F164" s="259"/>
    </row>
    <row r="165" spans="1:6" x14ac:dyDescent="0.25">
      <c r="A165" s="262"/>
      <c r="B165" s="262"/>
      <c r="C165" s="260"/>
      <c r="D165" s="259"/>
      <c r="E165" s="259"/>
      <c r="F165" s="259"/>
    </row>
    <row r="166" spans="1:6" x14ac:dyDescent="0.25">
      <c r="A166" s="262"/>
      <c r="B166" s="262"/>
      <c r="C166" s="260"/>
      <c r="D166" s="259"/>
      <c r="E166" s="259"/>
      <c r="F166" s="259"/>
    </row>
    <row r="167" spans="1:6" x14ac:dyDescent="0.25">
      <c r="A167" s="262"/>
      <c r="B167" s="262"/>
      <c r="C167" s="260"/>
      <c r="D167" s="259"/>
      <c r="E167" s="259"/>
      <c r="F167" s="259"/>
    </row>
    <row r="168" spans="1:6" x14ac:dyDescent="0.25">
      <c r="A168" s="262"/>
      <c r="B168" s="262"/>
      <c r="C168" s="260"/>
      <c r="D168" s="259"/>
      <c r="E168" s="259"/>
      <c r="F168" s="259"/>
    </row>
    <row r="169" spans="1:6" x14ac:dyDescent="0.25">
      <c r="A169" s="262"/>
      <c r="B169" s="262"/>
      <c r="C169" s="260"/>
      <c r="D169" s="259"/>
      <c r="E169" s="259"/>
      <c r="F169" s="259"/>
    </row>
    <row r="170" spans="1:6" x14ac:dyDescent="0.25">
      <c r="A170" s="262"/>
      <c r="B170" s="262"/>
      <c r="C170" s="260"/>
      <c r="D170" s="259"/>
      <c r="E170" s="259"/>
      <c r="F170" s="259"/>
    </row>
    <row r="171" spans="1:6" x14ac:dyDescent="0.25">
      <c r="A171" s="262"/>
      <c r="B171" s="262"/>
      <c r="C171" s="260"/>
      <c r="D171" s="259"/>
      <c r="E171" s="259"/>
      <c r="F171" s="259"/>
    </row>
    <row r="172" spans="1:6" x14ac:dyDescent="0.25">
      <c r="A172" s="262"/>
      <c r="B172" s="262"/>
      <c r="C172" s="260"/>
      <c r="D172" s="259"/>
      <c r="E172" s="259"/>
      <c r="F172" s="259"/>
    </row>
    <row r="173" spans="1:6" x14ac:dyDescent="0.25">
      <c r="A173" s="262"/>
      <c r="B173" s="262"/>
      <c r="C173" s="260"/>
      <c r="D173" s="259"/>
      <c r="E173" s="259"/>
      <c r="F173" s="259"/>
    </row>
    <row r="174" spans="1:6" x14ac:dyDescent="0.25">
      <c r="A174" s="262"/>
      <c r="B174" s="262"/>
      <c r="C174" s="260"/>
      <c r="D174" s="259"/>
      <c r="E174" s="259"/>
      <c r="F174" s="259"/>
    </row>
    <row r="175" spans="1:6" x14ac:dyDescent="0.25">
      <c r="A175" s="262"/>
      <c r="B175" s="262"/>
      <c r="C175" s="260"/>
      <c r="D175" s="259"/>
      <c r="E175" s="259"/>
      <c r="F175" s="259"/>
    </row>
    <row r="176" spans="1:6" x14ac:dyDescent="0.25">
      <c r="A176" s="262"/>
      <c r="B176" s="262"/>
      <c r="C176" s="260"/>
      <c r="D176" s="259"/>
      <c r="E176" s="259"/>
      <c r="F176" s="259"/>
    </row>
    <row r="177" spans="1:6" x14ac:dyDescent="0.25">
      <c r="A177" s="262"/>
      <c r="B177" s="262"/>
      <c r="C177" s="260"/>
      <c r="D177" s="259"/>
      <c r="E177" s="259"/>
      <c r="F177" s="259"/>
    </row>
    <row r="178" spans="1:6" x14ac:dyDescent="0.25">
      <c r="A178" s="262"/>
      <c r="B178" s="262"/>
      <c r="C178" s="260"/>
      <c r="D178" s="259"/>
      <c r="E178" s="259"/>
      <c r="F178" s="259"/>
    </row>
    <row r="179" spans="1:6" x14ac:dyDescent="0.25">
      <c r="A179" s="262"/>
      <c r="B179" s="262"/>
      <c r="C179" s="260"/>
      <c r="D179" s="259"/>
      <c r="E179" s="259"/>
      <c r="F179" s="259"/>
    </row>
    <row r="180" spans="1:6" x14ac:dyDescent="0.25">
      <c r="A180" s="262"/>
      <c r="B180" s="262"/>
      <c r="C180" s="260"/>
      <c r="D180" s="259"/>
      <c r="E180" s="259"/>
      <c r="F180" s="259"/>
    </row>
    <row r="181" spans="1:6" x14ac:dyDescent="0.25">
      <c r="A181" s="262"/>
      <c r="B181" s="262"/>
      <c r="C181" s="260"/>
      <c r="D181" s="259"/>
      <c r="E181" s="259"/>
      <c r="F181" s="259"/>
    </row>
    <row r="182" spans="1:6" x14ac:dyDescent="0.25">
      <c r="A182" s="262"/>
      <c r="B182" s="262"/>
      <c r="C182" s="260"/>
      <c r="D182" s="259"/>
      <c r="E182" s="259"/>
      <c r="F182" s="259"/>
    </row>
    <row r="183" spans="1:6" x14ac:dyDescent="0.25">
      <c r="A183" s="262"/>
      <c r="B183" s="262"/>
      <c r="C183" s="260"/>
      <c r="D183" s="259"/>
      <c r="E183" s="259"/>
      <c r="F183" s="259"/>
    </row>
    <row r="184" spans="1:6" x14ac:dyDescent="0.25">
      <c r="A184" s="262"/>
      <c r="B184" s="262"/>
      <c r="C184" s="260"/>
      <c r="D184" s="259"/>
      <c r="E184" s="259"/>
      <c r="F184" s="259"/>
    </row>
    <row r="185" spans="1:6" x14ac:dyDescent="0.25">
      <c r="A185" s="262"/>
      <c r="B185" s="262"/>
      <c r="C185" s="260"/>
      <c r="D185" s="259"/>
      <c r="E185" s="259"/>
      <c r="F185" s="259"/>
    </row>
    <row r="186" spans="1:6" x14ac:dyDescent="0.25">
      <c r="A186" s="262"/>
      <c r="B186" s="262"/>
      <c r="C186" s="260"/>
      <c r="D186" s="259"/>
      <c r="E186" s="259"/>
      <c r="F186" s="259"/>
    </row>
    <row r="187" spans="1:6" x14ac:dyDescent="0.25">
      <c r="A187" s="262"/>
      <c r="B187" s="262"/>
      <c r="C187" s="260"/>
      <c r="D187" s="259"/>
      <c r="E187" s="259"/>
      <c r="F187" s="259"/>
    </row>
    <row r="188" spans="1:6" x14ac:dyDescent="0.25">
      <c r="A188" s="262"/>
      <c r="B188" s="262"/>
      <c r="C188" s="260"/>
      <c r="D188" s="259"/>
      <c r="E188" s="259"/>
      <c r="F188" s="259"/>
    </row>
    <row r="189" spans="1:6" x14ac:dyDescent="0.25">
      <c r="A189" s="262"/>
      <c r="B189" s="262"/>
      <c r="C189" s="260"/>
      <c r="D189" s="259"/>
      <c r="E189" s="259"/>
      <c r="F189" s="259"/>
    </row>
    <row r="190" spans="1:6" x14ac:dyDescent="0.25">
      <c r="A190" s="262"/>
      <c r="B190" s="262"/>
      <c r="C190" s="260"/>
      <c r="D190" s="259"/>
      <c r="E190" s="259"/>
      <c r="F190" s="259"/>
    </row>
    <row r="191" spans="1:6" x14ac:dyDescent="0.25">
      <c r="A191" s="262"/>
      <c r="B191" s="262"/>
      <c r="C191" s="260"/>
      <c r="D191" s="259"/>
      <c r="E191" s="259"/>
      <c r="F191" s="259"/>
    </row>
    <row r="192" spans="1:6" x14ac:dyDescent="0.25">
      <c r="A192" s="262"/>
      <c r="B192" s="262"/>
      <c r="C192" s="260"/>
      <c r="D192" s="259"/>
      <c r="E192" s="259"/>
      <c r="F192" s="259"/>
    </row>
    <row r="193" spans="1:6" x14ac:dyDescent="0.25">
      <c r="A193" s="262"/>
      <c r="B193" s="262"/>
      <c r="C193" s="260"/>
      <c r="D193" s="259"/>
      <c r="E193" s="259"/>
      <c r="F193" s="259"/>
    </row>
    <row r="194" spans="1:6" x14ac:dyDescent="0.25">
      <c r="A194" s="262"/>
      <c r="B194" s="262"/>
      <c r="C194" s="260"/>
      <c r="D194" s="259"/>
      <c r="E194" s="259"/>
      <c r="F194" s="259"/>
    </row>
    <row r="195" spans="1:6" x14ac:dyDescent="0.25">
      <c r="A195" s="262"/>
      <c r="B195" s="262"/>
      <c r="C195" s="260"/>
      <c r="D195" s="259"/>
      <c r="E195" s="259"/>
      <c r="F195" s="259"/>
    </row>
    <row r="196" spans="1:6" x14ac:dyDescent="0.25">
      <c r="A196" s="262"/>
      <c r="B196" s="262"/>
      <c r="C196" s="260"/>
      <c r="D196" s="259"/>
      <c r="E196" s="259"/>
      <c r="F196" s="259"/>
    </row>
    <row r="197" spans="1:6" x14ac:dyDescent="0.25">
      <c r="A197" s="262"/>
      <c r="B197" s="262"/>
      <c r="C197" s="260"/>
      <c r="D197" s="259"/>
      <c r="E197" s="259"/>
      <c r="F197" s="259"/>
    </row>
    <row r="198" spans="1:6" x14ac:dyDescent="0.25">
      <c r="A198" s="262"/>
      <c r="B198" s="262"/>
      <c r="C198" s="260"/>
      <c r="D198" s="259"/>
      <c r="E198" s="259"/>
      <c r="F198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2300-000000000000}"/>
  </hyperlinks>
  <pageMargins left="0.7" right="0.7" top="0.75" bottom="0.75" header="0.3" footer="0.3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511"/>
  <sheetViews>
    <sheetView workbookViewId="0">
      <selection activeCell="G1" sqref="G1"/>
    </sheetView>
  </sheetViews>
  <sheetFormatPr defaultRowHeight="15" x14ac:dyDescent="0.25"/>
  <cols>
    <col min="2" max="2" width="12.5703125" customWidth="1"/>
    <col min="3" max="3" width="43.28515625" customWidth="1"/>
    <col min="4" max="4" width="19.85546875" style="2" customWidth="1"/>
    <col min="5" max="5" width="13.85546875" style="2" customWidth="1"/>
    <col min="6" max="6" width="19" style="2" customWidth="1"/>
    <col min="7" max="7" width="12.28515625" bestFit="1" customWidth="1"/>
  </cols>
  <sheetData>
    <row r="1" spans="1:7" x14ac:dyDescent="0.25">
      <c r="A1" s="1"/>
      <c r="B1" s="1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55" t="s">
        <v>1742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SUM(D10:D69)</f>
        <v>72495400</v>
      </c>
    </row>
    <row r="6" spans="1:7" x14ac:dyDescent="0.25">
      <c r="E6" s="2" t="s">
        <v>11</v>
      </c>
      <c r="F6" s="2">
        <f>SUM(E10:E69)</f>
        <v>72495400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20" t="s">
        <v>0</v>
      </c>
      <c r="B8" s="420" t="s">
        <v>13</v>
      </c>
      <c r="C8" s="420" t="s">
        <v>5</v>
      </c>
      <c r="D8" s="421" t="s">
        <v>8</v>
      </c>
      <c r="E8" s="421"/>
      <c r="F8" s="421" t="s">
        <v>2</v>
      </c>
    </row>
    <row r="9" spans="1:7" x14ac:dyDescent="0.25">
      <c r="A9" s="420"/>
      <c r="B9" s="420"/>
      <c r="C9" s="420"/>
      <c r="D9" s="285" t="s">
        <v>6</v>
      </c>
      <c r="E9" s="285" t="s">
        <v>7</v>
      </c>
      <c r="F9" s="421"/>
    </row>
    <row r="10" spans="1:7" ht="26.25" customHeight="1" x14ac:dyDescent="0.25">
      <c r="A10" s="262">
        <v>1</v>
      </c>
      <c r="B10" s="264">
        <v>45377</v>
      </c>
      <c r="C10" s="260" t="s">
        <v>1743</v>
      </c>
      <c r="D10" s="279">
        <v>38238200</v>
      </c>
      <c r="E10" s="279"/>
      <c r="F10" s="324"/>
      <c r="G10" s="242">
        <f>D10-E10</f>
        <v>38238200</v>
      </c>
    </row>
    <row r="11" spans="1:7" ht="26.25" customHeight="1" x14ac:dyDescent="0.25">
      <c r="A11" s="262">
        <v>2</v>
      </c>
      <c r="B11" s="264">
        <v>45379</v>
      </c>
      <c r="C11" s="260" t="s">
        <v>1744</v>
      </c>
      <c r="D11" s="279"/>
      <c r="E11" s="279">
        <v>2793200</v>
      </c>
      <c r="F11" s="324"/>
      <c r="G11" s="242">
        <f>G10+D11-E11</f>
        <v>35445000</v>
      </c>
    </row>
    <row r="12" spans="1:7" ht="26.25" customHeight="1" x14ac:dyDescent="0.25">
      <c r="A12" s="262">
        <v>3</v>
      </c>
      <c r="B12" s="264">
        <v>45380</v>
      </c>
      <c r="C12" s="260" t="s">
        <v>1745</v>
      </c>
      <c r="D12" s="279"/>
      <c r="E12" s="279">
        <v>35445000</v>
      </c>
      <c r="F12" s="324"/>
      <c r="G12" s="242">
        <f t="shared" ref="G12:G48" si="0">G11+D12-E12</f>
        <v>0</v>
      </c>
    </row>
    <row r="13" spans="1:7" ht="26.25" customHeight="1" x14ac:dyDescent="0.25">
      <c r="A13" s="262">
        <v>4</v>
      </c>
      <c r="B13" s="264">
        <v>45507</v>
      </c>
      <c r="C13" s="271" t="s">
        <v>1840</v>
      </c>
      <c r="D13" s="279">
        <v>34257200</v>
      </c>
      <c r="E13" s="279"/>
      <c r="F13" s="279"/>
      <c r="G13" s="242">
        <f t="shared" si="0"/>
        <v>34257200</v>
      </c>
    </row>
    <row r="14" spans="1:7" ht="26.25" customHeight="1" x14ac:dyDescent="0.25">
      <c r="A14" s="262">
        <v>5</v>
      </c>
      <c r="B14" s="264">
        <v>45511</v>
      </c>
      <c r="C14" s="260" t="s">
        <v>1841</v>
      </c>
      <c r="D14" s="279"/>
      <c r="E14" s="279">
        <v>33647200</v>
      </c>
      <c r="F14" s="324"/>
      <c r="G14" s="242">
        <f t="shared" si="0"/>
        <v>610000</v>
      </c>
    </row>
    <row r="15" spans="1:7" ht="26.25" customHeight="1" x14ac:dyDescent="0.25">
      <c r="A15" s="262">
        <v>6</v>
      </c>
      <c r="B15" s="264">
        <v>45512</v>
      </c>
      <c r="C15" s="260" t="s">
        <v>1841</v>
      </c>
      <c r="D15" s="279"/>
      <c r="E15" s="279">
        <v>610000</v>
      </c>
      <c r="F15" s="324" t="s">
        <v>1560</v>
      </c>
      <c r="G15" s="242">
        <f t="shared" si="0"/>
        <v>0</v>
      </c>
    </row>
    <row r="16" spans="1:7" ht="26.25" customHeight="1" x14ac:dyDescent="0.25">
      <c r="A16" s="262">
        <v>7</v>
      </c>
      <c r="B16" s="264"/>
      <c r="C16" s="271"/>
      <c r="D16" s="279"/>
      <c r="E16" s="279"/>
      <c r="F16" s="324"/>
      <c r="G16" s="242">
        <f t="shared" si="0"/>
        <v>0</v>
      </c>
    </row>
    <row r="17" spans="1:7" ht="26.25" customHeight="1" x14ac:dyDescent="0.25">
      <c r="A17" s="262">
        <v>8</v>
      </c>
      <c r="B17" s="264"/>
      <c r="C17" s="260"/>
      <c r="D17" s="279"/>
      <c r="E17" s="279"/>
      <c r="F17" s="324"/>
      <c r="G17" s="242">
        <f t="shared" si="0"/>
        <v>0</v>
      </c>
    </row>
    <row r="18" spans="1:7" ht="26.25" customHeight="1" x14ac:dyDescent="0.25">
      <c r="A18" s="262">
        <v>9</v>
      </c>
      <c r="B18" s="264"/>
      <c r="C18" s="271"/>
      <c r="D18" s="279"/>
      <c r="E18" s="279"/>
      <c r="F18" s="324"/>
      <c r="G18" s="242">
        <f t="shared" si="0"/>
        <v>0</v>
      </c>
    </row>
    <row r="19" spans="1:7" ht="26.25" customHeight="1" x14ac:dyDescent="0.25">
      <c r="A19" s="262">
        <v>10</v>
      </c>
      <c r="B19" s="264"/>
      <c r="C19" s="260"/>
      <c r="D19" s="279"/>
      <c r="E19" s="279"/>
      <c r="F19" s="324"/>
      <c r="G19" s="242">
        <f t="shared" si="0"/>
        <v>0</v>
      </c>
    </row>
    <row r="20" spans="1:7" ht="26.25" customHeight="1" x14ac:dyDescent="0.25">
      <c r="A20" s="262">
        <v>11</v>
      </c>
      <c r="B20" s="264"/>
      <c r="C20" s="260"/>
      <c r="D20" s="279"/>
      <c r="E20" s="279"/>
      <c r="F20" s="324"/>
      <c r="G20" s="242">
        <f t="shared" si="0"/>
        <v>0</v>
      </c>
    </row>
    <row r="21" spans="1:7" ht="26.25" customHeight="1" x14ac:dyDescent="0.25">
      <c r="A21" s="262"/>
      <c r="B21" s="264"/>
      <c r="C21" s="260"/>
      <c r="D21" s="279"/>
      <c r="E21" s="279"/>
      <c r="F21" s="324"/>
      <c r="G21" s="242">
        <f t="shared" si="0"/>
        <v>0</v>
      </c>
    </row>
    <row r="22" spans="1:7" ht="26.25" customHeight="1" x14ac:dyDescent="0.25">
      <c r="A22" s="262">
        <v>12</v>
      </c>
      <c r="B22" s="264"/>
      <c r="C22" s="260"/>
      <c r="D22" s="279"/>
      <c r="E22" s="279"/>
      <c r="F22" s="324"/>
      <c r="G22" s="242">
        <f t="shared" si="0"/>
        <v>0</v>
      </c>
    </row>
    <row r="23" spans="1:7" ht="26.25" customHeight="1" x14ac:dyDescent="0.25">
      <c r="A23" s="262">
        <v>13</v>
      </c>
      <c r="B23" s="264"/>
      <c r="C23" s="260"/>
      <c r="D23" s="279"/>
      <c r="E23" s="279"/>
      <c r="F23" s="324"/>
      <c r="G23" s="242">
        <f t="shared" si="0"/>
        <v>0</v>
      </c>
    </row>
    <row r="24" spans="1:7" ht="26.25" customHeight="1" x14ac:dyDescent="0.25">
      <c r="A24" s="262">
        <v>14</v>
      </c>
      <c r="B24" s="264"/>
      <c r="C24" s="260"/>
      <c r="D24" s="279"/>
      <c r="E24" s="279"/>
      <c r="F24" s="324"/>
      <c r="G24" s="242">
        <f t="shared" si="0"/>
        <v>0</v>
      </c>
    </row>
    <row r="25" spans="1:7" ht="26.25" customHeight="1" x14ac:dyDescent="0.25">
      <c r="A25" s="262">
        <v>15</v>
      </c>
      <c r="B25" s="260"/>
      <c r="C25" s="260"/>
      <c r="D25" s="279"/>
      <c r="E25" s="279"/>
      <c r="F25" s="324"/>
      <c r="G25" s="242">
        <f t="shared" si="0"/>
        <v>0</v>
      </c>
    </row>
    <row r="26" spans="1:7" ht="26.25" customHeight="1" x14ac:dyDescent="0.25">
      <c r="A26" s="262">
        <v>16</v>
      </c>
      <c r="B26" s="264"/>
      <c r="C26" s="260"/>
      <c r="D26" s="279"/>
      <c r="E26" s="279"/>
      <c r="F26" s="324"/>
      <c r="G26" s="242">
        <f t="shared" si="0"/>
        <v>0</v>
      </c>
    </row>
    <row r="27" spans="1:7" ht="26.25" customHeight="1" x14ac:dyDescent="0.25">
      <c r="A27" s="262">
        <v>17</v>
      </c>
      <c r="B27" s="264"/>
      <c r="C27" s="260"/>
      <c r="D27" s="279"/>
      <c r="E27" s="279"/>
      <c r="F27" s="324"/>
      <c r="G27" s="242">
        <f t="shared" si="0"/>
        <v>0</v>
      </c>
    </row>
    <row r="28" spans="1:7" ht="26.25" customHeight="1" x14ac:dyDescent="0.25">
      <c r="A28" s="262">
        <v>18</v>
      </c>
      <c r="B28" s="264"/>
      <c r="C28" s="260"/>
      <c r="D28" s="279"/>
      <c r="E28" s="279"/>
      <c r="F28" s="324"/>
      <c r="G28" s="242">
        <f t="shared" si="0"/>
        <v>0</v>
      </c>
    </row>
    <row r="29" spans="1:7" ht="26.25" customHeight="1" x14ac:dyDescent="0.25">
      <c r="A29" s="262">
        <v>19</v>
      </c>
      <c r="B29" s="260"/>
      <c r="C29" s="260"/>
      <c r="D29" s="279"/>
      <c r="E29" s="279"/>
      <c r="F29" s="324"/>
      <c r="G29" s="242">
        <f t="shared" si="0"/>
        <v>0</v>
      </c>
    </row>
    <row r="30" spans="1:7" ht="26.25" customHeight="1" x14ac:dyDescent="0.25">
      <c r="A30" s="262">
        <v>20</v>
      </c>
      <c r="B30" s="264"/>
      <c r="C30" s="260"/>
      <c r="D30" s="279"/>
      <c r="E30" s="279"/>
      <c r="F30" s="324"/>
      <c r="G30" s="242">
        <f t="shared" si="0"/>
        <v>0</v>
      </c>
    </row>
    <row r="31" spans="1:7" ht="26.25" customHeight="1" x14ac:dyDescent="0.25">
      <c r="A31" s="262">
        <v>21</v>
      </c>
      <c r="B31" s="264"/>
      <c r="C31" s="260"/>
      <c r="D31" s="279"/>
      <c r="E31" s="279"/>
      <c r="F31" s="324"/>
      <c r="G31" s="242">
        <f t="shared" si="0"/>
        <v>0</v>
      </c>
    </row>
    <row r="32" spans="1:7" ht="26.25" customHeight="1" x14ac:dyDescent="0.25">
      <c r="A32" s="262">
        <v>22</v>
      </c>
      <c r="B32" s="260"/>
      <c r="C32" s="260"/>
      <c r="D32" s="279"/>
      <c r="E32" s="279"/>
      <c r="F32" s="324"/>
      <c r="G32" s="242">
        <f t="shared" si="0"/>
        <v>0</v>
      </c>
    </row>
    <row r="33" spans="1:7" ht="26.25" customHeight="1" x14ac:dyDescent="0.25">
      <c r="A33" s="262">
        <v>23</v>
      </c>
      <c r="B33" s="325"/>
      <c r="C33" s="260"/>
      <c r="D33" s="279"/>
      <c r="E33" s="279"/>
      <c r="F33" s="324"/>
      <c r="G33" s="242">
        <f t="shared" si="0"/>
        <v>0</v>
      </c>
    </row>
    <row r="34" spans="1:7" ht="26.25" customHeight="1" x14ac:dyDescent="0.25">
      <c r="A34" s="262">
        <v>24</v>
      </c>
      <c r="B34" s="264"/>
      <c r="C34" s="260"/>
      <c r="D34" s="279"/>
      <c r="E34" s="279"/>
      <c r="F34" s="324"/>
      <c r="G34" s="242">
        <f t="shared" si="0"/>
        <v>0</v>
      </c>
    </row>
    <row r="35" spans="1:7" ht="26.25" customHeight="1" x14ac:dyDescent="0.25">
      <c r="A35" s="262">
        <v>25</v>
      </c>
      <c r="B35" s="264"/>
      <c r="C35" s="260"/>
      <c r="D35" s="279"/>
      <c r="E35" s="279"/>
      <c r="F35" s="324"/>
      <c r="G35" s="242">
        <f t="shared" si="0"/>
        <v>0</v>
      </c>
    </row>
    <row r="36" spans="1:7" ht="26.25" customHeight="1" x14ac:dyDescent="0.25">
      <c r="A36" s="262">
        <v>26</v>
      </c>
      <c r="B36" s="264"/>
      <c r="C36" s="260"/>
      <c r="D36" s="279"/>
      <c r="E36" s="279"/>
      <c r="F36" s="324"/>
      <c r="G36" s="242">
        <f t="shared" si="0"/>
        <v>0</v>
      </c>
    </row>
    <row r="37" spans="1:7" ht="26.25" customHeight="1" x14ac:dyDescent="0.25">
      <c r="A37" s="262">
        <v>27</v>
      </c>
      <c r="B37" s="264"/>
      <c r="C37" s="260"/>
      <c r="D37" s="279"/>
      <c r="E37" s="279"/>
      <c r="F37" s="324"/>
      <c r="G37" s="242">
        <f t="shared" si="0"/>
        <v>0</v>
      </c>
    </row>
    <row r="38" spans="1:7" ht="26.25" customHeight="1" x14ac:dyDescent="0.25">
      <c r="A38" s="262">
        <v>28</v>
      </c>
      <c r="B38" s="264"/>
      <c r="C38" s="260"/>
      <c r="D38" s="279"/>
      <c r="E38" s="264"/>
      <c r="F38" s="324"/>
      <c r="G38" s="242">
        <f t="shared" si="0"/>
        <v>0</v>
      </c>
    </row>
    <row r="39" spans="1:7" ht="26.25" customHeight="1" x14ac:dyDescent="0.25">
      <c r="A39" s="262">
        <v>29</v>
      </c>
      <c r="B39" s="264"/>
      <c r="C39" s="260"/>
      <c r="D39" s="279"/>
      <c r="E39" s="264"/>
      <c r="F39" s="324"/>
      <c r="G39" s="242">
        <f t="shared" si="0"/>
        <v>0</v>
      </c>
    </row>
    <row r="40" spans="1:7" ht="26.25" customHeight="1" x14ac:dyDescent="0.25">
      <c r="A40" s="262">
        <v>30</v>
      </c>
      <c r="B40" s="264"/>
      <c r="C40" s="260"/>
      <c r="D40" s="279"/>
      <c r="E40" s="264"/>
      <c r="F40" s="324"/>
      <c r="G40" s="242">
        <f t="shared" si="0"/>
        <v>0</v>
      </c>
    </row>
    <row r="41" spans="1:7" ht="26.25" customHeight="1" x14ac:dyDescent="0.25">
      <c r="A41" s="262">
        <v>31</v>
      </c>
      <c r="B41" s="264"/>
      <c r="C41" s="260"/>
      <c r="D41" s="279"/>
      <c r="E41" s="264"/>
      <c r="F41" s="279"/>
      <c r="G41" s="242">
        <f t="shared" si="0"/>
        <v>0</v>
      </c>
    </row>
    <row r="42" spans="1:7" ht="26.25" customHeight="1" x14ac:dyDescent="0.25">
      <c r="A42" s="262">
        <v>32</v>
      </c>
      <c r="B42" s="264"/>
      <c r="C42" s="260"/>
      <c r="D42" s="279"/>
      <c r="E42" s="279"/>
      <c r="F42" s="279"/>
      <c r="G42" s="242">
        <f t="shared" si="0"/>
        <v>0</v>
      </c>
    </row>
    <row r="43" spans="1:7" ht="26.25" customHeight="1" x14ac:dyDescent="0.25">
      <c r="A43" s="262">
        <v>33</v>
      </c>
      <c r="B43" s="264"/>
      <c r="C43" s="260"/>
      <c r="D43" s="279"/>
      <c r="E43" s="279"/>
      <c r="F43" s="279"/>
      <c r="G43" s="242">
        <f t="shared" si="0"/>
        <v>0</v>
      </c>
    </row>
    <row r="44" spans="1:7" ht="26.25" customHeight="1" x14ac:dyDescent="0.25">
      <c r="A44" s="262">
        <v>34</v>
      </c>
      <c r="B44" s="264"/>
      <c r="C44" s="260"/>
      <c r="D44" s="279"/>
      <c r="E44" s="279"/>
      <c r="F44" s="279"/>
      <c r="G44" s="242">
        <f t="shared" si="0"/>
        <v>0</v>
      </c>
    </row>
    <row r="45" spans="1:7" ht="26.25" customHeight="1" x14ac:dyDescent="0.25">
      <c r="A45" s="262">
        <v>35</v>
      </c>
      <c r="B45" s="264"/>
      <c r="C45" s="260"/>
      <c r="D45" s="279"/>
      <c r="E45" s="279"/>
      <c r="F45" s="279"/>
      <c r="G45" s="242">
        <f t="shared" si="0"/>
        <v>0</v>
      </c>
    </row>
    <row r="46" spans="1:7" ht="26.25" customHeight="1" x14ac:dyDescent="0.25">
      <c r="A46" s="262">
        <v>36</v>
      </c>
      <c r="B46" s="264"/>
      <c r="C46" s="260"/>
      <c r="D46" s="279"/>
      <c r="E46" s="279"/>
      <c r="F46" s="279"/>
      <c r="G46" s="242">
        <f t="shared" si="0"/>
        <v>0</v>
      </c>
    </row>
    <row r="47" spans="1:7" ht="26.25" customHeight="1" x14ac:dyDescent="0.25">
      <c r="A47" s="262">
        <v>37</v>
      </c>
      <c r="B47" s="264"/>
      <c r="C47" s="260"/>
      <c r="D47" s="279"/>
      <c r="E47" s="279"/>
      <c r="F47" s="279"/>
      <c r="G47" s="242">
        <f t="shared" si="0"/>
        <v>0</v>
      </c>
    </row>
    <row r="48" spans="1:7" ht="26.25" customHeight="1" x14ac:dyDescent="0.25">
      <c r="A48" s="262">
        <v>38</v>
      </c>
      <c r="B48" s="264"/>
      <c r="C48" s="260"/>
      <c r="D48" s="279"/>
      <c r="E48" s="279"/>
      <c r="F48" s="279"/>
      <c r="G48" s="242">
        <f t="shared" si="0"/>
        <v>0</v>
      </c>
    </row>
    <row r="49" spans="1:6" x14ac:dyDescent="0.25">
      <c r="A49" s="260"/>
      <c r="B49" s="264"/>
      <c r="C49" s="260"/>
      <c r="D49" s="279"/>
      <c r="E49" s="279"/>
      <c r="F49" s="279"/>
    </row>
    <row r="50" spans="1:6" x14ac:dyDescent="0.25">
      <c r="A50" s="260"/>
      <c r="B50" s="260"/>
      <c r="C50" s="260"/>
      <c r="D50" s="259"/>
      <c r="E50" s="259"/>
      <c r="F50" s="259"/>
    </row>
    <row r="51" spans="1:6" x14ac:dyDescent="0.25">
      <c r="A51" s="260"/>
      <c r="B51" s="260"/>
      <c r="C51" s="260"/>
      <c r="D51" s="259"/>
      <c r="E51" s="259"/>
      <c r="F51" s="259"/>
    </row>
    <row r="52" spans="1:6" x14ac:dyDescent="0.25">
      <c r="A52" s="260"/>
      <c r="B52" s="260"/>
      <c r="C52" s="260"/>
      <c r="D52" s="259"/>
      <c r="E52" s="259"/>
      <c r="F52" s="259"/>
    </row>
    <row r="53" spans="1:6" x14ac:dyDescent="0.25">
      <c r="A53" s="260"/>
      <c r="B53" s="260"/>
      <c r="C53" s="260"/>
      <c r="D53" s="259"/>
      <c r="E53" s="259"/>
      <c r="F53" s="259"/>
    </row>
    <row r="54" spans="1:6" x14ac:dyDescent="0.25">
      <c r="A54" s="260"/>
      <c r="B54" s="260"/>
      <c r="C54" s="260"/>
      <c r="D54" s="259"/>
      <c r="E54" s="259"/>
      <c r="F54" s="259"/>
    </row>
    <row r="55" spans="1:6" x14ac:dyDescent="0.25">
      <c r="A55" s="260"/>
      <c r="B55" s="260"/>
      <c r="C55" s="260"/>
      <c r="D55" s="259"/>
      <c r="E55" s="259"/>
      <c r="F55" s="259"/>
    </row>
    <row r="56" spans="1:6" x14ac:dyDescent="0.25">
      <c r="A56" s="260"/>
      <c r="B56" s="260"/>
      <c r="C56" s="260"/>
      <c r="D56" s="259"/>
      <c r="E56" s="259"/>
      <c r="F56" s="259"/>
    </row>
    <row r="57" spans="1:6" x14ac:dyDescent="0.25">
      <c r="A57" s="260"/>
      <c r="B57" s="260"/>
      <c r="C57" s="260"/>
      <c r="D57" s="259"/>
      <c r="E57" s="259"/>
      <c r="F57" s="259"/>
    </row>
    <row r="58" spans="1:6" x14ac:dyDescent="0.25">
      <c r="A58" s="260"/>
      <c r="B58" s="260"/>
      <c r="C58" s="260"/>
      <c r="D58" s="259"/>
      <c r="E58" s="259"/>
      <c r="F58" s="259"/>
    </row>
    <row r="59" spans="1:6" x14ac:dyDescent="0.25">
      <c r="A59" s="260"/>
      <c r="B59" s="260"/>
      <c r="C59" s="260"/>
      <c r="D59" s="259"/>
      <c r="E59" s="259"/>
      <c r="F59" s="259"/>
    </row>
    <row r="60" spans="1:6" x14ac:dyDescent="0.25">
      <c r="A60" s="260"/>
      <c r="B60" s="260"/>
      <c r="C60" s="260"/>
      <c r="D60" s="259"/>
      <c r="E60" s="259"/>
      <c r="F60" s="259"/>
    </row>
    <row r="61" spans="1:6" x14ac:dyDescent="0.25">
      <c r="A61" s="260"/>
      <c r="B61" s="260"/>
      <c r="C61" s="260"/>
      <c r="D61" s="259"/>
      <c r="E61" s="259"/>
      <c r="F61" s="259"/>
    </row>
    <row r="62" spans="1:6" x14ac:dyDescent="0.25">
      <c r="A62" s="260"/>
      <c r="B62" s="260"/>
      <c r="C62" s="260"/>
      <c r="D62" s="259"/>
      <c r="E62" s="259"/>
      <c r="F62" s="259"/>
    </row>
    <row r="63" spans="1:6" x14ac:dyDescent="0.25">
      <c r="A63" s="260"/>
      <c r="B63" s="260"/>
      <c r="C63" s="260"/>
      <c r="D63" s="259"/>
      <c r="E63" s="259"/>
      <c r="F63" s="259"/>
    </row>
    <row r="64" spans="1:6" x14ac:dyDescent="0.25">
      <c r="A64" s="260"/>
      <c r="B64" s="260"/>
      <c r="C64" s="260"/>
      <c r="D64" s="259"/>
      <c r="E64" s="259"/>
      <c r="F64" s="259"/>
    </row>
    <row r="65" spans="1:6" x14ac:dyDescent="0.25">
      <c r="A65" s="260"/>
      <c r="B65" s="260"/>
      <c r="C65" s="260"/>
      <c r="D65" s="259"/>
      <c r="E65" s="259"/>
      <c r="F65" s="259"/>
    </row>
    <row r="66" spans="1:6" x14ac:dyDescent="0.25">
      <c r="A66" s="260"/>
      <c r="B66" s="260"/>
      <c r="C66" s="260"/>
      <c r="D66" s="259"/>
      <c r="E66" s="259"/>
      <c r="F66" s="259"/>
    </row>
    <row r="67" spans="1:6" x14ac:dyDescent="0.25">
      <c r="A67" s="260"/>
      <c r="B67" s="260"/>
      <c r="C67" s="260"/>
      <c r="D67" s="259"/>
      <c r="E67" s="259"/>
      <c r="F67" s="259"/>
    </row>
    <row r="68" spans="1:6" x14ac:dyDescent="0.25">
      <c r="A68" s="260"/>
      <c r="B68" s="260"/>
      <c r="C68" s="260"/>
      <c r="D68" s="259"/>
      <c r="E68" s="259"/>
      <c r="F68" s="259"/>
    </row>
    <row r="69" spans="1:6" x14ac:dyDescent="0.25">
      <c r="A69" s="260"/>
      <c r="B69" s="260"/>
      <c r="C69" s="260"/>
      <c r="D69" s="259"/>
      <c r="E69" s="259"/>
      <c r="F69" s="259"/>
    </row>
    <row r="70" spans="1:6" x14ac:dyDescent="0.25">
      <c r="A70" s="260"/>
      <c r="B70" s="260"/>
      <c r="C70" s="260"/>
      <c r="D70" s="259"/>
      <c r="E70" s="259"/>
      <c r="F70" s="259"/>
    </row>
    <row r="71" spans="1:6" x14ac:dyDescent="0.25">
      <c r="A71" s="260"/>
      <c r="B71" s="260"/>
      <c r="C71" s="260"/>
      <c r="D71" s="259"/>
      <c r="E71" s="259"/>
      <c r="F71" s="259"/>
    </row>
    <row r="72" spans="1:6" x14ac:dyDescent="0.25">
      <c r="A72" s="260"/>
      <c r="B72" s="260"/>
      <c r="C72" s="260"/>
      <c r="D72" s="259"/>
      <c r="E72" s="259"/>
      <c r="F72" s="259"/>
    </row>
    <row r="73" spans="1:6" x14ac:dyDescent="0.25">
      <c r="A73" s="260"/>
      <c r="B73" s="260"/>
      <c r="C73" s="260"/>
      <c r="D73" s="259"/>
      <c r="E73" s="259"/>
      <c r="F73" s="259"/>
    </row>
    <row r="74" spans="1:6" x14ac:dyDescent="0.25">
      <c r="A74" s="260"/>
      <c r="B74" s="260"/>
      <c r="C74" s="260"/>
      <c r="D74" s="259"/>
      <c r="E74" s="259"/>
      <c r="F74" s="259"/>
    </row>
    <row r="75" spans="1:6" x14ac:dyDescent="0.25">
      <c r="A75" s="260"/>
      <c r="B75" s="260"/>
      <c r="C75" s="260"/>
      <c r="D75" s="259"/>
      <c r="E75" s="259"/>
      <c r="F75" s="259"/>
    </row>
    <row r="76" spans="1:6" x14ac:dyDescent="0.25">
      <c r="A76" s="260"/>
      <c r="B76" s="260"/>
      <c r="C76" s="260"/>
      <c r="D76" s="259"/>
      <c r="E76" s="259"/>
      <c r="F76" s="259"/>
    </row>
    <row r="77" spans="1:6" x14ac:dyDescent="0.25">
      <c r="A77" s="260"/>
      <c r="B77" s="260"/>
      <c r="C77" s="260"/>
      <c r="D77" s="259"/>
      <c r="E77" s="259"/>
      <c r="F77" s="259"/>
    </row>
    <row r="78" spans="1:6" x14ac:dyDescent="0.25">
      <c r="A78" s="260"/>
      <c r="B78" s="260"/>
      <c r="C78" s="260"/>
      <c r="D78" s="259"/>
      <c r="E78" s="259"/>
      <c r="F78" s="259"/>
    </row>
    <row r="79" spans="1:6" x14ac:dyDescent="0.25">
      <c r="A79" s="260"/>
      <c r="B79" s="260"/>
      <c r="C79" s="260"/>
      <c r="D79" s="259"/>
      <c r="E79" s="259"/>
      <c r="F79" s="259"/>
    </row>
    <row r="80" spans="1:6" x14ac:dyDescent="0.25">
      <c r="A80" s="260"/>
      <c r="B80" s="260"/>
      <c r="C80" s="260"/>
      <c r="D80" s="259"/>
      <c r="E80" s="259"/>
      <c r="F80" s="259"/>
    </row>
    <row r="81" spans="1:6" x14ac:dyDescent="0.25">
      <c r="A81" s="260"/>
      <c r="B81" s="260"/>
      <c r="C81" s="260"/>
      <c r="D81" s="259"/>
      <c r="E81" s="259"/>
      <c r="F81" s="259"/>
    </row>
    <row r="82" spans="1:6" x14ac:dyDescent="0.25">
      <c r="A82" s="260"/>
      <c r="B82" s="260"/>
      <c r="C82" s="260"/>
      <c r="D82" s="259"/>
      <c r="E82" s="259"/>
      <c r="F82" s="259"/>
    </row>
    <row r="83" spans="1:6" x14ac:dyDescent="0.25">
      <c r="A83" s="260"/>
      <c r="B83" s="260"/>
      <c r="C83" s="260"/>
      <c r="D83" s="259"/>
      <c r="E83" s="259"/>
      <c r="F83" s="259"/>
    </row>
    <row r="84" spans="1:6" x14ac:dyDescent="0.25">
      <c r="A84" s="260"/>
      <c r="B84" s="260"/>
      <c r="C84" s="260"/>
      <c r="D84" s="259"/>
      <c r="E84" s="259"/>
      <c r="F84" s="259"/>
    </row>
    <row r="85" spans="1:6" x14ac:dyDescent="0.25">
      <c r="A85" s="260"/>
      <c r="B85" s="260"/>
      <c r="C85" s="260"/>
      <c r="D85" s="259"/>
      <c r="E85" s="259"/>
      <c r="F85" s="259"/>
    </row>
    <row r="86" spans="1:6" x14ac:dyDescent="0.25">
      <c r="A86" s="260"/>
      <c r="B86" s="260"/>
      <c r="C86" s="260"/>
      <c r="D86" s="259"/>
      <c r="E86" s="259"/>
      <c r="F86" s="259"/>
    </row>
    <row r="87" spans="1:6" x14ac:dyDescent="0.25">
      <c r="A87" s="260"/>
      <c r="B87" s="260"/>
      <c r="C87" s="260"/>
      <c r="D87" s="259"/>
      <c r="E87" s="259"/>
      <c r="F87" s="259"/>
    </row>
    <row r="88" spans="1:6" x14ac:dyDescent="0.25">
      <c r="A88" s="260"/>
      <c r="B88" s="260"/>
      <c r="C88" s="260"/>
      <c r="D88" s="259"/>
      <c r="E88" s="259"/>
      <c r="F88" s="259"/>
    </row>
    <row r="89" spans="1:6" x14ac:dyDescent="0.25">
      <c r="A89" s="260"/>
      <c r="B89" s="260"/>
      <c r="C89" s="260"/>
      <c r="D89" s="259"/>
      <c r="E89" s="259"/>
      <c r="F89" s="259"/>
    </row>
    <row r="90" spans="1:6" x14ac:dyDescent="0.25">
      <c r="A90" s="260"/>
      <c r="B90" s="260"/>
      <c r="C90" s="260"/>
      <c r="D90" s="259"/>
      <c r="E90" s="259"/>
      <c r="F90" s="259"/>
    </row>
    <row r="91" spans="1:6" x14ac:dyDescent="0.25">
      <c r="A91" s="260"/>
      <c r="B91" s="260"/>
      <c r="C91" s="260"/>
      <c r="D91" s="259"/>
      <c r="E91" s="259"/>
      <c r="F91" s="259"/>
    </row>
    <row r="92" spans="1:6" x14ac:dyDescent="0.25">
      <c r="A92" s="260"/>
      <c r="B92" s="260"/>
      <c r="C92" s="260"/>
      <c r="D92" s="259"/>
      <c r="E92" s="259"/>
      <c r="F92" s="259"/>
    </row>
    <row r="93" spans="1:6" x14ac:dyDescent="0.25">
      <c r="A93" s="260"/>
      <c r="B93" s="260"/>
      <c r="C93" s="260"/>
      <c r="D93" s="259"/>
      <c r="E93" s="259"/>
      <c r="F93" s="259"/>
    </row>
    <row r="94" spans="1:6" x14ac:dyDescent="0.25">
      <c r="A94" s="260"/>
      <c r="B94" s="260"/>
      <c r="C94" s="260"/>
      <c r="D94" s="259"/>
      <c r="E94" s="259"/>
      <c r="F94" s="259"/>
    </row>
    <row r="95" spans="1:6" x14ac:dyDescent="0.25">
      <c r="A95" s="260"/>
      <c r="B95" s="260"/>
      <c r="C95" s="260"/>
      <c r="D95" s="259"/>
      <c r="E95" s="259"/>
      <c r="F95" s="259"/>
    </row>
    <row r="96" spans="1:6" x14ac:dyDescent="0.25">
      <c r="A96" s="260"/>
      <c r="B96" s="260"/>
      <c r="C96" s="260"/>
      <c r="D96" s="259"/>
      <c r="E96" s="259"/>
      <c r="F96" s="259"/>
    </row>
    <row r="97" spans="1:6" x14ac:dyDescent="0.25">
      <c r="A97" s="260"/>
      <c r="B97" s="260"/>
      <c r="C97" s="260"/>
      <c r="D97" s="259"/>
      <c r="E97" s="259"/>
      <c r="F97" s="259"/>
    </row>
    <row r="98" spans="1:6" x14ac:dyDescent="0.25">
      <c r="A98" s="260"/>
      <c r="B98" s="260"/>
      <c r="C98" s="260"/>
      <c r="D98" s="259"/>
      <c r="E98" s="259"/>
      <c r="F98" s="259"/>
    </row>
    <row r="99" spans="1:6" x14ac:dyDescent="0.25">
      <c r="A99" s="260"/>
      <c r="B99" s="260"/>
      <c r="C99" s="260"/>
      <c r="D99" s="259"/>
      <c r="E99" s="259"/>
      <c r="F99" s="259"/>
    </row>
    <row r="100" spans="1:6" x14ac:dyDescent="0.25">
      <c r="A100" s="260"/>
      <c r="B100" s="260"/>
      <c r="C100" s="260"/>
      <c r="D100" s="259"/>
      <c r="E100" s="259"/>
      <c r="F100" s="259"/>
    </row>
    <row r="101" spans="1:6" x14ac:dyDescent="0.25">
      <c r="A101" s="260"/>
      <c r="B101" s="260"/>
      <c r="C101" s="260"/>
      <c r="D101" s="259"/>
      <c r="E101" s="259"/>
      <c r="F101" s="259"/>
    </row>
    <row r="102" spans="1:6" x14ac:dyDescent="0.25">
      <c r="A102" s="260"/>
      <c r="B102" s="260"/>
      <c r="C102" s="260"/>
      <c r="D102" s="259"/>
      <c r="E102" s="259"/>
      <c r="F102" s="259"/>
    </row>
    <row r="103" spans="1:6" x14ac:dyDescent="0.25">
      <c r="A103" s="260"/>
      <c r="B103" s="260"/>
      <c r="C103" s="260"/>
      <c r="D103" s="259"/>
      <c r="E103" s="259"/>
      <c r="F103" s="259"/>
    </row>
    <row r="104" spans="1:6" x14ac:dyDescent="0.25">
      <c r="A104" s="260"/>
      <c r="B104" s="260"/>
      <c r="C104" s="260"/>
      <c r="D104" s="259"/>
      <c r="E104" s="259"/>
      <c r="F104" s="259"/>
    </row>
    <row r="105" spans="1:6" x14ac:dyDescent="0.25">
      <c r="A105" s="260"/>
      <c r="B105" s="260"/>
      <c r="C105" s="260"/>
      <c r="D105" s="259"/>
      <c r="E105" s="259"/>
      <c r="F105" s="259"/>
    </row>
    <row r="106" spans="1:6" x14ac:dyDescent="0.25">
      <c r="A106" s="260"/>
      <c r="B106" s="260"/>
      <c r="C106" s="260"/>
      <c r="D106" s="259"/>
      <c r="E106" s="259"/>
      <c r="F106" s="259"/>
    </row>
    <row r="107" spans="1:6" x14ac:dyDescent="0.25">
      <c r="A107" s="260"/>
      <c r="B107" s="260"/>
      <c r="C107" s="260"/>
      <c r="D107" s="259"/>
      <c r="E107" s="259"/>
      <c r="F107" s="259"/>
    </row>
    <row r="108" spans="1:6" x14ac:dyDescent="0.25">
      <c r="A108" s="260"/>
      <c r="B108" s="260"/>
      <c r="C108" s="260"/>
      <c r="D108" s="259"/>
      <c r="E108" s="259"/>
      <c r="F108" s="259"/>
    </row>
    <row r="109" spans="1:6" x14ac:dyDescent="0.25">
      <c r="A109" s="260"/>
      <c r="B109" s="260"/>
      <c r="C109" s="260"/>
      <c r="D109" s="259"/>
      <c r="E109" s="259"/>
      <c r="F109" s="259"/>
    </row>
    <row r="110" spans="1:6" x14ac:dyDescent="0.25">
      <c r="A110" s="260"/>
      <c r="B110" s="260"/>
      <c r="C110" s="260"/>
      <c r="D110" s="259"/>
      <c r="E110" s="259"/>
      <c r="F110" s="259"/>
    </row>
    <row r="111" spans="1:6" x14ac:dyDescent="0.25">
      <c r="A111" s="260"/>
      <c r="B111" s="260"/>
      <c r="C111" s="260"/>
      <c r="D111" s="259"/>
      <c r="E111" s="259"/>
      <c r="F111" s="259"/>
    </row>
    <row r="112" spans="1:6" x14ac:dyDescent="0.25">
      <c r="A112" s="260"/>
      <c r="B112" s="260"/>
      <c r="C112" s="260"/>
      <c r="D112" s="259"/>
      <c r="E112" s="259"/>
      <c r="F112" s="259"/>
    </row>
    <row r="113" spans="1:6" x14ac:dyDescent="0.25">
      <c r="A113" s="260"/>
      <c r="B113" s="260"/>
      <c r="C113" s="260"/>
      <c r="D113" s="259"/>
      <c r="E113" s="259"/>
      <c r="F113" s="259"/>
    </row>
    <row r="114" spans="1:6" x14ac:dyDescent="0.25">
      <c r="A114" s="260"/>
      <c r="B114" s="260"/>
      <c r="C114" s="260"/>
      <c r="D114" s="259"/>
      <c r="E114" s="259"/>
      <c r="F114" s="259"/>
    </row>
    <row r="115" spans="1:6" x14ac:dyDescent="0.25">
      <c r="A115" s="260"/>
      <c r="B115" s="260"/>
      <c r="C115" s="260"/>
      <c r="D115" s="259"/>
      <c r="E115" s="259"/>
      <c r="F115" s="259"/>
    </row>
    <row r="116" spans="1:6" x14ac:dyDescent="0.25">
      <c r="A116" s="260"/>
      <c r="B116" s="260"/>
      <c r="C116" s="260"/>
      <c r="D116" s="259"/>
      <c r="E116" s="259"/>
      <c r="F116" s="259"/>
    </row>
    <row r="117" spans="1:6" x14ac:dyDescent="0.25">
      <c r="A117" s="260"/>
      <c r="B117" s="260"/>
      <c r="C117" s="260"/>
      <c r="D117" s="259"/>
      <c r="E117" s="259"/>
      <c r="F117" s="259"/>
    </row>
    <row r="118" spans="1:6" x14ac:dyDescent="0.25">
      <c r="A118" s="260"/>
      <c r="B118" s="260"/>
      <c r="C118" s="260"/>
      <c r="D118" s="259"/>
      <c r="E118" s="259"/>
      <c r="F118" s="259"/>
    </row>
    <row r="119" spans="1:6" x14ac:dyDescent="0.25">
      <c r="A119" s="260"/>
      <c r="B119" s="260"/>
      <c r="C119" s="260"/>
      <c r="D119" s="259"/>
      <c r="E119" s="259"/>
      <c r="F119" s="259"/>
    </row>
    <row r="120" spans="1:6" x14ac:dyDescent="0.25">
      <c r="A120" s="260"/>
      <c r="B120" s="260"/>
      <c r="C120" s="260"/>
      <c r="D120" s="259"/>
      <c r="E120" s="259"/>
      <c r="F120" s="259"/>
    </row>
    <row r="121" spans="1:6" x14ac:dyDescent="0.25">
      <c r="A121" s="260"/>
      <c r="B121" s="260"/>
      <c r="C121" s="260"/>
      <c r="D121" s="259"/>
      <c r="E121" s="259"/>
      <c r="F121" s="259"/>
    </row>
    <row r="122" spans="1:6" x14ac:dyDescent="0.25">
      <c r="A122" s="260"/>
      <c r="B122" s="260"/>
      <c r="C122" s="260"/>
      <c r="D122" s="259"/>
      <c r="E122" s="259"/>
      <c r="F122" s="259"/>
    </row>
    <row r="123" spans="1:6" x14ac:dyDescent="0.25">
      <c r="A123" s="260"/>
      <c r="B123" s="260"/>
      <c r="C123" s="260"/>
      <c r="D123" s="259"/>
      <c r="E123" s="259"/>
      <c r="F123" s="259"/>
    </row>
    <row r="124" spans="1:6" x14ac:dyDescent="0.25">
      <c r="A124" s="260"/>
      <c r="B124" s="260"/>
      <c r="C124" s="260"/>
      <c r="D124" s="259"/>
      <c r="E124" s="259"/>
      <c r="F124" s="259"/>
    </row>
    <row r="125" spans="1:6" x14ac:dyDescent="0.25">
      <c r="A125" s="260"/>
      <c r="B125" s="260"/>
      <c r="C125" s="260"/>
      <c r="D125" s="259"/>
      <c r="E125" s="259"/>
      <c r="F125" s="259"/>
    </row>
    <row r="126" spans="1:6" x14ac:dyDescent="0.25">
      <c r="A126" s="260"/>
      <c r="B126" s="260"/>
      <c r="C126" s="260"/>
      <c r="D126" s="259"/>
      <c r="E126" s="259"/>
      <c r="F126" s="259"/>
    </row>
    <row r="127" spans="1:6" x14ac:dyDescent="0.25">
      <c r="A127" s="260"/>
      <c r="B127" s="260"/>
      <c r="C127" s="260"/>
      <c r="D127" s="259"/>
      <c r="E127" s="259"/>
      <c r="F127" s="259"/>
    </row>
    <row r="128" spans="1:6" x14ac:dyDescent="0.25">
      <c r="A128" s="260"/>
      <c r="B128" s="260"/>
      <c r="C128" s="260"/>
      <c r="D128" s="259"/>
      <c r="E128" s="259"/>
      <c r="F128" s="259"/>
    </row>
    <row r="129" spans="1:6" x14ac:dyDescent="0.25">
      <c r="A129" s="260"/>
      <c r="B129" s="260"/>
      <c r="C129" s="260"/>
      <c r="D129" s="259"/>
      <c r="E129" s="259"/>
      <c r="F129" s="259"/>
    </row>
    <row r="130" spans="1:6" x14ac:dyDescent="0.25">
      <c r="A130" s="260"/>
      <c r="B130" s="260"/>
      <c r="C130" s="260"/>
      <c r="D130" s="259"/>
      <c r="E130" s="259"/>
      <c r="F130" s="259"/>
    </row>
    <row r="131" spans="1:6" x14ac:dyDescent="0.25">
      <c r="A131" s="260"/>
      <c r="B131" s="260"/>
      <c r="C131" s="260"/>
      <c r="D131" s="259"/>
      <c r="E131" s="259"/>
      <c r="F131" s="259"/>
    </row>
    <row r="132" spans="1:6" x14ac:dyDescent="0.25">
      <c r="A132" s="260"/>
      <c r="B132" s="260"/>
      <c r="C132" s="260"/>
      <c r="D132" s="259"/>
      <c r="E132" s="259"/>
      <c r="F132" s="259"/>
    </row>
    <row r="133" spans="1:6" x14ac:dyDescent="0.25">
      <c r="A133" s="260"/>
      <c r="B133" s="260"/>
      <c r="C133" s="260"/>
      <c r="D133" s="259"/>
      <c r="E133" s="259"/>
      <c r="F133" s="259"/>
    </row>
    <row r="134" spans="1:6" x14ac:dyDescent="0.25">
      <c r="A134" s="260"/>
      <c r="B134" s="260"/>
      <c r="C134" s="260"/>
      <c r="D134" s="259"/>
      <c r="E134" s="259"/>
      <c r="F134" s="259"/>
    </row>
    <row r="135" spans="1:6" x14ac:dyDescent="0.25">
      <c r="A135" s="260"/>
      <c r="B135" s="260"/>
      <c r="C135" s="260"/>
      <c r="D135" s="259"/>
      <c r="E135" s="259"/>
      <c r="F135" s="259"/>
    </row>
    <row r="136" spans="1:6" x14ac:dyDescent="0.25">
      <c r="A136" s="260"/>
      <c r="B136" s="260"/>
      <c r="C136" s="260"/>
      <c r="D136" s="259"/>
      <c r="E136" s="259"/>
      <c r="F136" s="259"/>
    </row>
    <row r="137" spans="1:6" x14ac:dyDescent="0.25">
      <c r="A137" s="260"/>
      <c r="B137" s="260"/>
      <c r="C137" s="260"/>
      <c r="D137" s="259"/>
      <c r="E137" s="259"/>
      <c r="F137" s="259"/>
    </row>
    <row r="138" spans="1:6" x14ac:dyDescent="0.25">
      <c r="A138" s="260"/>
      <c r="B138" s="260"/>
      <c r="C138" s="260"/>
      <c r="D138" s="259"/>
      <c r="E138" s="259"/>
      <c r="F138" s="259"/>
    </row>
    <row r="139" spans="1:6" x14ac:dyDescent="0.25">
      <c r="A139" s="260"/>
      <c r="B139" s="260"/>
      <c r="C139" s="260"/>
      <c r="D139" s="259"/>
      <c r="E139" s="259"/>
      <c r="F139" s="259"/>
    </row>
    <row r="140" spans="1:6" x14ac:dyDescent="0.25">
      <c r="A140" s="260"/>
      <c r="B140" s="260"/>
      <c r="C140" s="260"/>
      <c r="D140" s="259"/>
      <c r="E140" s="259"/>
      <c r="F140" s="259"/>
    </row>
    <row r="141" spans="1:6" x14ac:dyDescent="0.25">
      <c r="A141" s="260"/>
      <c r="B141" s="260"/>
      <c r="C141" s="260"/>
      <c r="D141" s="259"/>
      <c r="E141" s="259"/>
      <c r="F141" s="259"/>
    </row>
    <row r="142" spans="1:6" x14ac:dyDescent="0.25">
      <c r="A142" s="260"/>
      <c r="B142" s="260"/>
      <c r="C142" s="260"/>
      <c r="D142" s="259"/>
      <c r="E142" s="259"/>
      <c r="F142" s="259"/>
    </row>
    <row r="143" spans="1:6" x14ac:dyDescent="0.25">
      <c r="A143" s="260"/>
      <c r="B143" s="260"/>
      <c r="C143" s="260"/>
      <c r="D143" s="259"/>
      <c r="E143" s="259"/>
      <c r="F143" s="259"/>
    </row>
    <row r="144" spans="1:6" x14ac:dyDescent="0.25">
      <c r="A144" s="260"/>
      <c r="B144" s="260"/>
      <c r="C144" s="260"/>
      <c r="D144" s="259"/>
      <c r="E144" s="259"/>
      <c r="F144" s="259"/>
    </row>
    <row r="145" spans="1:6" x14ac:dyDescent="0.25">
      <c r="A145" s="260"/>
      <c r="B145" s="260"/>
      <c r="C145" s="260"/>
      <c r="D145" s="259"/>
      <c r="E145" s="259"/>
      <c r="F145" s="259"/>
    </row>
    <row r="146" spans="1:6" x14ac:dyDescent="0.25">
      <c r="A146" s="260"/>
      <c r="B146" s="260"/>
      <c r="C146" s="260"/>
      <c r="D146" s="259"/>
      <c r="E146" s="259"/>
      <c r="F146" s="259"/>
    </row>
    <row r="147" spans="1:6" x14ac:dyDescent="0.25">
      <c r="A147" s="260"/>
      <c r="B147" s="260"/>
      <c r="C147" s="260"/>
      <c r="D147" s="259"/>
      <c r="E147" s="259"/>
      <c r="F147" s="259"/>
    </row>
    <row r="148" spans="1:6" x14ac:dyDescent="0.25">
      <c r="A148" s="260"/>
      <c r="B148" s="260"/>
      <c r="C148" s="260"/>
      <c r="D148" s="259"/>
      <c r="E148" s="259"/>
      <c r="F148" s="259"/>
    </row>
    <row r="149" spans="1:6" x14ac:dyDescent="0.25">
      <c r="A149" s="260"/>
      <c r="B149" s="260"/>
      <c r="C149" s="260"/>
      <c r="D149" s="259"/>
      <c r="E149" s="259"/>
      <c r="F149" s="259"/>
    </row>
    <row r="150" spans="1:6" x14ac:dyDescent="0.25">
      <c r="A150" s="260"/>
      <c r="B150" s="260"/>
      <c r="C150" s="260"/>
      <c r="D150" s="259"/>
      <c r="E150" s="259"/>
      <c r="F150" s="259"/>
    </row>
    <row r="151" spans="1:6" x14ac:dyDescent="0.25">
      <c r="A151" s="260"/>
      <c r="B151" s="260"/>
      <c r="C151" s="260"/>
      <c r="D151" s="259"/>
      <c r="E151" s="259"/>
      <c r="F151" s="259"/>
    </row>
    <row r="152" spans="1:6" x14ac:dyDescent="0.25">
      <c r="A152" s="260"/>
      <c r="B152" s="260"/>
      <c r="C152" s="260"/>
      <c r="D152" s="259"/>
      <c r="E152" s="259"/>
      <c r="F152" s="259"/>
    </row>
    <row r="153" spans="1:6" x14ac:dyDescent="0.25">
      <c r="A153" s="260"/>
      <c r="B153" s="260"/>
      <c r="C153" s="260"/>
      <c r="D153" s="259"/>
      <c r="E153" s="259"/>
      <c r="F153" s="259"/>
    </row>
    <row r="154" spans="1:6" x14ac:dyDescent="0.25">
      <c r="A154" s="260"/>
      <c r="B154" s="260"/>
      <c r="C154" s="260"/>
      <c r="D154" s="259"/>
      <c r="E154" s="259"/>
      <c r="F154" s="259"/>
    </row>
    <row r="155" spans="1:6" x14ac:dyDescent="0.25">
      <c r="A155" s="260"/>
      <c r="B155" s="260"/>
      <c r="C155" s="260"/>
      <c r="D155" s="259"/>
      <c r="E155" s="259"/>
      <c r="F155" s="259"/>
    </row>
    <row r="156" spans="1:6" x14ac:dyDescent="0.25">
      <c r="A156" s="260"/>
      <c r="B156" s="260"/>
      <c r="C156" s="260"/>
      <c r="D156" s="259"/>
      <c r="E156" s="259"/>
      <c r="F156" s="259"/>
    </row>
    <row r="157" spans="1:6" x14ac:dyDescent="0.25">
      <c r="A157" s="260"/>
      <c r="B157" s="260"/>
      <c r="C157" s="260"/>
      <c r="D157" s="259"/>
      <c r="E157" s="259"/>
      <c r="F157" s="259"/>
    </row>
    <row r="158" spans="1:6" x14ac:dyDescent="0.25">
      <c r="A158" s="260"/>
      <c r="B158" s="260"/>
      <c r="C158" s="260"/>
      <c r="D158" s="259"/>
      <c r="E158" s="259"/>
      <c r="F158" s="259"/>
    </row>
    <row r="159" spans="1:6" x14ac:dyDescent="0.25">
      <c r="A159" s="260"/>
      <c r="B159" s="260"/>
      <c r="C159" s="260"/>
      <c r="D159" s="259"/>
      <c r="E159" s="259"/>
      <c r="F159" s="259"/>
    </row>
    <row r="160" spans="1:6" x14ac:dyDescent="0.25">
      <c r="A160" s="260"/>
      <c r="B160" s="260"/>
      <c r="C160" s="260"/>
      <c r="D160" s="259"/>
      <c r="E160" s="259"/>
      <c r="F160" s="259"/>
    </row>
    <row r="161" spans="1:6" x14ac:dyDescent="0.25">
      <c r="A161" s="260"/>
      <c r="B161" s="260"/>
      <c r="C161" s="260"/>
      <c r="D161" s="259"/>
      <c r="E161" s="259"/>
      <c r="F161" s="259"/>
    </row>
    <row r="162" spans="1:6" x14ac:dyDescent="0.25">
      <c r="A162" s="260"/>
      <c r="B162" s="260"/>
      <c r="C162" s="260"/>
      <c r="D162" s="259"/>
      <c r="E162" s="259"/>
      <c r="F162" s="259"/>
    </row>
    <row r="163" spans="1:6" x14ac:dyDescent="0.25">
      <c r="A163" s="260"/>
      <c r="B163" s="260"/>
      <c r="C163" s="260"/>
      <c r="D163" s="259"/>
      <c r="E163" s="259"/>
      <c r="F163" s="259"/>
    </row>
    <row r="164" spans="1:6" x14ac:dyDescent="0.25">
      <c r="A164" s="260"/>
      <c r="B164" s="260"/>
      <c r="C164" s="260"/>
      <c r="D164" s="259"/>
      <c r="E164" s="259"/>
      <c r="F164" s="259"/>
    </row>
    <row r="165" spans="1:6" x14ac:dyDescent="0.25">
      <c r="A165" s="260"/>
      <c r="B165" s="260"/>
      <c r="C165" s="260"/>
      <c r="D165" s="259"/>
      <c r="E165" s="259"/>
      <c r="F165" s="259"/>
    </row>
    <row r="166" spans="1:6" x14ac:dyDescent="0.25">
      <c r="A166" s="260"/>
      <c r="B166" s="260"/>
      <c r="C166" s="260"/>
      <c r="D166" s="259"/>
      <c r="E166" s="259"/>
      <c r="F166" s="259"/>
    </row>
    <row r="167" spans="1:6" x14ac:dyDescent="0.25">
      <c r="A167" s="260"/>
      <c r="B167" s="260"/>
      <c r="C167" s="260"/>
      <c r="D167" s="259"/>
      <c r="E167" s="259"/>
      <c r="F167" s="259"/>
    </row>
    <row r="168" spans="1:6" x14ac:dyDescent="0.25">
      <c r="A168" s="260"/>
      <c r="B168" s="260"/>
      <c r="C168" s="260"/>
      <c r="D168" s="259"/>
      <c r="E168" s="259"/>
      <c r="F168" s="259"/>
    </row>
    <row r="169" spans="1:6" x14ac:dyDescent="0.25">
      <c r="A169" s="260"/>
      <c r="B169" s="260"/>
      <c r="C169" s="260"/>
      <c r="D169" s="259"/>
      <c r="E169" s="259"/>
      <c r="F169" s="259"/>
    </row>
    <row r="170" spans="1:6" x14ac:dyDescent="0.25">
      <c r="A170" s="260"/>
      <c r="B170" s="260"/>
      <c r="C170" s="260"/>
      <c r="D170" s="259"/>
      <c r="E170" s="259"/>
      <c r="F170" s="259"/>
    </row>
    <row r="171" spans="1:6" x14ac:dyDescent="0.25">
      <c r="A171" s="260"/>
      <c r="B171" s="260"/>
      <c r="C171" s="260"/>
      <c r="D171" s="259"/>
      <c r="E171" s="259"/>
      <c r="F171" s="259"/>
    </row>
    <row r="172" spans="1:6" x14ac:dyDescent="0.25">
      <c r="A172" s="260"/>
      <c r="B172" s="260"/>
      <c r="C172" s="260"/>
      <c r="D172" s="259"/>
      <c r="E172" s="259"/>
      <c r="F172" s="259"/>
    </row>
    <row r="173" spans="1:6" x14ac:dyDescent="0.25">
      <c r="A173" s="260"/>
      <c r="B173" s="260"/>
      <c r="C173" s="260"/>
      <c r="D173" s="259"/>
      <c r="E173" s="259"/>
      <c r="F173" s="259"/>
    </row>
    <row r="174" spans="1:6" x14ac:dyDescent="0.25">
      <c r="A174" s="260"/>
      <c r="B174" s="260"/>
      <c r="C174" s="260"/>
      <c r="D174" s="259"/>
      <c r="E174" s="259"/>
      <c r="F174" s="259"/>
    </row>
    <row r="175" spans="1:6" x14ac:dyDescent="0.25">
      <c r="A175" s="260"/>
      <c r="B175" s="260"/>
      <c r="C175" s="260"/>
      <c r="D175" s="259"/>
      <c r="E175" s="259"/>
      <c r="F175" s="259"/>
    </row>
    <row r="176" spans="1:6" x14ac:dyDescent="0.25">
      <c r="A176" s="260"/>
      <c r="B176" s="260"/>
      <c r="C176" s="260"/>
      <c r="D176" s="259"/>
      <c r="E176" s="259"/>
      <c r="F176" s="259"/>
    </row>
    <row r="177" spans="1:6" x14ac:dyDescent="0.25">
      <c r="A177" s="260"/>
      <c r="B177" s="260"/>
      <c r="C177" s="260"/>
      <c r="D177" s="259"/>
      <c r="E177" s="259"/>
      <c r="F177" s="259"/>
    </row>
    <row r="178" spans="1:6" x14ac:dyDescent="0.25">
      <c r="A178" s="260"/>
      <c r="B178" s="260"/>
      <c r="C178" s="260"/>
      <c r="D178" s="259"/>
      <c r="E178" s="259"/>
      <c r="F178" s="259"/>
    </row>
    <row r="179" spans="1:6" x14ac:dyDescent="0.25">
      <c r="A179" s="260"/>
      <c r="B179" s="260"/>
      <c r="C179" s="260"/>
      <c r="D179" s="259"/>
      <c r="E179" s="259"/>
      <c r="F179" s="259"/>
    </row>
    <row r="180" spans="1:6" x14ac:dyDescent="0.25">
      <c r="A180" s="260"/>
      <c r="B180" s="260"/>
      <c r="C180" s="260"/>
      <c r="D180" s="259"/>
      <c r="E180" s="259"/>
      <c r="F180" s="259"/>
    </row>
    <row r="181" spans="1:6" x14ac:dyDescent="0.25">
      <c r="A181" s="260"/>
      <c r="B181" s="260"/>
      <c r="C181" s="260"/>
      <c r="D181" s="259"/>
      <c r="E181" s="259"/>
      <c r="F181" s="259"/>
    </row>
    <row r="182" spans="1:6" x14ac:dyDescent="0.25">
      <c r="A182" s="260"/>
      <c r="B182" s="260"/>
      <c r="C182" s="260"/>
      <c r="D182" s="259"/>
      <c r="E182" s="259"/>
      <c r="F182" s="259"/>
    </row>
    <row r="183" spans="1:6" x14ac:dyDescent="0.25">
      <c r="A183" s="260"/>
      <c r="B183" s="260"/>
      <c r="C183" s="260"/>
      <c r="D183" s="259"/>
      <c r="E183" s="259"/>
      <c r="F183" s="259"/>
    </row>
    <row r="184" spans="1:6" x14ac:dyDescent="0.25">
      <c r="A184" s="260"/>
      <c r="B184" s="260"/>
      <c r="C184" s="260"/>
      <c r="D184" s="259"/>
      <c r="E184" s="259"/>
      <c r="F184" s="259"/>
    </row>
    <row r="185" spans="1:6" x14ac:dyDescent="0.25">
      <c r="A185" s="260"/>
      <c r="B185" s="260"/>
      <c r="C185" s="260"/>
      <c r="D185" s="259"/>
      <c r="E185" s="259"/>
      <c r="F185" s="259"/>
    </row>
    <row r="186" spans="1:6" x14ac:dyDescent="0.25">
      <c r="A186" s="260"/>
      <c r="B186" s="260"/>
      <c r="C186" s="260"/>
      <c r="D186" s="259"/>
      <c r="E186" s="259"/>
      <c r="F186" s="259"/>
    </row>
    <row r="187" spans="1:6" x14ac:dyDescent="0.25">
      <c r="A187" s="260"/>
      <c r="B187" s="260"/>
      <c r="C187" s="260"/>
      <c r="D187" s="259"/>
      <c r="E187" s="259"/>
      <c r="F187" s="259"/>
    </row>
    <row r="188" spans="1:6" x14ac:dyDescent="0.25">
      <c r="A188" s="260"/>
      <c r="B188" s="260"/>
      <c r="C188" s="260"/>
      <c r="D188" s="259"/>
      <c r="E188" s="259"/>
      <c r="F188" s="259"/>
    </row>
    <row r="189" spans="1:6" x14ac:dyDescent="0.25">
      <c r="A189" s="260"/>
      <c r="B189" s="260"/>
      <c r="C189" s="260"/>
      <c r="D189" s="259"/>
      <c r="E189" s="259"/>
      <c r="F189" s="259"/>
    </row>
    <row r="190" spans="1:6" x14ac:dyDescent="0.25">
      <c r="A190" s="260"/>
      <c r="B190" s="260"/>
      <c r="C190" s="260"/>
      <c r="D190" s="259"/>
      <c r="E190" s="259"/>
      <c r="F190" s="259"/>
    </row>
    <row r="191" spans="1:6" x14ac:dyDescent="0.25">
      <c r="A191" s="260"/>
      <c r="B191" s="260"/>
      <c r="C191" s="260"/>
      <c r="D191" s="259"/>
      <c r="E191" s="259"/>
      <c r="F191" s="259"/>
    </row>
    <row r="192" spans="1:6" x14ac:dyDescent="0.25">
      <c r="A192" s="260"/>
      <c r="B192" s="260"/>
      <c r="C192" s="260"/>
      <c r="D192" s="259"/>
      <c r="E192" s="259"/>
      <c r="F192" s="259"/>
    </row>
    <row r="193" spans="1:6" x14ac:dyDescent="0.25">
      <c r="A193" s="260"/>
      <c r="B193" s="260"/>
      <c r="C193" s="260"/>
      <c r="D193" s="259"/>
      <c r="E193" s="259"/>
      <c r="F193" s="259"/>
    </row>
    <row r="194" spans="1:6" x14ac:dyDescent="0.25">
      <c r="A194" s="260"/>
      <c r="B194" s="260"/>
      <c r="C194" s="260"/>
      <c r="D194" s="259"/>
      <c r="E194" s="259"/>
      <c r="F194" s="259"/>
    </row>
    <row r="195" spans="1:6" x14ac:dyDescent="0.25">
      <c r="A195" s="260"/>
      <c r="B195" s="260"/>
      <c r="C195" s="260"/>
      <c r="D195" s="259"/>
      <c r="E195" s="259"/>
      <c r="F195" s="259"/>
    </row>
    <row r="196" spans="1:6" x14ac:dyDescent="0.25">
      <c r="A196" s="260"/>
      <c r="B196" s="260"/>
      <c r="C196" s="260"/>
      <c r="D196" s="259"/>
      <c r="E196" s="259"/>
      <c r="F196" s="259"/>
    </row>
    <row r="197" spans="1:6" x14ac:dyDescent="0.25">
      <c r="A197" s="260"/>
      <c r="B197" s="260"/>
      <c r="C197" s="260"/>
      <c r="D197" s="259"/>
      <c r="E197" s="259"/>
      <c r="F197" s="259"/>
    </row>
    <row r="198" spans="1:6" x14ac:dyDescent="0.25">
      <c r="A198" s="260"/>
      <c r="B198" s="260"/>
      <c r="C198" s="260"/>
      <c r="D198" s="259"/>
      <c r="E198" s="259"/>
      <c r="F198" s="259"/>
    </row>
    <row r="199" spans="1:6" x14ac:dyDescent="0.25">
      <c r="A199" s="260"/>
      <c r="B199" s="260"/>
      <c r="C199" s="260"/>
      <c r="D199" s="259"/>
      <c r="E199" s="259"/>
      <c r="F199" s="259"/>
    </row>
    <row r="200" spans="1:6" x14ac:dyDescent="0.25">
      <c r="A200" s="260"/>
      <c r="B200" s="260"/>
      <c r="C200" s="260"/>
      <c r="D200" s="259"/>
      <c r="E200" s="259"/>
      <c r="F200" s="259"/>
    </row>
    <row r="201" spans="1:6" x14ac:dyDescent="0.25">
      <c r="A201" s="260"/>
      <c r="B201" s="260"/>
      <c r="C201" s="260"/>
      <c r="D201" s="259"/>
      <c r="E201" s="259"/>
      <c r="F201" s="259"/>
    </row>
    <row r="202" spans="1:6" x14ac:dyDescent="0.25">
      <c r="A202" s="260"/>
      <c r="B202" s="260"/>
      <c r="C202" s="260"/>
      <c r="D202" s="259"/>
      <c r="E202" s="259"/>
      <c r="F202" s="259"/>
    </row>
    <row r="203" spans="1:6" x14ac:dyDescent="0.25">
      <c r="A203" s="260"/>
      <c r="B203" s="260"/>
      <c r="C203" s="260"/>
      <c r="D203" s="259"/>
      <c r="E203" s="259"/>
      <c r="F203" s="259"/>
    </row>
    <row r="204" spans="1:6" x14ac:dyDescent="0.25">
      <c r="A204" s="260"/>
      <c r="B204" s="260"/>
      <c r="C204" s="260"/>
      <c r="D204" s="259"/>
      <c r="E204" s="259"/>
      <c r="F204" s="259"/>
    </row>
    <row r="205" spans="1:6" x14ac:dyDescent="0.25">
      <c r="A205" s="260"/>
      <c r="B205" s="260"/>
      <c r="C205" s="260"/>
      <c r="D205" s="259"/>
      <c r="E205" s="259"/>
      <c r="F205" s="259"/>
    </row>
    <row r="206" spans="1:6" x14ac:dyDescent="0.25">
      <c r="A206" s="260"/>
      <c r="B206" s="260"/>
      <c r="C206" s="260"/>
      <c r="D206" s="259"/>
      <c r="E206" s="259"/>
      <c r="F206" s="259"/>
    </row>
    <row r="207" spans="1:6" x14ac:dyDescent="0.25">
      <c r="A207" s="260"/>
      <c r="B207" s="260"/>
      <c r="C207" s="260"/>
      <c r="D207" s="259"/>
      <c r="E207" s="259"/>
      <c r="F207" s="259"/>
    </row>
    <row r="208" spans="1:6" x14ac:dyDescent="0.25">
      <c r="A208" s="260"/>
      <c r="B208" s="260"/>
      <c r="C208" s="260"/>
      <c r="D208" s="259"/>
      <c r="E208" s="259"/>
      <c r="F208" s="259"/>
    </row>
    <row r="209" spans="1:6" x14ac:dyDescent="0.25">
      <c r="A209" s="260"/>
      <c r="B209" s="260"/>
      <c r="C209" s="260"/>
      <c r="D209" s="259"/>
      <c r="E209" s="259"/>
      <c r="F209" s="259"/>
    </row>
    <row r="210" spans="1:6" x14ac:dyDescent="0.25">
      <c r="A210" s="260"/>
      <c r="B210" s="260"/>
      <c r="C210" s="260"/>
      <c r="D210" s="259"/>
      <c r="E210" s="259"/>
      <c r="F210" s="259"/>
    </row>
    <row r="211" spans="1:6" x14ac:dyDescent="0.25">
      <c r="A211" s="260"/>
      <c r="B211" s="260"/>
      <c r="C211" s="260"/>
      <c r="D211" s="259"/>
      <c r="E211" s="259"/>
      <c r="F211" s="259"/>
    </row>
    <row r="212" spans="1:6" x14ac:dyDescent="0.25">
      <c r="A212" s="260"/>
      <c r="B212" s="260"/>
      <c r="C212" s="260"/>
      <c r="D212" s="259"/>
      <c r="E212" s="259"/>
      <c r="F212" s="259"/>
    </row>
    <row r="213" spans="1:6" x14ac:dyDescent="0.25">
      <c r="A213" s="260"/>
      <c r="B213" s="260"/>
      <c r="C213" s="260"/>
      <c r="D213" s="259"/>
      <c r="E213" s="259"/>
      <c r="F213" s="259"/>
    </row>
    <row r="214" spans="1:6" x14ac:dyDescent="0.25">
      <c r="A214" s="260"/>
      <c r="B214" s="260"/>
      <c r="C214" s="260"/>
      <c r="D214" s="259"/>
      <c r="E214" s="259"/>
      <c r="F214" s="259"/>
    </row>
    <row r="215" spans="1:6" x14ac:dyDescent="0.25">
      <c r="A215" s="260"/>
      <c r="B215" s="260"/>
      <c r="C215" s="260"/>
      <c r="D215" s="259"/>
      <c r="E215" s="259"/>
      <c r="F215" s="259"/>
    </row>
    <row r="216" spans="1:6" x14ac:dyDescent="0.25">
      <c r="A216" s="260"/>
      <c r="B216" s="260"/>
      <c r="C216" s="260"/>
      <c r="D216" s="259"/>
      <c r="E216" s="259"/>
      <c r="F216" s="259"/>
    </row>
    <row r="217" spans="1:6" x14ac:dyDescent="0.25">
      <c r="A217" s="260"/>
      <c r="B217" s="260"/>
      <c r="C217" s="260"/>
      <c r="D217" s="259"/>
      <c r="E217" s="259"/>
      <c r="F217" s="259"/>
    </row>
    <row r="218" spans="1:6" x14ac:dyDescent="0.25">
      <c r="A218" s="260"/>
      <c r="B218" s="260"/>
      <c r="C218" s="260"/>
      <c r="D218" s="259"/>
      <c r="E218" s="259"/>
      <c r="F218" s="259"/>
    </row>
    <row r="219" spans="1:6" x14ac:dyDescent="0.25">
      <c r="A219" s="260"/>
      <c r="B219" s="260"/>
      <c r="C219" s="260"/>
      <c r="D219" s="259"/>
      <c r="E219" s="259"/>
      <c r="F219" s="259"/>
    </row>
    <row r="220" spans="1:6" x14ac:dyDescent="0.25">
      <c r="A220" s="260"/>
      <c r="B220" s="260"/>
      <c r="C220" s="260"/>
      <c r="D220" s="259"/>
      <c r="E220" s="259"/>
      <c r="F220" s="259"/>
    </row>
    <row r="221" spans="1:6" x14ac:dyDescent="0.25">
      <c r="A221" s="260"/>
      <c r="B221" s="260"/>
      <c r="C221" s="260"/>
      <c r="D221" s="259"/>
      <c r="E221" s="259"/>
      <c r="F221" s="259"/>
    </row>
    <row r="222" spans="1:6" x14ac:dyDescent="0.25">
      <c r="A222" s="260"/>
      <c r="B222" s="260"/>
      <c r="C222" s="260"/>
      <c r="D222" s="259"/>
      <c r="E222" s="259"/>
      <c r="F222" s="259"/>
    </row>
    <row r="223" spans="1:6" x14ac:dyDescent="0.25">
      <c r="A223" s="260"/>
      <c r="B223" s="260"/>
      <c r="C223" s="260"/>
      <c r="D223" s="259"/>
      <c r="E223" s="259"/>
      <c r="F223" s="259"/>
    </row>
    <row r="224" spans="1:6" x14ac:dyDescent="0.25">
      <c r="A224" s="260"/>
      <c r="B224" s="260"/>
      <c r="C224" s="260"/>
      <c r="D224" s="259"/>
      <c r="E224" s="259"/>
      <c r="F224" s="259"/>
    </row>
    <row r="225" spans="1:6" x14ac:dyDescent="0.25">
      <c r="A225" s="260"/>
      <c r="B225" s="260"/>
      <c r="C225" s="260"/>
      <c r="D225" s="259"/>
      <c r="E225" s="259"/>
      <c r="F225" s="259"/>
    </row>
    <row r="226" spans="1:6" x14ac:dyDescent="0.25">
      <c r="A226" s="260"/>
      <c r="B226" s="260"/>
      <c r="C226" s="260"/>
      <c r="D226" s="259"/>
      <c r="E226" s="259"/>
      <c r="F226" s="259"/>
    </row>
    <row r="227" spans="1:6" x14ac:dyDescent="0.25">
      <c r="A227" s="260"/>
      <c r="B227" s="260"/>
      <c r="C227" s="260"/>
      <c r="D227" s="259"/>
      <c r="E227" s="259"/>
      <c r="F227" s="259"/>
    </row>
    <row r="228" spans="1:6" x14ac:dyDescent="0.25">
      <c r="A228" s="260"/>
      <c r="B228" s="260"/>
      <c r="C228" s="260"/>
      <c r="D228" s="259"/>
      <c r="E228" s="259"/>
      <c r="F228" s="259"/>
    </row>
    <row r="229" spans="1:6" x14ac:dyDescent="0.25">
      <c r="A229" s="260"/>
      <c r="B229" s="260"/>
      <c r="C229" s="260"/>
      <c r="D229" s="259"/>
      <c r="E229" s="259"/>
      <c r="F229" s="259"/>
    </row>
    <row r="230" spans="1:6" x14ac:dyDescent="0.25">
      <c r="A230" s="260"/>
      <c r="B230" s="260"/>
      <c r="C230" s="260"/>
      <c r="D230" s="259"/>
      <c r="E230" s="259"/>
      <c r="F230" s="259"/>
    </row>
    <row r="231" spans="1:6" x14ac:dyDescent="0.25">
      <c r="A231" s="260"/>
      <c r="B231" s="260"/>
      <c r="C231" s="260"/>
      <c r="D231" s="259"/>
      <c r="E231" s="259"/>
      <c r="F231" s="259"/>
    </row>
    <row r="232" spans="1:6" x14ac:dyDescent="0.25">
      <c r="A232" s="260"/>
      <c r="B232" s="260"/>
      <c r="C232" s="260"/>
      <c r="D232" s="259"/>
      <c r="E232" s="259"/>
      <c r="F232" s="259"/>
    </row>
    <row r="233" spans="1:6" x14ac:dyDescent="0.25">
      <c r="A233" s="260"/>
      <c r="B233" s="260"/>
      <c r="C233" s="260"/>
      <c r="D233" s="259"/>
      <c r="E233" s="259"/>
      <c r="F233" s="259"/>
    </row>
    <row r="234" spans="1:6" x14ac:dyDescent="0.25">
      <c r="A234" s="260"/>
      <c r="B234" s="260"/>
      <c r="C234" s="260"/>
      <c r="D234" s="259"/>
      <c r="E234" s="259"/>
      <c r="F234" s="259"/>
    </row>
    <row r="235" spans="1:6" x14ac:dyDescent="0.25">
      <c r="A235" s="260"/>
      <c r="B235" s="260"/>
      <c r="C235" s="260"/>
      <c r="D235" s="259"/>
      <c r="E235" s="259"/>
      <c r="F235" s="259"/>
    </row>
    <row r="236" spans="1:6" x14ac:dyDescent="0.25">
      <c r="A236" s="260"/>
      <c r="B236" s="260"/>
      <c r="C236" s="260"/>
      <c r="D236" s="259"/>
      <c r="E236" s="259"/>
      <c r="F236" s="259"/>
    </row>
    <row r="237" spans="1:6" x14ac:dyDescent="0.25">
      <c r="A237" s="260"/>
      <c r="B237" s="260"/>
      <c r="C237" s="260"/>
      <c r="D237" s="259"/>
      <c r="E237" s="259"/>
      <c r="F237" s="259"/>
    </row>
    <row r="238" spans="1:6" x14ac:dyDescent="0.25">
      <c r="A238" s="260"/>
      <c r="B238" s="260"/>
      <c r="C238" s="260"/>
      <c r="D238" s="259"/>
      <c r="E238" s="259"/>
      <c r="F238" s="259"/>
    </row>
    <row r="239" spans="1:6" x14ac:dyDescent="0.25">
      <c r="A239" s="260"/>
      <c r="B239" s="260"/>
      <c r="C239" s="260"/>
      <c r="D239" s="259"/>
      <c r="E239" s="259"/>
      <c r="F239" s="259"/>
    </row>
    <row r="240" spans="1:6" x14ac:dyDescent="0.25">
      <c r="A240" s="260"/>
      <c r="B240" s="260"/>
      <c r="C240" s="260"/>
      <c r="D240" s="259"/>
      <c r="E240" s="259"/>
      <c r="F240" s="259"/>
    </row>
    <row r="241" spans="1:6" x14ac:dyDescent="0.25">
      <c r="A241" s="260"/>
      <c r="B241" s="260"/>
      <c r="C241" s="260"/>
      <c r="D241" s="259"/>
      <c r="E241" s="259"/>
      <c r="F241" s="259"/>
    </row>
    <row r="242" spans="1:6" x14ac:dyDescent="0.25">
      <c r="A242" s="260"/>
      <c r="B242" s="260"/>
      <c r="C242" s="260"/>
      <c r="D242" s="259"/>
      <c r="E242" s="259"/>
      <c r="F242" s="259"/>
    </row>
    <row r="243" spans="1:6" x14ac:dyDescent="0.25">
      <c r="A243" s="260"/>
      <c r="B243" s="260"/>
      <c r="C243" s="260"/>
      <c r="D243" s="259"/>
      <c r="E243" s="259"/>
      <c r="F243" s="259"/>
    </row>
    <row r="244" spans="1:6" x14ac:dyDescent="0.25">
      <c r="A244" s="260"/>
      <c r="B244" s="260"/>
      <c r="C244" s="260"/>
      <c r="D244" s="259"/>
      <c r="E244" s="259"/>
      <c r="F244" s="259"/>
    </row>
    <row r="245" spans="1:6" x14ac:dyDescent="0.25">
      <c r="A245" s="260"/>
      <c r="B245" s="260"/>
      <c r="C245" s="260"/>
      <c r="D245" s="259"/>
      <c r="E245" s="259"/>
      <c r="F245" s="259"/>
    </row>
    <row r="246" spans="1:6" x14ac:dyDescent="0.25">
      <c r="A246" s="260"/>
      <c r="B246" s="260"/>
      <c r="C246" s="260"/>
      <c r="D246" s="259"/>
      <c r="E246" s="259"/>
      <c r="F246" s="259"/>
    </row>
    <row r="247" spans="1:6" x14ac:dyDescent="0.25">
      <c r="A247" s="260"/>
      <c r="B247" s="260"/>
      <c r="C247" s="260"/>
      <c r="D247" s="259"/>
      <c r="E247" s="259"/>
      <c r="F247" s="259"/>
    </row>
    <row r="248" spans="1:6" x14ac:dyDescent="0.25">
      <c r="A248" s="260"/>
      <c r="B248" s="260"/>
      <c r="C248" s="260"/>
      <c r="D248" s="259"/>
      <c r="E248" s="259"/>
      <c r="F248" s="259"/>
    </row>
    <row r="249" spans="1:6" x14ac:dyDescent="0.25">
      <c r="A249" s="260"/>
      <c r="B249" s="260"/>
      <c r="C249" s="260"/>
      <c r="D249" s="259"/>
      <c r="E249" s="259"/>
      <c r="F249" s="259"/>
    </row>
    <row r="250" spans="1:6" x14ac:dyDescent="0.25">
      <c r="A250" s="260"/>
      <c r="B250" s="260"/>
      <c r="C250" s="260"/>
      <c r="D250" s="259"/>
      <c r="E250" s="259"/>
      <c r="F250" s="259"/>
    </row>
    <row r="251" spans="1:6" x14ac:dyDescent="0.25">
      <c r="A251" s="260"/>
      <c r="B251" s="260"/>
      <c r="C251" s="260"/>
      <c r="D251" s="259"/>
      <c r="E251" s="259"/>
      <c r="F251" s="259"/>
    </row>
    <row r="252" spans="1:6" x14ac:dyDescent="0.25">
      <c r="A252" s="260"/>
      <c r="B252" s="260"/>
      <c r="C252" s="260"/>
      <c r="D252" s="259"/>
      <c r="E252" s="259"/>
      <c r="F252" s="259"/>
    </row>
    <row r="253" spans="1:6" x14ac:dyDescent="0.25">
      <c r="A253" s="260"/>
      <c r="B253" s="260"/>
      <c r="C253" s="260"/>
      <c r="D253" s="259"/>
      <c r="E253" s="259"/>
      <c r="F253" s="259"/>
    </row>
    <row r="254" spans="1:6" x14ac:dyDescent="0.25">
      <c r="A254" s="260"/>
      <c r="B254" s="260"/>
      <c r="C254" s="260"/>
      <c r="D254" s="259"/>
      <c r="E254" s="259"/>
      <c r="F254" s="259"/>
    </row>
    <row r="255" spans="1:6" x14ac:dyDescent="0.25">
      <c r="A255" s="260"/>
      <c r="B255" s="260"/>
      <c r="C255" s="260"/>
      <c r="D255" s="259"/>
      <c r="E255" s="259"/>
      <c r="F255" s="259"/>
    </row>
    <row r="256" spans="1:6" x14ac:dyDescent="0.25">
      <c r="A256" s="260"/>
      <c r="B256" s="260"/>
      <c r="C256" s="260"/>
      <c r="D256" s="259"/>
      <c r="E256" s="259"/>
      <c r="F256" s="259"/>
    </row>
    <row r="257" spans="1:6" x14ac:dyDescent="0.25">
      <c r="A257" s="260"/>
      <c r="B257" s="260"/>
      <c r="C257" s="260"/>
      <c r="D257" s="259"/>
      <c r="E257" s="259"/>
      <c r="F257" s="259"/>
    </row>
    <row r="258" spans="1:6" x14ac:dyDescent="0.25">
      <c r="A258" s="260"/>
      <c r="B258" s="260"/>
      <c r="C258" s="260"/>
      <c r="D258" s="259"/>
      <c r="E258" s="259"/>
      <c r="F258" s="259"/>
    </row>
    <row r="259" spans="1:6" x14ac:dyDescent="0.25">
      <c r="A259" s="260"/>
      <c r="B259" s="260"/>
      <c r="C259" s="260"/>
      <c r="D259" s="259"/>
      <c r="E259" s="259"/>
      <c r="F259" s="259"/>
    </row>
    <row r="260" spans="1:6" x14ac:dyDescent="0.25">
      <c r="A260" s="260"/>
      <c r="B260" s="260"/>
      <c r="C260" s="260"/>
      <c r="D260" s="259"/>
      <c r="E260" s="259"/>
      <c r="F260" s="259"/>
    </row>
    <row r="261" spans="1:6" x14ac:dyDescent="0.25">
      <c r="A261" s="260"/>
      <c r="B261" s="260"/>
      <c r="C261" s="260"/>
      <c r="D261" s="259"/>
      <c r="E261" s="259"/>
      <c r="F261" s="259"/>
    </row>
    <row r="262" spans="1:6" x14ac:dyDescent="0.25">
      <c r="A262" s="260"/>
      <c r="B262" s="260"/>
      <c r="C262" s="260"/>
      <c r="D262" s="259"/>
      <c r="E262" s="259"/>
      <c r="F262" s="259"/>
    </row>
    <row r="263" spans="1:6" x14ac:dyDescent="0.25">
      <c r="A263" s="260"/>
      <c r="B263" s="260"/>
      <c r="C263" s="260"/>
      <c r="D263" s="259"/>
      <c r="E263" s="259"/>
      <c r="F263" s="259"/>
    </row>
    <row r="264" spans="1:6" x14ac:dyDescent="0.25">
      <c r="A264" s="260"/>
      <c r="B264" s="260"/>
      <c r="C264" s="260"/>
      <c r="D264" s="259"/>
      <c r="E264" s="259"/>
      <c r="F264" s="259"/>
    </row>
    <row r="265" spans="1:6" x14ac:dyDescent="0.25">
      <c r="A265" s="260"/>
      <c r="B265" s="260"/>
      <c r="C265" s="260"/>
      <c r="D265" s="259"/>
      <c r="E265" s="259"/>
      <c r="F265" s="259"/>
    </row>
    <row r="266" spans="1:6" x14ac:dyDescent="0.25">
      <c r="A266" s="260"/>
      <c r="B266" s="260"/>
      <c r="C266" s="260"/>
      <c r="D266" s="259"/>
      <c r="E266" s="259"/>
      <c r="F266" s="259"/>
    </row>
    <row r="267" spans="1:6" x14ac:dyDescent="0.25">
      <c r="A267" s="260"/>
      <c r="B267" s="260"/>
      <c r="C267" s="260"/>
      <c r="D267" s="259"/>
      <c r="E267" s="259"/>
      <c r="F267" s="259"/>
    </row>
    <row r="268" spans="1:6" x14ac:dyDescent="0.25">
      <c r="A268" s="260"/>
      <c r="B268" s="260"/>
      <c r="C268" s="260"/>
      <c r="D268" s="259"/>
      <c r="E268" s="259"/>
      <c r="F268" s="259"/>
    </row>
    <row r="269" spans="1:6" x14ac:dyDescent="0.25">
      <c r="A269" s="260"/>
      <c r="B269" s="260"/>
      <c r="C269" s="260"/>
      <c r="D269" s="259"/>
      <c r="E269" s="259"/>
      <c r="F269" s="259"/>
    </row>
    <row r="270" spans="1:6" x14ac:dyDescent="0.25">
      <c r="A270" s="260"/>
      <c r="B270" s="260"/>
      <c r="C270" s="260"/>
      <c r="D270" s="259"/>
      <c r="E270" s="259"/>
      <c r="F270" s="259"/>
    </row>
    <row r="271" spans="1:6" x14ac:dyDescent="0.25">
      <c r="A271" s="260"/>
      <c r="B271" s="260"/>
      <c r="C271" s="260"/>
      <c r="D271" s="259"/>
      <c r="E271" s="259"/>
      <c r="F271" s="259"/>
    </row>
    <row r="272" spans="1:6" x14ac:dyDescent="0.25">
      <c r="A272" s="260"/>
      <c r="B272" s="260"/>
      <c r="C272" s="260"/>
      <c r="D272" s="259"/>
      <c r="E272" s="259"/>
      <c r="F272" s="259"/>
    </row>
    <row r="273" spans="1:6" x14ac:dyDescent="0.25">
      <c r="A273" s="260"/>
      <c r="B273" s="260"/>
      <c r="C273" s="260"/>
      <c r="D273" s="259"/>
      <c r="E273" s="259"/>
      <c r="F273" s="259"/>
    </row>
    <row r="274" spans="1:6" x14ac:dyDescent="0.25">
      <c r="A274" s="260"/>
      <c r="B274" s="260"/>
      <c r="C274" s="260"/>
      <c r="D274" s="259"/>
      <c r="E274" s="259"/>
      <c r="F274" s="259"/>
    </row>
    <row r="275" spans="1:6" x14ac:dyDescent="0.25">
      <c r="A275" s="260"/>
      <c r="B275" s="260"/>
      <c r="C275" s="260"/>
      <c r="D275" s="259"/>
      <c r="E275" s="259"/>
      <c r="F275" s="259"/>
    </row>
    <row r="276" spans="1:6" x14ac:dyDescent="0.25">
      <c r="A276" s="260"/>
      <c r="B276" s="260"/>
      <c r="C276" s="260"/>
      <c r="D276" s="259"/>
      <c r="E276" s="259"/>
      <c r="F276" s="259"/>
    </row>
    <row r="277" spans="1:6" x14ac:dyDescent="0.25">
      <c r="A277" s="260"/>
      <c r="B277" s="260"/>
      <c r="C277" s="260"/>
      <c r="D277" s="259"/>
      <c r="E277" s="259"/>
      <c r="F277" s="259"/>
    </row>
    <row r="278" spans="1:6" x14ac:dyDescent="0.25">
      <c r="A278" s="260"/>
      <c r="B278" s="260"/>
      <c r="C278" s="260"/>
      <c r="D278" s="259"/>
      <c r="E278" s="259"/>
      <c r="F278" s="259"/>
    </row>
    <row r="279" spans="1:6" x14ac:dyDescent="0.25">
      <c r="A279" s="260"/>
      <c r="B279" s="260"/>
      <c r="C279" s="260"/>
      <c r="D279" s="259"/>
      <c r="E279" s="259"/>
      <c r="F279" s="259"/>
    </row>
    <row r="280" spans="1:6" x14ac:dyDescent="0.25">
      <c r="A280" s="260"/>
      <c r="B280" s="260"/>
      <c r="C280" s="260"/>
      <c r="D280" s="259"/>
      <c r="E280" s="259"/>
      <c r="F280" s="259"/>
    </row>
    <row r="281" spans="1:6" x14ac:dyDescent="0.25">
      <c r="A281" s="260"/>
      <c r="B281" s="260"/>
      <c r="C281" s="260"/>
      <c r="D281" s="259"/>
      <c r="E281" s="259"/>
      <c r="F281" s="259"/>
    </row>
    <row r="282" spans="1:6" x14ac:dyDescent="0.25">
      <c r="A282" s="260"/>
      <c r="B282" s="260"/>
      <c r="C282" s="260"/>
      <c r="D282" s="259"/>
      <c r="E282" s="259"/>
      <c r="F282" s="259"/>
    </row>
    <row r="283" spans="1:6" x14ac:dyDescent="0.25">
      <c r="A283" s="260"/>
      <c r="B283" s="260"/>
      <c r="C283" s="260"/>
      <c r="D283" s="259"/>
      <c r="E283" s="259"/>
      <c r="F283" s="259"/>
    </row>
    <row r="284" spans="1:6" x14ac:dyDescent="0.25">
      <c r="A284" s="260"/>
      <c r="B284" s="260"/>
      <c r="C284" s="260"/>
      <c r="D284" s="259"/>
      <c r="E284" s="259"/>
      <c r="F284" s="259"/>
    </row>
    <row r="285" spans="1:6" x14ac:dyDescent="0.25">
      <c r="A285" s="260"/>
      <c r="B285" s="260"/>
      <c r="C285" s="260"/>
      <c r="D285" s="259"/>
      <c r="E285" s="259"/>
      <c r="F285" s="259"/>
    </row>
    <row r="286" spans="1:6" x14ac:dyDescent="0.25">
      <c r="A286" s="260"/>
      <c r="B286" s="260"/>
      <c r="C286" s="260"/>
      <c r="D286" s="259"/>
      <c r="E286" s="259"/>
      <c r="F286" s="259"/>
    </row>
    <row r="287" spans="1:6" x14ac:dyDescent="0.25">
      <c r="A287" s="260"/>
      <c r="B287" s="260"/>
      <c r="C287" s="260"/>
      <c r="D287" s="259"/>
      <c r="E287" s="259"/>
      <c r="F287" s="259"/>
    </row>
    <row r="288" spans="1:6" x14ac:dyDescent="0.25">
      <c r="A288" s="260"/>
      <c r="B288" s="260"/>
      <c r="C288" s="260"/>
      <c r="D288" s="259"/>
      <c r="E288" s="259"/>
      <c r="F288" s="259"/>
    </row>
    <row r="289" spans="1:6" x14ac:dyDescent="0.25">
      <c r="A289" s="260"/>
      <c r="B289" s="260"/>
      <c r="C289" s="260"/>
      <c r="D289" s="259"/>
      <c r="E289" s="259"/>
      <c r="F289" s="259"/>
    </row>
    <row r="290" spans="1:6" x14ac:dyDescent="0.25">
      <c r="A290" s="260"/>
      <c r="B290" s="260"/>
      <c r="C290" s="260"/>
      <c r="D290" s="259"/>
      <c r="E290" s="259"/>
      <c r="F290" s="259"/>
    </row>
    <row r="291" spans="1:6" x14ac:dyDescent="0.25">
      <c r="A291" s="260"/>
      <c r="B291" s="260"/>
      <c r="C291" s="260"/>
      <c r="D291" s="259"/>
      <c r="E291" s="259"/>
      <c r="F291" s="259"/>
    </row>
    <row r="292" spans="1:6" x14ac:dyDescent="0.25">
      <c r="A292" s="260"/>
      <c r="B292" s="260"/>
      <c r="C292" s="260"/>
      <c r="D292" s="259"/>
      <c r="E292" s="259"/>
      <c r="F292" s="259"/>
    </row>
    <row r="293" spans="1:6" x14ac:dyDescent="0.25">
      <c r="A293" s="260"/>
      <c r="B293" s="260"/>
      <c r="C293" s="260"/>
      <c r="D293" s="259"/>
      <c r="E293" s="259"/>
      <c r="F293" s="259"/>
    </row>
    <row r="294" spans="1:6" x14ac:dyDescent="0.25">
      <c r="A294" s="260"/>
      <c r="B294" s="260"/>
      <c r="C294" s="260"/>
      <c r="D294" s="259"/>
      <c r="E294" s="259"/>
      <c r="F294" s="259"/>
    </row>
    <row r="295" spans="1:6" x14ac:dyDescent="0.25">
      <c r="A295" s="260"/>
      <c r="B295" s="260"/>
      <c r="C295" s="260"/>
      <c r="D295" s="259"/>
      <c r="E295" s="259"/>
      <c r="F295" s="259"/>
    </row>
    <row r="296" spans="1:6" x14ac:dyDescent="0.25">
      <c r="A296" s="260"/>
      <c r="B296" s="260"/>
      <c r="C296" s="260"/>
      <c r="D296" s="259"/>
      <c r="E296" s="259"/>
      <c r="F296" s="259"/>
    </row>
    <row r="297" spans="1:6" x14ac:dyDescent="0.25">
      <c r="A297" s="260"/>
      <c r="B297" s="260"/>
      <c r="C297" s="260"/>
      <c r="D297" s="259"/>
      <c r="E297" s="259"/>
      <c r="F297" s="259"/>
    </row>
    <row r="298" spans="1:6" x14ac:dyDescent="0.25">
      <c r="A298" s="260"/>
      <c r="B298" s="260"/>
      <c r="C298" s="260"/>
      <c r="D298" s="259"/>
      <c r="E298" s="259"/>
      <c r="F298" s="259"/>
    </row>
    <row r="299" spans="1:6" x14ac:dyDescent="0.25">
      <c r="A299" s="260"/>
      <c r="B299" s="260"/>
      <c r="C299" s="260"/>
      <c r="D299" s="259"/>
      <c r="E299" s="259"/>
      <c r="F299" s="259"/>
    </row>
    <row r="300" spans="1:6" x14ac:dyDescent="0.25">
      <c r="A300" s="260"/>
      <c r="B300" s="260"/>
      <c r="C300" s="260"/>
      <c r="D300" s="259"/>
      <c r="E300" s="259"/>
      <c r="F300" s="259"/>
    </row>
    <row r="301" spans="1:6" x14ac:dyDescent="0.25">
      <c r="A301" s="260"/>
      <c r="B301" s="260"/>
      <c r="C301" s="260"/>
      <c r="D301" s="259"/>
      <c r="E301" s="259"/>
      <c r="F301" s="259"/>
    </row>
    <row r="302" spans="1:6" x14ac:dyDescent="0.25">
      <c r="A302" s="260"/>
      <c r="B302" s="260"/>
      <c r="C302" s="260"/>
      <c r="D302" s="259"/>
      <c r="E302" s="259"/>
      <c r="F302" s="259"/>
    </row>
    <row r="303" spans="1:6" x14ac:dyDescent="0.25">
      <c r="A303" s="260"/>
      <c r="B303" s="260"/>
      <c r="C303" s="260"/>
      <c r="D303" s="259"/>
      <c r="E303" s="259"/>
      <c r="F303" s="259"/>
    </row>
    <row r="304" spans="1:6" x14ac:dyDescent="0.25">
      <c r="A304" s="260"/>
      <c r="B304" s="260"/>
      <c r="C304" s="260"/>
      <c r="D304" s="259"/>
      <c r="E304" s="259"/>
      <c r="F304" s="259"/>
    </row>
    <row r="305" spans="1:6" x14ac:dyDescent="0.25">
      <c r="A305" s="260"/>
      <c r="B305" s="260"/>
      <c r="C305" s="260"/>
      <c r="D305" s="259"/>
      <c r="E305" s="259"/>
      <c r="F305" s="259"/>
    </row>
    <row r="306" spans="1:6" x14ac:dyDescent="0.25">
      <c r="A306" s="260"/>
      <c r="B306" s="260"/>
      <c r="C306" s="260"/>
      <c r="D306" s="259"/>
      <c r="E306" s="259"/>
      <c r="F306" s="259"/>
    </row>
    <row r="307" spans="1:6" x14ac:dyDescent="0.25">
      <c r="A307" s="260"/>
      <c r="B307" s="260"/>
      <c r="C307" s="260"/>
      <c r="D307" s="259"/>
      <c r="E307" s="259"/>
      <c r="F307" s="259"/>
    </row>
    <row r="308" spans="1:6" x14ac:dyDescent="0.25">
      <c r="A308" s="260"/>
      <c r="B308" s="260"/>
      <c r="C308" s="260"/>
      <c r="D308" s="259"/>
      <c r="E308" s="259"/>
      <c r="F308" s="259"/>
    </row>
    <row r="309" spans="1:6" x14ac:dyDescent="0.25">
      <c r="A309" s="260"/>
      <c r="B309" s="260"/>
      <c r="C309" s="260"/>
      <c r="D309" s="259"/>
      <c r="E309" s="259"/>
      <c r="F309" s="259"/>
    </row>
    <row r="310" spans="1:6" x14ac:dyDescent="0.25">
      <c r="A310" s="260"/>
      <c r="B310" s="260"/>
      <c r="C310" s="260"/>
      <c r="D310" s="259"/>
      <c r="E310" s="259"/>
      <c r="F310" s="259"/>
    </row>
    <row r="311" spans="1:6" x14ac:dyDescent="0.25">
      <c r="A311" s="260"/>
      <c r="B311" s="260"/>
      <c r="C311" s="260"/>
      <c r="D311" s="259"/>
      <c r="E311" s="259"/>
      <c r="F311" s="259"/>
    </row>
    <row r="312" spans="1:6" x14ac:dyDescent="0.25">
      <c r="A312" s="260"/>
      <c r="B312" s="260"/>
      <c r="C312" s="260"/>
      <c r="D312" s="259"/>
      <c r="E312" s="259"/>
      <c r="F312" s="259"/>
    </row>
    <row r="313" spans="1:6" x14ac:dyDescent="0.25">
      <c r="A313" s="260"/>
      <c r="B313" s="260"/>
      <c r="C313" s="260"/>
      <c r="D313" s="259"/>
      <c r="E313" s="259"/>
      <c r="F313" s="259"/>
    </row>
    <row r="314" spans="1:6" x14ac:dyDescent="0.25">
      <c r="A314" s="260"/>
      <c r="B314" s="260"/>
      <c r="C314" s="260"/>
      <c r="D314" s="259"/>
      <c r="E314" s="259"/>
      <c r="F314" s="259"/>
    </row>
    <row r="315" spans="1:6" x14ac:dyDescent="0.25">
      <c r="A315" s="260"/>
      <c r="B315" s="260"/>
      <c r="C315" s="260"/>
      <c r="D315" s="259"/>
      <c r="E315" s="259"/>
      <c r="F315" s="259"/>
    </row>
    <row r="316" spans="1:6" x14ac:dyDescent="0.25">
      <c r="A316" s="260"/>
      <c r="B316" s="260"/>
      <c r="C316" s="260"/>
      <c r="D316" s="259"/>
      <c r="E316" s="259"/>
      <c r="F316" s="259"/>
    </row>
    <row r="317" spans="1:6" x14ac:dyDescent="0.25">
      <c r="A317" s="260"/>
      <c r="B317" s="260"/>
      <c r="C317" s="260"/>
      <c r="D317" s="259"/>
      <c r="E317" s="259"/>
      <c r="F317" s="259"/>
    </row>
    <row r="318" spans="1:6" x14ac:dyDescent="0.25">
      <c r="A318" s="260"/>
      <c r="B318" s="260"/>
      <c r="C318" s="260"/>
      <c r="D318" s="259"/>
      <c r="E318" s="259"/>
      <c r="F318" s="259"/>
    </row>
    <row r="319" spans="1:6" x14ac:dyDescent="0.25">
      <c r="A319" s="260"/>
      <c r="B319" s="260"/>
      <c r="C319" s="260"/>
      <c r="D319" s="259"/>
      <c r="E319" s="259"/>
      <c r="F319" s="259"/>
    </row>
    <row r="320" spans="1:6" x14ac:dyDescent="0.25">
      <c r="A320" s="260"/>
      <c r="B320" s="260"/>
      <c r="C320" s="260"/>
      <c r="D320" s="259"/>
      <c r="E320" s="259"/>
      <c r="F320" s="259"/>
    </row>
    <row r="321" spans="1:6" x14ac:dyDescent="0.25">
      <c r="A321" s="260"/>
      <c r="B321" s="260"/>
      <c r="C321" s="260"/>
      <c r="D321" s="259"/>
      <c r="E321" s="259"/>
      <c r="F321" s="259"/>
    </row>
    <row r="322" spans="1:6" x14ac:dyDescent="0.25">
      <c r="A322" s="260"/>
      <c r="B322" s="260"/>
      <c r="C322" s="260"/>
      <c r="D322" s="259"/>
      <c r="E322" s="259"/>
      <c r="F322" s="259"/>
    </row>
    <row r="323" spans="1:6" x14ac:dyDescent="0.25">
      <c r="A323" s="260"/>
      <c r="B323" s="260"/>
      <c r="C323" s="260"/>
      <c r="D323" s="259"/>
      <c r="E323" s="259"/>
      <c r="F323" s="259"/>
    </row>
    <row r="324" spans="1:6" x14ac:dyDescent="0.25">
      <c r="A324" s="260"/>
      <c r="B324" s="260"/>
      <c r="C324" s="260"/>
      <c r="D324" s="259"/>
      <c r="E324" s="259"/>
      <c r="F324" s="259"/>
    </row>
    <row r="325" spans="1:6" x14ac:dyDescent="0.25">
      <c r="A325" s="260"/>
      <c r="B325" s="260"/>
      <c r="C325" s="260"/>
      <c r="D325" s="259"/>
      <c r="E325" s="259"/>
      <c r="F325" s="259"/>
    </row>
    <row r="326" spans="1:6" x14ac:dyDescent="0.25">
      <c r="A326" s="260"/>
      <c r="B326" s="260"/>
      <c r="C326" s="260"/>
      <c r="D326" s="259"/>
      <c r="E326" s="259"/>
      <c r="F326" s="259"/>
    </row>
    <row r="327" spans="1:6" x14ac:dyDescent="0.25">
      <c r="A327" s="260"/>
      <c r="B327" s="260"/>
      <c r="C327" s="260"/>
      <c r="D327" s="259"/>
      <c r="E327" s="259"/>
      <c r="F327" s="259"/>
    </row>
    <row r="328" spans="1:6" x14ac:dyDescent="0.25">
      <c r="A328" s="260"/>
      <c r="B328" s="260"/>
      <c r="C328" s="260"/>
      <c r="D328" s="259"/>
      <c r="E328" s="259"/>
      <c r="F328" s="259"/>
    </row>
    <row r="329" spans="1:6" x14ac:dyDescent="0.25">
      <c r="A329" s="260"/>
      <c r="B329" s="260"/>
      <c r="C329" s="260"/>
      <c r="D329" s="259"/>
      <c r="E329" s="259"/>
      <c r="F329" s="259"/>
    </row>
    <row r="330" spans="1:6" x14ac:dyDescent="0.25">
      <c r="A330" s="260"/>
      <c r="B330" s="260"/>
      <c r="C330" s="260"/>
      <c r="D330" s="259"/>
      <c r="E330" s="259"/>
      <c r="F330" s="259"/>
    </row>
    <row r="331" spans="1:6" x14ac:dyDescent="0.25">
      <c r="A331" s="260"/>
      <c r="B331" s="260"/>
      <c r="C331" s="260"/>
      <c r="D331" s="259"/>
      <c r="E331" s="259"/>
      <c r="F331" s="259"/>
    </row>
    <row r="332" spans="1:6" x14ac:dyDescent="0.25">
      <c r="A332" s="260"/>
      <c r="B332" s="260"/>
      <c r="C332" s="260"/>
      <c r="D332" s="259"/>
      <c r="E332" s="259"/>
      <c r="F332" s="259"/>
    </row>
    <row r="333" spans="1:6" x14ac:dyDescent="0.25">
      <c r="A333" s="260"/>
      <c r="B333" s="260"/>
      <c r="C333" s="260"/>
      <c r="D333" s="259"/>
      <c r="E333" s="259"/>
      <c r="F333" s="259"/>
    </row>
    <row r="334" spans="1:6" x14ac:dyDescent="0.25">
      <c r="A334" s="260"/>
      <c r="B334" s="260"/>
      <c r="C334" s="260"/>
      <c r="D334" s="259"/>
      <c r="E334" s="259"/>
      <c r="F334" s="259"/>
    </row>
    <row r="335" spans="1:6" x14ac:dyDescent="0.25">
      <c r="A335" s="260"/>
      <c r="B335" s="260"/>
      <c r="C335" s="260"/>
      <c r="D335" s="259"/>
      <c r="E335" s="259"/>
      <c r="F335" s="259"/>
    </row>
    <row r="336" spans="1:6" x14ac:dyDescent="0.25">
      <c r="A336" s="260"/>
      <c r="B336" s="260"/>
      <c r="C336" s="260"/>
      <c r="D336" s="259"/>
      <c r="E336" s="259"/>
      <c r="F336" s="259"/>
    </row>
    <row r="337" spans="1:6" x14ac:dyDescent="0.25">
      <c r="A337" s="260"/>
      <c r="B337" s="260"/>
      <c r="C337" s="260"/>
      <c r="D337" s="259"/>
      <c r="E337" s="259"/>
      <c r="F337" s="259"/>
    </row>
    <row r="338" spans="1:6" x14ac:dyDescent="0.25">
      <c r="A338" s="260"/>
      <c r="B338" s="260"/>
      <c r="C338" s="260"/>
      <c r="D338" s="259"/>
      <c r="E338" s="259"/>
      <c r="F338" s="259"/>
    </row>
    <row r="339" spans="1:6" x14ac:dyDescent="0.25">
      <c r="A339" s="260"/>
      <c r="B339" s="260"/>
      <c r="C339" s="260"/>
      <c r="D339" s="259"/>
      <c r="E339" s="259"/>
      <c r="F339" s="259"/>
    </row>
    <row r="340" spans="1:6" x14ac:dyDescent="0.25">
      <c r="A340" s="260"/>
      <c r="B340" s="260"/>
      <c r="C340" s="260"/>
      <c r="D340" s="259"/>
      <c r="E340" s="259"/>
      <c r="F340" s="259"/>
    </row>
    <row r="341" spans="1:6" x14ac:dyDescent="0.25">
      <c r="A341" s="260"/>
      <c r="B341" s="260"/>
      <c r="C341" s="260"/>
      <c r="D341" s="259"/>
      <c r="E341" s="259"/>
      <c r="F341" s="259"/>
    </row>
    <row r="342" spans="1:6" x14ac:dyDescent="0.25">
      <c r="A342" s="260"/>
      <c r="B342" s="260"/>
      <c r="C342" s="260"/>
      <c r="D342" s="259"/>
      <c r="E342" s="259"/>
      <c r="F342" s="259"/>
    </row>
    <row r="343" spans="1:6" x14ac:dyDescent="0.25">
      <c r="A343" s="260"/>
      <c r="B343" s="260"/>
      <c r="C343" s="260"/>
      <c r="D343" s="259"/>
      <c r="E343" s="259"/>
      <c r="F343" s="259"/>
    </row>
    <row r="344" spans="1:6" x14ac:dyDescent="0.25">
      <c r="A344" s="260"/>
      <c r="B344" s="260"/>
      <c r="C344" s="260"/>
      <c r="D344" s="259"/>
      <c r="E344" s="259"/>
      <c r="F344" s="259"/>
    </row>
    <row r="345" spans="1:6" x14ac:dyDescent="0.25">
      <c r="A345" s="260"/>
      <c r="B345" s="260"/>
      <c r="C345" s="260"/>
      <c r="D345" s="259"/>
      <c r="E345" s="259"/>
      <c r="F345" s="259"/>
    </row>
    <row r="346" spans="1:6" x14ac:dyDescent="0.25">
      <c r="A346" s="260"/>
      <c r="B346" s="260"/>
      <c r="C346" s="260"/>
      <c r="D346" s="259"/>
      <c r="E346" s="259"/>
      <c r="F346" s="259"/>
    </row>
    <row r="347" spans="1:6" x14ac:dyDescent="0.25">
      <c r="A347" s="260"/>
      <c r="B347" s="260"/>
      <c r="C347" s="260"/>
      <c r="D347" s="259"/>
      <c r="E347" s="259"/>
      <c r="F347" s="259"/>
    </row>
    <row r="348" spans="1:6" x14ac:dyDescent="0.25">
      <c r="A348" s="260"/>
      <c r="B348" s="260"/>
      <c r="C348" s="260"/>
      <c r="D348" s="259"/>
      <c r="E348" s="259"/>
      <c r="F348" s="259"/>
    </row>
    <row r="349" spans="1:6" x14ac:dyDescent="0.25">
      <c r="A349" s="260"/>
      <c r="B349" s="260"/>
      <c r="C349" s="260"/>
      <c r="D349" s="259"/>
      <c r="E349" s="259"/>
      <c r="F349" s="259"/>
    </row>
    <row r="350" spans="1:6" x14ac:dyDescent="0.25">
      <c r="A350" s="260"/>
      <c r="B350" s="260"/>
      <c r="C350" s="260"/>
      <c r="D350" s="259"/>
      <c r="E350" s="259"/>
      <c r="F350" s="259"/>
    </row>
    <row r="351" spans="1:6" x14ac:dyDescent="0.25">
      <c r="A351" s="260"/>
      <c r="B351" s="260"/>
      <c r="C351" s="260"/>
      <c r="D351" s="259"/>
      <c r="E351" s="259"/>
      <c r="F351" s="259"/>
    </row>
    <row r="352" spans="1:6" x14ac:dyDescent="0.25">
      <c r="A352" s="260"/>
      <c r="B352" s="260"/>
      <c r="C352" s="260"/>
      <c r="D352" s="259"/>
      <c r="E352" s="259"/>
      <c r="F352" s="259"/>
    </row>
    <row r="353" spans="1:6" x14ac:dyDescent="0.25">
      <c r="A353" s="260"/>
      <c r="B353" s="260"/>
      <c r="C353" s="260"/>
      <c r="D353" s="259"/>
      <c r="E353" s="259"/>
      <c r="F353" s="259"/>
    </row>
    <row r="354" spans="1:6" x14ac:dyDescent="0.25">
      <c r="A354" s="260"/>
      <c r="B354" s="260"/>
      <c r="C354" s="260"/>
      <c r="D354" s="259"/>
      <c r="E354" s="259"/>
      <c r="F354" s="259"/>
    </row>
    <row r="355" spans="1:6" x14ac:dyDescent="0.25">
      <c r="A355" s="260"/>
      <c r="B355" s="260"/>
      <c r="C355" s="260"/>
      <c r="D355" s="259"/>
      <c r="E355" s="259"/>
      <c r="F355" s="259"/>
    </row>
    <row r="356" spans="1:6" x14ac:dyDescent="0.25">
      <c r="A356" s="260"/>
      <c r="B356" s="260"/>
      <c r="C356" s="260"/>
      <c r="D356" s="259"/>
      <c r="E356" s="259"/>
      <c r="F356" s="259"/>
    </row>
    <row r="357" spans="1:6" x14ac:dyDescent="0.25">
      <c r="A357" s="260"/>
      <c r="B357" s="260"/>
      <c r="C357" s="260"/>
      <c r="D357" s="259"/>
      <c r="E357" s="259"/>
      <c r="F357" s="259"/>
    </row>
    <row r="358" spans="1:6" x14ac:dyDescent="0.25">
      <c r="A358" s="260"/>
      <c r="B358" s="260"/>
      <c r="C358" s="260"/>
      <c r="D358" s="259"/>
      <c r="E358" s="259"/>
      <c r="F358" s="259"/>
    </row>
    <row r="359" spans="1:6" x14ac:dyDescent="0.25">
      <c r="A359" s="260"/>
      <c r="B359" s="260"/>
      <c r="C359" s="260"/>
      <c r="D359" s="259"/>
      <c r="E359" s="259"/>
      <c r="F359" s="259"/>
    </row>
    <row r="360" spans="1:6" x14ac:dyDescent="0.25">
      <c r="A360" s="260"/>
      <c r="B360" s="260"/>
      <c r="C360" s="260"/>
      <c r="D360" s="259"/>
      <c r="E360" s="259"/>
      <c r="F360" s="259"/>
    </row>
    <row r="361" spans="1:6" x14ac:dyDescent="0.25">
      <c r="A361" s="260"/>
      <c r="B361" s="260"/>
      <c r="C361" s="260"/>
      <c r="D361" s="259"/>
      <c r="E361" s="259"/>
      <c r="F361" s="259"/>
    </row>
    <row r="362" spans="1:6" x14ac:dyDescent="0.25">
      <c r="A362" s="260"/>
      <c r="B362" s="260"/>
      <c r="C362" s="260"/>
      <c r="D362" s="259"/>
      <c r="E362" s="259"/>
      <c r="F362" s="259"/>
    </row>
    <row r="363" spans="1:6" x14ac:dyDescent="0.25">
      <c r="A363" s="260"/>
      <c r="B363" s="260"/>
      <c r="C363" s="260"/>
      <c r="D363" s="259"/>
      <c r="E363" s="259"/>
      <c r="F363" s="259"/>
    </row>
    <row r="364" spans="1:6" x14ac:dyDescent="0.25">
      <c r="A364" s="260"/>
      <c r="B364" s="260"/>
      <c r="C364" s="260"/>
      <c r="D364" s="259"/>
      <c r="E364" s="259"/>
      <c r="F364" s="259"/>
    </row>
    <row r="365" spans="1:6" x14ac:dyDescent="0.25">
      <c r="A365" s="260"/>
      <c r="B365" s="260"/>
      <c r="C365" s="260"/>
      <c r="D365" s="259"/>
      <c r="E365" s="259"/>
      <c r="F365" s="259"/>
    </row>
    <row r="366" spans="1:6" x14ac:dyDescent="0.25">
      <c r="A366" s="260"/>
      <c r="B366" s="260"/>
      <c r="C366" s="260"/>
      <c r="D366" s="259"/>
      <c r="E366" s="259"/>
      <c r="F366" s="259"/>
    </row>
    <row r="367" spans="1:6" x14ac:dyDescent="0.25">
      <c r="A367" s="260"/>
      <c r="B367" s="260"/>
      <c r="C367" s="260"/>
      <c r="D367" s="259"/>
      <c r="E367" s="259"/>
      <c r="F367" s="259"/>
    </row>
    <row r="368" spans="1:6" x14ac:dyDescent="0.25">
      <c r="A368" s="260"/>
      <c r="B368" s="260"/>
      <c r="C368" s="260"/>
      <c r="D368" s="259"/>
      <c r="E368" s="259"/>
      <c r="F368" s="259"/>
    </row>
    <row r="369" spans="1:6" x14ac:dyDescent="0.25">
      <c r="A369" s="260"/>
      <c r="B369" s="260"/>
      <c r="C369" s="260"/>
      <c r="D369" s="259"/>
      <c r="E369" s="259"/>
      <c r="F369" s="259"/>
    </row>
    <row r="370" spans="1:6" x14ac:dyDescent="0.25">
      <c r="A370" s="260"/>
      <c r="B370" s="260"/>
      <c r="C370" s="260"/>
      <c r="D370" s="259"/>
      <c r="E370" s="259"/>
      <c r="F370" s="259"/>
    </row>
    <row r="371" spans="1:6" x14ac:dyDescent="0.25">
      <c r="A371" s="260"/>
      <c r="B371" s="260"/>
      <c r="C371" s="260"/>
      <c r="D371" s="259"/>
      <c r="E371" s="259"/>
      <c r="F371" s="259"/>
    </row>
    <row r="372" spans="1:6" x14ac:dyDescent="0.25">
      <c r="A372" s="260"/>
      <c r="B372" s="260"/>
      <c r="C372" s="260"/>
      <c r="D372" s="259"/>
      <c r="E372" s="259"/>
      <c r="F372" s="259"/>
    </row>
    <row r="373" spans="1:6" x14ac:dyDescent="0.25">
      <c r="A373" s="260"/>
      <c r="B373" s="260"/>
      <c r="C373" s="260"/>
      <c r="D373" s="259"/>
      <c r="E373" s="259"/>
      <c r="F373" s="259"/>
    </row>
    <row r="374" spans="1:6" x14ac:dyDescent="0.25">
      <c r="A374" s="260"/>
      <c r="B374" s="260"/>
      <c r="C374" s="260"/>
      <c r="D374" s="259"/>
      <c r="E374" s="259"/>
      <c r="F374" s="259"/>
    </row>
    <row r="375" spans="1:6" x14ac:dyDescent="0.25">
      <c r="A375" s="260"/>
      <c r="B375" s="260"/>
      <c r="C375" s="260"/>
      <c r="D375" s="259"/>
      <c r="E375" s="259"/>
      <c r="F375" s="259"/>
    </row>
    <row r="376" spans="1:6" x14ac:dyDescent="0.25">
      <c r="A376" s="260"/>
      <c r="B376" s="260"/>
      <c r="C376" s="260"/>
      <c r="D376" s="259"/>
      <c r="E376" s="259"/>
      <c r="F376" s="259"/>
    </row>
    <row r="377" spans="1:6" x14ac:dyDescent="0.25">
      <c r="A377" s="260"/>
      <c r="B377" s="260"/>
      <c r="C377" s="260"/>
      <c r="D377" s="259"/>
      <c r="E377" s="259"/>
      <c r="F377" s="259"/>
    </row>
    <row r="378" spans="1:6" x14ac:dyDescent="0.25">
      <c r="A378" s="260"/>
      <c r="B378" s="260"/>
      <c r="C378" s="260"/>
      <c r="D378" s="259"/>
      <c r="E378" s="259"/>
      <c r="F378" s="259"/>
    </row>
    <row r="379" spans="1:6" x14ac:dyDescent="0.25">
      <c r="A379" s="260"/>
      <c r="B379" s="260"/>
      <c r="C379" s="260"/>
      <c r="D379" s="259"/>
      <c r="E379" s="259"/>
      <c r="F379" s="259"/>
    </row>
    <row r="380" spans="1:6" x14ac:dyDescent="0.25">
      <c r="A380" s="260"/>
      <c r="B380" s="260"/>
      <c r="C380" s="260"/>
      <c r="D380" s="259"/>
      <c r="E380" s="259"/>
      <c r="F380" s="259"/>
    </row>
    <row r="381" spans="1:6" x14ac:dyDescent="0.25">
      <c r="A381" s="260"/>
      <c r="B381" s="260"/>
      <c r="C381" s="260"/>
      <c r="D381" s="259"/>
      <c r="E381" s="259"/>
      <c r="F381" s="259"/>
    </row>
    <row r="382" spans="1:6" x14ac:dyDescent="0.25">
      <c r="A382" s="260"/>
      <c r="B382" s="260"/>
      <c r="C382" s="260"/>
      <c r="D382" s="259"/>
      <c r="E382" s="259"/>
      <c r="F382" s="259"/>
    </row>
    <row r="383" spans="1:6" x14ac:dyDescent="0.25">
      <c r="A383" s="260"/>
      <c r="B383" s="260"/>
      <c r="C383" s="260"/>
      <c r="D383" s="259"/>
      <c r="E383" s="259"/>
      <c r="F383" s="259"/>
    </row>
    <row r="384" spans="1:6" x14ac:dyDescent="0.25">
      <c r="A384" s="260"/>
      <c r="B384" s="260"/>
      <c r="C384" s="260"/>
      <c r="D384" s="259"/>
      <c r="E384" s="259"/>
      <c r="F384" s="259"/>
    </row>
    <row r="385" spans="1:6" x14ac:dyDescent="0.25">
      <c r="A385" s="260"/>
      <c r="B385" s="260"/>
      <c r="C385" s="260"/>
      <c r="D385" s="259"/>
      <c r="E385" s="259"/>
      <c r="F385" s="259"/>
    </row>
    <row r="386" spans="1:6" x14ac:dyDescent="0.25">
      <c r="A386" s="260"/>
      <c r="B386" s="260"/>
      <c r="C386" s="260"/>
      <c r="D386" s="259"/>
      <c r="E386" s="259"/>
      <c r="F386" s="259"/>
    </row>
    <row r="387" spans="1:6" x14ac:dyDescent="0.25">
      <c r="A387" s="260"/>
      <c r="B387" s="260"/>
      <c r="C387" s="260"/>
      <c r="D387" s="259"/>
      <c r="E387" s="259"/>
      <c r="F387" s="259"/>
    </row>
    <row r="388" spans="1:6" x14ac:dyDescent="0.25">
      <c r="A388" s="260"/>
      <c r="B388" s="260"/>
      <c r="C388" s="260"/>
      <c r="D388" s="259"/>
      <c r="E388" s="259"/>
      <c r="F388" s="259"/>
    </row>
    <row r="389" spans="1:6" x14ac:dyDescent="0.25">
      <c r="A389" s="260"/>
      <c r="B389" s="260"/>
      <c r="C389" s="260"/>
      <c r="D389" s="259"/>
      <c r="E389" s="259"/>
      <c r="F389" s="259"/>
    </row>
    <row r="390" spans="1:6" x14ac:dyDescent="0.25">
      <c r="A390" s="260"/>
      <c r="B390" s="260"/>
      <c r="C390" s="260"/>
      <c r="D390" s="259"/>
      <c r="E390" s="259"/>
      <c r="F390" s="259"/>
    </row>
    <row r="391" spans="1:6" x14ac:dyDescent="0.25">
      <c r="A391" s="260"/>
      <c r="B391" s="260"/>
      <c r="C391" s="260"/>
      <c r="D391" s="259"/>
      <c r="E391" s="259"/>
      <c r="F391" s="259"/>
    </row>
    <row r="392" spans="1:6" x14ac:dyDescent="0.25">
      <c r="A392" s="260"/>
      <c r="B392" s="260"/>
      <c r="C392" s="260"/>
      <c r="D392" s="259"/>
      <c r="E392" s="259"/>
      <c r="F392" s="259"/>
    </row>
    <row r="393" spans="1:6" x14ac:dyDescent="0.25">
      <c r="A393" s="260"/>
      <c r="B393" s="260"/>
      <c r="C393" s="260"/>
      <c r="D393" s="259"/>
      <c r="E393" s="259"/>
      <c r="F393" s="259"/>
    </row>
    <row r="394" spans="1:6" x14ac:dyDescent="0.25">
      <c r="A394" s="260"/>
      <c r="B394" s="260"/>
      <c r="C394" s="260"/>
      <c r="D394" s="259"/>
      <c r="E394" s="259"/>
      <c r="F394" s="259"/>
    </row>
    <row r="395" spans="1:6" x14ac:dyDescent="0.25">
      <c r="A395" s="260"/>
      <c r="B395" s="260"/>
      <c r="C395" s="260"/>
      <c r="D395" s="259"/>
      <c r="E395" s="259"/>
      <c r="F395" s="259"/>
    </row>
    <row r="396" spans="1:6" x14ac:dyDescent="0.25">
      <c r="A396" s="260"/>
      <c r="B396" s="260"/>
      <c r="C396" s="260"/>
      <c r="D396" s="259"/>
      <c r="E396" s="259"/>
      <c r="F396" s="259"/>
    </row>
    <row r="397" spans="1:6" x14ac:dyDescent="0.25">
      <c r="A397" s="260"/>
      <c r="B397" s="260"/>
      <c r="C397" s="260"/>
      <c r="D397" s="259"/>
      <c r="E397" s="259"/>
      <c r="F397" s="259"/>
    </row>
    <row r="398" spans="1:6" x14ac:dyDescent="0.25">
      <c r="A398" s="260"/>
      <c r="B398" s="260"/>
      <c r="C398" s="260"/>
      <c r="D398" s="259"/>
      <c r="E398" s="259"/>
      <c r="F398" s="259"/>
    </row>
    <row r="399" spans="1:6" x14ac:dyDescent="0.25">
      <c r="A399" s="260"/>
      <c r="B399" s="260"/>
      <c r="C399" s="260"/>
      <c r="D399" s="259"/>
      <c r="E399" s="259"/>
      <c r="F399" s="259"/>
    </row>
    <row r="400" spans="1:6" x14ac:dyDescent="0.25">
      <c r="A400" s="260"/>
      <c r="B400" s="260"/>
      <c r="C400" s="260"/>
      <c r="D400" s="259"/>
      <c r="E400" s="259"/>
      <c r="F400" s="259"/>
    </row>
    <row r="401" spans="1:6" x14ac:dyDescent="0.25">
      <c r="A401" s="260"/>
      <c r="B401" s="260"/>
      <c r="C401" s="260"/>
      <c r="D401" s="259"/>
      <c r="E401" s="259"/>
      <c r="F401" s="259"/>
    </row>
    <row r="402" spans="1:6" x14ac:dyDescent="0.25">
      <c r="A402" s="260"/>
      <c r="B402" s="260"/>
      <c r="C402" s="260"/>
      <c r="D402" s="259"/>
      <c r="E402" s="259"/>
      <c r="F402" s="259"/>
    </row>
    <row r="403" spans="1:6" x14ac:dyDescent="0.25">
      <c r="A403" s="260"/>
      <c r="B403" s="260"/>
      <c r="C403" s="260"/>
      <c r="D403" s="259"/>
      <c r="E403" s="259"/>
      <c r="F403" s="259"/>
    </row>
    <row r="404" spans="1:6" x14ac:dyDescent="0.25">
      <c r="A404" s="260"/>
      <c r="B404" s="260"/>
      <c r="C404" s="260"/>
      <c r="D404" s="259"/>
      <c r="E404" s="259"/>
      <c r="F404" s="259"/>
    </row>
    <row r="405" spans="1:6" x14ac:dyDescent="0.25">
      <c r="A405" s="260"/>
      <c r="B405" s="260"/>
      <c r="C405" s="260"/>
      <c r="D405" s="259"/>
      <c r="E405" s="259"/>
      <c r="F405" s="259"/>
    </row>
    <row r="406" spans="1:6" x14ac:dyDescent="0.25">
      <c r="A406" s="260"/>
      <c r="B406" s="260"/>
      <c r="C406" s="260"/>
      <c r="D406" s="259"/>
      <c r="E406" s="259"/>
      <c r="F406" s="259"/>
    </row>
    <row r="407" spans="1:6" x14ac:dyDescent="0.25">
      <c r="A407" s="260"/>
      <c r="B407" s="260"/>
      <c r="C407" s="260"/>
      <c r="D407" s="259"/>
      <c r="E407" s="259"/>
      <c r="F407" s="259"/>
    </row>
    <row r="408" spans="1:6" x14ac:dyDescent="0.25">
      <c r="A408" s="260"/>
      <c r="B408" s="260"/>
      <c r="C408" s="260"/>
      <c r="D408" s="259"/>
      <c r="E408" s="259"/>
      <c r="F408" s="259"/>
    </row>
    <row r="409" spans="1:6" x14ac:dyDescent="0.25">
      <c r="A409" s="260"/>
      <c r="B409" s="260"/>
      <c r="C409" s="260"/>
      <c r="D409" s="259"/>
      <c r="E409" s="259"/>
      <c r="F409" s="259"/>
    </row>
    <row r="410" spans="1:6" x14ac:dyDescent="0.25">
      <c r="A410" s="260"/>
      <c r="B410" s="260"/>
      <c r="C410" s="260"/>
      <c r="D410" s="259"/>
      <c r="E410" s="259"/>
      <c r="F410" s="259"/>
    </row>
    <row r="411" spans="1:6" x14ac:dyDescent="0.25">
      <c r="A411" s="260"/>
      <c r="B411" s="260"/>
      <c r="C411" s="260"/>
      <c r="D411" s="259"/>
      <c r="E411" s="259"/>
      <c r="F411" s="259"/>
    </row>
    <row r="412" spans="1:6" x14ac:dyDescent="0.25">
      <c r="A412" s="260"/>
      <c r="B412" s="260"/>
      <c r="C412" s="260"/>
      <c r="D412" s="259"/>
      <c r="E412" s="259"/>
      <c r="F412" s="259"/>
    </row>
    <row r="413" spans="1:6" x14ac:dyDescent="0.25">
      <c r="A413" s="260"/>
      <c r="B413" s="260"/>
      <c r="C413" s="260"/>
      <c r="D413" s="259"/>
      <c r="E413" s="259"/>
      <c r="F413" s="259"/>
    </row>
    <row r="414" spans="1:6" x14ac:dyDescent="0.25">
      <c r="A414" s="260"/>
      <c r="B414" s="260"/>
      <c r="C414" s="260"/>
      <c r="D414" s="259"/>
      <c r="E414" s="259"/>
      <c r="F414" s="259"/>
    </row>
    <row r="415" spans="1:6" x14ac:dyDescent="0.25">
      <c r="A415" s="260"/>
      <c r="B415" s="260"/>
      <c r="C415" s="260"/>
      <c r="D415" s="259"/>
      <c r="E415" s="259"/>
      <c r="F415" s="259"/>
    </row>
    <row r="416" spans="1:6" x14ac:dyDescent="0.25">
      <c r="A416" s="260"/>
      <c r="B416" s="260"/>
      <c r="C416" s="260"/>
      <c r="D416" s="259"/>
      <c r="E416" s="259"/>
      <c r="F416" s="259"/>
    </row>
    <row r="417" spans="1:6" x14ac:dyDescent="0.25">
      <c r="A417" s="260"/>
      <c r="B417" s="260"/>
      <c r="C417" s="260"/>
      <c r="D417" s="259"/>
      <c r="E417" s="259"/>
      <c r="F417" s="259"/>
    </row>
    <row r="418" spans="1:6" x14ac:dyDescent="0.25">
      <c r="A418" s="260"/>
      <c r="B418" s="260"/>
      <c r="C418" s="260"/>
      <c r="D418" s="259"/>
      <c r="E418" s="259"/>
      <c r="F418" s="259"/>
    </row>
    <row r="419" spans="1:6" x14ac:dyDescent="0.25">
      <c r="A419" s="260"/>
      <c r="B419" s="260"/>
      <c r="C419" s="260"/>
      <c r="D419" s="259"/>
      <c r="E419" s="259"/>
      <c r="F419" s="259"/>
    </row>
    <row r="420" spans="1:6" x14ac:dyDescent="0.25">
      <c r="A420" s="260"/>
      <c r="B420" s="260"/>
      <c r="C420" s="260"/>
      <c r="D420" s="259"/>
      <c r="E420" s="259"/>
      <c r="F420" s="259"/>
    </row>
    <row r="421" spans="1:6" x14ac:dyDescent="0.25">
      <c r="A421" s="260"/>
      <c r="B421" s="260"/>
      <c r="C421" s="260"/>
      <c r="D421" s="259"/>
      <c r="E421" s="259"/>
      <c r="F421" s="259"/>
    </row>
    <row r="422" spans="1:6" x14ac:dyDescent="0.25">
      <c r="A422" s="260"/>
      <c r="B422" s="260"/>
      <c r="C422" s="260"/>
      <c r="D422" s="259"/>
      <c r="E422" s="259"/>
      <c r="F422" s="259"/>
    </row>
    <row r="423" spans="1:6" x14ac:dyDescent="0.25">
      <c r="A423" s="260"/>
      <c r="B423" s="260"/>
      <c r="C423" s="260"/>
      <c r="D423" s="259"/>
      <c r="E423" s="259"/>
      <c r="F423" s="259"/>
    </row>
    <row r="424" spans="1:6" x14ac:dyDescent="0.25">
      <c r="A424" s="260"/>
      <c r="B424" s="260"/>
      <c r="C424" s="260"/>
      <c r="D424" s="259"/>
      <c r="E424" s="259"/>
      <c r="F424" s="259"/>
    </row>
    <row r="425" spans="1:6" x14ac:dyDescent="0.25">
      <c r="A425" s="260"/>
      <c r="B425" s="260"/>
      <c r="C425" s="260"/>
      <c r="D425" s="259"/>
      <c r="E425" s="259"/>
      <c r="F425" s="259"/>
    </row>
    <row r="426" spans="1:6" x14ac:dyDescent="0.25">
      <c r="A426" s="260"/>
      <c r="B426" s="260"/>
      <c r="C426" s="260"/>
      <c r="D426" s="259"/>
      <c r="E426" s="259"/>
      <c r="F426" s="259"/>
    </row>
    <row r="427" spans="1:6" x14ac:dyDescent="0.25">
      <c r="A427" s="260"/>
      <c r="B427" s="260"/>
      <c r="C427" s="260"/>
      <c r="D427" s="259"/>
      <c r="E427" s="259"/>
      <c r="F427" s="259"/>
    </row>
    <row r="428" spans="1:6" x14ac:dyDescent="0.25">
      <c r="A428" s="260"/>
      <c r="B428" s="260"/>
      <c r="C428" s="260"/>
      <c r="D428" s="259"/>
      <c r="E428" s="259"/>
      <c r="F428" s="259"/>
    </row>
    <row r="429" spans="1:6" x14ac:dyDescent="0.25">
      <c r="A429" s="260"/>
      <c r="B429" s="260"/>
      <c r="C429" s="260"/>
      <c r="D429" s="259"/>
      <c r="E429" s="259"/>
      <c r="F429" s="259"/>
    </row>
    <row r="430" spans="1:6" x14ac:dyDescent="0.25">
      <c r="A430" s="260"/>
      <c r="B430" s="260"/>
      <c r="C430" s="260"/>
      <c r="D430" s="259"/>
      <c r="E430" s="259"/>
      <c r="F430" s="259"/>
    </row>
    <row r="431" spans="1:6" x14ac:dyDescent="0.25">
      <c r="A431" s="260"/>
      <c r="B431" s="260"/>
      <c r="C431" s="260"/>
      <c r="D431" s="259"/>
      <c r="E431" s="259"/>
      <c r="F431" s="259"/>
    </row>
    <row r="432" spans="1:6" x14ac:dyDescent="0.25">
      <c r="A432" s="260"/>
      <c r="B432" s="260"/>
      <c r="C432" s="260"/>
      <c r="D432" s="259"/>
      <c r="E432" s="259"/>
      <c r="F432" s="259"/>
    </row>
    <row r="433" spans="1:6" x14ac:dyDescent="0.25">
      <c r="A433" s="260"/>
      <c r="B433" s="260"/>
      <c r="C433" s="260"/>
      <c r="D433" s="259"/>
      <c r="E433" s="259"/>
      <c r="F433" s="259"/>
    </row>
    <row r="434" spans="1:6" x14ac:dyDescent="0.25">
      <c r="A434" s="260"/>
      <c r="B434" s="260"/>
      <c r="C434" s="260"/>
      <c r="D434" s="259"/>
      <c r="E434" s="259"/>
      <c r="F434" s="259"/>
    </row>
    <row r="435" spans="1:6" x14ac:dyDescent="0.25">
      <c r="A435" s="260"/>
      <c r="B435" s="260"/>
      <c r="C435" s="260"/>
      <c r="D435" s="259"/>
      <c r="E435" s="259"/>
      <c r="F435" s="259"/>
    </row>
    <row r="436" spans="1:6" x14ac:dyDescent="0.25">
      <c r="A436" s="260"/>
      <c r="B436" s="260"/>
      <c r="C436" s="260"/>
      <c r="D436" s="259"/>
      <c r="E436" s="259"/>
      <c r="F436" s="259"/>
    </row>
    <row r="437" spans="1:6" x14ac:dyDescent="0.25">
      <c r="A437" s="260"/>
      <c r="B437" s="260"/>
      <c r="C437" s="260"/>
      <c r="D437" s="259"/>
      <c r="E437" s="259"/>
      <c r="F437" s="259"/>
    </row>
    <row r="438" spans="1:6" x14ac:dyDescent="0.25">
      <c r="A438" s="260"/>
      <c r="B438" s="260"/>
      <c r="C438" s="260"/>
      <c r="D438" s="259"/>
      <c r="E438" s="259"/>
      <c r="F438" s="259"/>
    </row>
    <row r="439" spans="1:6" x14ac:dyDescent="0.25">
      <c r="A439" s="260"/>
      <c r="B439" s="260"/>
      <c r="C439" s="260"/>
      <c r="D439" s="259"/>
      <c r="E439" s="259"/>
      <c r="F439" s="259"/>
    </row>
    <row r="440" spans="1:6" x14ac:dyDescent="0.25">
      <c r="A440" s="260"/>
      <c r="B440" s="260"/>
      <c r="C440" s="260"/>
      <c r="D440" s="259"/>
      <c r="E440" s="259"/>
      <c r="F440" s="259"/>
    </row>
    <row r="441" spans="1:6" x14ac:dyDescent="0.25">
      <c r="A441" s="260"/>
      <c r="B441" s="260"/>
      <c r="C441" s="260"/>
      <c r="D441" s="259"/>
      <c r="E441" s="259"/>
      <c r="F441" s="259"/>
    </row>
    <row r="442" spans="1:6" x14ac:dyDescent="0.25">
      <c r="A442" s="260"/>
      <c r="B442" s="260"/>
      <c r="C442" s="260"/>
      <c r="D442" s="259"/>
      <c r="E442" s="259"/>
      <c r="F442" s="259"/>
    </row>
    <row r="443" spans="1:6" x14ac:dyDescent="0.25">
      <c r="A443" s="260"/>
      <c r="B443" s="260"/>
      <c r="C443" s="260"/>
      <c r="D443" s="259"/>
      <c r="E443" s="259"/>
      <c r="F443" s="259"/>
    </row>
    <row r="444" spans="1:6" x14ac:dyDescent="0.25">
      <c r="A444" s="260"/>
      <c r="B444" s="260"/>
      <c r="C444" s="260"/>
      <c r="D444" s="259"/>
      <c r="E444" s="259"/>
      <c r="F444" s="259"/>
    </row>
    <row r="445" spans="1:6" x14ac:dyDescent="0.25">
      <c r="A445" s="260"/>
      <c r="B445" s="260"/>
      <c r="C445" s="260"/>
      <c r="D445" s="259"/>
      <c r="E445" s="259"/>
      <c r="F445" s="259"/>
    </row>
    <row r="446" spans="1:6" x14ac:dyDescent="0.25">
      <c r="A446" s="260"/>
      <c r="B446" s="260"/>
      <c r="C446" s="260"/>
      <c r="D446" s="259"/>
      <c r="E446" s="259"/>
      <c r="F446" s="259"/>
    </row>
    <row r="447" spans="1:6" x14ac:dyDescent="0.25">
      <c r="A447" s="260"/>
      <c r="B447" s="260"/>
      <c r="C447" s="260"/>
      <c r="D447" s="259"/>
      <c r="E447" s="259"/>
      <c r="F447" s="259"/>
    </row>
    <row r="448" spans="1:6" x14ac:dyDescent="0.25">
      <c r="A448" s="260"/>
      <c r="B448" s="260"/>
      <c r="C448" s="260"/>
      <c r="D448" s="259"/>
      <c r="E448" s="259"/>
      <c r="F448" s="259"/>
    </row>
    <row r="449" spans="1:6" x14ac:dyDescent="0.25">
      <c r="A449" s="260"/>
      <c r="B449" s="260"/>
      <c r="C449" s="260"/>
      <c r="D449" s="259"/>
      <c r="E449" s="259"/>
      <c r="F449" s="259"/>
    </row>
    <row r="450" spans="1:6" x14ac:dyDescent="0.25">
      <c r="A450" s="260"/>
      <c r="B450" s="260"/>
      <c r="C450" s="260"/>
      <c r="D450" s="259"/>
      <c r="E450" s="259"/>
      <c r="F450" s="259"/>
    </row>
    <row r="451" spans="1:6" x14ac:dyDescent="0.25">
      <c r="A451" s="260"/>
      <c r="B451" s="260"/>
      <c r="C451" s="260"/>
      <c r="D451" s="259"/>
      <c r="E451" s="259"/>
      <c r="F451" s="259"/>
    </row>
    <row r="452" spans="1:6" x14ac:dyDescent="0.25">
      <c r="A452" s="260"/>
      <c r="B452" s="260"/>
      <c r="C452" s="260"/>
      <c r="D452" s="259"/>
      <c r="E452" s="259"/>
      <c r="F452" s="259"/>
    </row>
    <row r="453" spans="1:6" x14ac:dyDescent="0.25">
      <c r="A453" s="260"/>
      <c r="B453" s="260"/>
      <c r="C453" s="260"/>
      <c r="D453" s="259"/>
      <c r="E453" s="259"/>
      <c r="F453" s="259"/>
    </row>
    <row r="454" spans="1:6" x14ac:dyDescent="0.25">
      <c r="A454" s="260"/>
      <c r="B454" s="260"/>
      <c r="C454" s="260"/>
      <c r="D454" s="259"/>
      <c r="E454" s="259"/>
      <c r="F454" s="259"/>
    </row>
    <row r="455" spans="1:6" x14ac:dyDescent="0.25">
      <c r="A455" s="260"/>
      <c r="B455" s="260"/>
      <c r="C455" s="260"/>
      <c r="D455" s="259"/>
      <c r="E455" s="259"/>
      <c r="F455" s="259"/>
    </row>
    <row r="456" spans="1:6" x14ac:dyDescent="0.25">
      <c r="A456" s="260"/>
      <c r="B456" s="260"/>
      <c r="C456" s="260"/>
      <c r="D456" s="259"/>
      <c r="E456" s="259"/>
      <c r="F456" s="259"/>
    </row>
    <row r="457" spans="1:6" x14ac:dyDescent="0.25">
      <c r="A457" s="260"/>
      <c r="B457" s="260"/>
      <c r="C457" s="260"/>
      <c r="D457" s="259"/>
      <c r="E457" s="259"/>
      <c r="F457" s="259"/>
    </row>
    <row r="458" spans="1:6" x14ac:dyDescent="0.25">
      <c r="A458" s="260"/>
      <c r="B458" s="260"/>
      <c r="C458" s="260"/>
      <c r="D458" s="259"/>
      <c r="E458" s="259"/>
      <c r="F458" s="259"/>
    </row>
    <row r="459" spans="1:6" x14ac:dyDescent="0.25">
      <c r="A459" s="260"/>
      <c r="B459" s="260"/>
      <c r="C459" s="260"/>
      <c r="D459" s="259"/>
      <c r="E459" s="259"/>
      <c r="F459" s="259"/>
    </row>
    <row r="460" spans="1:6" x14ac:dyDescent="0.25">
      <c r="A460" s="260"/>
      <c r="B460" s="260"/>
      <c r="C460" s="260"/>
      <c r="D460" s="259"/>
      <c r="E460" s="259"/>
      <c r="F460" s="259"/>
    </row>
    <row r="461" spans="1:6" x14ac:dyDescent="0.25">
      <c r="A461" s="260"/>
      <c r="B461" s="260"/>
      <c r="C461" s="260"/>
      <c r="D461" s="259"/>
      <c r="E461" s="259"/>
      <c r="F461" s="259"/>
    </row>
    <row r="462" spans="1:6" x14ac:dyDescent="0.25">
      <c r="A462" s="260"/>
      <c r="B462" s="260"/>
      <c r="C462" s="260"/>
      <c r="D462" s="259"/>
      <c r="E462" s="259"/>
      <c r="F462" s="259"/>
    </row>
    <row r="463" spans="1:6" x14ac:dyDescent="0.25">
      <c r="A463" s="260"/>
      <c r="B463" s="260"/>
      <c r="C463" s="260"/>
      <c r="D463" s="259"/>
      <c r="E463" s="259"/>
      <c r="F463" s="259"/>
    </row>
    <row r="464" spans="1:6" x14ac:dyDescent="0.25">
      <c r="A464" s="260"/>
      <c r="B464" s="260"/>
      <c r="C464" s="260"/>
      <c r="D464" s="259"/>
      <c r="E464" s="259"/>
      <c r="F464" s="259"/>
    </row>
    <row r="465" spans="1:6" x14ac:dyDescent="0.25">
      <c r="A465" s="260"/>
      <c r="B465" s="260"/>
      <c r="C465" s="260"/>
      <c r="D465" s="259"/>
      <c r="E465" s="259"/>
      <c r="F465" s="259"/>
    </row>
    <row r="466" spans="1:6" x14ac:dyDescent="0.25">
      <c r="A466" s="260"/>
      <c r="B466" s="260"/>
      <c r="C466" s="260"/>
      <c r="D466" s="259"/>
      <c r="E466" s="259"/>
      <c r="F466" s="259"/>
    </row>
    <row r="467" spans="1:6" x14ac:dyDescent="0.25">
      <c r="A467" s="260"/>
      <c r="B467" s="260"/>
      <c r="C467" s="260"/>
      <c r="D467" s="259"/>
      <c r="E467" s="259"/>
      <c r="F467" s="259"/>
    </row>
    <row r="468" spans="1:6" x14ac:dyDescent="0.25">
      <c r="A468" s="260"/>
      <c r="B468" s="260"/>
      <c r="C468" s="260"/>
      <c r="D468" s="259"/>
      <c r="E468" s="259"/>
      <c r="F468" s="259"/>
    </row>
    <row r="469" spans="1:6" x14ac:dyDescent="0.25">
      <c r="A469" s="260"/>
      <c r="B469" s="260"/>
      <c r="C469" s="260"/>
      <c r="D469" s="259"/>
      <c r="E469" s="259"/>
      <c r="F469" s="259"/>
    </row>
    <row r="470" spans="1:6" x14ac:dyDescent="0.25">
      <c r="A470" s="260"/>
      <c r="B470" s="260"/>
      <c r="C470" s="260"/>
      <c r="D470" s="259"/>
      <c r="E470" s="259"/>
      <c r="F470" s="259"/>
    </row>
    <row r="471" spans="1:6" x14ac:dyDescent="0.25">
      <c r="A471" s="260"/>
      <c r="B471" s="260"/>
      <c r="C471" s="260"/>
      <c r="D471" s="259"/>
      <c r="E471" s="259"/>
      <c r="F471" s="259"/>
    </row>
    <row r="472" spans="1:6" x14ac:dyDescent="0.25">
      <c r="A472" s="260"/>
      <c r="B472" s="260"/>
      <c r="C472" s="260"/>
      <c r="D472" s="259"/>
      <c r="E472" s="259"/>
      <c r="F472" s="259"/>
    </row>
    <row r="473" spans="1:6" x14ac:dyDescent="0.25">
      <c r="A473" s="260"/>
      <c r="B473" s="260"/>
      <c r="C473" s="260"/>
      <c r="D473" s="259"/>
      <c r="E473" s="259"/>
      <c r="F473" s="259"/>
    </row>
    <row r="474" spans="1:6" x14ac:dyDescent="0.25">
      <c r="A474" s="260"/>
      <c r="B474" s="260"/>
      <c r="C474" s="260"/>
      <c r="D474" s="259"/>
      <c r="E474" s="259"/>
      <c r="F474" s="259"/>
    </row>
    <row r="475" spans="1:6" x14ac:dyDescent="0.25">
      <c r="A475" s="260"/>
      <c r="B475" s="260"/>
      <c r="C475" s="260"/>
      <c r="D475" s="259"/>
      <c r="E475" s="259"/>
      <c r="F475" s="259"/>
    </row>
    <row r="476" spans="1:6" x14ac:dyDescent="0.25">
      <c r="A476" s="260"/>
      <c r="B476" s="260"/>
      <c r="C476" s="260"/>
      <c r="D476" s="259"/>
      <c r="E476" s="259"/>
      <c r="F476" s="259"/>
    </row>
    <row r="477" spans="1:6" x14ac:dyDescent="0.25">
      <c r="A477" s="260"/>
      <c r="B477" s="260"/>
      <c r="C477" s="260"/>
      <c r="D477" s="259"/>
      <c r="E477" s="259"/>
      <c r="F477" s="259"/>
    </row>
    <row r="478" spans="1:6" x14ac:dyDescent="0.25">
      <c r="A478" s="260"/>
      <c r="B478" s="260"/>
      <c r="C478" s="260"/>
      <c r="D478" s="259"/>
      <c r="E478" s="259"/>
      <c r="F478" s="259"/>
    </row>
    <row r="479" spans="1:6" x14ac:dyDescent="0.25">
      <c r="A479" s="260"/>
      <c r="B479" s="260"/>
      <c r="C479" s="260"/>
      <c r="D479" s="259"/>
      <c r="E479" s="259"/>
      <c r="F479" s="259"/>
    </row>
    <row r="480" spans="1:6" x14ac:dyDescent="0.25">
      <c r="A480" s="260"/>
      <c r="B480" s="260"/>
      <c r="C480" s="260"/>
      <c r="D480" s="259"/>
      <c r="E480" s="259"/>
      <c r="F480" s="259"/>
    </row>
    <row r="481" spans="1:6" x14ac:dyDescent="0.25">
      <c r="A481" s="260"/>
      <c r="B481" s="260"/>
      <c r="C481" s="260"/>
      <c r="D481" s="259"/>
      <c r="E481" s="259"/>
      <c r="F481" s="259"/>
    </row>
    <row r="482" spans="1:6" x14ac:dyDescent="0.25">
      <c r="A482" s="260"/>
      <c r="B482" s="260"/>
      <c r="C482" s="260"/>
      <c r="D482" s="259"/>
      <c r="E482" s="259"/>
      <c r="F482" s="259"/>
    </row>
    <row r="483" spans="1:6" x14ac:dyDescent="0.25">
      <c r="A483" s="260"/>
      <c r="B483" s="260"/>
      <c r="C483" s="260"/>
      <c r="D483" s="259"/>
      <c r="E483" s="259"/>
      <c r="F483" s="259"/>
    </row>
    <row r="484" spans="1:6" x14ac:dyDescent="0.25">
      <c r="A484" s="260"/>
      <c r="B484" s="260"/>
      <c r="C484" s="260"/>
      <c r="D484" s="259"/>
      <c r="E484" s="259"/>
      <c r="F484" s="259"/>
    </row>
    <row r="485" spans="1:6" x14ac:dyDescent="0.25">
      <c r="A485" s="260"/>
      <c r="B485" s="260"/>
      <c r="C485" s="260"/>
      <c r="D485" s="259"/>
      <c r="E485" s="259"/>
      <c r="F485" s="259"/>
    </row>
    <row r="486" spans="1:6" x14ac:dyDescent="0.25">
      <c r="A486" s="260"/>
      <c r="B486" s="260"/>
      <c r="C486" s="260"/>
      <c r="D486" s="259"/>
      <c r="E486" s="259"/>
      <c r="F486" s="259"/>
    </row>
    <row r="487" spans="1:6" x14ac:dyDescent="0.25">
      <c r="A487" s="260"/>
      <c r="B487" s="260"/>
      <c r="C487" s="260"/>
      <c r="D487" s="259"/>
      <c r="E487" s="259"/>
      <c r="F487" s="259"/>
    </row>
    <row r="488" spans="1:6" x14ac:dyDescent="0.25">
      <c r="A488" s="260"/>
      <c r="B488" s="260"/>
      <c r="C488" s="260"/>
      <c r="D488" s="259"/>
      <c r="E488" s="259"/>
      <c r="F488" s="259"/>
    </row>
    <row r="489" spans="1:6" x14ac:dyDescent="0.25">
      <c r="A489" s="260"/>
      <c r="B489" s="260"/>
      <c r="C489" s="260"/>
      <c r="D489" s="259"/>
      <c r="E489" s="259"/>
      <c r="F489" s="259"/>
    </row>
    <row r="490" spans="1:6" x14ac:dyDescent="0.25">
      <c r="A490" s="260"/>
      <c r="B490" s="260"/>
      <c r="C490" s="260"/>
      <c r="D490" s="259"/>
      <c r="E490" s="259"/>
      <c r="F490" s="259"/>
    </row>
    <row r="491" spans="1:6" x14ac:dyDescent="0.25">
      <c r="A491" s="260"/>
      <c r="B491" s="260"/>
      <c r="C491" s="260"/>
      <c r="D491" s="259"/>
      <c r="E491" s="259"/>
      <c r="F491" s="259"/>
    </row>
    <row r="492" spans="1:6" x14ac:dyDescent="0.25">
      <c r="A492" s="260"/>
      <c r="B492" s="260"/>
      <c r="C492" s="260"/>
      <c r="D492" s="259"/>
      <c r="E492" s="259"/>
      <c r="F492" s="259"/>
    </row>
    <row r="493" spans="1:6" x14ac:dyDescent="0.25">
      <c r="A493" s="260"/>
      <c r="B493" s="260"/>
      <c r="C493" s="260"/>
      <c r="D493" s="259"/>
      <c r="E493" s="259"/>
      <c r="F493" s="259"/>
    </row>
    <row r="494" spans="1:6" x14ac:dyDescent="0.25">
      <c r="A494" s="260"/>
      <c r="B494" s="260"/>
      <c r="C494" s="260"/>
      <c r="D494" s="259"/>
      <c r="E494" s="259"/>
      <c r="F494" s="259"/>
    </row>
    <row r="495" spans="1:6" x14ac:dyDescent="0.25">
      <c r="A495" s="260"/>
      <c r="B495" s="260"/>
      <c r="C495" s="260"/>
      <c r="D495" s="259"/>
      <c r="E495" s="259"/>
      <c r="F495" s="259"/>
    </row>
    <row r="496" spans="1:6" x14ac:dyDescent="0.25">
      <c r="A496" s="260"/>
      <c r="B496" s="260"/>
      <c r="C496" s="260"/>
      <c r="D496" s="259"/>
      <c r="E496" s="259"/>
      <c r="F496" s="259"/>
    </row>
    <row r="497" spans="1:6" x14ac:dyDescent="0.25">
      <c r="A497" s="260"/>
      <c r="B497" s="260"/>
      <c r="C497" s="260"/>
      <c r="D497" s="259"/>
      <c r="E497" s="259"/>
      <c r="F497" s="259"/>
    </row>
    <row r="498" spans="1:6" x14ac:dyDescent="0.25">
      <c r="A498" s="260"/>
      <c r="B498" s="260"/>
      <c r="C498" s="260"/>
      <c r="D498" s="259"/>
      <c r="E498" s="259"/>
      <c r="F498" s="259"/>
    </row>
    <row r="499" spans="1:6" x14ac:dyDescent="0.25">
      <c r="A499" s="260"/>
      <c r="B499" s="260"/>
      <c r="C499" s="260"/>
      <c r="D499" s="259"/>
      <c r="E499" s="259"/>
      <c r="F499" s="259"/>
    </row>
    <row r="500" spans="1:6" x14ac:dyDescent="0.25">
      <c r="A500" s="260"/>
      <c r="B500" s="260"/>
      <c r="C500" s="260"/>
      <c r="D500" s="259"/>
      <c r="E500" s="259"/>
      <c r="F500" s="259"/>
    </row>
    <row r="501" spans="1:6" x14ac:dyDescent="0.25">
      <c r="A501" s="260"/>
      <c r="B501" s="260"/>
      <c r="C501" s="260"/>
      <c r="D501" s="259"/>
      <c r="E501" s="259"/>
      <c r="F501" s="259"/>
    </row>
    <row r="502" spans="1:6" x14ac:dyDescent="0.25">
      <c r="A502" s="260"/>
      <c r="B502" s="260"/>
      <c r="C502" s="260"/>
      <c r="D502" s="259"/>
      <c r="E502" s="259"/>
      <c r="F502" s="259"/>
    </row>
    <row r="503" spans="1:6" x14ac:dyDescent="0.25">
      <c r="A503" s="260"/>
      <c r="B503" s="260"/>
      <c r="C503" s="260"/>
      <c r="D503" s="259"/>
      <c r="E503" s="259"/>
      <c r="F503" s="259"/>
    </row>
    <row r="504" spans="1:6" x14ac:dyDescent="0.25">
      <c r="A504" s="260"/>
      <c r="B504" s="260"/>
      <c r="C504" s="260"/>
      <c r="D504" s="259"/>
      <c r="E504" s="259"/>
      <c r="F504" s="259"/>
    </row>
    <row r="505" spans="1:6" x14ac:dyDescent="0.25">
      <c r="A505" s="260"/>
      <c r="B505" s="260"/>
      <c r="C505" s="260"/>
      <c r="D505" s="259"/>
      <c r="E505" s="259"/>
      <c r="F505" s="259"/>
    </row>
    <row r="506" spans="1:6" x14ac:dyDescent="0.25">
      <c r="A506" s="260"/>
      <c r="B506" s="260"/>
      <c r="C506" s="260"/>
      <c r="D506" s="259"/>
      <c r="E506" s="259"/>
      <c r="F506" s="259"/>
    </row>
    <row r="507" spans="1:6" x14ac:dyDescent="0.25">
      <c r="A507" s="260"/>
      <c r="B507" s="260"/>
      <c r="C507" s="260"/>
      <c r="D507" s="259"/>
      <c r="E507" s="259"/>
      <c r="F507" s="259"/>
    </row>
    <row r="508" spans="1:6" x14ac:dyDescent="0.25">
      <c r="A508" s="260"/>
      <c r="B508" s="260"/>
      <c r="C508" s="260"/>
      <c r="D508" s="259"/>
      <c r="E508" s="259"/>
      <c r="F508" s="259"/>
    </row>
    <row r="509" spans="1:6" x14ac:dyDescent="0.25">
      <c r="A509" s="260"/>
      <c r="B509" s="260"/>
      <c r="C509" s="260"/>
      <c r="D509" s="259"/>
      <c r="E509" s="259"/>
      <c r="F509" s="259"/>
    </row>
    <row r="510" spans="1:6" x14ac:dyDescent="0.25">
      <c r="A510" s="260"/>
      <c r="B510" s="260"/>
      <c r="C510" s="260"/>
      <c r="D510" s="259"/>
      <c r="E510" s="259"/>
      <c r="F510" s="259"/>
    </row>
    <row r="511" spans="1:6" x14ac:dyDescent="0.25">
      <c r="A511" s="260"/>
      <c r="B511" s="260"/>
      <c r="C511" s="260"/>
      <c r="D511" s="259"/>
      <c r="E511" s="259"/>
      <c r="F51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2500-000000000000}"/>
  </hyperlinks>
  <pageMargins left="0.7" right="0.7" top="0.75" bottom="0.75" header="0.3" footer="0.3"/>
  <pageSetup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28"/>
  <sheetViews>
    <sheetView workbookViewId="0">
      <selection activeCell="G1" sqref="G1"/>
    </sheetView>
  </sheetViews>
  <sheetFormatPr defaultRowHeight="15" x14ac:dyDescent="0.25"/>
  <cols>
    <col min="2" max="2" width="16.140625" style="251" customWidth="1"/>
    <col min="3" max="3" width="34.85546875" customWidth="1"/>
    <col min="4" max="4" width="19.85546875" style="2" customWidth="1"/>
    <col min="5" max="5" width="13.85546875" style="2" customWidth="1"/>
    <col min="6" max="6" width="13.7109375" style="2" customWidth="1"/>
    <col min="10" max="10" width="11.5703125" customWidth="1"/>
    <col min="11" max="11" width="11.85546875" customWidth="1"/>
  </cols>
  <sheetData>
    <row r="1" spans="1:7" x14ac:dyDescent="0.25"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" t="s">
        <v>266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408493860</v>
      </c>
    </row>
    <row r="6" spans="1:7" x14ac:dyDescent="0.25">
      <c r="E6" s="2" t="s">
        <v>11</v>
      </c>
      <c r="F6" s="2">
        <f>SUM(E10:E68)</f>
        <v>408493860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x14ac:dyDescent="0.25">
      <c r="A10" s="262">
        <v>1</v>
      </c>
      <c r="B10" s="261" t="s">
        <v>263</v>
      </c>
      <c r="C10" s="260" t="s">
        <v>267</v>
      </c>
      <c r="D10" s="259">
        <v>44228864</v>
      </c>
      <c r="E10" s="259"/>
      <c r="F10" s="259"/>
    </row>
    <row r="11" spans="1:7" x14ac:dyDescent="0.25">
      <c r="A11" s="262">
        <v>2</v>
      </c>
      <c r="B11" s="261" t="s">
        <v>270</v>
      </c>
      <c r="C11" s="260" t="s">
        <v>290</v>
      </c>
      <c r="D11" s="259"/>
      <c r="E11" s="259">
        <v>24228864</v>
      </c>
      <c r="F11" s="259"/>
    </row>
    <row r="12" spans="1:7" x14ac:dyDescent="0.25">
      <c r="A12" s="262">
        <v>3</v>
      </c>
      <c r="B12" s="261">
        <v>43506</v>
      </c>
      <c r="C12" s="260" t="s">
        <v>289</v>
      </c>
      <c r="D12" s="259">
        <v>47699188</v>
      </c>
      <c r="E12" s="259"/>
      <c r="F12" s="259"/>
    </row>
    <row r="13" spans="1:7" x14ac:dyDescent="0.25">
      <c r="A13" s="262">
        <v>4</v>
      </c>
      <c r="B13" s="261">
        <v>43748</v>
      </c>
      <c r="C13" s="260" t="s">
        <v>290</v>
      </c>
      <c r="D13" s="259"/>
      <c r="E13" s="259">
        <v>67699188</v>
      </c>
      <c r="F13" s="259"/>
      <c r="G13" s="243"/>
    </row>
    <row r="14" spans="1:7" x14ac:dyDescent="0.25">
      <c r="A14" s="262">
        <v>5</v>
      </c>
      <c r="B14" s="262" t="s">
        <v>328</v>
      </c>
      <c r="C14" s="260" t="s">
        <v>329</v>
      </c>
      <c r="D14" s="259">
        <v>44210188</v>
      </c>
      <c r="E14" s="259"/>
      <c r="F14" s="259"/>
    </row>
    <row r="15" spans="1:7" x14ac:dyDescent="0.25">
      <c r="A15" s="262">
        <v>6</v>
      </c>
      <c r="B15" s="262" t="s">
        <v>340</v>
      </c>
      <c r="C15" s="260" t="s">
        <v>290</v>
      </c>
      <c r="D15" s="259"/>
      <c r="E15" s="259">
        <v>30000000</v>
      </c>
      <c r="F15" s="259"/>
    </row>
    <row r="16" spans="1:7" x14ac:dyDescent="0.25">
      <c r="A16" s="262">
        <v>7</v>
      </c>
      <c r="B16" s="261">
        <v>43922</v>
      </c>
      <c r="C16" s="260" t="s">
        <v>381</v>
      </c>
      <c r="D16" s="259">
        <v>54739500</v>
      </c>
      <c r="E16" s="259"/>
      <c r="F16" s="259"/>
    </row>
    <row r="17" spans="1:6" x14ac:dyDescent="0.25">
      <c r="A17" s="262">
        <v>8</v>
      </c>
      <c r="B17" s="262" t="s">
        <v>398</v>
      </c>
      <c r="C17" s="260" t="s">
        <v>290</v>
      </c>
      <c r="D17" s="259"/>
      <c r="E17" s="259">
        <v>30000000</v>
      </c>
      <c r="F17" s="259"/>
    </row>
    <row r="18" spans="1:6" x14ac:dyDescent="0.25">
      <c r="A18" s="262">
        <v>9</v>
      </c>
      <c r="B18" s="261">
        <v>44167</v>
      </c>
      <c r="C18" s="260" t="s">
        <v>409</v>
      </c>
      <c r="D18" s="259">
        <v>53670000</v>
      </c>
      <c r="E18" s="259"/>
      <c r="F18" s="259"/>
    </row>
    <row r="19" spans="1:6" x14ac:dyDescent="0.25">
      <c r="A19" s="262">
        <v>10</v>
      </c>
      <c r="B19" s="262" t="s">
        <v>410</v>
      </c>
      <c r="C19" s="260" t="s">
        <v>290</v>
      </c>
      <c r="D19" s="259"/>
      <c r="E19" s="259">
        <v>53670000</v>
      </c>
      <c r="F19" s="259"/>
    </row>
    <row r="20" spans="1:6" x14ac:dyDescent="0.25">
      <c r="A20" s="262">
        <v>11</v>
      </c>
      <c r="B20" s="261">
        <v>44027</v>
      </c>
      <c r="C20" s="260" t="s">
        <v>290</v>
      </c>
      <c r="D20" s="259"/>
      <c r="E20" s="259">
        <v>20000000</v>
      </c>
      <c r="F20" s="259"/>
    </row>
    <row r="21" spans="1:6" x14ac:dyDescent="0.25">
      <c r="A21" s="262">
        <v>12</v>
      </c>
      <c r="B21" s="261">
        <v>44095</v>
      </c>
      <c r="C21" s="260" t="s">
        <v>613</v>
      </c>
      <c r="D21" s="259">
        <v>61635500</v>
      </c>
      <c r="E21" s="259"/>
      <c r="F21" s="259"/>
    </row>
    <row r="22" spans="1:6" x14ac:dyDescent="0.25">
      <c r="A22" s="262">
        <v>13</v>
      </c>
      <c r="B22" s="261">
        <v>44102</v>
      </c>
      <c r="C22" s="260" t="s">
        <v>290</v>
      </c>
      <c r="D22" s="259"/>
      <c r="E22" s="259">
        <v>80585188</v>
      </c>
      <c r="F22" s="259"/>
    </row>
    <row r="23" spans="1:6" x14ac:dyDescent="0.25">
      <c r="A23" s="262">
        <v>14</v>
      </c>
      <c r="B23" s="261">
        <v>44390</v>
      </c>
      <c r="C23" s="260" t="s">
        <v>867</v>
      </c>
      <c r="D23" s="259">
        <v>102310620</v>
      </c>
      <c r="E23" s="259"/>
      <c r="F23" s="259"/>
    </row>
    <row r="24" spans="1:6" x14ac:dyDescent="0.25">
      <c r="A24" s="262">
        <v>15</v>
      </c>
      <c r="B24" s="261">
        <v>44392</v>
      </c>
      <c r="C24" s="260" t="s">
        <v>290</v>
      </c>
      <c r="D24" s="259"/>
      <c r="E24" s="259">
        <v>75000000</v>
      </c>
      <c r="F24" s="259"/>
    </row>
    <row r="25" spans="1:6" x14ac:dyDescent="0.25">
      <c r="A25" s="262">
        <v>16</v>
      </c>
      <c r="B25" s="261">
        <v>44396</v>
      </c>
      <c r="C25" s="260" t="s">
        <v>290</v>
      </c>
      <c r="D25" s="259"/>
      <c r="E25" s="259">
        <v>26810120</v>
      </c>
      <c r="F25" s="259"/>
    </row>
    <row r="26" spans="1:6" x14ac:dyDescent="0.25">
      <c r="A26" s="260">
        <v>17</v>
      </c>
      <c r="B26" s="261">
        <v>44545</v>
      </c>
      <c r="C26" s="260" t="s">
        <v>290</v>
      </c>
      <c r="D26" s="259"/>
      <c r="E26" s="259">
        <v>500500</v>
      </c>
      <c r="F26" s="259"/>
    </row>
    <row r="27" spans="1:6" x14ac:dyDescent="0.25">
      <c r="A27" s="260"/>
      <c r="B27" s="261"/>
      <c r="C27" s="260"/>
      <c r="D27" s="259"/>
      <c r="E27" s="259"/>
      <c r="F27" s="259"/>
    </row>
    <row r="28" spans="1:6" x14ac:dyDescent="0.25">
      <c r="A28" s="260"/>
      <c r="B28" s="261"/>
      <c r="C28" s="260"/>
      <c r="D28" s="259"/>
      <c r="E28" s="259"/>
      <c r="F28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2600-000000000000}"/>
  </hyperlink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441"/>
  <sheetViews>
    <sheetView workbookViewId="0">
      <selection activeCell="G1" sqref="G1"/>
    </sheetView>
  </sheetViews>
  <sheetFormatPr defaultRowHeight="15" x14ac:dyDescent="0.25"/>
  <cols>
    <col min="2" max="2" width="16.140625" style="251" customWidth="1"/>
    <col min="3" max="3" width="34.85546875" customWidth="1"/>
    <col min="4" max="4" width="19.85546875" style="2" customWidth="1"/>
    <col min="5" max="5" width="13.85546875" style="2" customWidth="1"/>
    <col min="6" max="6" width="13.7109375" style="2" customWidth="1"/>
  </cols>
  <sheetData>
    <row r="1" spans="1:7" x14ac:dyDescent="0.25"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55" t="s">
        <v>1464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349912000</v>
      </c>
    </row>
    <row r="6" spans="1:7" x14ac:dyDescent="0.25">
      <c r="E6" s="2" t="s">
        <v>11</v>
      </c>
      <c r="F6" s="2">
        <f>SUM(E10:E68)</f>
        <v>349912000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20" t="s">
        <v>0</v>
      </c>
      <c r="B8" s="420" t="s">
        <v>13</v>
      </c>
      <c r="C8" s="420" t="s">
        <v>5</v>
      </c>
      <c r="D8" s="421" t="s">
        <v>8</v>
      </c>
      <c r="E8" s="421"/>
      <c r="F8" s="421" t="s">
        <v>2</v>
      </c>
    </row>
    <row r="9" spans="1:7" x14ac:dyDescent="0.25">
      <c r="A9" s="420"/>
      <c r="B9" s="420"/>
      <c r="C9" s="420"/>
      <c r="D9" s="285" t="s">
        <v>6</v>
      </c>
      <c r="E9" s="285" t="s">
        <v>7</v>
      </c>
      <c r="F9" s="421"/>
    </row>
    <row r="10" spans="1:7" ht="29.25" customHeight="1" x14ac:dyDescent="0.25">
      <c r="A10" s="262">
        <v>1</v>
      </c>
      <c r="B10" s="261">
        <v>45259</v>
      </c>
      <c r="C10" s="260" t="s">
        <v>1456</v>
      </c>
      <c r="D10" s="259"/>
      <c r="E10" s="259">
        <v>52900000</v>
      </c>
      <c r="F10" s="259"/>
    </row>
    <row r="11" spans="1:7" ht="29.25" customHeight="1" x14ac:dyDescent="0.25">
      <c r="A11" s="262">
        <v>2</v>
      </c>
      <c r="B11" s="261">
        <v>44942</v>
      </c>
      <c r="C11" s="260" t="s">
        <v>1465</v>
      </c>
      <c r="D11" s="259">
        <v>52900000</v>
      </c>
      <c r="E11" s="259"/>
      <c r="F11" s="259"/>
    </row>
    <row r="12" spans="1:7" ht="29.25" customHeight="1" x14ac:dyDescent="0.25">
      <c r="A12" s="262">
        <v>3</v>
      </c>
      <c r="B12" s="261">
        <v>44957</v>
      </c>
      <c r="C12" s="260" t="s">
        <v>1456</v>
      </c>
      <c r="D12" s="259"/>
      <c r="E12" s="259">
        <v>4800000</v>
      </c>
      <c r="F12" s="259"/>
    </row>
    <row r="13" spans="1:7" ht="29.25" customHeight="1" x14ac:dyDescent="0.25">
      <c r="A13" s="262">
        <v>4</v>
      </c>
      <c r="B13" s="261">
        <v>45016</v>
      </c>
      <c r="C13" s="260" t="s">
        <v>1456</v>
      </c>
      <c r="D13" s="259"/>
      <c r="E13" s="259">
        <v>82700000</v>
      </c>
      <c r="F13" s="259"/>
      <c r="G13" s="243"/>
    </row>
    <row r="14" spans="1:7" ht="29.25" customHeight="1" x14ac:dyDescent="0.25">
      <c r="A14" s="262">
        <v>5</v>
      </c>
      <c r="B14" s="261">
        <v>45027</v>
      </c>
      <c r="C14" s="260" t="s">
        <v>1465</v>
      </c>
      <c r="D14" s="259">
        <v>4800000</v>
      </c>
      <c r="E14" s="259"/>
      <c r="F14" s="259"/>
    </row>
    <row r="15" spans="1:7" ht="29.25" customHeight="1" x14ac:dyDescent="0.25">
      <c r="A15" s="262">
        <v>6</v>
      </c>
      <c r="B15" s="261">
        <v>45043</v>
      </c>
      <c r="C15" s="260" t="s">
        <v>1456</v>
      </c>
      <c r="D15" s="259"/>
      <c r="E15" s="259">
        <v>40000000</v>
      </c>
      <c r="F15" s="259"/>
    </row>
    <row r="16" spans="1:7" ht="29.25" customHeight="1" x14ac:dyDescent="0.25">
      <c r="A16" s="262">
        <v>7</v>
      </c>
      <c r="B16" s="261">
        <v>45128</v>
      </c>
      <c r="C16" s="260" t="s">
        <v>1465</v>
      </c>
      <c r="D16" s="259">
        <v>82700000</v>
      </c>
      <c r="E16" s="259"/>
      <c r="F16" s="259"/>
    </row>
    <row r="17" spans="1:6" ht="29.25" customHeight="1" x14ac:dyDescent="0.25">
      <c r="A17" s="262">
        <v>8</v>
      </c>
      <c r="B17" s="261">
        <v>45175</v>
      </c>
      <c r="C17" s="260" t="s">
        <v>1465</v>
      </c>
      <c r="D17" s="259">
        <v>40000000</v>
      </c>
      <c r="E17" s="259"/>
      <c r="F17" s="259"/>
    </row>
    <row r="18" spans="1:6" ht="29.25" customHeight="1" x14ac:dyDescent="0.25">
      <c r="A18" s="262">
        <v>9</v>
      </c>
      <c r="B18" s="261">
        <v>45199</v>
      </c>
      <c r="C18" s="260" t="s">
        <v>1456</v>
      </c>
      <c r="D18" s="259"/>
      <c r="E18" s="259">
        <v>26500000</v>
      </c>
      <c r="F18" s="259"/>
    </row>
    <row r="19" spans="1:6" ht="29.25" customHeight="1" x14ac:dyDescent="0.25">
      <c r="A19" s="262">
        <v>10</v>
      </c>
      <c r="B19" s="261">
        <v>45238</v>
      </c>
      <c r="C19" s="260" t="s">
        <v>1465</v>
      </c>
      <c r="D19" s="259">
        <v>26500000</v>
      </c>
      <c r="E19" s="259"/>
      <c r="F19" s="259"/>
    </row>
    <row r="20" spans="1:6" ht="29.25" customHeight="1" x14ac:dyDescent="0.25">
      <c r="A20" s="262">
        <v>11</v>
      </c>
      <c r="B20" s="261">
        <v>45322</v>
      </c>
      <c r="C20" s="260" t="s">
        <v>1456</v>
      </c>
      <c r="D20" s="259"/>
      <c r="E20" s="259">
        <v>39984000</v>
      </c>
      <c r="F20" s="259"/>
    </row>
    <row r="21" spans="1:6" ht="29.25" customHeight="1" x14ac:dyDescent="0.25">
      <c r="A21" s="262">
        <v>12</v>
      </c>
      <c r="B21" s="261">
        <v>45329</v>
      </c>
      <c r="C21" s="260" t="s">
        <v>1465</v>
      </c>
      <c r="D21" s="259">
        <v>32400000</v>
      </c>
      <c r="E21" s="259"/>
      <c r="F21" s="259"/>
    </row>
    <row r="22" spans="1:6" ht="29.25" customHeight="1" x14ac:dyDescent="0.25">
      <c r="A22" s="262">
        <v>13</v>
      </c>
      <c r="B22" s="261">
        <v>45350</v>
      </c>
      <c r="C22" s="260" t="s">
        <v>1456</v>
      </c>
      <c r="D22" s="259"/>
      <c r="E22" s="259">
        <v>2952000</v>
      </c>
      <c r="F22" s="259"/>
    </row>
    <row r="23" spans="1:6" ht="29.25" customHeight="1" x14ac:dyDescent="0.25">
      <c r="A23" s="262">
        <v>14</v>
      </c>
      <c r="B23" s="261">
        <v>45353</v>
      </c>
      <c r="C23" s="260" t="s">
        <v>1465</v>
      </c>
      <c r="D23" s="259">
        <f>2952000+6400000+1184000</f>
        <v>10536000</v>
      </c>
      <c r="E23" s="259"/>
      <c r="F23" s="259"/>
    </row>
    <row r="24" spans="1:6" ht="29.25" customHeight="1" x14ac:dyDescent="0.25">
      <c r="A24" s="262">
        <v>15</v>
      </c>
      <c r="B24" s="261">
        <v>45442</v>
      </c>
      <c r="C24" s="260" t="s">
        <v>1456</v>
      </c>
      <c r="D24" s="259"/>
      <c r="E24" s="259">
        <v>17500000</v>
      </c>
      <c r="F24" s="259"/>
    </row>
    <row r="25" spans="1:6" ht="29.25" customHeight="1" x14ac:dyDescent="0.25">
      <c r="A25" s="262">
        <v>16</v>
      </c>
      <c r="B25" s="261">
        <v>45473</v>
      </c>
      <c r="C25" s="260" t="s">
        <v>1456</v>
      </c>
      <c r="D25" s="259"/>
      <c r="E25" s="259">
        <v>43108000</v>
      </c>
      <c r="F25" s="259"/>
    </row>
    <row r="26" spans="1:6" ht="29.25" customHeight="1" x14ac:dyDescent="0.25">
      <c r="A26" s="262">
        <v>17</v>
      </c>
      <c r="B26" s="261">
        <v>45503</v>
      </c>
      <c r="C26" s="260" t="s">
        <v>1456</v>
      </c>
      <c r="D26" s="259"/>
      <c r="E26" s="259">
        <v>8856000</v>
      </c>
      <c r="F26" s="259"/>
    </row>
    <row r="27" spans="1:6" ht="29.25" customHeight="1" x14ac:dyDescent="0.25">
      <c r="A27" s="262">
        <v>18</v>
      </c>
      <c r="B27" s="261">
        <v>45520</v>
      </c>
      <c r="C27" s="260" t="s">
        <v>1465</v>
      </c>
      <c r="D27" s="259">
        <v>17500000</v>
      </c>
      <c r="E27" s="259"/>
      <c r="F27" s="259" t="s">
        <v>1849</v>
      </c>
    </row>
    <row r="28" spans="1:6" ht="29.25" customHeight="1" x14ac:dyDescent="0.25">
      <c r="A28" s="262">
        <v>19</v>
      </c>
      <c r="B28" s="261">
        <v>45534</v>
      </c>
      <c r="C28" s="260" t="s">
        <v>1456</v>
      </c>
      <c r="D28" s="259"/>
      <c r="E28" s="259">
        <v>23052000</v>
      </c>
      <c r="F28" s="259"/>
    </row>
    <row r="29" spans="1:6" ht="29.25" customHeight="1" x14ac:dyDescent="0.25">
      <c r="A29" s="262">
        <v>20</v>
      </c>
      <c r="B29" s="261">
        <v>45560</v>
      </c>
      <c r="C29" s="260" t="s">
        <v>1465</v>
      </c>
      <c r="D29" s="259">
        <v>43108000</v>
      </c>
      <c r="E29" s="259"/>
      <c r="F29" s="259"/>
    </row>
    <row r="30" spans="1:6" ht="29.25" customHeight="1" x14ac:dyDescent="0.25">
      <c r="A30" s="262">
        <v>21</v>
      </c>
      <c r="B30" s="261">
        <v>45565</v>
      </c>
      <c r="C30" s="260" t="s">
        <v>1456</v>
      </c>
      <c r="D30" s="259"/>
      <c r="E30" s="259">
        <v>7560000</v>
      </c>
      <c r="F30" s="259"/>
    </row>
    <row r="31" spans="1:6" ht="29.25" customHeight="1" x14ac:dyDescent="0.25">
      <c r="A31" s="262">
        <v>21</v>
      </c>
      <c r="B31" s="261">
        <v>45583</v>
      </c>
      <c r="C31" s="260" t="s">
        <v>1465</v>
      </c>
      <c r="D31" s="259">
        <v>15600000</v>
      </c>
      <c r="E31" s="259"/>
      <c r="F31" s="259"/>
    </row>
    <row r="32" spans="1:6" ht="29.25" customHeight="1" x14ac:dyDescent="0.25">
      <c r="A32" s="262">
        <v>21</v>
      </c>
      <c r="B32" s="261">
        <v>45615</v>
      </c>
      <c r="C32" s="260" t="s">
        <v>1465</v>
      </c>
      <c r="D32" s="259">
        <f>7452000+8856000</f>
        <v>16308000</v>
      </c>
      <c r="E32" s="259"/>
      <c r="F32" s="259"/>
    </row>
    <row r="33" spans="1:6" ht="29.25" customHeight="1" x14ac:dyDescent="0.25">
      <c r="A33" s="262">
        <v>21</v>
      </c>
      <c r="B33" s="261">
        <v>45630</v>
      </c>
      <c r="C33" s="260" t="s">
        <v>1465</v>
      </c>
      <c r="D33" s="259">
        <v>7560000</v>
      </c>
      <c r="E33" s="259"/>
      <c r="F33" s="259"/>
    </row>
    <row r="34" spans="1:6" ht="29.25" customHeight="1" x14ac:dyDescent="0.25">
      <c r="A34" s="262">
        <v>21</v>
      </c>
      <c r="B34" s="261"/>
      <c r="C34" s="260"/>
      <c r="D34" s="259"/>
      <c r="E34" s="259"/>
      <c r="F34" s="259"/>
    </row>
    <row r="35" spans="1:6" ht="29.25" customHeight="1" x14ac:dyDescent="0.25">
      <c r="A35" s="262"/>
      <c r="B35" s="261"/>
      <c r="C35" s="260"/>
      <c r="D35" s="259"/>
      <c r="E35" s="259"/>
      <c r="F35" s="259"/>
    </row>
    <row r="36" spans="1:6" ht="29.25" customHeight="1" x14ac:dyDescent="0.25">
      <c r="A36" s="262"/>
      <c r="B36" s="261"/>
      <c r="C36" s="260"/>
      <c r="D36" s="259"/>
      <c r="E36" s="259"/>
      <c r="F36" s="259"/>
    </row>
    <row r="37" spans="1:6" ht="29.25" customHeight="1" x14ac:dyDescent="0.25">
      <c r="A37" s="262"/>
      <c r="B37" s="262"/>
      <c r="C37" s="260"/>
      <c r="D37" s="259"/>
      <c r="E37" s="259"/>
      <c r="F37" s="259"/>
    </row>
    <row r="38" spans="1:6" ht="29.25" customHeight="1" x14ac:dyDescent="0.25">
      <c r="A38" s="262"/>
      <c r="B38" s="262"/>
      <c r="C38" s="260"/>
      <c r="D38" s="259"/>
      <c r="E38" s="259"/>
      <c r="F38" s="259"/>
    </row>
    <row r="39" spans="1:6" ht="29.25" customHeight="1" x14ac:dyDescent="0.25">
      <c r="A39" s="260"/>
      <c r="B39" s="262"/>
      <c r="C39" s="260"/>
      <c r="D39" s="259"/>
      <c r="E39" s="259"/>
      <c r="F39" s="259"/>
    </row>
    <row r="40" spans="1:6" ht="29.25" customHeight="1" x14ac:dyDescent="0.25">
      <c r="A40" s="260"/>
      <c r="B40" s="262"/>
      <c r="C40" s="260"/>
      <c r="D40" s="259"/>
      <c r="E40" s="259"/>
      <c r="F40" s="259"/>
    </row>
    <row r="41" spans="1:6" ht="29.25" customHeight="1" x14ac:dyDescent="0.25">
      <c r="A41" s="260"/>
      <c r="B41" s="262"/>
      <c r="C41" s="260"/>
      <c r="D41" s="259"/>
      <c r="E41" s="259"/>
      <c r="F41" s="259"/>
    </row>
    <row r="42" spans="1:6" ht="29.25" customHeight="1" x14ac:dyDescent="0.25">
      <c r="A42" s="260"/>
      <c r="B42" s="262"/>
      <c r="C42" s="260"/>
      <c r="D42" s="259"/>
      <c r="E42" s="259"/>
      <c r="F42" s="259"/>
    </row>
    <row r="43" spans="1:6" ht="29.25" customHeight="1" x14ac:dyDescent="0.25">
      <c r="A43" s="260"/>
      <c r="B43" s="262"/>
      <c r="C43" s="260"/>
      <c r="D43" s="259"/>
      <c r="E43" s="259"/>
      <c r="F43" s="259"/>
    </row>
    <row r="44" spans="1:6" ht="29.25" customHeight="1" x14ac:dyDescent="0.25">
      <c r="A44" s="260"/>
      <c r="B44" s="262"/>
      <c r="C44" s="260"/>
      <c r="D44" s="259"/>
      <c r="E44" s="259"/>
      <c r="F44" s="259"/>
    </row>
    <row r="45" spans="1:6" ht="29.25" customHeight="1" x14ac:dyDescent="0.25">
      <c r="A45" s="260"/>
      <c r="B45" s="262"/>
      <c r="C45" s="260"/>
      <c r="D45" s="259"/>
      <c r="E45" s="259"/>
      <c r="F45" s="259"/>
    </row>
    <row r="46" spans="1:6" ht="29.25" customHeight="1" x14ac:dyDescent="0.25">
      <c r="A46" s="260"/>
      <c r="B46" s="262"/>
      <c r="C46" s="260"/>
      <c r="D46" s="259"/>
      <c r="E46" s="259"/>
      <c r="F46" s="259"/>
    </row>
    <row r="47" spans="1:6" ht="29.25" customHeight="1" x14ac:dyDescent="0.25">
      <c r="A47" s="260"/>
      <c r="B47" s="262"/>
      <c r="C47" s="260"/>
      <c r="D47" s="259"/>
      <c r="E47" s="259"/>
      <c r="F47" s="259"/>
    </row>
    <row r="48" spans="1:6" ht="29.25" customHeight="1" x14ac:dyDescent="0.25">
      <c r="A48" s="260"/>
      <c r="B48" s="262"/>
      <c r="C48" s="260"/>
      <c r="D48" s="259"/>
      <c r="E48" s="259"/>
      <c r="F48" s="259"/>
    </row>
    <row r="49" spans="1:6" ht="29.25" customHeight="1" x14ac:dyDescent="0.25">
      <c r="A49" s="260"/>
      <c r="B49" s="262"/>
      <c r="C49" s="260"/>
      <c r="D49" s="259"/>
      <c r="E49" s="259"/>
      <c r="F49" s="259"/>
    </row>
    <row r="50" spans="1:6" ht="29.25" customHeight="1" x14ac:dyDescent="0.25">
      <c r="A50" s="260"/>
      <c r="B50" s="262"/>
      <c r="C50" s="260"/>
      <c r="D50" s="259"/>
      <c r="E50" s="259"/>
      <c r="F50" s="259"/>
    </row>
    <row r="51" spans="1:6" ht="29.25" customHeight="1" x14ac:dyDescent="0.25">
      <c r="A51" s="260"/>
      <c r="B51" s="262"/>
      <c r="C51" s="260"/>
      <c r="D51" s="259"/>
      <c r="E51" s="259"/>
      <c r="F51" s="259"/>
    </row>
    <row r="52" spans="1:6" ht="29.25" customHeight="1" x14ac:dyDescent="0.25">
      <c r="A52" s="260"/>
      <c r="B52" s="262"/>
      <c r="C52" s="260"/>
      <c r="D52" s="259"/>
      <c r="E52" s="259"/>
      <c r="F52" s="259"/>
    </row>
    <row r="53" spans="1:6" ht="29.25" customHeight="1" x14ac:dyDescent="0.25">
      <c r="A53" s="260"/>
      <c r="B53" s="262"/>
      <c r="C53" s="260"/>
      <c r="D53" s="259"/>
      <c r="E53" s="259"/>
      <c r="F53" s="259"/>
    </row>
    <row r="54" spans="1:6" ht="29.25" customHeight="1" x14ac:dyDescent="0.25">
      <c r="A54" s="260"/>
      <c r="B54" s="262"/>
      <c r="C54" s="260"/>
      <c r="D54" s="259"/>
      <c r="E54" s="259"/>
      <c r="F54" s="259"/>
    </row>
    <row r="55" spans="1:6" ht="29.25" customHeight="1" x14ac:dyDescent="0.25">
      <c r="A55" s="260"/>
      <c r="B55" s="262"/>
      <c r="C55" s="260"/>
      <c r="D55" s="259"/>
      <c r="E55" s="259"/>
      <c r="F55" s="259"/>
    </row>
    <row r="56" spans="1:6" ht="29.25" customHeight="1" x14ac:dyDescent="0.25">
      <c r="A56" s="260"/>
      <c r="B56" s="262"/>
      <c r="C56" s="260"/>
      <c r="D56" s="259"/>
      <c r="E56" s="259"/>
      <c r="F56" s="259"/>
    </row>
    <row r="57" spans="1:6" ht="29.25" customHeight="1" x14ac:dyDescent="0.25">
      <c r="A57" s="260"/>
      <c r="B57" s="262"/>
      <c r="C57" s="260"/>
      <c r="D57" s="259"/>
      <c r="E57" s="259"/>
      <c r="F57" s="259"/>
    </row>
    <row r="58" spans="1:6" ht="29.25" customHeight="1" x14ac:dyDescent="0.25">
      <c r="A58" s="260"/>
      <c r="B58" s="262"/>
      <c r="C58" s="260"/>
      <c r="D58" s="259"/>
      <c r="E58" s="259"/>
      <c r="F58" s="259"/>
    </row>
    <row r="59" spans="1:6" ht="29.25" customHeight="1" x14ac:dyDescent="0.25">
      <c r="A59" s="260"/>
      <c r="B59" s="262"/>
      <c r="C59" s="260"/>
      <c r="D59" s="259"/>
      <c r="E59" s="259"/>
      <c r="F59" s="259"/>
    </row>
    <row r="60" spans="1:6" ht="29.25" customHeight="1" x14ac:dyDescent="0.25">
      <c r="A60" s="260"/>
      <c r="B60" s="262"/>
      <c r="C60" s="260"/>
      <c r="D60" s="259"/>
      <c r="E60" s="259"/>
      <c r="F60" s="259"/>
    </row>
    <row r="61" spans="1:6" ht="29.25" customHeight="1" x14ac:dyDescent="0.25">
      <c r="A61" s="260"/>
      <c r="B61" s="262"/>
      <c r="C61" s="260"/>
      <c r="D61" s="259"/>
      <c r="E61" s="259"/>
      <c r="F61" s="259"/>
    </row>
    <row r="62" spans="1:6" ht="29.25" customHeight="1" x14ac:dyDescent="0.25">
      <c r="A62" s="260"/>
      <c r="B62" s="262"/>
      <c r="C62" s="260"/>
      <c r="D62" s="259"/>
      <c r="E62" s="259"/>
      <c r="F62" s="259"/>
    </row>
    <row r="63" spans="1:6" ht="29.25" customHeight="1" x14ac:dyDescent="0.25">
      <c r="A63" s="260"/>
      <c r="B63" s="262"/>
      <c r="C63" s="260"/>
      <c r="D63" s="259"/>
      <c r="E63" s="259"/>
      <c r="F63" s="259"/>
    </row>
    <row r="64" spans="1:6" ht="29.25" customHeight="1" x14ac:dyDescent="0.25">
      <c r="A64" s="260"/>
      <c r="B64" s="262"/>
      <c r="C64" s="260"/>
      <c r="D64" s="259"/>
      <c r="E64" s="259"/>
      <c r="F64" s="259"/>
    </row>
    <row r="65" spans="1:6" ht="29.25" customHeight="1" x14ac:dyDescent="0.25">
      <c r="A65" s="260"/>
      <c r="B65" s="262"/>
      <c r="C65" s="260"/>
      <c r="D65" s="259"/>
      <c r="E65" s="259"/>
      <c r="F65" s="259"/>
    </row>
    <row r="66" spans="1:6" ht="29.25" customHeight="1" x14ac:dyDescent="0.25">
      <c r="A66" s="260"/>
      <c r="B66" s="262"/>
      <c r="C66" s="260"/>
      <c r="D66" s="259"/>
      <c r="E66" s="259"/>
      <c r="F66" s="259"/>
    </row>
    <row r="67" spans="1:6" ht="29.25" customHeight="1" x14ac:dyDescent="0.25">
      <c r="A67" s="260"/>
      <c r="B67" s="262"/>
      <c r="C67" s="260"/>
      <c r="D67" s="259"/>
      <c r="E67" s="259"/>
      <c r="F67" s="259"/>
    </row>
    <row r="68" spans="1:6" ht="29.25" customHeight="1" x14ac:dyDescent="0.25">
      <c r="A68" s="260"/>
      <c r="B68" s="262"/>
      <c r="C68" s="260"/>
      <c r="D68" s="259"/>
      <c r="E68" s="259"/>
      <c r="F68" s="259"/>
    </row>
    <row r="69" spans="1:6" ht="29.25" customHeight="1" x14ac:dyDescent="0.25">
      <c r="A69" s="260"/>
      <c r="B69" s="262"/>
      <c r="C69" s="260"/>
      <c r="D69" s="259"/>
      <c r="E69" s="259"/>
      <c r="F69" s="259"/>
    </row>
    <row r="70" spans="1:6" ht="29.25" customHeight="1" x14ac:dyDescent="0.25">
      <c r="A70" s="260"/>
      <c r="B70" s="262"/>
      <c r="C70" s="260"/>
      <c r="D70" s="259"/>
      <c r="E70" s="259"/>
      <c r="F70" s="259"/>
    </row>
    <row r="71" spans="1:6" ht="29.25" customHeight="1" x14ac:dyDescent="0.25">
      <c r="A71" s="260"/>
      <c r="B71" s="262"/>
      <c r="C71" s="260"/>
      <c r="D71" s="259"/>
      <c r="E71" s="259"/>
      <c r="F71" s="259"/>
    </row>
    <row r="72" spans="1:6" ht="29.25" customHeight="1" x14ac:dyDescent="0.25">
      <c r="A72" s="260"/>
      <c r="B72" s="262"/>
      <c r="C72" s="260"/>
      <c r="D72" s="259"/>
      <c r="E72" s="259"/>
      <c r="F72" s="259"/>
    </row>
    <row r="73" spans="1:6" ht="29.25" customHeight="1" x14ac:dyDescent="0.25">
      <c r="A73" s="260"/>
      <c r="B73" s="262"/>
      <c r="C73" s="260"/>
      <c r="D73" s="259"/>
      <c r="E73" s="259"/>
      <c r="F73" s="259"/>
    </row>
    <row r="74" spans="1:6" ht="29.25" customHeight="1" x14ac:dyDescent="0.25">
      <c r="A74" s="260"/>
      <c r="B74" s="262"/>
      <c r="C74" s="260"/>
      <c r="D74" s="259"/>
      <c r="E74" s="259"/>
      <c r="F74" s="259"/>
    </row>
    <row r="75" spans="1:6" ht="29.25" customHeight="1" x14ac:dyDescent="0.25">
      <c r="A75" s="260"/>
      <c r="B75" s="262"/>
      <c r="C75" s="260"/>
      <c r="D75" s="259"/>
      <c r="E75" s="259"/>
      <c r="F75" s="259"/>
    </row>
    <row r="76" spans="1:6" ht="29.25" customHeight="1" x14ac:dyDescent="0.25">
      <c r="A76" s="260"/>
      <c r="B76" s="262"/>
      <c r="C76" s="260"/>
      <c r="D76" s="259"/>
      <c r="E76" s="259"/>
      <c r="F76" s="259"/>
    </row>
    <row r="77" spans="1:6" ht="29.25" customHeight="1" x14ac:dyDescent="0.25">
      <c r="A77" s="260"/>
      <c r="B77" s="262"/>
      <c r="C77" s="260"/>
      <c r="D77" s="259"/>
      <c r="E77" s="259"/>
      <c r="F77" s="259"/>
    </row>
    <row r="78" spans="1:6" ht="29.25" customHeight="1" x14ac:dyDescent="0.25">
      <c r="A78" s="260"/>
      <c r="B78" s="262"/>
      <c r="C78" s="260"/>
      <c r="D78" s="259"/>
      <c r="E78" s="259"/>
      <c r="F78" s="259"/>
    </row>
    <row r="79" spans="1:6" ht="29.25" customHeight="1" x14ac:dyDescent="0.25">
      <c r="A79" s="260"/>
      <c r="B79" s="262"/>
      <c r="C79" s="260"/>
      <c r="D79" s="259"/>
      <c r="E79" s="259"/>
      <c r="F79" s="259"/>
    </row>
    <row r="80" spans="1:6" ht="29.25" customHeight="1" x14ac:dyDescent="0.25">
      <c r="A80" s="260"/>
      <c r="B80" s="262"/>
      <c r="C80" s="260"/>
      <c r="D80" s="259"/>
      <c r="E80" s="259"/>
      <c r="F80" s="259"/>
    </row>
    <row r="81" spans="1:6" ht="29.25" customHeight="1" x14ac:dyDescent="0.25">
      <c r="A81" s="260"/>
      <c r="B81" s="262"/>
      <c r="C81" s="260"/>
      <c r="D81" s="259"/>
      <c r="E81" s="259"/>
      <c r="F81" s="259"/>
    </row>
    <row r="82" spans="1:6" ht="29.25" customHeight="1" x14ac:dyDescent="0.25">
      <c r="A82" s="260"/>
      <c r="B82" s="262"/>
      <c r="C82" s="260"/>
      <c r="D82" s="259"/>
      <c r="E82" s="259"/>
      <c r="F82" s="259"/>
    </row>
    <row r="83" spans="1:6" ht="29.25" customHeight="1" x14ac:dyDescent="0.25">
      <c r="A83" s="260"/>
      <c r="B83" s="262"/>
      <c r="C83" s="260"/>
      <c r="D83" s="259"/>
      <c r="E83" s="259"/>
      <c r="F83" s="259"/>
    </row>
    <row r="84" spans="1:6" ht="29.25" customHeight="1" x14ac:dyDescent="0.25">
      <c r="A84" s="260"/>
      <c r="B84" s="262"/>
      <c r="C84" s="260"/>
      <c r="D84" s="259"/>
      <c r="E84" s="259"/>
      <c r="F84" s="259"/>
    </row>
    <row r="85" spans="1:6" ht="29.25" customHeight="1" x14ac:dyDescent="0.25">
      <c r="A85" s="260"/>
      <c r="B85" s="262"/>
      <c r="C85" s="260"/>
      <c r="D85" s="259"/>
      <c r="E85" s="259"/>
      <c r="F85" s="259"/>
    </row>
    <row r="86" spans="1:6" ht="29.25" customHeight="1" x14ac:dyDescent="0.25">
      <c r="A86" s="260"/>
      <c r="B86" s="262"/>
      <c r="C86" s="260"/>
      <c r="D86" s="259"/>
      <c r="E86" s="259"/>
      <c r="F86" s="259"/>
    </row>
    <row r="87" spans="1:6" ht="29.25" customHeight="1" x14ac:dyDescent="0.25">
      <c r="A87" s="260"/>
      <c r="B87" s="262"/>
      <c r="C87" s="260"/>
      <c r="D87" s="259"/>
      <c r="E87" s="259"/>
      <c r="F87" s="259"/>
    </row>
    <row r="88" spans="1:6" ht="29.25" customHeight="1" x14ac:dyDescent="0.25">
      <c r="A88" s="260"/>
      <c r="B88" s="262"/>
      <c r="C88" s="260"/>
      <c r="D88" s="259"/>
      <c r="E88" s="259"/>
      <c r="F88" s="259"/>
    </row>
    <row r="89" spans="1:6" ht="29.25" customHeight="1" x14ac:dyDescent="0.25">
      <c r="A89" s="260"/>
      <c r="B89" s="262"/>
      <c r="C89" s="260"/>
      <c r="D89" s="259"/>
      <c r="E89" s="259"/>
      <c r="F89" s="259"/>
    </row>
    <row r="90" spans="1:6" ht="29.25" customHeight="1" x14ac:dyDescent="0.25">
      <c r="A90" s="260"/>
      <c r="B90" s="262"/>
      <c r="C90" s="260"/>
      <c r="D90" s="259"/>
      <c r="E90" s="259"/>
      <c r="F90" s="259"/>
    </row>
    <row r="91" spans="1:6" ht="29.25" customHeight="1" x14ac:dyDescent="0.25">
      <c r="A91" s="260"/>
      <c r="B91" s="262"/>
      <c r="C91" s="260"/>
      <c r="D91" s="259"/>
      <c r="E91" s="259"/>
      <c r="F91" s="259"/>
    </row>
    <row r="92" spans="1:6" ht="29.25" customHeight="1" x14ac:dyDescent="0.25">
      <c r="A92" s="260"/>
      <c r="B92" s="262"/>
      <c r="C92" s="260"/>
      <c r="D92" s="259"/>
      <c r="E92" s="259"/>
      <c r="F92" s="259"/>
    </row>
    <row r="93" spans="1:6" ht="29.25" customHeight="1" x14ac:dyDescent="0.25">
      <c r="A93" s="260"/>
      <c r="B93" s="262"/>
      <c r="C93" s="260"/>
      <c r="D93" s="259"/>
      <c r="E93" s="259"/>
      <c r="F93" s="259"/>
    </row>
    <row r="94" spans="1:6" ht="29.25" customHeight="1" x14ac:dyDescent="0.25">
      <c r="A94" s="260"/>
      <c r="B94" s="262"/>
      <c r="C94" s="260"/>
      <c r="D94" s="259"/>
      <c r="E94" s="259"/>
      <c r="F94" s="259"/>
    </row>
    <row r="95" spans="1:6" ht="29.25" customHeight="1" x14ac:dyDescent="0.25">
      <c r="A95" s="260"/>
      <c r="B95" s="262"/>
      <c r="C95" s="260"/>
      <c r="D95" s="259"/>
      <c r="E95" s="259"/>
      <c r="F95" s="259"/>
    </row>
    <row r="96" spans="1:6" ht="29.25" customHeight="1" x14ac:dyDescent="0.25">
      <c r="A96" s="260"/>
      <c r="B96" s="262"/>
      <c r="C96" s="260"/>
      <c r="D96" s="259"/>
      <c r="E96" s="259"/>
      <c r="F96" s="259"/>
    </row>
    <row r="97" spans="1:6" ht="29.25" customHeight="1" x14ac:dyDescent="0.25">
      <c r="A97" s="260"/>
      <c r="B97" s="262"/>
      <c r="C97" s="260"/>
      <c r="D97" s="259"/>
      <c r="E97" s="259"/>
      <c r="F97" s="259"/>
    </row>
    <row r="98" spans="1:6" ht="29.25" customHeight="1" x14ac:dyDescent="0.25">
      <c r="A98" s="260"/>
      <c r="B98" s="262"/>
      <c r="C98" s="260"/>
      <c r="D98" s="259"/>
      <c r="E98" s="259"/>
      <c r="F98" s="259"/>
    </row>
    <row r="99" spans="1:6" ht="29.25" customHeight="1" x14ac:dyDescent="0.25">
      <c r="A99" s="260"/>
      <c r="B99" s="262"/>
      <c r="C99" s="260"/>
      <c r="D99" s="259"/>
      <c r="E99" s="259"/>
      <c r="F99" s="259"/>
    </row>
    <row r="100" spans="1:6" ht="29.25" customHeight="1" x14ac:dyDescent="0.25">
      <c r="A100" s="260"/>
      <c r="B100" s="262"/>
      <c r="C100" s="260"/>
      <c r="D100" s="259"/>
      <c r="E100" s="259"/>
      <c r="F100" s="259"/>
    </row>
    <row r="101" spans="1:6" ht="29.25" customHeight="1" x14ac:dyDescent="0.25">
      <c r="A101" s="260"/>
      <c r="B101" s="262"/>
      <c r="C101" s="260"/>
      <c r="D101" s="259"/>
      <c r="E101" s="259"/>
      <c r="F101" s="259"/>
    </row>
    <row r="102" spans="1:6" ht="29.25" customHeight="1" x14ac:dyDescent="0.25">
      <c r="A102" s="260"/>
      <c r="B102" s="262"/>
      <c r="C102" s="260"/>
      <c r="D102" s="259"/>
      <c r="E102" s="259"/>
      <c r="F102" s="259"/>
    </row>
    <row r="103" spans="1:6" ht="29.25" customHeight="1" x14ac:dyDescent="0.25">
      <c r="A103" s="260"/>
      <c r="B103" s="262"/>
      <c r="C103" s="260"/>
      <c r="D103" s="259"/>
      <c r="E103" s="259"/>
      <c r="F103" s="259"/>
    </row>
    <row r="104" spans="1:6" ht="29.25" customHeight="1" x14ac:dyDescent="0.25">
      <c r="A104" s="260"/>
      <c r="B104" s="262"/>
      <c r="C104" s="260"/>
      <c r="D104" s="259"/>
      <c r="E104" s="259"/>
      <c r="F104" s="259"/>
    </row>
    <row r="105" spans="1:6" ht="29.25" customHeight="1" x14ac:dyDescent="0.25">
      <c r="A105" s="260"/>
      <c r="B105" s="262"/>
      <c r="C105" s="260"/>
      <c r="D105" s="259"/>
      <c r="E105" s="259"/>
      <c r="F105" s="259"/>
    </row>
    <row r="106" spans="1:6" ht="29.25" customHeight="1" x14ac:dyDescent="0.25">
      <c r="A106" s="260"/>
      <c r="B106" s="262"/>
      <c r="C106" s="260"/>
      <c r="D106" s="259"/>
      <c r="E106" s="259"/>
      <c r="F106" s="259"/>
    </row>
    <row r="107" spans="1:6" ht="29.25" customHeight="1" x14ac:dyDescent="0.25">
      <c r="A107" s="260"/>
      <c r="B107" s="262"/>
      <c r="C107" s="260"/>
      <c r="D107" s="259"/>
      <c r="E107" s="259"/>
      <c r="F107" s="259"/>
    </row>
    <row r="108" spans="1:6" ht="29.25" customHeight="1" x14ac:dyDescent="0.25">
      <c r="A108" s="260"/>
      <c r="B108" s="262"/>
      <c r="C108" s="260"/>
      <c r="D108" s="259"/>
      <c r="E108" s="259"/>
      <c r="F108" s="259"/>
    </row>
    <row r="109" spans="1:6" ht="29.25" customHeight="1" x14ac:dyDescent="0.25">
      <c r="A109" s="260"/>
      <c r="B109" s="262"/>
      <c r="C109" s="260"/>
      <c r="D109" s="259"/>
      <c r="E109" s="259"/>
      <c r="F109" s="259"/>
    </row>
    <row r="110" spans="1:6" ht="29.25" customHeight="1" x14ac:dyDescent="0.25">
      <c r="A110" s="260"/>
      <c r="B110" s="262"/>
      <c r="C110" s="260"/>
      <c r="D110" s="259"/>
      <c r="E110" s="259"/>
      <c r="F110" s="259"/>
    </row>
    <row r="111" spans="1:6" ht="29.25" customHeight="1" x14ac:dyDescent="0.25">
      <c r="A111" s="260"/>
      <c r="B111" s="262"/>
      <c r="C111" s="260"/>
      <c r="D111" s="259"/>
      <c r="E111" s="259"/>
      <c r="F111" s="259"/>
    </row>
    <row r="112" spans="1:6" ht="29.25" customHeight="1" x14ac:dyDescent="0.25">
      <c r="A112" s="260"/>
      <c r="B112" s="262"/>
      <c r="C112" s="260"/>
      <c r="D112" s="259"/>
      <c r="E112" s="259"/>
      <c r="F112" s="259"/>
    </row>
    <row r="113" spans="1:6" ht="29.25" customHeight="1" x14ac:dyDescent="0.25">
      <c r="A113" s="260"/>
      <c r="B113" s="262"/>
      <c r="C113" s="260"/>
      <c r="D113" s="259"/>
      <c r="E113" s="259"/>
      <c r="F113" s="259"/>
    </row>
    <row r="114" spans="1:6" ht="29.25" customHeight="1" x14ac:dyDescent="0.25">
      <c r="A114" s="260"/>
      <c r="B114" s="262"/>
      <c r="C114" s="260"/>
      <c r="D114" s="259"/>
      <c r="E114" s="259"/>
      <c r="F114" s="259"/>
    </row>
    <row r="115" spans="1:6" ht="29.25" customHeight="1" x14ac:dyDescent="0.25">
      <c r="A115" s="260"/>
      <c r="B115" s="262"/>
      <c r="C115" s="260"/>
      <c r="D115" s="259"/>
      <c r="E115" s="259"/>
      <c r="F115" s="259"/>
    </row>
    <row r="116" spans="1:6" ht="29.25" customHeight="1" x14ac:dyDescent="0.25">
      <c r="A116" s="260"/>
      <c r="B116" s="262"/>
      <c r="C116" s="260"/>
      <c r="D116" s="259"/>
      <c r="E116" s="259"/>
      <c r="F116" s="259"/>
    </row>
    <row r="117" spans="1:6" ht="29.25" customHeight="1" x14ac:dyDescent="0.25">
      <c r="A117" s="260"/>
      <c r="B117" s="262"/>
      <c r="C117" s="260"/>
      <c r="D117" s="259"/>
      <c r="E117" s="259"/>
      <c r="F117" s="259"/>
    </row>
    <row r="118" spans="1:6" ht="29.25" customHeight="1" x14ac:dyDescent="0.25">
      <c r="A118" s="260"/>
      <c r="B118" s="262"/>
      <c r="C118" s="260"/>
      <c r="D118" s="259"/>
      <c r="E118" s="259"/>
      <c r="F118" s="259"/>
    </row>
    <row r="119" spans="1:6" ht="29.25" customHeight="1" x14ac:dyDescent="0.25">
      <c r="A119" s="260"/>
      <c r="B119" s="262"/>
      <c r="C119" s="260"/>
      <c r="D119" s="259"/>
      <c r="E119" s="259"/>
      <c r="F119" s="259"/>
    </row>
    <row r="120" spans="1:6" ht="29.25" customHeight="1" x14ac:dyDescent="0.25">
      <c r="A120" s="260"/>
      <c r="B120" s="262"/>
      <c r="C120" s="260"/>
      <c r="D120" s="259"/>
      <c r="E120" s="259"/>
      <c r="F120" s="259"/>
    </row>
    <row r="121" spans="1:6" ht="29.25" customHeight="1" x14ac:dyDescent="0.25">
      <c r="A121" s="260"/>
      <c r="B121" s="262"/>
      <c r="C121" s="260"/>
      <c r="D121" s="259"/>
      <c r="E121" s="259"/>
      <c r="F121" s="259"/>
    </row>
    <row r="122" spans="1:6" ht="29.25" customHeight="1" x14ac:dyDescent="0.25">
      <c r="A122" s="260"/>
      <c r="B122" s="262"/>
      <c r="C122" s="260"/>
      <c r="D122" s="259"/>
      <c r="E122" s="259"/>
      <c r="F122" s="259"/>
    </row>
    <row r="123" spans="1:6" ht="29.25" customHeight="1" x14ac:dyDescent="0.25">
      <c r="A123" s="260"/>
      <c r="B123" s="262"/>
      <c r="C123" s="260"/>
      <c r="D123" s="259"/>
      <c r="E123" s="259"/>
      <c r="F123" s="259"/>
    </row>
    <row r="124" spans="1:6" ht="29.25" customHeight="1" x14ac:dyDescent="0.25">
      <c r="A124" s="260"/>
      <c r="B124" s="262"/>
      <c r="C124" s="260"/>
      <c r="D124" s="259"/>
      <c r="E124" s="259"/>
      <c r="F124" s="259"/>
    </row>
    <row r="125" spans="1:6" ht="29.25" customHeight="1" x14ac:dyDescent="0.25">
      <c r="A125" s="260"/>
      <c r="B125" s="262"/>
      <c r="C125" s="260"/>
      <c r="D125" s="259"/>
      <c r="E125" s="259"/>
      <c r="F125" s="259"/>
    </row>
    <row r="126" spans="1:6" ht="29.25" customHeight="1" x14ac:dyDescent="0.25">
      <c r="A126" s="260"/>
      <c r="B126" s="262"/>
      <c r="C126" s="260"/>
      <c r="D126" s="259"/>
      <c r="E126" s="259"/>
      <c r="F126" s="259"/>
    </row>
    <row r="127" spans="1:6" ht="29.25" customHeight="1" x14ac:dyDescent="0.25">
      <c r="A127" s="260"/>
      <c r="B127" s="262"/>
      <c r="C127" s="260"/>
      <c r="D127" s="259"/>
      <c r="E127" s="259"/>
      <c r="F127" s="259"/>
    </row>
    <row r="128" spans="1:6" ht="29.25" customHeight="1" x14ac:dyDescent="0.25">
      <c r="A128" s="260"/>
      <c r="B128" s="262"/>
      <c r="C128" s="260"/>
      <c r="D128" s="259"/>
      <c r="E128" s="259"/>
      <c r="F128" s="259"/>
    </row>
    <row r="129" spans="1:6" ht="29.25" customHeight="1" x14ac:dyDescent="0.25">
      <c r="A129" s="260"/>
      <c r="B129" s="262"/>
      <c r="C129" s="260"/>
      <c r="D129" s="259"/>
      <c r="E129" s="259"/>
      <c r="F129" s="259"/>
    </row>
    <row r="130" spans="1:6" ht="29.25" customHeight="1" x14ac:dyDescent="0.25">
      <c r="A130" s="260"/>
      <c r="B130" s="262"/>
      <c r="C130" s="260"/>
      <c r="D130" s="259"/>
      <c r="E130" s="259"/>
      <c r="F130" s="259"/>
    </row>
    <row r="131" spans="1:6" ht="29.25" customHeight="1" x14ac:dyDescent="0.25">
      <c r="A131" s="260"/>
      <c r="B131" s="262"/>
      <c r="C131" s="260"/>
      <c r="D131" s="259"/>
      <c r="E131" s="259"/>
      <c r="F131" s="259"/>
    </row>
    <row r="132" spans="1:6" ht="29.25" customHeight="1" x14ac:dyDescent="0.25">
      <c r="A132" s="260"/>
      <c r="B132" s="262"/>
      <c r="C132" s="260"/>
      <c r="D132" s="259"/>
      <c r="E132" s="259"/>
      <c r="F132" s="259"/>
    </row>
    <row r="133" spans="1:6" ht="29.25" customHeight="1" x14ac:dyDescent="0.25">
      <c r="A133" s="260"/>
      <c r="B133" s="262"/>
      <c r="C133" s="260"/>
      <c r="D133" s="259"/>
      <c r="E133" s="259"/>
      <c r="F133" s="259"/>
    </row>
    <row r="134" spans="1:6" ht="29.25" customHeight="1" x14ac:dyDescent="0.25">
      <c r="A134" s="260"/>
      <c r="B134" s="262"/>
      <c r="C134" s="260"/>
      <c r="D134" s="259"/>
      <c r="E134" s="259"/>
      <c r="F134" s="259"/>
    </row>
    <row r="135" spans="1:6" ht="29.25" customHeight="1" x14ac:dyDescent="0.25">
      <c r="A135" s="260"/>
      <c r="B135" s="262"/>
      <c r="C135" s="260"/>
      <c r="D135" s="259"/>
      <c r="E135" s="259"/>
      <c r="F135" s="259"/>
    </row>
    <row r="136" spans="1:6" ht="29.25" customHeight="1" x14ac:dyDescent="0.25">
      <c r="A136" s="260"/>
      <c r="B136" s="262"/>
      <c r="C136" s="260"/>
      <c r="D136" s="259"/>
      <c r="E136" s="259"/>
      <c r="F136" s="259"/>
    </row>
    <row r="137" spans="1:6" ht="29.25" customHeight="1" x14ac:dyDescent="0.25">
      <c r="A137" s="260"/>
      <c r="B137" s="262"/>
      <c r="C137" s="260"/>
      <c r="D137" s="259"/>
      <c r="E137" s="259"/>
      <c r="F137" s="259"/>
    </row>
    <row r="138" spans="1:6" ht="29.25" customHeight="1" x14ac:dyDescent="0.25">
      <c r="A138" s="260"/>
      <c r="B138" s="262"/>
      <c r="C138" s="260"/>
      <c r="D138" s="259"/>
      <c r="E138" s="259"/>
      <c r="F138" s="259"/>
    </row>
    <row r="139" spans="1:6" ht="29.25" customHeight="1" x14ac:dyDescent="0.25">
      <c r="A139" s="260"/>
      <c r="B139" s="262"/>
      <c r="C139" s="260"/>
      <c r="D139" s="259"/>
      <c r="E139" s="259"/>
      <c r="F139" s="259"/>
    </row>
    <row r="140" spans="1:6" ht="29.25" customHeight="1" x14ac:dyDescent="0.25">
      <c r="A140" s="260"/>
      <c r="B140" s="262"/>
      <c r="C140" s="260"/>
      <c r="D140" s="259"/>
      <c r="E140" s="259"/>
      <c r="F140" s="259"/>
    </row>
    <row r="141" spans="1:6" ht="29.25" customHeight="1" x14ac:dyDescent="0.25">
      <c r="A141" s="260"/>
      <c r="B141" s="262"/>
      <c r="C141" s="260"/>
      <c r="D141" s="259"/>
      <c r="E141" s="259"/>
      <c r="F141" s="259"/>
    </row>
    <row r="142" spans="1:6" ht="29.25" customHeight="1" x14ac:dyDescent="0.25">
      <c r="A142" s="260"/>
      <c r="B142" s="262"/>
      <c r="C142" s="260"/>
      <c r="D142" s="259"/>
      <c r="E142" s="259"/>
      <c r="F142" s="259"/>
    </row>
    <row r="143" spans="1:6" ht="29.25" customHeight="1" x14ac:dyDescent="0.25">
      <c r="A143" s="260"/>
      <c r="B143" s="262"/>
      <c r="C143" s="260"/>
      <c r="D143" s="259"/>
      <c r="E143" s="259"/>
      <c r="F143" s="259"/>
    </row>
    <row r="144" spans="1:6" ht="29.25" customHeight="1" x14ac:dyDescent="0.25">
      <c r="A144" s="260"/>
      <c r="B144" s="262"/>
      <c r="C144" s="260"/>
      <c r="D144" s="259"/>
      <c r="E144" s="259"/>
      <c r="F144" s="259"/>
    </row>
    <row r="145" spans="1:6" ht="29.25" customHeight="1" x14ac:dyDescent="0.25">
      <c r="A145" s="260"/>
      <c r="B145" s="262"/>
      <c r="C145" s="260"/>
      <c r="D145" s="259"/>
      <c r="E145" s="259"/>
      <c r="F145" s="259"/>
    </row>
    <row r="146" spans="1:6" ht="29.25" customHeight="1" x14ac:dyDescent="0.25">
      <c r="A146" s="260"/>
      <c r="B146" s="262"/>
      <c r="C146" s="260"/>
      <c r="D146" s="259"/>
      <c r="E146" s="259"/>
      <c r="F146" s="259"/>
    </row>
    <row r="147" spans="1:6" ht="29.25" customHeight="1" x14ac:dyDescent="0.25">
      <c r="A147" s="260"/>
      <c r="B147" s="262"/>
      <c r="C147" s="260"/>
      <c r="D147" s="259"/>
      <c r="E147" s="259"/>
      <c r="F147" s="259"/>
    </row>
    <row r="148" spans="1:6" ht="29.25" customHeight="1" x14ac:dyDescent="0.25">
      <c r="A148" s="260"/>
      <c r="B148" s="262"/>
      <c r="C148" s="260"/>
      <c r="D148" s="259"/>
      <c r="E148" s="259"/>
      <c r="F148" s="259"/>
    </row>
    <row r="149" spans="1:6" ht="29.25" customHeight="1" x14ac:dyDescent="0.25">
      <c r="A149" s="260"/>
      <c r="B149" s="262"/>
      <c r="C149" s="260"/>
      <c r="D149" s="259"/>
      <c r="E149" s="259"/>
      <c r="F149" s="259"/>
    </row>
    <row r="150" spans="1:6" ht="29.25" customHeight="1" x14ac:dyDescent="0.25">
      <c r="A150" s="260"/>
      <c r="B150" s="262"/>
      <c r="C150" s="260"/>
      <c r="D150" s="259"/>
      <c r="E150" s="259"/>
      <c r="F150" s="259"/>
    </row>
    <row r="151" spans="1:6" ht="29.25" customHeight="1" x14ac:dyDescent="0.25">
      <c r="A151" s="260"/>
      <c r="B151" s="262"/>
      <c r="C151" s="260"/>
      <c r="D151" s="259"/>
      <c r="E151" s="259"/>
      <c r="F151" s="259"/>
    </row>
    <row r="152" spans="1:6" ht="29.25" customHeight="1" x14ac:dyDescent="0.25">
      <c r="A152" s="260"/>
      <c r="B152" s="262"/>
      <c r="C152" s="260"/>
      <c r="D152" s="259"/>
      <c r="E152" s="259"/>
      <c r="F152" s="259"/>
    </row>
    <row r="153" spans="1:6" ht="29.25" customHeight="1" x14ac:dyDescent="0.25">
      <c r="A153" s="260"/>
      <c r="B153" s="262"/>
      <c r="C153" s="260"/>
      <c r="D153" s="259"/>
      <c r="E153" s="259"/>
      <c r="F153" s="259"/>
    </row>
    <row r="154" spans="1:6" ht="29.25" customHeight="1" x14ac:dyDescent="0.25">
      <c r="A154" s="260"/>
      <c r="B154" s="262"/>
      <c r="C154" s="260"/>
      <c r="D154" s="259"/>
      <c r="E154" s="259"/>
      <c r="F154" s="259"/>
    </row>
    <row r="155" spans="1:6" ht="29.25" customHeight="1" x14ac:dyDescent="0.25">
      <c r="A155" s="260"/>
      <c r="B155" s="262"/>
      <c r="C155" s="260"/>
      <c r="D155" s="259"/>
      <c r="E155" s="259"/>
      <c r="F155" s="259"/>
    </row>
    <row r="156" spans="1:6" ht="29.25" customHeight="1" x14ac:dyDescent="0.25">
      <c r="A156" s="260"/>
      <c r="B156" s="262"/>
      <c r="C156" s="260"/>
      <c r="D156" s="259"/>
      <c r="E156" s="259"/>
      <c r="F156" s="259"/>
    </row>
    <row r="157" spans="1:6" ht="29.25" customHeight="1" x14ac:dyDescent="0.25">
      <c r="A157" s="260"/>
      <c r="B157" s="262"/>
      <c r="C157" s="260"/>
      <c r="D157" s="259"/>
      <c r="E157" s="259"/>
      <c r="F157" s="259"/>
    </row>
    <row r="158" spans="1:6" ht="29.25" customHeight="1" x14ac:dyDescent="0.25">
      <c r="A158" s="260"/>
      <c r="B158" s="262"/>
      <c r="C158" s="260"/>
      <c r="D158" s="259"/>
      <c r="E158" s="259"/>
      <c r="F158" s="259"/>
    </row>
    <row r="159" spans="1:6" ht="29.25" customHeight="1" x14ac:dyDescent="0.25">
      <c r="A159" s="260"/>
      <c r="B159" s="262"/>
      <c r="C159" s="260"/>
      <c r="D159" s="259"/>
      <c r="E159" s="259"/>
      <c r="F159" s="259"/>
    </row>
    <row r="160" spans="1:6" ht="29.25" customHeight="1" x14ac:dyDescent="0.25">
      <c r="A160" s="260"/>
      <c r="B160" s="262"/>
      <c r="C160" s="260"/>
      <c r="D160" s="259"/>
      <c r="E160" s="259"/>
      <c r="F160" s="259"/>
    </row>
    <row r="161" spans="1:6" ht="29.25" customHeight="1" x14ac:dyDescent="0.25">
      <c r="A161" s="260"/>
      <c r="B161" s="262"/>
      <c r="C161" s="260"/>
      <c r="D161" s="259"/>
      <c r="E161" s="259"/>
      <c r="F161" s="259"/>
    </row>
    <row r="162" spans="1:6" ht="29.25" customHeight="1" x14ac:dyDescent="0.25">
      <c r="A162" s="260"/>
      <c r="B162" s="262"/>
      <c r="C162" s="260"/>
      <c r="D162" s="259"/>
      <c r="E162" s="259"/>
      <c r="F162" s="259"/>
    </row>
    <row r="163" spans="1:6" ht="29.25" customHeight="1" x14ac:dyDescent="0.25">
      <c r="A163" s="260"/>
      <c r="B163" s="262"/>
      <c r="C163" s="260"/>
      <c r="D163" s="259"/>
      <c r="E163" s="259"/>
      <c r="F163" s="259"/>
    </row>
    <row r="164" spans="1:6" ht="29.25" customHeight="1" x14ac:dyDescent="0.25">
      <c r="A164" s="260"/>
      <c r="B164" s="262"/>
      <c r="C164" s="260"/>
      <c r="D164" s="259"/>
      <c r="E164" s="259"/>
      <c r="F164" s="259"/>
    </row>
    <row r="165" spans="1:6" ht="29.25" customHeight="1" x14ac:dyDescent="0.25">
      <c r="A165" s="260"/>
      <c r="B165" s="262"/>
      <c r="C165" s="260"/>
      <c r="D165" s="259"/>
      <c r="E165" s="259"/>
      <c r="F165" s="259"/>
    </row>
    <row r="166" spans="1:6" ht="29.25" customHeight="1" x14ac:dyDescent="0.25">
      <c r="A166" s="260"/>
      <c r="B166" s="262"/>
      <c r="C166" s="260"/>
      <c r="D166" s="259"/>
      <c r="E166" s="259"/>
      <c r="F166" s="259"/>
    </row>
    <row r="167" spans="1:6" ht="29.25" customHeight="1" x14ac:dyDescent="0.25">
      <c r="A167" s="260"/>
      <c r="B167" s="262"/>
      <c r="C167" s="260"/>
      <c r="D167" s="259"/>
      <c r="E167" s="259"/>
      <c r="F167" s="259"/>
    </row>
    <row r="168" spans="1:6" ht="29.25" customHeight="1" x14ac:dyDescent="0.25">
      <c r="A168" s="260"/>
      <c r="B168" s="262"/>
      <c r="C168" s="260"/>
      <c r="D168" s="259"/>
      <c r="E168" s="259"/>
      <c r="F168" s="259"/>
    </row>
    <row r="169" spans="1:6" ht="29.25" customHeight="1" x14ac:dyDescent="0.25">
      <c r="A169" s="260"/>
      <c r="B169" s="262"/>
      <c r="C169" s="260"/>
      <c r="D169" s="259"/>
      <c r="E169" s="259"/>
      <c r="F169" s="259"/>
    </row>
    <row r="170" spans="1:6" ht="29.25" customHeight="1" x14ac:dyDescent="0.25">
      <c r="A170" s="260"/>
      <c r="B170" s="262"/>
      <c r="C170" s="260"/>
      <c r="D170" s="259"/>
      <c r="E170" s="259"/>
      <c r="F170" s="259"/>
    </row>
    <row r="171" spans="1:6" ht="29.25" customHeight="1" x14ac:dyDescent="0.25">
      <c r="A171" s="260"/>
      <c r="B171" s="262"/>
      <c r="C171" s="260"/>
      <c r="D171" s="259"/>
      <c r="E171" s="259"/>
      <c r="F171" s="259"/>
    </row>
    <row r="172" spans="1:6" ht="29.25" customHeight="1" x14ac:dyDescent="0.25">
      <c r="A172" s="260"/>
      <c r="B172" s="262"/>
      <c r="C172" s="260"/>
      <c r="D172" s="259"/>
      <c r="E172" s="259"/>
      <c r="F172" s="259"/>
    </row>
    <row r="173" spans="1:6" ht="29.25" customHeight="1" x14ac:dyDescent="0.25">
      <c r="A173" s="260"/>
      <c r="B173" s="262"/>
      <c r="C173" s="260"/>
      <c r="D173" s="259"/>
      <c r="E173" s="259"/>
      <c r="F173" s="259"/>
    </row>
    <row r="174" spans="1:6" ht="29.25" customHeight="1" x14ac:dyDescent="0.25">
      <c r="A174" s="260"/>
      <c r="B174" s="262"/>
      <c r="C174" s="260"/>
      <c r="D174" s="259"/>
      <c r="E174" s="259"/>
      <c r="F174" s="259"/>
    </row>
    <row r="175" spans="1:6" ht="29.25" customHeight="1" x14ac:dyDescent="0.25">
      <c r="A175" s="260"/>
      <c r="B175" s="262"/>
      <c r="C175" s="260"/>
      <c r="D175" s="259"/>
      <c r="E175" s="259"/>
      <c r="F175" s="259"/>
    </row>
    <row r="176" spans="1:6" ht="29.25" customHeight="1" x14ac:dyDescent="0.25">
      <c r="A176" s="260"/>
      <c r="B176" s="262"/>
      <c r="C176" s="260"/>
      <c r="D176" s="259"/>
      <c r="E176" s="259"/>
      <c r="F176" s="259"/>
    </row>
    <row r="177" spans="1:6" ht="29.25" customHeight="1" x14ac:dyDescent="0.25">
      <c r="A177" s="260"/>
      <c r="B177" s="262"/>
      <c r="C177" s="260"/>
      <c r="D177" s="259"/>
      <c r="E177" s="259"/>
      <c r="F177" s="259"/>
    </row>
    <row r="178" spans="1:6" ht="29.25" customHeight="1" x14ac:dyDescent="0.25">
      <c r="A178" s="260"/>
      <c r="B178" s="262"/>
      <c r="C178" s="260"/>
      <c r="D178" s="259"/>
      <c r="E178" s="259"/>
      <c r="F178" s="259"/>
    </row>
    <row r="179" spans="1:6" ht="29.25" customHeight="1" x14ac:dyDescent="0.25">
      <c r="A179" s="260"/>
      <c r="B179" s="262"/>
      <c r="C179" s="260"/>
      <c r="D179" s="259"/>
      <c r="E179" s="259"/>
      <c r="F179" s="259"/>
    </row>
    <row r="180" spans="1:6" ht="29.25" customHeight="1" x14ac:dyDescent="0.25">
      <c r="A180" s="260"/>
      <c r="B180" s="262"/>
      <c r="C180" s="260"/>
      <c r="D180" s="259"/>
      <c r="E180" s="259"/>
      <c r="F180" s="259"/>
    </row>
    <row r="181" spans="1:6" ht="29.25" customHeight="1" x14ac:dyDescent="0.25">
      <c r="A181" s="260"/>
      <c r="B181" s="262"/>
      <c r="C181" s="260"/>
      <c r="D181" s="259"/>
      <c r="E181" s="259"/>
      <c r="F181" s="259"/>
    </row>
    <row r="182" spans="1:6" ht="29.25" customHeight="1" x14ac:dyDescent="0.25">
      <c r="A182" s="260"/>
      <c r="B182" s="262"/>
      <c r="C182" s="260"/>
      <c r="D182" s="259"/>
      <c r="E182" s="259"/>
      <c r="F182" s="259"/>
    </row>
    <row r="183" spans="1:6" ht="29.25" customHeight="1" x14ac:dyDescent="0.25">
      <c r="A183" s="260"/>
      <c r="B183" s="262"/>
      <c r="C183" s="260"/>
      <c r="D183" s="259"/>
      <c r="E183" s="259"/>
      <c r="F183" s="259"/>
    </row>
    <row r="184" spans="1:6" ht="29.25" customHeight="1" x14ac:dyDescent="0.25">
      <c r="A184" s="260"/>
      <c r="B184" s="262"/>
      <c r="C184" s="260"/>
      <c r="D184" s="259"/>
      <c r="E184" s="259"/>
      <c r="F184" s="259"/>
    </row>
    <row r="185" spans="1:6" ht="29.25" customHeight="1" x14ac:dyDescent="0.25">
      <c r="A185" s="260"/>
      <c r="B185" s="262"/>
      <c r="C185" s="260"/>
      <c r="D185" s="259"/>
      <c r="E185" s="259"/>
      <c r="F185" s="259"/>
    </row>
    <row r="186" spans="1:6" ht="29.25" customHeight="1" x14ac:dyDescent="0.25">
      <c r="A186" s="260"/>
      <c r="B186" s="262"/>
      <c r="C186" s="260"/>
      <c r="D186" s="259"/>
      <c r="E186" s="259"/>
      <c r="F186" s="259"/>
    </row>
    <row r="187" spans="1:6" ht="29.25" customHeight="1" x14ac:dyDescent="0.25">
      <c r="A187" s="260"/>
      <c r="B187" s="262"/>
      <c r="C187" s="260"/>
      <c r="D187" s="259"/>
      <c r="E187" s="259"/>
      <c r="F187" s="259"/>
    </row>
    <row r="188" spans="1:6" ht="29.25" customHeight="1" x14ac:dyDescent="0.25">
      <c r="A188" s="260"/>
      <c r="B188" s="262"/>
      <c r="C188" s="260"/>
      <c r="D188" s="259"/>
      <c r="E188" s="259"/>
      <c r="F188" s="259"/>
    </row>
    <row r="189" spans="1:6" ht="29.25" customHeight="1" x14ac:dyDescent="0.25">
      <c r="A189" s="260"/>
      <c r="B189" s="262"/>
      <c r="C189" s="260"/>
      <c r="D189" s="259"/>
      <c r="E189" s="259"/>
      <c r="F189" s="259"/>
    </row>
    <row r="190" spans="1:6" ht="29.25" customHeight="1" x14ac:dyDescent="0.25">
      <c r="A190" s="260"/>
      <c r="B190" s="262"/>
      <c r="C190" s="260"/>
      <c r="D190" s="259"/>
      <c r="E190" s="259"/>
      <c r="F190" s="259"/>
    </row>
    <row r="191" spans="1:6" ht="29.25" customHeight="1" x14ac:dyDescent="0.25">
      <c r="A191" s="260"/>
      <c r="B191" s="262"/>
      <c r="C191" s="260"/>
      <c r="D191" s="259"/>
      <c r="E191" s="259"/>
      <c r="F191" s="259"/>
    </row>
    <row r="192" spans="1:6" ht="29.25" customHeight="1" x14ac:dyDescent="0.25">
      <c r="A192" s="260"/>
      <c r="B192" s="262"/>
      <c r="C192" s="260"/>
      <c r="D192" s="259"/>
      <c r="E192" s="259"/>
      <c r="F192" s="259"/>
    </row>
    <row r="193" spans="1:6" ht="29.25" customHeight="1" x14ac:dyDescent="0.25">
      <c r="A193" s="260"/>
      <c r="B193" s="262"/>
      <c r="C193" s="260"/>
      <c r="D193" s="259"/>
      <c r="E193" s="259"/>
      <c r="F193" s="259"/>
    </row>
    <row r="194" spans="1:6" ht="29.25" customHeight="1" x14ac:dyDescent="0.25">
      <c r="A194" s="260"/>
      <c r="B194" s="262"/>
      <c r="C194" s="260"/>
      <c r="D194" s="259"/>
      <c r="E194" s="259"/>
      <c r="F194" s="259"/>
    </row>
    <row r="195" spans="1:6" ht="29.25" customHeight="1" x14ac:dyDescent="0.25">
      <c r="A195" s="260"/>
      <c r="B195" s="262"/>
      <c r="C195" s="260"/>
      <c r="D195" s="259"/>
      <c r="E195" s="259"/>
      <c r="F195" s="259"/>
    </row>
    <row r="196" spans="1:6" ht="29.25" customHeight="1" x14ac:dyDescent="0.25">
      <c r="A196" s="260"/>
      <c r="B196" s="262"/>
      <c r="C196" s="260"/>
      <c r="D196" s="259"/>
      <c r="E196" s="259"/>
      <c r="F196" s="259"/>
    </row>
    <row r="197" spans="1:6" ht="29.25" customHeight="1" x14ac:dyDescent="0.25">
      <c r="A197" s="260"/>
      <c r="B197" s="262"/>
      <c r="C197" s="260"/>
      <c r="D197" s="259"/>
      <c r="E197" s="259"/>
      <c r="F197" s="259"/>
    </row>
    <row r="198" spans="1:6" ht="29.25" customHeight="1" x14ac:dyDescent="0.25">
      <c r="A198" s="260"/>
      <c r="B198" s="262"/>
      <c r="C198" s="260"/>
      <c r="D198" s="259"/>
      <c r="E198" s="259"/>
      <c r="F198" s="259"/>
    </row>
    <row r="199" spans="1:6" ht="29.25" customHeight="1" x14ac:dyDescent="0.25">
      <c r="A199" s="260"/>
      <c r="B199" s="262"/>
      <c r="C199" s="260"/>
      <c r="D199" s="259"/>
      <c r="E199" s="259"/>
      <c r="F199" s="259"/>
    </row>
    <row r="200" spans="1:6" ht="29.25" customHeight="1" x14ac:dyDescent="0.25">
      <c r="A200" s="260"/>
      <c r="B200" s="262"/>
      <c r="C200" s="260"/>
      <c r="D200" s="259"/>
      <c r="E200" s="259"/>
      <c r="F200" s="259"/>
    </row>
    <row r="201" spans="1:6" ht="29.25" customHeight="1" x14ac:dyDescent="0.25">
      <c r="A201" s="260"/>
      <c r="B201" s="262"/>
      <c r="C201" s="260"/>
      <c r="D201" s="259"/>
      <c r="E201" s="259"/>
      <c r="F201" s="259"/>
    </row>
    <row r="202" spans="1:6" ht="29.25" customHeight="1" x14ac:dyDescent="0.25">
      <c r="A202" s="260"/>
      <c r="B202" s="262"/>
      <c r="C202" s="260"/>
      <c r="D202" s="259"/>
      <c r="E202" s="259"/>
      <c r="F202" s="259"/>
    </row>
    <row r="203" spans="1:6" ht="29.25" customHeight="1" x14ac:dyDescent="0.25">
      <c r="A203" s="260"/>
      <c r="B203" s="262"/>
      <c r="C203" s="260"/>
      <c r="D203" s="259"/>
      <c r="E203" s="259"/>
      <c r="F203" s="259"/>
    </row>
    <row r="204" spans="1:6" ht="29.25" customHeight="1" x14ac:dyDescent="0.25">
      <c r="A204" s="260"/>
      <c r="B204" s="262"/>
      <c r="C204" s="260"/>
      <c r="D204" s="259"/>
      <c r="E204" s="259"/>
      <c r="F204" s="259"/>
    </row>
    <row r="205" spans="1:6" ht="29.25" customHeight="1" x14ac:dyDescent="0.25">
      <c r="A205" s="260"/>
      <c r="B205" s="262"/>
      <c r="C205" s="260"/>
      <c r="D205" s="259"/>
      <c r="E205" s="259"/>
      <c r="F205" s="259"/>
    </row>
    <row r="206" spans="1:6" ht="29.25" customHeight="1" x14ac:dyDescent="0.25">
      <c r="A206" s="260"/>
      <c r="B206" s="262"/>
      <c r="C206" s="260"/>
      <c r="D206" s="259"/>
      <c r="E206" s="259"/>
      <c r="F206" s="259"/>
    </row>
    <row r="207" spans="1:6" ht="29.25" customHeight="1" x14ac:dyDescent="0.25">
      <c r="A207" s="260"/>
      <c r="B207" s="262"/>
      <c r="C207" s="260"/>
      <c r="D207" s="259"/>
      <c r="E207" s="259"/>
      <c r="F207" s="259"/>
    </row>
    <row r="208" spans="1:6" ht="29.25" customHeight="1" x14ac:dyDescent="0.25">
      <c r="A208" s="260"/>
      <c r="B208" s="262"/>
      <c r="C208" s="260"/>
      <c r="D208" s="259"/>
      <c r="E208" s="259"/>
      <c r="F208" s="259"/>
    </row>
    <row r="209" spans="1:6" ht="29.25" customHeight="1" x14ac:dyDescent="0.25">
      <c r="A209" s="260"/>
      <c r="B209" s="262"/>
      <c r="C209" s="260"/>
      <c r="D209" s="259"/>
      <c r="E209" s="259"/>
      <c r="F209" s="259"/>
    </row>
    <row r="210" spans="1:6" ht="29.25" customHeight="1" x14ac:dyDescent="0.25">
      <c r="A210" s="260"/>
      <c r="B210" s="262"/>
      <c r="C210" s="260"/>
      <c r="D210" s="259"/>
      <c r="E210" s="259"/>
      <c r="F210" s="259"/>
    </row>
    <row r="211" spans="1:6" ht="29.25" customHeight="1" x14ac:dyDescent="0.25">
      <c r="A211" s="260"/>
      <c r="B211" s="262"/>
      <c r="C211" s="260"/>
      <c r="D211" s="259"/>
      <c r="E211" s="259"/>
      <c r="F211" s="259"/>
    </row>
    <row r="212" spans="1:6" ht="29.25" customHeight="1" x14ac:dyDescent="0.25">
      <c r="A212" s="260"/>
      <c r="B212" s="262"/>
      <c r="C212" s="260"/>
      <c r="D212" s="259"/>
      <c r="E212" s="259"/>
      <c r="F212" s="259"/>
    </row>
    <row r="213" spans="1:6" ht="29.25" customHeight="1" x14ac:dyDescent="0.25">
      <c r="A213" s="260"/>
      <c r="B213" s="262"/>
      <c r="C213" s="260"/>
      <c r="D213" s="259"/>
      <c r="E213" s="259"/>
      <c r="F213" s="259"/>
    </row>
    <row r="214" spans="1:6" ht="29.25" customHeight="1" x14ac:dyDescent="0.25">
      <c r="A214" s="260"/>
      <c r="B214" s="262"/>
      <c r="C214" s="260"/>
      <c r="D214" s="259"/>
      <c r="E214" s="259"/>
      <c r="F214" s="259"/>
    </row>
    <row r="215" spans="1:6" ht="29.25" customHeight="1" x14ac:dyDescent="0.25">
      <c r="A215" s="260"/>
      <c r="B215" s="262"/>
      <c r="C215" s="260"/>
      <c r="D215" s="259"/>
      <c r="E215" s="259"/>
      <c r="F215" s="259"/>
    </row>
    <row r="216" spans="1:6" ht="29.25" customHeight="1" x14ac:dyDescent="0.25">
      <c r="A216" s="260"/>
      <c r="B216" s="262"/>
      <c r="C216" s="260"/>
      <c r="D216" s="259"/>
      <c r="E216" s="259"/>
      <c r="F216" s="259"/>
    </row>
    <row r="217" spans="1:6" ht="29.25" customHeight="1" x14ac:dyDescent="0.25">
      <c r="A217" s="260"/>
      <c r="B217" s="262"/>
      <c r="C217" s="260"/>
      <c r="D217" s="259"/>
      <c r="E217" s="259"/>
      <c r="F217" s="259"/>
    </row>
    <row r="218" spans="1:6" ht="29.25" customHeight="1" x14ac:dyDescent="0.25">
      <c r="A218" s="260"/>
      <c r="B218" s="262"/>
      <c r="C218" s="260"/>
      <c r="D218" s="259"/>
      <c r="E218" s="259"/>
      <c r="F218" s="259"/>
    </row>
    <row r="219" spans="1:6" ht="29.25" customHeight="1" x14ac:dyDescent="0.25">
      <c r="A219" s="260"/>
      <c r="B219" s="262"/>
      <c r="C219" s="260"/>
      <c r="D219" s="259"/>
      <c r="E219" s="259"/>
      <c r="F219" s="259"/>
    </row>
    <row r="220" spans="1:6" ht="29.25" customHeight="1" x14ac:dyDescent="0.25">
      <c r="A220" s="260"/>
      <c r="B220" s="262"/>
      <c r="C220" s="260"/>
      <c r="D220" s="259"/>
      <c r="E220" s="259"/>
      <c r="F220" s="259"/>
    </row>
    <row r="221" spans="1:6" ht="29.25" customHeight="1" x14ac:dyDescent="0.25">
      <c r="A221" s="260"/>
      <c r="B221" s="262"/>
      <c r="C221" s="260"/>
      <c r="D221" s="259"/>
      <c r="E221" s="259"/>
      <c r="F221" s="259"/>
    </row>
    <row r="222" spans="1:6" ht="29.25" customHeight="1" x14ac:dyDescent="0.25">
      <c r="A222" s="260"/>
      <c r="B222" s="262"/>
      <c r="C222" s="260"/>
      <c r="D222" s="259"/>
      <c r="E222" s="259"/>
      <c r="F222" s="259"/>
    </row>
    <row r="223" spans="1:6" ht="29.25" customHeight="1" x14ac:dyDescent="0.25">
      <c r="A223" s="260"/>
      <c r="B223" s="262"/>
      <c r="C223" s="260"/>
      <c r="D223" s="259"/>
      <c r="E223" s="259"/>
      <c r="F223" s="259"/>
    </row>
    <row r="224" spans="1:6" ht="29.25" customHeight="1" x14ac:dyDescent="0.25">
      <c r="A224" s="260"/>
      <c r="B224" s="262"/>
      <c r="C224" s="260"/>
      <c r="D224" s="259"/>
      <c r="E224" s="259"/>
      <c r="F224" s="259"/>
    </row>
    <row r="225" spans="1:6" ht="29.25" customHeight="1" x14ac:dyDescent="0.25">
      <c r="A225" s="260"/>
      <c r="B225" s="262"/>
      <c r="C225" s="260"/>
      <c r="D225" s="259"/>
      <c r="E225" s="259"/>
      <c r="F225" s="259"/>
    </row>
    <row r="226" spans="1:6" ht="29.25" customHeight="1" x14ac:dyDescent="0.25">
      <c r="A226" s="260"/>
      <c r="B226" s="262"/>
      <c r="C226" s="260"/>
      <c r="D226" s="259"/>
      <c r="E226" s="259"/>
      <c r="F226" s="259"/>
    </row>
    <row r="227" spans="1:6" ht="29.25" customHeight="1" x14ac:dyDescent="0.25">
      <c r="A227" s="260"/>
      <c r="B227" s="262"/>
      <c r="C227" s="260"/>
      <c r="D227" s="259"/>
      <c r="E227" s="259"/>
      <c r="F227" s="259"/>
    </row>
    <row r="228" spans="1:6" ht="29.25" customHeight="1" x14ac:dyDescent="0.25">
      <c r="A228" s="260"/>
      <c r="B228" s="262"/>
      <c r="C228" s="260"/>
      <c r="D228" s="259"/>
      <c r="E228" s="259"/>
      <c r="F228" s="259"/>
    </row>
    <row r="229" spans="1:6" ht="29.25" customHeight="1" x14ac:dyDescent="0.25">
      <c r="A229" s="260"/>
      <c r="B229" s="262"/>
      <c r="C229" s="260"/>
      <c r="D229" s="259"/>
      <c r="E229" s="259"/>
      <c r="F229" s="259"/>
    </row>
    <row r="230" spans="1:6" ht="29.25" customHeight="1" x14ac:dyDescent="0.25">
      <c r="A230" s="260"/>
      <c r="B230" s="262"/>
      <c r="C230" s="260"/>
      <c r="D230" s="259"/>
      <c r="E230" s="259"/>
      <c r="F230" s="259"/>
    </row>
    <row r="231" spans="1:6" ht="29.25" customHeight="1" x14ac:dyDescent="0.25">
      <c r="A231" s="260"/>
      <c r="B231" s="262"/>
      <c r="C231" s="260"/>
      <c r="D231" s="259"/>
      <c r="E231" s="259"/>
      <c r="F231" s="259"/>
    </row>
    <row r="232" spans="1:6" ht="29.25" customHeight="1" x14ac:dyDescent="0.25">
      <c r="A232" s="260"/>
      <c r="B232" s="262"/>
      <c r="C232" s="260"/>
      <c r="D232" s="259"/>
      <c r="E232" s="259"/>
      <c r="F232" s="259"/>
    </row>
    <row r="233" spans="1:6" ht="29.25" customHeight="1" x14ac:dyDescent="0.25">
      <c r="A233" s="260"/>
      <c r="B233" s="262"/>
      <c r="C233" s="260"/>
      <c r="D233" s="259"/>
      <c r="E233" s="259"/>
      <c r="F233" s="259"/>
    </row>
    <row r="234" spans="1:6" ht="29.25" customHeight="1" x14ac:dyDescent="0.25">
      <c r="A234" s="260"/>
      <c r="B234" s="262"/>
      <c r="C234" s="260"/>
      <c r="D234" s="259"/>
      <c r="E234" s="259"/>
      <c r="F234" s="259"/>
    </row>
    <row r="235" spans="1:6" ht="29.25" customHeight="1" x14ac:dyDescent="0.25">
      <c r="A235" s="260"/>
      <c r="B235" s="262"/>
      <c r="C235" s="260"/>
      <c r="D235" s="259"/>
      <c r="E235" s="259"/>
      <c r="F235" s="259"/>
    </row>
    <row r="236" spans="1:6" ht="29.25" customHeight="1" x14ac:dyDescent="0.25">
      <c r="A236" s="260"/>
      <c r="B236" s="262"/>
      <c r="C236" s="260"/>
      <c r="D236" s="259"/>
      <c r="E236" s="259"/>
      <c r="F236" s="259"/>
    </row>
    <row r="237" spans="1:6" ht="29.25" customHeight="1" x14ac:dyDescent="0.25">
      <c r="A237" s="260"/>
      <c r="B237" s="262"/>
      <c r="C237" s="260"/>
      <c r="D237" s="259"/>
      <c r="E237" s="259"/>
      <c r="F237" s="259"/>
    </row>
    <row r="238" spans="1:6" ht="29.25" customHeight="1" x14ac:dyDescent="0.25">
      <c r="A238" s="260"/>
      <c r="B238" s="262"/>
      <c r="C238" s="260"/>
      <c r="D238" s="259"/>
      <c r="E238" s="259"/>
      <c r="F238" s="259"/>
    </row>
    <row r="239" spans="1:6" ht="29.25" customHeight="1" x14ac:dyDescent="0.25">
      <c r="A239" s="260"/>
      <c r="B239" s="262"/>
      <c r="C239" s="260"/>
      <c r="D239" s="259"/>
      <c r="E239" s="259"/>
      <c r="F239" s="259"/>
    </row>
    <row r="240" spans="1:6" ht="29.25" customHeight="1" x14ac:dyDescent="0.25">
      <c r="A240" s="260"/>
      <c r="B240" s="262"/>
      <c r="C240" s="260"/>
      <c r="D240" s="259"/>
      <c r="E240" s="259"/>
      <c r="F240" s="259"/>
    </row>
    <row r="241" spans="1:6" ht="29.25" customHeight="1" x14ac:dyDescent="0.25">
      <c r="A241" s="260"/>
      <c r="B241" s="262"/>
      <c r="C241" s="260"/>
      <c r="D241" s="259"/>
      <c r="E241" s="259"/>
      <c r="F241" s="259"/>
    </row>
    <row r="242" spans="1:6" ht="29.25" customHeight="1" x14ac:dyDescent="0.25">
      <c r="A242" s="260"/>
      <c r="B242" s="262"/>
      <c r="C242" s="260"/>
      <c r="D242" s="259"/>
      <c r="E242" s="259"/>
      <c r="F242" s="259"/>
    </row>
    <row r="243" spans="1:6" ht="29.25" customHeight="1" x14ac:dyDescent="0.25">
      <c r="A243" s="260"/>
      <c r="B243" s="262"/>
      <c r="C243" s="260"/>
      <c r="D243" s="259"/>
      <c r="E243" s="259"/>
      <c r="F243" s="259"/>
    </row>
    <row r="244" spans="1:6" ht="29.25" customHeight="1" x14ac:dyDescent="0.25">
      <c r="A244" s="260"/>
      <c r="B244" s="262"/>
      <c r="C244" s="260"/>
      <c r="D244" s="259"/>
      <c r="E244" s="259"/>
      <c r="F244" s="259"/>
    </row>
    <row r="245" spans="1:6" ht="29.25" customHeight="1" x14ac:dyDescent="0.25">
      <c r="A245" s="260"/>
      <c r="B245" s="262"/>
      <c r="C245" s="260"/>
      <c r="D245" s="259"/>
      <c r="E245" s="259"/>
      <c r="F245" s="259"/>
    </row>
    <row r="246" spans="1:6" ht="29.25" customHeight="1" x14ac:dyDescent="0.25">
      <c r="A246" s="260"/>
      <c r="B246" s="262"/>
      <c r="C246" s="260"/>
      <c r="D246" s="259"/>
      <c r="E246" s="259"/>
      <c r="F246" s="259"/>
    </row>
    <row r="247" spans="1:6" ht="29.25" customHeight="1" x14ac:dyDescent="0.25">
      <c r="A247" s="260"/>
      <c r="B247" s="262"/>
      <c r="C247" s="260"/>
      <c r="D247" s="259"/>
      <c r="E247" s="259"/>
      <c r="F247" s="259"/>
    </row>
    <row r="248" spans="1:6" ht="29.25" customHeight="1" x14ac:dyDescent="0.25">
      <c r="A248" s="260"/>
      <c r="B248" s="262"/>
      <c r="C248" s="260"/>
      <c r="D248" s="259"/>
      <c r="E248" s="259"/>
      <c r="F248" s="259"/>
    </row>
    <row r="249" spans="1:6" ht="29.25" customHeight="1" x14ac:dyDescent="0.25">
      <c r="A249" s="260"/>
      <c r="B249" s="262"/>
      <c r="C249" s="260"/>
      <c r="D249" s="259"/>
      <c r="E249" s="259"/>
      <c r="F249" s="259"/>
    </row>
    <row r="250" spans="1:6" ht="29.25" customHeight="1" x14ac:dyDescent="0.25">
      <c r="A250" s="260"/>
      <c r="B250" s="262"/>
      <c r="C250" s="260"/>
      <c r="D250" s="259"/>
      <c r="E250" s="259"/>
      <c r="F250" s="259"/>
    </row>
    <row r="251" spans="1:6" ht="29.25" customHeight="1" x14ac:dyDescent="0.25">
      <c r="A251" s="260"/>
      <c r="B251" s="262"/>
      <c r="C251" s="260"/>
      <c r="D251" s="259"/>
      <c r="E251" s="259"/>
      <c r="F251" s="259"/>
    </row>
    <row r="252" spans="1:6" ht="29.25" customHeight="1" x14ac:dyDescent="0.25">
      <c r="A252" s="260"/>
      <c r="B252" s="262"/>
      <c r="C252" s="260"/>
      <c r="D252" s="259"/>
      <c r="E252" s="259"/>
      <c r="F252" s="259"/>
    </row>
    <row r="253" spans="1:6" ht="29.25" customHeight="1" x14ac:dyDescent="0.25">
      <c r="A253" s="260"/>
      <c r="B253" s="262"/>
      <c r="C253" s="260"/>
      <c r="D253" s="259"/>
      <c r="E253" s="259"/>
      <c r="F253" s="259"/>
    </row>
    <row r="254" spans="1:6" ht="29.25" customHeight="1" x14ac:dyDescent="0.25">
      <c r="A254" s="260"/>
      <c r="B254" s="262"/>
      <c r="C254" s="260"/>
      <c r="D254" s="259"/>
      <c r="E254" s="259"/>
      <c r="F254" s="259"/>
    </row>
    <row r="255" spans="1:6" ht="29.25" customHeight="1" x14ac:dyDescent="0.25">
      <c r="A255" s="260"/>
      <c r="B255" s="262"/>
      <c r="C255" s="260"/>
      <c r="D255" s="259"/>
      <c r="E255" s="259"/>
      <c r="F255" s="259"/>
    </row>
    <row r="256" spans="1:6" ht="29.25" customHeight="1" x14ac:dyDescent="0.25">
      <c r="A256" s="260"/>
      <c r="B256" s="262"/>
      <c r="C256" s="260"/>
      <c r="D256" s="259"/>
      <c r="E256" s="259"/>
      <c r="F256" s="259"/>
    </row>
    <row r="257" spans="1:6" ht="29.25" customHeight="1" x14ac:dyDescent="0.25">
      <c r="A257" s="260"/>
      <c r="B257" s="262"/>
      <c r="C257" s="260"/>
      <c r="D257" s="259"/>
      <c r="E257" s="259"/>
      <c r="F257" s="259"/>
    </row>
    <row r="258" spans="1:6" ht="29.25" customHeight="1" x14ac:dyDescent="0.25">
      <c r="A258" s="260"/>
      <c r="B258" s="262"/>
      <c r="C258" s="260"/>
      <c r="D258" s="259"/>
      <c r="E258" s="259"/>
      <c r="F258" s="259"/>
    </row>
    <row r="259" spans="1:6" ht="29.25" customHeight="1" x14ac:dyDescent="0.25">
      <c r="A259" s="260"/>
      <c r="B259" s="262"/>
      <c r="C259" s="260"/>
      <c r="D259" s="259"/>
      <c r="E259" s="259"/>
      <c r="F259" s="259"/>
    </row>
    <row r="260" spans="1:6" ht="29.25" customHeight="1" x14ac:dyDescent="0.25">
      <c r="A260" s="260"/>
      <c r="B260" s="262"/>
      <c r="C260" s="260"/>
      <c r="D260" s="259"/>
      <c r="E260" s="259"/>
      <c r="F260" s="259"/>
    </row>
    <row r="261" spans="1:6" ht="29.25" customHeight="1" x14ac:dyDescent="0.25">
      <c r="A261" s="260"/>
      <c r="B261" s="262"/>
      <c r="C261" s="260"/>
      <c r="D261" s="259"/>
      <c r="E261" s="259"/>
      <c r="F261" s="259"/>
    </row>
    <row r="262" spans="1:6" ht="29.25" customHeight="1" x14ac:dyDescent="0.25">
      <c r="A262" s="260"/>
      <c r="B262" s="262"/>
      <c r="C262" s="260"/>
      <c r="D262" s="259"/>
      <c r="E262" s="259"/>
      <c r="F262" s="259"/>
    </row>
    <row r="263" spans="1:6" ht="29.25" customHeight="1" x14ac:dyDescent="0.25">
      <c r="A263" s="260"/>
      <c r="B263" s="262"/>
      <c r="C263" s="260"/>
      <c r="D263" s="259"/>
      <c r="E263" s="259"/>
      <c r="F263" s="259"/>
    </row>
    <row r="264" spans="1:6" ht="29.25" customHeight="1" x14ac:dyDescent="0.25">
      <c r="A264" s="260"/>
      <c r="B264" s="262"/>
      <c r="C264" s="260"/>
      <c r="D264" s="259"/>
      <c r="E264" s="259"/>
      <c r="F264" s="259"/>
    </row>
    <row r="265" spans="1:6" ht="29.25" customHeight="1" x14ac:dyDescent="0.25">
      <c r="A265" s="260"/>
      <c r="B265" s="262"/>
      <c r="C265" s="260"/>
      <c r="D265" s="259"/>
      <c r="E265" s="259"/>
      <c r="F265" s="259"/>
    </row>
    <row r="266" spans="1:6" ht="29.25" customHeight="1" x14ac:dyDescent="0.25">
      <c r="A266" s="260"/>
      <c r="B266" s="262"/>
      <c r="C266" s="260"/>
      <c r="D266" s="259"/>
      <c r="E266" s="259"/>
      <c r="F266" s="259"/>
    </row>
    <row r="267" spans="1:6" ht="29.25" customHeight="1" x14ac:dyDescent="0.25">
      <c r="A267" s="260"/>
      <c r="B267" s="262"/>
      <c r="C267" s="260"/>
      <c r="D267" s="259"/>
      <c r="E267" s="259"/>
      <c r="F267" s="259"/>
    </row>
    <row r="268" spans="1:6" ht="29.25" customHeight="1" x14ac:dyDescent="0.25">
      <c r="A268" s="260"/>
      <c r="B268" s="262"/>
      <c r="C268" s="260"/>
      <c r="D268" s="259"/>
      <c r="E268" s="259"/>
      <c r="F268" s="259"/>
    </row>
    <row r="269" spans="1:6" ht="29.25" customHeight="1" x14ac:dyDescent="0.25">
      <c r="A269" s="260"/>
      <c r="B269" s="262"/>
      <c r="C269" s="260"/>
      <c r="D269" s="259"/>
      <c r="E269" s="259"/>
      <c r="F269" s="259"/>
    </row>
    <row r="270" spans="1:6" ht="29.25" customHeight="1" x14ac:dyDescent="0.25">
      <c r="A270" s="260"/>
      <c r="B270" s="262"/>
      <c r="C270" s="260"/>
      <c r="D270" s="259"/>
      <c r="E270" s="259"/>
      <c r="F270" s="259"/>
    </row>
    <row r="271" spans="1:6" ht="29.25" customHeight="1" x14ac:dyDescent="0.25">
      <c r="A271" s="260"/>
      <c r="B271" s="262"/>
      <c r="C271" s="260"/>
      <c r="D271" s="259"/>
      <c r="E271" s="259"/>
      <c r="F271" s="259"/>
    </row>
    <row r="272" spans="1:6" ht="29.25" customHeight="1" x14ac:dyDescent="0.25">
      <c r="A272" s="260"/>
      <c r="B272" s="262"/>
      <c r="C272" s="260"/>
      <c r="D272" s="259"/>
      <c r="E272" s="259"/>
      <c r="F272" s="259"/>
    </row>
    <row r="273" spans="1:6" ht="29.25" customHeight="1" x14ac:dyDescent="0.25">
      <c r="A273" s="260"/>
      <c r="B273" s="262"/>
      <c r="C273" s="260"/>
      <c r="D273" s="259"/>
      <c r="E273" s="259"/>
      <c r="F273" s="259"/>
    </row>
    <row r="274" spans="1:6" ht="29.25" customHeight="1" x14ac:dyDescent="0.25">
      <c r="A274" s="260"/>
      <c r="B274" s="262"/>
      <c r="C274" s="260"/>
      <c r="D274" s="259"/>
      <c r="E274" s="259"/>
      <c r="F274" s="259"/>
    </row>
    <row r="275" spans="1:6" ht="29.25" customHeight="1" x14ac:dyDescent="0.25">
      <c r="A275" s="260"/>
      <c r="B275" s="262"/>
      <c r="C275" s="260"/>
      <c r="D275" s="259"/>
      <c r="E275" s="259"/>
      <c r="F275" s="259"/>
    </row>
    <row r="276" spans="1:6" ht="29.25" customHeight="1" x14ac:dyDescent="0.25">
      <c r="A276" s="260"/>
      <c r="B276" s="262"/>
      <c r="C276" s="260"/>
      <c r="D276" s="259"/>
      <c r="E276" s="259"/>
      <c r="F276" s="259"/>
    </row>
    <row r="277" spans="1:6" ht="29.25" customHeight="1" x14ac:dyDescent="0.25">
      <c r="A277" s="260"/>
      <c r="B277" s="262"/>
      <c r="C277" s="260"/>
      <c r="D277" s="259"/>
      <c r="E277" s="259"/>
      <c r="F277" s="259"/>
    </row>
    <row r="278" spans="1:6" ht="29.25" customHeight="1" x14ac:dyDescent="0.25">
      <c r="A278" s="260"/>
      <c r="B278" s="262"/>
      <c r="C278" s="260"/>
      <c r="D278" s="259"/>
      <c r="E278" s="259"/>
      <c r="F278" s="259"/>
    </row>
    <row r="279" spans="1:6" ht="29.25" customHeight="1" x14ac:dyDescent="0.25">
      <c r="A279" s="260"/>
      <c r="B279" s="262"/>
      <c r="C279" s="260"/>
      <c r="D279" s="259"/>
      <c r="E279" s="259"/>
      <c r="F279" s="259"/>
    </row>
    <row r="280" spans="1:6" ht="29.25" customHeight="1" x14ac:dyDescent="0.25">
      <c r="A280" s="260"/>
      <c r="B280" s="262"/>
      <c r="C280" s="260"/>
      <c r="D280" s="259"/>
      <c r="E280" s="259"/>
      <c r="F280" s="259"/>
    </row>
    <row r="281" spans="1:6" ht="29.25" customHeight="1" x14ac:dyDescent="0.25">
      <c r="A281" s="260"/>
      <c r="B281" s="262"/>
      <c r="C281" s="260"/>
      <c r="D281" s="259"/>
      <c r="E281" s="259"/>
      <c r="F281" s="259"/>
    </row>
    <row r="282" spans="1:6" ht="29.25" customHeight="1" x14ac:dyDescent="0.25">
      <c r="A282" s="260"/>
      <c r="B282" s="262"/>
      <c r="C282" s="260"/>
      <c r="D282" s="259"/>
      <c r="E282" s="259"/>
      <c r="F282" s="259"/>
    </row>
    <row r="283" spans="1:6" ht="29.25" customHeight="1" x14ac:dyDescent="0.25">
      <c r="A283" s="260"/>
      <c r="B283" s="262"/>
      <c r="C283" s="260"/>
      <c r="D283" s="259"/>
      <c r="E283" s="259"/>
      <c r="F283" s="259"/>
    </row>
    <row r="284" spans="1:6" ht="29.25" customHeight="1" x14ac:dyDescent="0.25">
      <c r="A284" s="260"/>
      <c r="B284" s="262"/>
      <c r="C284" s="260"/>
      <c r="D284" s="259"/>
      <c r="E284" s="259"/>
      <c r="F284" s="259"/>
    </row>
    <row r="285" spans="1:6" ht="29.25" customHeight="1" x14ac:dyDescent="0.25">
      <c r="A285" s="260"/>
      <c r="B285" s="262"/>
      <c r="C285" s="260"/>
      <c r="D285" s="259"/>
      <c r="E285" s="259"/>
      <c r="F285" s="259"/>
    </row>
    <row r="286" spans="1:6" ht="29.25" customHeight="1" x14ac:dyDescent="0.25">
      <c r="A286" s="260"/>
      <c r="B286" s="262"/>
      <c r="C286" s="260"/>
      <c r="D286" s="259"/>
      <c r="E286" s="259"/>
      <c r="F286" s="259"/>
    </row>
    <row r="287" spans="1:6" ht="29.25" customHeight="1" x14ac:dyDescent="0.25">
      <c r="A287" s="260"/>
      <c r="B287" s="262"/>
      <c r="C287" s="260"/>
      <c r="D287" s="259"/>
      <c r="E287" s="259"/>
      <c r="F287" s="259"/>
    </row>
    <row r="288" spans="1:6" ht="29.25" customHeight="1" x14ac:dyDescent="0.25">
      <c r="A288" s="260"/>
      <c r="B288" s="262"/>
      <c r="C288" s="260"/>
      <c r="D288" s="259"/>
      <c r="E288" s="259"/>
      <c r="F288" s="259"/>
    </row>
    <row r="289" spans="1:6" ht="29.25" customHeight="1" x14ac:dyDescent="0.25">
      <c r="A289" s="260"/>
      <c r="B289" s="262"/>
      <c r="C289" s="260"/>
      <c r="D289" s="259"/>
      <c r="E289" s="259"/>
      <c r="F289" s="259"/>
    </row>
    <row r="290" spans="1:6" ht="29.25" customHeight="1" x14ac:dyDescent="0.25">
      <c r="A290" s="260"/>
      <c r="B290" s="262"/>
      <c r="C290" s="260"/>
      <c r="D290" s="259"/>
      <c r="E290" s="259"/>
      <c r="F290" s="259"/>
    </row>
    <row r="291" spans="1:6" ht="29.25" customHeight="1" x14ac:dyDescent="0.25">
      <c r="A291" s="260"/>
      <c r="B291" s="262"/>
      <c r="C291" s="260"/>
      <c r="D291" s="259"/>
      <c r="E291" s="259"/>
      <c r="F291" s="259"/>
    </row>
    <row r="292" spans="1:6" ht="29.25" customHeight="1" x14ac:dyDescent="0.25">
      <c r="A292" s="260"/>
      <c r="B292" s="262"/>
      <c r="C292" s="260"/>
      <c r="D292" s="259"/>
      <c r="E292" s="259"/>
      <c r="F292" s="259"/>
    </row>
    <row r="293" spans="1:6" ht="29.25" customHeight="1" x14ac:dyDescent="0.25">
      <c r="A293" s="260"/>
      <c r="B293" s="262"/>
      <c r="C293" s="260"/>
      <c r="D293" s="259"/>
      <c r="E293" s="259"/>
      <c r="F293" s="259"/>
    </row>
    <row r="294" spans="1:6" ht="29.25" customHeight="1" x14ac:dyDescent="0.25">
      <c r="A294" s="260"/>
      <c r="B294" s="262"/>
      <c r="C294" s="260"/>
      <c r="D294" s="259"/>
      <c r="E294" s="259"/>
      <c r="F294" s="259"/>
    </row>
    <row r="295" spans="1:6" ht="29.25" customHeight="1" x14ac:dyDescent="0.25">
      <c r="A295" s="260"/>
      <c r="B295" s="262"/>
      <c r="C295" s="260"/>
      <c r="D295" s="259"/>
      <c r="E295" s="259"/>
      <c r="F295" s="259"/>
    </row>
    <row r="296" spans="1:6" ht="29.25" customHeight="1" x14ac:dyDescent="0.25">
      <c r="A296" s="260"/>
      <c r="B296" s="262"/>
      <c r="C296" s="260"/>
      <c r="D296" s="259"/>
      <c r="E296" s="259"/>
      <c r="F296" s="259"/>
    </row>
    <row r="297" spans="1:6" ht="29.25" customHeight="1" x14ac:dyDescent="0.25">
      <c r="A297" s="260"/>
      <c r="B297" s="262"/>
      <c r="C297" s="260"/>
      <c r="D297" s="259"/>
      <c r="E297" s="259"/>
      <c r="F297" s="259"/>
    </row>
    <row r="298" spans="1:6" ht="29.25" customHeight="1" x14ac:dyDescent="0.25">
      <c r="A298" s="260"/>
      <c r="B298" s="262"/>
      <c r="C298" s="260"/>
      <c r="D298" s="259"/>
      <c r="E298" s="259"/>
      <c r="F298" s="259"/>
    </row>
    <row r="299" spans="1:6" ht="29.25" customHeight="1" x14ac:dyDescent="0.25">
      <c r="A299" s="260"/>
      <c r="B299" s="262"/>
      <c r="C299" s="260"/>
      <c r="D299" s="259"/>
      <c r="E299" s="259"/>
      <c r="F299" s="259"/>
    </row>
    <row r="300" spans="1:6" ht="29.25" customHeight="1" x14ac:dyDescent="0.25">
      <c r="A300" s="260"/>
      <c r="B300" s="262"/>
      <c r="C300" s="260"/>
      <c r="D300" s="259"/>
      <c r="E300" s="259"/>
      <c r="F300" s="259"/>
    </row>
    <row r="301" spans="1:6" ht="29.25" customHeight="1" x14ac:dyDescent="0.25">
      <c r="A301" s="260"/>
      <c r="B301" s="262"/>
      <c r="C301" s="260"/>
      <c r="D301" s="259"/>
      <c r="E301" s="259"/>
      <c r="F301" s="259"/>
    </row>
    <row r="302" spans="1:6" ht="29.25" customHeight="1" x14ac:dyDescent="0.25">
      <c r="A302" s="260"/>
      <c r="B302" s="262"/>
      <c r="C302" s="260"/>
      <c r="D302" s="259"/>
      <c r="E302" s="259"/>
      <c r="F302" s="259"/>
    </row>
    <row r="303" spans="1:6" ht="29.25" customHeight="1" x14ac:dyDescent="0.25">
      <c r="A303" s="260"/>
      <c r="B303" s="262"/>
      <c r="C303" s="260"/>
      <c r="D303" s="259"/>
      <c r="E303" s="259"/>
      <c r="F303" s="259"/>
    </row>
    <row r="304" spans="1:6" ht="29.25" customHeight="1" x14ac:dyDescent="0.25">
      <c r="A304" s="260"/>
      <c r="B304" s="262"/>
      <c r="C304" s="260"/>
      <c r="D304" s="259"/>
      <c r="E304" s="259"/>
      <c r="F304" s="259"/>
    </row>
    <row r="305" spans="1:6" ht="29.25" customHeight="1" x14ac:dyDescent="0.25">
      <c r="A305" s="260"/>
      <c r="B305" s="262"/>
      <c r="C305" s="260"/>
      <c r="D305" s="259"/>
      <c r="E305" s="259"/>
      <c r="F305" s="259"/>
    </row>
    <row r="306" spans="1:6" ht="29.25" customHeight="1" x14ac:dyDescent="0.25">
      <c r="A306" s="260"/>
      <c r="B306" s="262"/>
      <c r="C306" s="260"/>
      <c r="D306" s="259"/>
      <c r="E306" s="259"/>
      <c r="F306" s="259"/>
    </row>
    <row r="307" spans="1:6" ht="29.25" customHeight="1" x14ac:dyDescent="0.25">
      <c r="A307" s="260"/>
      <c r="B307" s="262"/>
      <c r="C307" s="260"/>
      <c r="D307" s="259"/>
      <c r="E307" s="259"/>
      <c r="F307" s="259"/>
    </row>
    <row r="308" spans="1:6" ht="29.25" customHeight="1" x14ac:dyDescent="0.25">
      <c r="A308" s="260"/>
      <c r="B308" s="262"/>
      <c r="C308" s="260"/>
      <c r="D308" s="259"/>
      <c r="E308" s="259"/>
      <c r="F308" s="259"/>
    </row>
    <row r="309" spans="1:6" ht="29.25" customHeight="1" x14ac:dyDescent="0.25">
      <c r="A309" s="260"/>
      <c r="B309" s="262"/>
      <c r="C309" s="260"/>
      <c r="D309" s="259"/>
      <c r="E309" s="259"/>
      <c r="F309" s="259"/>
    </row>
    <row r="310" spans="1:6" ht="29.25" customHeight="1" x14ac:dyDescent="0.25">
      <c r="A310" s="260"/>
      <c r="B310" s="262"/>
      <c r="C310" s="260"/>
      <c r="D310" s="259"/>
      <c r="E310" s="259"/>
      <c r="F310" s="259"/>
    </row>
    <row r="311" spans="1:6" ht="29.25" customHeight="1" x14ac:dyDescent="0.25">
      <c r="A311" s="260"/>
      <c r="B311" s="262"/>
      <c r="C311" s="260"/>
      <c r="D311" s="259"/>
      <c r="E311" s="259"/>
      <c r="F311" s="259"/>
    </row>
    <row r="312" spans="1:6" ht="29.25" customHeight="1" x14ac:dyDescent="0.25">
      <c r="A312" s="260"/>
      <c r="B312" s="262"/>
      <c r="C312" s="260"/>
      <c r="D312" s="259"/>
      <c r="E312" s="259"/>
      <c r="F312" s="259"/>
    </row>
    <row r="313" spans="1:6" ht="29.25" customHeight="1" x14ac:dyDescent="0.25">
      <c r="A313" s="260"/>
      <c r="B313" s="262"/>
      <c r="C313" s="260"/>
      <c r="D313" s="259"/>
      <c r="E313" s="259"/>
      <c r="F313" s="259"/>
    </row>
    <row r="314" spans="1:6" ht="29.25" customHeight="1" x14ac:dyDescent="0.25">
      <c r="A314" s="260"/>
      <c r="B314" s="262"/>
      <c r="C314" s="260"/>
      <c r="D314" s="259"/>
      <c r="E314" s="259"/>
      <c r="F314" s="259"/>
    </row>
    <row r="315" spans="1:6" ht="29.25" customHeight="1" x14ac:dyDescent="0.25">
      <c r="A315" s="260"/>
      <c r="B315" s="262"/>
      <c r="C315" s="260"/>
      <c r="D315" s="259"/>
      <c r="E315" s="259"/>
      <c r="F315" s="259"/>
    </row>
    <row r="316" spans="1:6" ht="29.25" customHeight="1" x14ac:dyDescent="0.25">
      <c r="A316" s="260"/>
      <c r="B316" s="262"/>
      <c r="C316" s="260"/>
      <c r="D316" s="259"/>
      <c r="E316" s="259"/>
      <c r="F316" s="259"/>
    </row>
    <row r="317" spans="1:6" ht="29.25" customHeight="1" x14ac:dyDescent="0.25">
      <c r="A317" s="260"/>
      <c r="B317" s="262"/>
      <c r="C317" s="260"/>
      <c r="D317" s="259"/>
      <c r="E317" s="259"/>
      <c r="F317" s="259"/>
    </row>
    <row r="318" spans="1:6" ht="29.25" customHeight="1" x14ac:dyDescent="0.25">
      <c r="A318" s="260"/>
      <c r="B318" s="262"/>
      <c r="C318" s="260"/>
      <c r="D318" s="259"/>
      <c r="E318" s="259"/>
      <c r="F318" s="259"/>
    </row>
    <row r="319" spans="1:6" ht="29.25" customHeight="1" x14ac:dyDescent="0.25">
      <c r="A319" s="260"/>
      <c r="B319" s="262"/>
      <c r="C319" s="260"/>
      <c r="D319" s="259"/>
      <c r="E319" s="259"/>
      <c r="F319" s="259"/>
    </row>
    <row r="320" spans="1:6" ht="29.25" customHeight="1" x14ac:dyDescent="0.25">
      <c r="A320" s="260"/>
      <c r="B320" s="262"/>
      <c r="C320" s="260"/>
      <c r="D320" s="259"/>
      <c r="E320" s="259"/>
      <c r="F320" s="259"/>
    </row>
    <row r="321" spans="1:6" ht="29.25" customHeight="1" x14ac:dyDescent="0.25">
      <c r="A321" s="260"/>
      <c r="B321" s="262"/>
      <c r="C321" s="260"/>
      <c r="D321" s="259"/>
      <c r="E321" s="259"/>
      <c r="F321" s="259"/>
    </row>
    <row r="322" spans="1:6" ht="29.25" customHeight="1" x14ac:dyDescent="0.25">
      <c r="A322" s="260"/>
      <c r="B322" s="262"/>
      <c r="C322" s="260"/>
      <c r="D322" s="259"/>
      <c r="E322" s="259"/>
      <c r="F322" s="259"/>
    </row>
    <row r="323" spans="1:6" ht="29.25" customHeight="1" x14ac:dyDescent="0.25">
      <c r="A323" s="260"/>
      <c r="B323" s="262"/>
      <c r="C323" s="260"/>
      <c r="D323" s="259"/>
      <c r="E323" s="259"/>
      <c r="F323" s="259"/>
    </row>
    <row r="324" spans="1:6" ht="29.25" customHeight="1" x14ac:dyDescent="0.25">
      <c r="A324" s="260"/>
      <c r="B324" s="262"/>
      <c r="C324" s="260"/>
      <c r="D324" s="259"/>
      <c r="E324" s="259"/>
      <c r="F324" s="259"/>
    </row>
    <row r="325" spans="1:6" ht="29.25" customHeight="1" x14ac:dyDescent="0.25">
      <c r="A325" s="260"/>
      <c r="B325" s="262"/>
      <c r="C325" s="260"/>
      <c r="D325" s="259"/>
      <c r="E325" s="259"/>
      <c r="F325" s="259"/>
    </row>
    <row r="326" spans="1:6" ht="29.25" customHeight="1" x14ac:dyDescent="0.25">
      <c r="A326" s="260"/>
      <c r="B326" s="262"/>
      <c r="C326" s="260"/>
      <c r="D326" s="259"/>
      <c r="E326" s="259"/>
      <c r="F326" s="259"/>
    </row>
    <row r="327" spans="1:6" ht="29.25" customHeight="1" x14ac:dyDescent="0.25">
      <c r="A327" s="260"/>
      <c r="B327" s="262"/>
      <c r="C327" s="260"/>
      <c r="D327" s="259"/>
      <c r="E327" s="259"/>
      <c r="F327" s="259"/>
    </row>
    <row r="328" spans="1:6" ht="29.25" customHeight="1" x14ac:dyDescent="0.25">
      <c r="A328" s="260"/>
      <c r="B328" s="262"/>
      <c r="C328" s="260"/>
      <c r="D328" s="259"/>
      <c r="E328" s="259"/>
      <c r="F328" s="259"/>
    </row>
    <row r="329" spans="1:6" ht="29.25" customHeight="1" x14ac:dyDescent="0.25">
      <c r="A329" s="260"/>
      <c r="B329" s="262"/>
      <c r="C329" s="260"/>
      <c r="D329" s="259"/>
      <c r="E329" s="259"/>
      <c r="F329" s="259"/>
    </row>
    <row r="330" spans="1:6" ht="29.25" customHeight="1" x14ac:dyDescent="0.25">
      <c r="A330" s="260"/>
      <c r="B330" s="262"/>
      <c r="C330" s="260"/>
      <c r="D330" s="259"/>
      <c r="E330" s="259"/>
      <c r="F330" s="259"/>
    </row>
    <row r="331" spans="1:6" ht="29.25" customHeight="1" x14ac:dyDescent="0.25">
      <c r="A331" s="260"/>
      <c r="B331" s="262"/>
      <c r="C331" s="260"/>
      <c r="D331" s="259"/>
      <c r="E331" s="259"/>
      <c r="F331" s="259"/>
    </row>
    <row r="332" spans="1:6" ht="29.25" customHeight="1" x14ac:dyDescent="0.25">
      <c r="A332" s="260"/>
      <c r="B332" s="262"/>
      <c r="C332" s="260"/>
      <c r="D332" s="259"/>
      <c r="E332" s="259"/>
      <c r="F332" s="259"/>
    </row>
    <row r="333" spans="1:6" ht="29.25" customHeight="1" x14ac:dyDescent="0.25">
      <c r="A333" s="260"/>
      <c r="B333" s="262"/>
      <c r="C333" s="260"/>
      <c r="D333" s="259"/>
      <c r="E333" s="259"/>
      <c r="F333" s="259"/>
    </row>
    <row r="334" spans="1:6" ht="29.25" customHeight="1" x14ac:dyDescent="0.25">
      <c r="A334" s="260"/>
      <c r="B334" s="262"/>
      <c r="C334" s="260"/>
      <c r="D334" s="259"/>
      <c r="E334" s="259"/>
      <c r="F334" s="259"/>
    </row>
    <row r="335" spans="1:6" ht="29.25" customHeight="1" x14ac:dyDescent="0.25">
      <c r="A335" s="260"/>
      <c r="B335" s="262"/>
      <c r="C335" s="260"/>
      <c r="D335" s="259"/>
      <c r="E335" s="259"/>
      <c r="F335" s="259"/>
    </row>
    <row r="336" spans="1:6" ht="29.25" customHeight="1" x14ac:dyDescent="0.25">
      <c r="A336" s="260"/>
      <c r="B336" s="262"/>
      <c r="C336" s="260"/>
      <c r="D336" s="259"/>
      <c r="E336" s="259"/>
      <c r="F336" s="259"/>
    </row>
    <row r="337" spans="1:6" ht="29.25" customHeight="1" x14ac:dyDescent="0.25">
      <c r="A337" s="260"/>
      <c r="B337" s="262"/>
      <c r="C337" s="260"/>
      <c r="D337" s="259"/>
      <c r="E337" s="259"/>
      <c r="F337" s="259"/>
    </row>
    <row r="338" spans="1:6" ht="29.25" customHeight="1" x14ac:dyDescent="0.25">
      <c r="A338" s="260"/>
      <c r="B338" s="262"/>
      <c r="C338" s="260"/>
      <c r="D338" s="259"/>
      <c r="E338" s="259"/>
      <c r="F338" s="259"/>
    </row>
    <row r="339" spans="1:6" ht="29.25" customHeight="1" x14ac:dyDescent="0.25">
      <c r="A339" s="260"/>
      <c r="B339" s="262"/>
      <c r="C339" s="260"/>
      <c r="D339" s="259"/>
      <c r="E339" s="259"/>
      <c r="F339" s="259"/>
    </row>
    <row r="340" spans="1:6" ht="29.25" customHeight="1" x14ac:dyDescent="0.25">
      <c r="A340" s="260"/>
      <c r="B340" s="262"/>
      <c r="C340" s="260"/>
      <c r="D340" s="259"/>
      <c r="E340" s="259"/>
      <c r="F340" s="259"/>
    </row>
    <row r="341" spans="1:6" ht="29.25" customHeight="1" x14ac:dyDescent="0.25">
      <c r="A341" s="260"/>
      <c r="B341" s="262"/>
      <c r="C341" s="260"/>
      <c r="D341" s="259"/>
      <c r="E341" s="259"/>
      <c r="F341" s="259"/>
    </row>
    <row r="342" spans="1:6" ht="29.25" customHeight="1" x14ac:dyDescent="0.25">
      <c r="A342" s="260"/>
      <c r="B342" s="262"/>
      <c r="C342" s="260"/>
      <c r="D342" s="259"/>
      <c r="E342" s="259"/>
      <c r="F342" s="259"/>
    </row>
    <row r="343" spans="1:6" ht="29.25" customHeight="1" x14ac:dyDescent="0.25">
      <c r="A343" s="260"/>
      <c r="B343" s="262"/>
      <c r="C343" s="260"/>
      <c r="D343" s="259"/>
      <c r="E343" s="259"/>
      <c r="F343" s="259"/>
    </row>
    <row r="344" spans="1:6" ht="29.25" customHeight="1" x14ac:dyDescent="0.25">
      <c r="A344" s="260"/>
      <c r="B344" s="262"/>
      <c r="C344" s="260"/>
      <c r="D344" s="259"/>
      <c r="E344" s="259"/>
      <c r="F344" s="259"/>
    </row>
    <row r="345" spans="1:6" ht="29.25" customHeight="1" x14ac:dyDescent="0.25">
      <c r="A345" s="260"/>
      <c r="B345" s="262"/>
      <c r="C345" s="260"/>
      <c r="D345" s="259"/>
      <c r="E345" s="259"/>
      <c r="F345" s="259"/>
    </row>
    <row r="346" spans="1:6" ht="29.25" customHeight="1" x14ac:dyDescent="0.25">
      <c r="A346" s="260"/>
      <c r="B346" s="262"/>
      <c r="C346" s="260"/>
      <c r="D346" s="259"/>
      <c r="E346" s="259"/>
      <c r="F346" s="259"/>
    </row>
    <row r="347" spans="1:6" ht="29.25" customHeight="1" x14ac:dyDescent="0.25">
      <c r="A347" s="260"/>
      <c r="B347" s="262"/>
      <c r="C347" s="260"/>
      <c r="D347" s="259"/>
      <c r="E347" s="259"/>
      <c r="F347" s="259"/>
    </row>
    <row r="348" spans="1:6" ht="29.25" customHeight="1" x14ac:dyDescent="0.25">
      <c r="A348" s="260"/>
      <c r="B348" s="262"/>
      <c r="C348" s="260"/>
      <c r="D348" s="259"/>
      <c r="E348" s="259"/>
      <c r="F348" s="259"/>
    </row>
    <row r="349" spans="1:6" ht="29.25" customHeight="1" x14ac:dyDescent="0.25">
      <c r="A349" s="260"/>
      <c r="B349" s="262"/>
      <c r="C349" s="260"/>
      <c r="D349" s="259"/>
      <c r="E349" s="259"/>
      <c r="F349" s="259"/>
    </row>
    <row r="350" spans="1:6" ht="29.25" customHeight="1" x14ac:dyDescent="0.25">
      <c r="A350" s="260"/>
      <c r="B350" s="262"/>
      <c r="C350" s="260"/>
      <c r="D350" s="259"/>
      <c r="E350" s="259"/>
      <c r="F350" s="259"/>
    </row>
    <row r="351" spans="1:6" ht="29.25" customHeight="1" x14ac:dyDescent="0.25">
      <c r="A351" s="260"/>
      <c r="B351" s="262"/>
      <c r="C351" s="260"/>
      <c r="D351" s="259"/>
      <c r="E351" s="259"/>
      <c r="F351" s="259"/>
    </row>
    <row r="352" spans="1:6" ht="29.25" customHeight="1" x14ac:dyDescent="0.25">
      <c r="A352" s="260"/>
      <c r="B352" s="262"/>
      <c r="C352" s="260"/>
      <c r="D352" s="259"/>
      <c r="E352" s="259"/>
      <c r="F352" s="259"/>
    </row>
    <row r="353" spans="1:6" ht="29.25" customHeight="1" x14ac:dyDescent="0.25">
      <c r="A353" s="260"/>
      <c r="B353" s="262"/>
      <c r="C353" s="260"/>
      <c r="D353" s="259"/>
      <c r="E353" s="259"/>
      <c r="F353" s="259"/>
    </row>
    <row r="354" spans="1:6" ht="29.25" customHeight="1" x14ac:dyDescent="0.25">
      <c r="A354" s="260"/>
      <c r="B354" s="262"/>
      <c r="C354" s="260"/>
      <c r="D354" s="259"/>
      <c r="E354" s="259"/>
      <c r="F354" s="259"/>
    </row>
    <row r="355" spans="1:6" ht="29.25" customHeight="1" x14ac:dyDescent="0.25">
      <c r="A355" s="260"/>
      <c r="B355" s="262"/>
      <c r="C355" s="260"/>
      <c r="D355" s="259"/>
      <c r="E355" s="259"/>
      <c r="F355" s="259"/>
    </row>
    <row r="356" spans="1:6" ht="29.25" customHeight="1" x14ac:dyDescent="0.25">
      <c r="A356" s="260"/>
      <c r="B356" s="262"/>
      <c r="C356" s="260"/>
      <c r="D356" s="259"/>
      <c r="E356" s="259"/>
      <c r="F356" s="259"/>
    </row>
    <row r="357" spans="1:6" ht="29.25" customHeight="1" x14ac:dyDescent="0.25">
      <c r="A357" s="260"/>
      <c r="B357" s="262"/>
      <c r="C357" s="260"/>
      <c r="D357" s="259"/>
      <c r="E357" s="259"/>
      <c r="F357" s="259"/>
    </row>
    <row r="358" spans="1:6" ht="29.25" customHeight="1" x14ac:dyDescent="0.25">
      <c r="A358" s="260"/>
      <c r="B358" s="262"/>
      <c r="C358" s="260"/>
      <c r="D358" s="259"/>
      <c r="E358" s="259"/>
      <c r="F358" s="259"/>
    </row>
    <row r="359" spans="1:6" ht="29.25" customHeight="1" x14ac:dyDescent="0.25">
      <c r="A359" s="260"/>
      <c r="B359" s="262"/>
      <c r="C359" s="260"/>
      <c r="D359" s="259"/>
      <c r="E359" s="259"/>
      <c r="F359" s="259"/>
    </row>
    <row r="360" spans="1:6" ht="29.25" customHeight="1" x14ac:dyDescent="0.25">
      <c r="A360" s="260"/>
      <c r="B360" s="262"/>
      <c r="C360" s="260"/>
      <c r="D360" s="259"/>
      <c r="E360" s="259"/>
      <c r="F360" s="259"/>
    </row>
    <row r="361" spans="1:6" ht="29.25" customHeight="1" x14ac:dyDescent="0.25">
      <c r="A361" s="260"/>
      <c r="B361" s="262"/>
      <c r="C361" s="260"/>
      <c r="D361" s="259"/>
      <c r="E361" s="259"/>
      <c r="F361" s="259"/>
    </row>
    <row r="362" spans="1:6" ht="29.25" customHeight="1" x14ac:dyDescent="0.25">
      <c r="A362" s="260"/>
      <c r="B362" s="262"/>
      <c r="C362" s="260"/>
      <c r="D362" s="259"/>
      <c r="E362" s="259"/>
      <c r="F362" s="259"/>
    </row>
    <row r="363" spans="1:6" ht="29.25" customHeight="1" x14ac:dyDescent="0.25">
      <c r="A363" s="260"/>
      <c r="B363" s="262"/>
      <c r="C363" s="260"/>
      <c r="D363" s="259"/>
      <c r="E363" s="259"/>
      <c r="F363" s="259"/>
    </row>
    <row r="364" spans="1:6" ht="29.25" customHeight="1" x14ac:dyDescent="0.25">
      <c r="A364" s="260"/>
      <c r="B364" s="262"/>
      <c r="C364" s="260"/>
      <c r="D364" s="259"/>
      <c r="E364" s="259"/>
      <c r="F364" s="259"/>
    </row>
    <row r="365" spans="1:6" ht="29.25" customHeight="1" x14ac:dyDescent="0.25">
      <c r="A365" s="260"/>
      <c r="B365" s="262"/>
      <c r="C365" s="260"/>
      <c r="D365" s="259"/>
      <c r="E365" s="259"/>
      <c r="F365" s="259"/>
    </row>
    <row r="366" spans="1:6" ht="29.25" customHeight="1" x14ac:dyDescent="0.25">
      <c r="A366" s="260"/>
      <c r="B366" s="262"/>
      <c r="C366" s="260"/>
      <c r="D366" s="259"/>
      <c r="E366" s="259"/>
      <c r="F366" s="259"/>
    </row>
    <row r="367" spans="1:6" ht="29.25" customHeight="1" x14ac:dyDescent="0.25">
      <c r="A367" s="260"/>
      <c r="B367" s="262"/>
      <c r="C367" s="260"/>
      <c r="D367" s="259"/>
      <c r="E367" s="259"/>
      <c r="F367" s="259"/>
    </row>
    <row r="368" spans="1:6" ht="29.25" customHeight="1" x14ac:dyDescent="0.25">
      <c r="A368" s="260"/>
      <c r="B368" s="262"/>
      <c r="C368" s="260"/>
      <c r="D368" s="259"/>
      <c r="E368" s="259"/>
      <c r="F368" s="259"/>
    </row>
    <row r="369" spans="1:6" ht="29.25" customHeight="1" x14ac:dyDescent="0.25">
      <c r="A369" s="260"/>
      <c r="B369" s="262"/>
      <c r="C369" s="260"/>
      <c r="D369" s="259"/>
      <c r="E369" s="259"/>
      <c r="F369" s="259"/>
    </row>
    <row r="370" spans="1:6" ht="29.25" customHeight="1" x14ac:dyDescent="0.25">
      <c r="A370" s="260"/>
      <c r="B370" s="262"/>
      <c r="C370" s="260"/>
      <c r="D370" s="259"/>
      <c r="E370" s="259"/>
      <c r="F370" s="259"/>
    </row>
    <row r="371" spans="1:6" ht="29.25" customHeight="1" x14ac:dyDescent="0.25">
      <c r="A371" s="260"/>
      <c r="B371" s="262"/>
      <c r="C371" s="260"/>
      <c r="D371" s="259"/>
      <c r="E371" s="259"/>
      <c r="F371" s="259"/>
    </row>
    <row r="372" spans="1:6" ht="29.25" customHeight="1" x14ac:dyDescent="0.25">
      <c r="A372" s="260"/>
      <c r="B372" s="262"/>
      <c r="C372" s="260"/>
      <c r="D372" s="259"/>
      <c r="E372" s="259"/>
      <c r="F372" s="259"/>
    </row>
    <row r="373" spans="1:6" ht="29.25" customHeight="1" x14ac:dyDescent="0.25">
      <c r="A373" s="260"/>
      <c r="B373" s="262"/>
      <c r="C373" s="260"/>
      <c r="D373" s="259"/>
      <c r="E373" s="259"/>
      <c r="F373" s="259"/>
    </row>
    <row r="374" spans="1:6" ht="29.25" customHeight="1" x14ac:dyDescent="0.25">
      <c r="A374" s="260"/>
      <c r="B374" s="262"/>
      <c r="C374" s="260"/>
      <c r="D374" s="259"/>
      <c r="E374" s="259"/>
      <c r="F374" s="259"/>
    </row>
    <row r="375" spans="1:6" ht="29.25" customHeight="1" x14ac:dyDescent="0.25">
      <c r="A375" s="260"/>
      <c r="B375" s="262"/>
      <c r="C375" s="260"/>
      <c r="D375" s="259"/>
      <c r="E375" s="259"/>
      <c r="F375" s="259"/>
    </row>
    <row r="376" spans="1:6" ht="29.25" customHeight="1" x14ac:dyDescent="0.25">
      <c r="A376" s="260"/>
      <c r="B376" s="262"/>
      <c r="C376" s="260"/>
      <c r="D376" s="259"/>
      <c r="E376" s="259"/>
      <c r="F376" s="259"/>
    </row>
    <row r="377" spans="1:6" ht="29.25" customHeight="1" x14ac:dyDescent="0.25">
      <c r="A377" s="260"/>
      <c r="B377" s="262"/>
      <c r="C377" s="260"/>
      <c r="D377" s="259"/>
      <c r="E377" s="259"/>
      <c r="F377" s="259"/>
    </row>
    <row r="378" spans="1:6" ht="29.25" customHeight="1" x14ac:dyDescent="0.25">
      <c r="A378" s="260"/>
      <c r="B378" s="262"/>
      <c r="C378" s="260"/>
      <c r="D378" s="259"/>
      <c r="E378" s="259"/>
      <c r="F378" s="259"/>
    </row>
    <row r="379" spans="1:6" ht="29.25" customHeight="1" x14ac:dyDescent="0.25">
      <c r="A379" s="260"/>
      <c r="B379" s="262"/>
      <c r="C379" s="260"/>
      <c r="D379" s="259"/>
      <c r="E379" s="259"/>
      <c r="F379" s="259"/>
    </row>
    <row r="380" spans="1:6" ht="29.25" customHeight="1" x14ac:dyDescent="0.25">
      <c r="A380" s="260"/>
      <c r="B380" s="262"/>
      <c r="C380" s="260"/>
      <c r="D380" s="259"/>
      <c r="E380" s="259"/>
      <c r="F380" s="259"/>
    </row>
    <row r="381" spans="1:6" ht="29.25" customHeight="1" x14ac:dyDescent="0.25">
      <c r="A381" s="260"/>
      <c r="B381" s="262"/>
      <c r="C381" s="260"/>
      <c r="D381" s="259"/>
      <c r="E381" s="259"/>
      <c r="F381" s="259"/>
    </row>
    <row r="382" spans="1:6" ht="29.25" customHeight="1" x14ac:dyDescent="0.25">
      <c r="A382" s="260"/>
      <c r="B382" s="262"/>
      <c r="C382" s="260"/>
      <c r="D382" s="259"/>
      <c r="E382" s="259"/>
      <c r="F382" s="259"/>
    </row>
    <row r="383" spans="1:6" ht="29.25" customHeight="1" x14ac:dyDescent="0.25">
      <c r="A383" s="260"/>
      <c r="B383" s="262"/>
      <c r="C383" s="260"/>
      <c r="D383" s="259"/>
      <c r="E383" s="259"/>
      <c r="F383" s="259"/>
    </row>
    <row r="384" spans="1:6" ht="29.25" customHeight="1" x14ac:dyDescent="0.25">
      <c r="A384" s="260"/>
      <c r="B384" s="262"/>
      <c r="C384" s="260"/>
      <c r="D384" s="259"/>
      <c r="E384" s="259"/>
      <c r="F384" s="259"/>
    </row>
    <row r="385" spans="1:6" ht="29.25" customHeight="1" x14ac:dyDescent="0.25">
      <c r="A385" s="260"/>
      <c r="B385" s="262"/>
      <c r="C385" s="260"/>
      <c r="D385" s="259"/>
      <c r="E385" s="259"/>
      <c r="F385" s="259"/>
    </row>
    <row r="386" spans="1:6" ht="29.25" customHeight="1" x14ac:dyDescent="0.25">
      <c r="A386" s="260"/>
      <c r="B386" s="262"/>
      <c r="C386" s="260"/>
      <c r="D386" s="259"/>
      <c r="E386" s="259"/>
      <c r="F386" s="259"/>
    </row>
    <row r="387" spans="1:6" ht="29.25" customHeight="1" x14ac:dyDescent="0.25">
      <c r="A387" s="260"/>
      <c r="B387" s="262"/>
      <c r="C387" s="260"/>
      <c r="D387" s="259"/>
      <c r="E387" s="259"/>
      <c r="F387" s="259"/>
    </row>
    <row r="388" spans="1:6" ht="29.25" customHeight="1" x14ac:dyDescent="0.25">
      <c r="A388" s="260"/>
      <c r="B388" s="262"/>
      <c r="C388" s="260"/>
      <c r="D388" s="259"/>
      <c r="E388" s="259"/>
      <c r="F388" s="259"/>
    </row>
    <row r="389" spans="1:6" ht="29.25" customHeight="1" x14ac:dyDescent="0.25">
      <c r="A389" s="260"/>
      <c r="B389" s="262"/>
      <c r="C389" s="260"/>
      <c r="D389" s="259"/>
      <c r="E389" s="259"/>
      <c r="F389" s="259"/>
    </row>
    <row r="390" spans="1:6" ht="29.25" customHeight="1" x14ac:dyDescent="0.25">
      <c r="A390" s="260"/>
      <c r="B390" s="262"/>
      <c r="C390" s="260"/>
      <c r="D390" s="259"/>
      <c r="E390" s="259"/>
      <c r="F390" s="259"/>
    </row>
    <row r="391" spans="1:6" ht="29.25" customHeight="1" x14ac:dyDescent="0.25">
      <c r="A391" s="260"/>
      <c r="B391" s="262"/>
      <c r="C391" s="260"/>
      <c r="D391" s="259"/>
      <c r="E391" s="259"/>
      <c r="F391" s="259"/>
    </row>
    <row r="392" spans="1:6" ht="29.25" customHeight="1" x14ac:dyDescent="0.25">
      <c r="A392" s="260"/>
      <c r="B392" s="262"/>
      <c r="C392" s="260"/>
      <c r="D392" s="259"/>
      <c r="E392" s="259"/>
      <c r="F392" s="259"/>
    </row>
    <row r="393" spans="1:6" ht="29.25" customHeight="1" x14ac:dyDescent="0.25">
      <c r="A393" s="260"/>
      <c r="B393" s="262"/>
      <c r="C393" s="260"/>
      <c r="D393" s="259"/>
      <c r="E393" s="259"/>
      <c r="F393" s="259"/>
    </row>
    <row r="394" spans="1:6" ht="29.25" customHeight="1" x14ac:dyDescent="0.25">
      <c r="A394" s="260"/>
      <c r="B394" s="262"/>
      <c r="C394" s="260"/>
      <c r="D394" s="259"/>
      <c r="E394" s="259"/>
      <c r="F394" s="259"/>
    </row>
    <row r="395" spans="1:6" ht="29.25" customHeight="1" x14ac:dyDescent="0.25">
      <c r="A395" s="260"/>
      <c r="B395" s="262"/>
      <c r="C395" s="260"/>
      <c r="D395" s="259"/>
      <c r="E395" s="259"/>
      <c r="F395" s="259"/>
    </row>
    <row r="396" spans="1:6" ht="29.25" customHeight="1" x14ac:dyDescent="0.25">
      <c r="A396" s="260"/>
      <c r="B396" s="262"/>
      <c r="C396" s="260"/>
      <c r="D396" s="259"/>
      <c r="E396" s="259"/>
      <c r="F396" s="259"/>
    </row>
    <row r="397" spans="1:6" ht="29.25" customHeight="1" x14ac:dyDescent="0.25">
      <c r="A397" s="260"/>
      <c r="B397" s="262"/>
      <c r="C397" s="260"/>
      <c r="D397" s="259"/>
      <c r="E397" s="259"/>
      <c r="F397" s="259"/>
    </row>
    <row r="398" spans="1:6" ht="29.25" customHeight="1" x14ac:dyDescent="0.25">
      <c r="A398" s="260"/>
      <c r="B398" s="262"/>
      <c r="C398" s="260"/>
      <c r="D398" s="259"/>
      <c r="E398" s="259"/>
      <c r="F398" s="259"/>
    </row>
    <row r="399" spans="1:6" ht="29.25" customHeight="1" x14ac:dyDescent="0.25">
      <c r="A399" s="260"/>
      <c r="B399" s="262"/>
      <c r="C399" s="260"/>
      <c r="D399" s="259"/>
      <c r="E399" s="259"/>
      <c r="F399" s="259"/>
    </row>
    <row r="400" spans="1:6" ht="29.25" customHeight="1" x14ac:dyDescent="0.25">
      <c r="A400" s="260"/>
      <c r="B400" s="262"/>
      <c r="C400" s="260"/>
      <c r="D400" s="259"/>
      <c r="E400" s="259"/>
      <c r="F400" s="259"/>
    </row>
    <row r="401" spans="1:6" ht="29.25" customHeight="1" x14ac:dyDescent="0.25">
      <c r="A401" s="260"/>
      <c r="B401" s="262"/>
      <c r="C401" s="260"/>
      <c r="D401" s="259"/>
      <c r="E401" s="259"/>
      <c r="F401" s="259"/>
    </row>
    <row r="402" spans="1:6" ht="29.25" customHeight="1" x14ac:dyDescent="0.25">
      <c r="A402" s="260"/>
      <c r="B402" s="262"/>
      <c r="C402" s="260"/>
      <c r="D402" s="259"/>
      <c r="E402" s="259"/>
      <c r="F402" s="259"/>
    </row>
    <row r="403" spans="1:6" ht="29.25" customHeight="1" x14ac:dyDescent="0.25">
      <c r="A403" s="260"/>
      <c r="B403" s="262"/>
      <c r="C403" s="260"/>
      <c r="D403" s="259"/>
      <c r="E403" s="259"/>
      <c r="F403" s="259"/>
    </row>
    <row r="404" spans="1:6" ht="29.25" customHeight="1" x14ac:dyDescent="0.25">
      <c r="A404" s="260"/>
      <c r="B404" s="262"/>
      <c r="C404" s="260"/>
      <c r="D404" s="259"/>
      <c r="E404" s="259"/>
      <c r="F404" s="259"/>
    </row>
    <row r="405" spans="1:6" ht="29.25" customHeight="1" x14ac:dyDescent="0.25">
      <c r="A405" s="260"/>
      <c r="B405" s="262"/>
      <c r="C405" s="260"/>
      <c r="D405" s="259"/>
      <c r="E405" s="259"/>
      <c r="F405" s="259"/>
    </row>
    <row r="406" spans="1:6" ht="29.25" customHeight="1" x14ac:dyDescent="0.25">
      <c r="A406" s="260"/>
      <c r="B406" s="262"/>
      <c r="C406" s="260"/>
      <c r="D406" s="259"/>
      <c r="E406" s="259"/>
      <c r="F406" s="259"/>
    </row>
    <row r="407" spans="1:6" ht="29.25" customHeight="1" x14ac:dyDescent="0.25">
      <c r="A407" s="260"/>
      <c r="B407" s="262"/>
      <c r="C407" s="260"/>
      <c r="D407" s="259"/>
      <c r="E407" s="259"/>
      <c r="F407" s="259"/>
    </row>
    <row r="408" spans="1:6" ht="29.25" customHeight="1" x14ac:dyDescent="0.25">
      <c r="A408" s="260"/>
      <c r="B408" s="262"/>
      <c r="C408" s="260"/>
      <c r="D408" s="259"/>
      <c r="E408" s="259"/>
      <c r="F408" s="259"/>
    </row>
    <row r="409" spans="1:6" ht="29.25" customHeight="1" x14ac:dyDescent="0.25">
      <c r="A409" s="260"/>
      <c r="B409" s="262"/>
      <c r="C409" s="260"/>
      <c r="D409" s="259"/>
      <c r="E409" s="259"/>
      <c r="F409" s="259"/>
    </row>
    <row r="410" spans="1:6" ht="29.25" customHeight="1" x14ac:dyDescent="0.25">
      <c r="A410" s="260"/>
      <c r="B410" s="262"/>
      <c r="C410" s="260"/>
      <c r="D410" s="259"/>
      <c r="E410" s="259"/>
      <c r="F410" s="259"/>
    </row>
    <row r="411" spans="1:6" ht="29.25" customHeight="1" x14ac:dyDescent="0.25">
      <c r="A411" s="260"/>
      <c r="B411" s="262"/>
      <c r="C411" s="260"/>
      <c r="D411" s="259"/>
      <c r="E411" s="259"/>
      <c r="F411" s="259"/>
    </row>
    <row r="412" spans="1:6" ht="29.25" customHeight="1" x14ac:dyDescent="0.25">
      <c r="A412" s="260"/>
      <c r="B412" s="262"/>
      <c r="C412" s="260"/>
      <c r="D412" s="259"/>
      <c r="E412" s="259"/>
      <c r="F412" s="259"/>
    </row>
    <row r="413" spans="1:6" ht="29.25" customHeight="1" x14ac:dyDescent="0.25">
      <c r="A413" s="260"/>
      <c r="B413" s="262"/>
      <c r="C413" s="260"/>
      <c r="D413" s="259"/>
      <c r="E413" s="259"/>
      <c r="F413" s="259"/>
    </row>
    <row r="414" spans="1:6" ht="29.25" customHeight="1" x14ac:dyDescent="0.25">
      <c r="A414" s="260"/>
      <c r="B414" s="262"/>
      <c r="C414" s="260"/>
      <c r="D414" s="259"/>
      <c r="E414" s="259"/>
      <c r="F414" s="259"/>
    </row>
    <row r="415" spans="1:6" ht="29.25" customHeight="1" x14ac:dyDescent="0.25">
      <c r="A415" s="260"/>
      <c r="B415" s="262"/>
      <c r="C415" s="260"/>
      <c r="D415" s="259"/>
      <c r="E415" s="259"/>
      <c r="F415" s="259"/>
    </row>
    <row r="416" spans="1:6" ht="29.25" customHeight="1" x14ac:dyDescent="0.25">
      <c r="A416" s="260"/>
      <c r="B416" s="262"/>
      <c r="C416" s="260"/>
      <c r="D416" s="259"/>
      <c r="E416" s="259"/>
      <c r="F416" s="259"/>
    </row>
    <row r="417" spans="1:6" ht="29.25" customHeight="1" x14ac:dyDescent="0.25">
      <c r="A417" s="260"/>
      <c r="B417" s="262"/>
      <c r="C417" s="260"/>
      <c r="D417" s="259"/>
      <c r="E417" s="259"/>
      <c r="F417" s="259"/>
    </row>
    <row r="418" spans="1:6" ht="29.25" customHeight="1" x14ac:dyDescent="0.25">
      <c r="A418" s="260"/>
      <c r="B418" s="262"/>
      <c r="C418" s="260"/>
      <c r="D418" s="259"/>
      <c r="E418" s="259"/>
      <c r="F418" s="259"/>
    </row>
    <row r="419" spans="1:6" ht="29.25" customHeight="1" x14ac:dyDescent="0.25">
      <c r="A419" s="260"/>
      <c r="B419" s="262"/>
      <c r="C419" s="260"/>
      <c r="D419" s="259"/>
      <c r="E419" s="259"/>
      <c r="F419" s="259"/>
    </row>
    <row r="420" spans="1:6" ht="29.25" customHeight="1" x14ac:dyDescent="0.25">
      <c r="A420" s="260"/>
      <c r="B420" s="262"/>
      <c r="C420" s="260"/>
      <c r="D420" s="259"/>
      <c r="E420" s="259"/>
      <c r="F420" s="259"/>
    </row>
    <row r="421" spans="1:6" ht="29.25" customHeight="1" x14ac:dyDescent="0.25">
      <c r="A421" s="260"/>
      <c r="B421" s="262"/>
      <c r="C421" s="260"/>
      <c r="D421" s="259"/>
      <c r="E421" s="259"/>
      <c r="F421" s="259"/>
    </row>
    <row r="422" spans="1:6" ht="29.25" customHeight="1" x14ac:dyDescent="0.25">
      <c r="A422" s="260"/>
      <c r="B422" s="262"/>
      <c r="C422" s="260"/>
      <c r="D422" s="259"/>
      <c r="E422" s="259"/>
      <c r="F422" s="259"/>
    </row>
    <row r="423" spans="1:6" ht="29.25" customHeight="1" x14ac:dyDescent="0.25">
      <c r="A423" s="260"/>
      <c r="B423" s="262"/>
      <c r="C423" s="260"/>
      <c r="D423" s="259"/>
      <c r="E423" s="259"/>
      <c r="F423" s="259"/>
    </row>
    <row r="424" spans="1:6" ht="29.25" customHeight="1" x14ac:dyDescent="0.25">
      <c r="A424" s="260"/>
      <c r="B424" s="262"/>
      <c r="C424" s="260"/>
      <c r="D424" s="259"/>
      <c r="E424" s="259"/>
      <c r="F424" s="259"/>
    </row>
    <row r="425" spans="1:6" ht="29.25" customHeight="1" x14ac:dyDescent="0.25">
      <c r="A425" s="260"/>
      <c r="B425" s="262"/>
      <c r="C425" s="260"/>
      <c r="D425" s="259"/>
      <c r="E425" s="259"/>
      <c r="F425" s="259"/>
    </row>
    <row r="426" spans="1:6" ht="29.25" customHeight="1" x14ac:dyDescent="0.25">
      <c r="A426" s="260"/>
      <c r="B426" s="262"/>
      <c r="C426" s="260"/>
      <c r="D426" s="259"/>
      <c r="E426" s="259"/>
      <c r="F426" s="259"/>
    </row>
    <row r="427" spans="1:6" ht="29.25" customHeight="1" x14ac:dyDescent="0.25">
      <c r="A427" s="260"/>
      <c r="B427" s="262"/>
      <c r="C427" s="260"/>
      <c r="D427" s="259"/>
      <c r="E427" s="259"/>
      <c r="F427" s="259"/>
    </row>
    <row r="428" spans="1:6" ht="29.25" customHeight="1" x14ac:dyDescent="0.25">
      <c r="A428" s="260"/>
      <c r="B428" s="262"/>
      <c r="C428" s="260"/>
      <c r="D428" s="259"/>
      <c r="E428" s="259"/>
      <c r="F428" s="259"/>
    </row>
    <row r="429" spans="1:6" ht="29.25" customHeight="1" x14ac:dyDescent="0.25">
      <c r="A429" s="260"/>
      <c r="B429" s="262"/>
      <c r="C429" s="260"/>
      <c r="D429" s="259"/>
      <c r="E429" s="259"/>
      <c r="F429" s="259"/>
    </row>
    <row r="430" spans="1:6" ht="29.25" customHeight="1" x14ac:dyDescent="0.25">
      <c r="A430" s="260"/>
      <c r="B430" s="262"/>
      <c r="C430" s="260"/>
      <c r="D430" s="259"/>
      <c r="E430" s="259"/>
      <c r="F430" s="259"/>
    </row>
    <row r="431" spans="1:6" ht="29.25" customHeight="1" x14ac:dyDescent="0.25">
      <c r="A431" s="260"/>
      <c r="B431" s="262"/>
      <c r="C431" s="260"/>
      <c r="D431" s="259"/>
      <c r="E431" s="259"/>
      <c r="F431" s="259"/>
    </row>
    <row r="432" spans="1:6" ht="29.25" customHeight="1" x14ac:dyDescent="0.25">
      <c r="A432" s="260"/>
      <c r="B432" s="262"/>
      <c r="C432" s="260"/>
      <c r="D432" s="259"/>
      <c r="E432" s="259"/>
      <c r="F432" s="259"/>
    </row>
    <row r="433" spans="1:6" ht="29.25" customHeight="1" x14ac:dyDescent="0.25">
      <c r="A433" s="260"/>
      <c r="B433" s="262"/>
      <c r="C433" s="260"/>
      <c r="D433" s="259"/>
      <c r="E433" s="259"/>
      <c r="F433" s="259"/>
    </row>
    <row r="434" spans="1:6" ht="29.25" customHeight="1" x14ac:dyDescent="0.25">
      <c r="A434" s="260"/>
      <c r="B434" s="262"/>
      <c r="C434" s="260"/>
      <c r="D434" s="259"/>
      <c r="E434" s="259"/>
      <c r="F434" s="259"/>
    </row>
    <row r="435" spans="1:6" ht="29.25" customHeight="1" x14ac:dyDescent="0.25">
      <c r="A435" s="260"/>
      <c r="B435" s="262"/>
      <c r="C435" s="260"/>
      <c r="D435" s="259"/>
      <c r="E435" s="259"/>
      <c r="F435" s="259"/>
    </row>
    <row r="436" spans="1:6" ht="29.25" customHeight="1" x14ac:dyDescent="0.25">
      <c r="A436" s="260"/>
      <c r="B436" s="262"/>
      <c r="C436" s="260"/>
      <c r="D436" s="259"/>
      <c r="E436" s="259"/>
      <c r="F436" s="259"/>
    </row>
    <row r="437" spans="1:6" ht="29.25" customHeight="1" x14ac:dyDescent="0.25">
      <c r="A437" s="260"/>
      <c r="B437" s="262"/>
      <c r="C437" s="260"/>
      <c r="D437" s="259"/>
      <c r="E437" s="259"/>
      <c r="F437" s="259"/>
    </row>
    <row r="438" spans="1:6" x14ac:dyDescent="0.25">
      <c r="A438" s="260"/>
      <c r="B438" s="262"/>
      <c r="C438" s="260"/>
      <c r="D438" s="259"/>
      <c r="E438" s="259"/>
      <c r="F438" s="259"/>
    </row>
    <row r="439" spans="1:6" x14ac:dyDescent="0.25">
      <c r="A439" s="260"/>
      <c r="B439" s="262"/>
      <c r="C439" s="260"/>
      <c r="D439" s="259"/>
      <c r="E439" s="259"/>
      <c r="F439" s="259"/>
    </row>
    <row r="440" spans="1:6" x14ac:dyDescent="0.25">
      <c r="A440" s="260"/>
      <c r="B440" s="262"/>
      <c r="C440" s="260"/>
      <c r="D440" s="259"/>
      <c r="E440" s="259"/>
      <c r="F440" s="259"/>
    </row>
    <row r="441" spans="1:6" x14ac:dyDescent="0.25">
      <c r="A441" s="260"/>
      <c r="B441" s="262"/>
      <c r="C441" s="260"/>
      <c r="D441" s="259"/>
      <c r="E441" s="259"/>
      <c r="F44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2700-000000000000}"/>
  </hyperlinks>
  <pageMargins left="0.7" right="0.7" top="0.75" bottom="0.75" header="0.3" footer="0.3"/>
  <pageSetup paperSize="9" orientation="portrait" horizontalDpi="180" verticalDpi="18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32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" t="s">
        <v>136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SUM(D10:D70)</f>
        <v>168087272</v>
      </c>
    </row>
    <row r="6" spans="1:7" x14ac:dyDescent="0.25">
      <c r="E6" s="2" t="s">
        <v>11</v>
      </c>
      <c r="F6" s="2">
        <f>SUM(E10:E70)</f>
        <v>168087272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553</v>
      </c>
      <c r="G8" s="413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  <c r="G9" s="414"/>
    </row>
    <row r="10" spans="1:7" ht="29.25" customHeight="1" x14ac:dyDescent="0.25">
      <c r="A10" s="262">
        <v>1</v>
      </c>
      <c r="B10" s="262" t="s">
        <v>392</v>
      </c>
      <c r="C10" s="260" t="s">
        <v>177</v>
      </c>
      <c r="D10" s="272">
        <v>4800000</v>
      </c>
      <c r="E10" s="272"/>
      <c r="F10" s="273">
        <f>F4+D10-E10</f>
        <v>4800000</v>
      </c>
      <c r="G10" s="260"/>
    </row>
    <row r="11" spans="1:7" ht="29.25" customHeight="1" x14ac:dyDescent="0.25">
      <c r="A11" s="262">
        <v>2</v>
      </c>
      <c r="B11" s="261">
        <v>43715</v>
      </c>
      <c r="C11" s="260" t="s">
        <v>394</v>
      </c>
      <c r="D11" s="272"/>
      <c r="E11" s="272">
        <v>4800000</v>
      </c>
      <c r="F11" s="273">
        <f>F10+D11-E11</f>
        <v>0</v>
      </c>
      <c r="G11" s="260"/>
    </row>
    <row r="12" spans="1:7" ht="29.25" customHeight="1" x14ac:dyDescent="0.25">
      <c r="A12" s="262">
        <v>3</v>
      </c>
      <c r="B12" s="261" t="s">
        <v>342</v>
      </c>
      <c r="C12" s="260" t="s">
        <v>350</v>
      </c>
      <c r="D12" s="272">
        <v>4090909</v>
      </c>
      <c r="E12" s="272"/>
      <c r="F12" s="273">
        <f t="shared" ref="F12:F44" si="0">F11+D12-E12</f>
        <v>4090909</v>
      </c>
      <c r="G12" s="260"/>
    </row>
    <row r="13" spans="1:7" ht="29.25" customHeight="1" x14ac:dyDescent="0.25">
      <c r="A13" s="262">
        <v>4</v>
      </c>
      <c r="B13" s="262" t="s">
        <v>376</v>
      </c>
      <c r="C13" s="260" t="s">
        <v>365</v>
      </c>
      <c r="D13" s="272">
        <v>14700000</v>
      </c>
      <c r="E13" s="272"/>
      <c r="F13" s="273">
        <f t="shared" si="0"/>
        <v>18790909</v>
      </c>
      <c r="G13" s="260"/>
    </row>
    <row r="14" spans="1:7" ht="29.25" customHeight="1" x14ac:dyDescent="0.25">
      <c r="A14" s="262">
        <v>5</v>
      </c>
      <c r="B14" s="262" t="s">
        <v>376</v>
      </c>
      <c r="C14" s="260" t="s">
        <v>393</v>
      </c>
      <c r="D14" s="272"/>
      <c r="E14" s="272">
        <v>11909091</v>
      </c>
      <c r="F14" s="273">
        <f t="shared" si="0"/>
        <v>6881818</v>
      </c>
      <c r="G14" s="260"/>
    </row>
    <row r="15" spans="1:7" ht="29.25" customHeight="1" x14ac:dyDescent="0.25">
      <c r="A15" s="262">
        <v>6</v>
      </c>
      <c r="B15" s="262" t="s">
        <v>400</v>
      </c>
      <c r="C15" s="260" t="s">
        <v>413</v>
      </c>
      <c r="D15" s="272">
        <v>3800000</v>
      </c>
      <c r="E15" s="272"/>
      <c r="F15" s="273">
        <f>F14+D15-E15</f>
        <v>10681818</v>
      </c>
      <c r="G15" s="260"/>
    </row>
    <row r="16" spans="1:7" ht="29.25" customHeight="1" x14ac:dyDescent="0.25">
      <c r="A16" s="262">
        <v>7</v>
      </c>
      <c r="B16" s="262" t="s">
        <v>418</v>
      </c>
      <c r="C16" s="260" t="s">
        <v>419</v>
      </c>
      <c r="D16" s="272"/>
      <c r="E16" s="272">
        <v>10681818</v>
      </c>
      <c r="F16" s="273">
        <f t="shared" si="0"/>
        <v>0</v>
      </c>
      <c r="G16" s="260"/>
    </row>
    <row r="17" spans="1:7" ht="29.25" customHeight="1" x14ac:dyDescent="0.25">
      <c r="A17" s="262">
        <v>8</v>
      </c>
      <c r="B17" s="262" t="s">
        <v>420</v>
      </c>
      <c r="C17" s="260" t="s">
        <v>431</v>
      </c>
      <c r="D17" s="272">
        <v>200000</v>
      </c>
      <c r="E17" s="272"/>
      <c r="F17" s="273">
        <f t="shared" si="0"/>
        <v>200000</v>
      </c>
      <c r="G17" s="260"/>
    </row>
    <row r="18" spans="1:7" ht="29.25" customHeight="1" x14ac:dyDescent="0.25">
      <c r="A18" s="262">
        <v>9</v>
      </c>
      <c r="B18" s="262" t="s">
        <v>449</v>
      </c>
      <c r="C18" s="260" t="s">
        <v>463</v>
      </c>
      <c r="D18" s="272">
        <v>3940000</v>
      </c>
      <c r="E18" s="272"/>
      <c r="F18" s="273">
        <f t="shared" si="0"/>
        <v>4140000</v>
      </c>
      <c r="G18" s="260"/>
    </row>
    <row r="19" spans="1:7" ht="29.25" customHeight="1" x14ac:dyDescent="0.25">
      <c r="A19" s="262"/>
      <c r="B19" s="261">
        <v>43981</v>
      </c>
      <c r="C19" s="260" t="s">
        <v>915</v>
      </c>
      <c r="D19" s="272"/>
      <c r="E19" s="272">
        <v>4400000</v>
      </c>
      <c r="F19" s="273">
        <f t="shared" si="0"/>
        <v>-260000</v>
      </c>
      <c r="G19" s="260"/>
    </row>
    <row r="20" spans="1:7" ht="29.25" customHeight="1" x14ac:dyDescent="0.25">
      <c r="A20" s="262">
        <v>10</v>
      </c>
      <c r="B20" s="262" t="s">
        <v>542</v>
      </c>
      <c r="C20" s="260" t="s">
        <v>547</v>
      </c>
      <c r="D20" s="272">
        <v>1490909</v>
      </c>
      <c r="E20" s="272"/>
      <c r="F20" s="273">
        <f t="shared" si="0"/>
        <v>1230909</v>
      </c>
      <c r="G20" s="260"/>
    </row>
    <row r="21" spans="1:7" ht="26.25" customHeight="1" x14ac:dyDescent="0.25">
      <c r="A21" s="262">
        <v>11</v>
      </c>
      <c r="B21" s="261">
        <v>44043</v>
      </c>
      <c r="C21" s="260" t="s">
        <v>577</v>
      </c>
      <c r="D21" s="272">
        <v>3800000</v>
      </c>
      <c r="E21" s="272"/>
      <c r="F21" s="273">
        <f t="shared" si="0"/>
        <v>5030909</v>
      </c>
      <c r="G21" s="260"/>
    </row>
    <row r="22" spans="1:7" ht="26.25" customHeight="1" x14ac:dyDescent="0.25">
      <c r="A22" s="262"/>
      <c r="B22" s="261">
        <v>44439</v>
      </c>
      <c r="C22" s="260" t="s">
        <v>914</v>
      </c>
      <c r="D22" s="272"/>
      <c r="E22" s="272">
        <v>400000</v>
      </c>
      <c r="F22" s="273">
        <f t="shared" si="0"/>
        <v>4630909</v>
      </c>
      <c r="G22" s="260"/>
    </row>
    <row r="23" spans="1:7" ht="26.25" customHeight="1" x14ac:dyDescent="0.25">
      <c r="A23" s="262">
        <v>12</v>
      </c>
      <c r="B23" s="261">
        <v>44104</v>
      </c>
      <c r="C23" s="260" t="s">
        <v>629</v>
      </c>
      <c r="D23" s="272">
        <v>6400000</v>
      </c>
      <c r="E23" s="272"/>
      <c r="F23" s="273">
        <f t="shared" si="0"/>
        <v>11030909</v>
      </c>
      <c r="G23" s="260"/>
    </row>
    <row r="24" spans="1:7" ht="26.25" customHeight="1" x14ac:dyDescent="0.25">
      <c r="A24" s="262">
        <v>13</v>
      </c>
      <c r="B24" s="261">
        <v>44135</v>
      </c>
      <c r="C24" s="260" t="s">
        <v>670</v>
      </c>
      <c r="D24" s="272">
        <v>39340000</v>
      </c>
      <c r="E24" s="272"/>
      <c r="F24" s="273">
        <f t="shared" si="0"/>
        <v>50370909</v>
      </c>
      <c r="G24" s="260"/>
    </row>
    <row r="25" spans="1:7" ht="26.25" customHeight="1" x14ac:dyDescent="0.25">
      <c r="A25" s="262">
        <v>14</v>
      </c>
      <c r="B25" s="261">
        <v>44165</v>
      </c>
      <c r="C25" s="260" t="s">
        <v>684</v>
      </c>
      <c r="D25" s="272">
        <v>1125454</v>
      </c>
      <c r="E25" s="272"/>
      <c r="F25" s="273">
        <f t="shared" si="0"/>
        <v>51496363</v>
      </c>
      <c r="G25" s="260"/>
    </row>
    <row r="26" spans="1:7" ht="26.25" customHeight="1" x14ac:dyDescent="0.25">
      <c r="A26" s="262">
        <v>15</v>
      </c>
      <c r="B26" s="261">
        <v>44196</v>
      </c>
      <c r="C26" s="260" t="s">
        <v>716</v>
      </c>
      <c r="D26" s="272">
        <v>4218182</v>
      </c>
      <c r="E26" s="272"/>
      <c r="F26" s="273">
        <f t="shared" si="0"/>
        <v>55714545</v>
      </c>
      <c r="G26" s="260"/>
    </row>
    <row r="27" spans="1:7" ht="26.25" customHeight="1" x14ac:dyDescent="0.25">
      <c r="A27" s="262">
        <v>16</v>
      </c>
      <c r="B27" s="261">
        <v>44196</v>
      </c>
      <c r="C27" s="260" t="s">
        <v>717</v>
      </c>
      <c r="D27" s="272"/>
      <c r="E27" s="272">
        <v>20004200</v>
      </c>
      <c r="F27" s="273">
        <f t="shared" si="0"/>
        <v>35710345</v>
      </c>
      <c r="G27" s="260"/>
    </row>
    <row r="28" spans="1:7" ht="26.25" customHeight="1" x14ac:dyDescent="0.25">
      <c r="A28" s="262">
        <v>17</v>
      </c>
      <c r="B28" s="261">
        <v>44206</v>
      </c>
      <c r="C28" s="260" t="s">
        <v>718</v>
      </c>
      <c r="D28" s="272"/>
      <c r="E28" s="272">
        <v>7000000</v>
      </c>
      <c r="F28" s="273">
        <f t="shared" si="0"/>
        <v>28710345</v>
      </c>
      <c r="G28" s="260"/>
    </row>
    <row r="29" spans="1:7" ht="26.25" customHeight="1" x14ac:dyDescent="0.25">
      <c r="A29" s="262">
        <v>18</v>
      </c>
      <c r="B29" s="261">
        <v>44227</v>
      </c>
      <c r="C29" s="260" t="s">
        <v>735</v>
      </c>
      <c r="D29" s="272">
        <v>17781818</v>
      </c>
      <c r="E29" s="272"/>
      <c r="F29" s="273">
        <f t="shared" si="0"/>
        <v>46492163</v>
      </c>
      <c r="G29" s="260"/>
    </row>
    <row r="30" spans="1:7" ht="26.25" customHeight="1" x14ac:dyDescent="0.25">
      <c r="A30" s="262">
        <v>19</v>
      </c>
      <c r="B30" s="261">
        <v>44285</v>
      </c>
      <c r="C30" s="260" t="s">
        <v>916</v>
      </c>
      <c r="D30" s="272"/>
      <c r="E30" s="272">
        <v>7800000</v>
      </c>
      <c r="F30" s="273">
        <f t="shared" si="0"/>
        <v>38692163</v>
      </c>
      <c r="G30" s="260"/>
    </row>
    <row r="31" spans="1:7" ht="23.25" customHeight="1" x14ac:dyDescent="0.25">
      <c r="A31" s="262">
        <v>20</v>
      </c>
      <c r="B31" s="261">
        <v>44316</v>
      </c>
      <c r="C31" s="260" t="s">
        <v>917</v>
      </c>
      <c r="D31" s="272">
        <v>3800000</v>
      </c>
      <c r="E31" s="272"/>
      <c r="F31" s="273">
        <f t="shared" si="0"/>
        <v>42492163</v>
      </c>
      <c r="G31" s="260"/>
    </row>
    <row r="32" spans="1:7" ht="23.25" customHeight="1" x14ac:dyDescent="0.25">
      <c r="A32" s="262">
        <v>21</v>
      </c>
      <c r="B32" s="261">
        <v>44376</v>
      </c>
      <c r="C32" s="260" t="s">
        <v>918</v>
      </c>
      <c r="D32" s="272">
        <v>7700000</v>
      </c>
      <c r="E32" s="272"/>
      <c r="F32" s="273">
        <f t="shared" si="0"/>
        <v>50192163</v>
      </c>
      <c r="G32" s="260"/>
    </row>
    <row r="33" spans="1:7" ht="23.25" customHeight="1" x14ac:dyDescent="0.25">
      <c r="A33" s="262">
        <v>22</v>
      </c>
      <c r="B33" s="261">
        <v>44408</v>
      </c>
      <c r="C33" s="260" t="s">
        <v>919</v>
      </c>
      <c r="D33" s="272"/>
      <c r="E33" s="272">
        <v>4700000</v>
      </c>
      <c r="F33" s="273">
        <f t="shared" si="0"/>
        <v>45492163</v>
      </c>
      <c r="G33" s="260"/>
    </row>
    <row r="34" spans="1:7" ht="23.25" customHeight="1" x14ac:dyDescent="0.25">
      <c r="A34" s="262">
        <v>23</v>
      </c>
      <c r="B34" s="261">
        <v>44438</v>
      </c>
      <c r="C34" s="260" t="s">
        <v>973</v>
      </c>
      <c r="D34" s="272"/>
      <c r="E34" s="272">
        <v>14900000</v>
      </c>
      <c r="F34" s="273">
        <f t="shared" si="0"/>
        <v>30592163</v>
      </c>
      <c r="G34" s="260"/>
    </row>
    <row r="35" spans="1:7" ht="23.25" customHeight="1" x14ac:dyDescent="0.25">
      <c r="A35" s="262">
        <v>24</v>
      </c>
      <c r="B35" s="261">
        <v>44469</v>
      </c>
      <c r="C35" s="260" t="s">
        <v>974</v>
      </c>
      <c r="D35" s="272"/>
      <c r="E35" s="272">
        <v>14600000</v>
      </c>
      <c r="F35" s="273">
        <f t="shared" si="0"/>
        <v>15992163</v>
      </c>
      <c r="G35" s="260"/>
    </row>
    <row r="36" spans="1:7" ht="23.25" customHeight="1" x14ac:dyDescent="0.25">
      <c r="A36" s="262">
        <v>25</v>
      </c>
      <c r="B36" s="261">
        <v>44504</v>
      </c>
      <c r="C36" s="260" t="s">
        <v>989</v>
      </c>
      <c r="D36" s="272"/>
      <c r="E36" s="272">
        <v>15992163</v>
      </c>
      <c r="F36" s="273">
        <f t="shared" si="0"/>
        <v>0</v>
      </c>
      <c r="G36" s="260"/>
    </row>
    <row r="37" spans="1:7" ht="28.5" customHeight="1" x14ac:dyDescent="0.25">
      <c r="A37" s="262">
        <v>26</v>
      </c>
      <c r="B37" s="261">
        <v>44772</v>
      </c>
      <c r="C37" s="260" t="s">
        <v>1315</v>
      </c>
      <c r="D37" s="272">
        <v>8100000</v>
      </c>
      <c r="E37" s="272"/>
      <c r="F37" s="273">
        <f t="shared" si="0"/>
        <v>8100000</v>
      </c>
      <c r="G37" s="260"/>
    </row>
    <row r="38" spans="1:7" ht="28.5" customHeight="1" x14ac:dyDescent="0.25">
      <c r="A38" s="262">
        <v>27</v>
      </c>
      <c r="B38" s="261">
        <v>44803</v>
      </c>
      <c r="C38" s="260" t="s">
        <v>1310</v>
      </c>
      <c r="D38" s="272"/>
      <c r="E38" s="272">
        <v>5800000</v>
      </c>
      <c r="F38" s="319">
        <f t="shared" si="0"/>
        <v>2300000</v>
      </c>
      <c r="G38" s="260"/>
    </row>
    <row r="39" spans="1:7" ht="28.5" customHeight="1" x14ac:dyDescent="0.25">
      <c r="A39" s="262">
        <v>28</v>
      </c>
      <c r="B39" s="261">
        <v>44864</v>
      </c>
      <c r="C39" s="260" t="s">
        <v>1316</v>
      </c>
      <c r="D39" s="272"/>
      <c r="E39" s="272">
        <v>10500000</v>
      </c>
      <c r="F39" s="273">
        <f t="shared" si="0"/>
        <v>-8200000</v>
      </c>
      <c r="G39" s="260"/>
    </row>
    <row r="40" spans="1:7" ht="28.5" customHeight="1" x14ac:dyDescent="0.25">
      <c r="A40" s="262">
        <v>29</v>
      </c>
      <c r="B40" s="261">
        <v>44895</v>
      </c>
      <c r="C40" s="260" t="s">
        <v>1323</v>
      </c>
      <c r="D40" s="272">
        <v>3300000</v>
      </c>
      <c r="E40" s="272"/>
      <c r="F40" s="273">
        <f t="shared" si="0"/>
        <v>-4900000</v>
      </c>
      <c r="G40" s="260"/>
    </row>
    <row r="41" spans="1:7" ht="28.5" customHeight="1" x14ac:dyDescent="0.25">
      <c r="A41" s="262">
        <v>30</v>
      </c>
      <c r="B41" s="261">
        <v>44942</v>
      </c>
      <c r="C41" s="260" t="s">
        <v>1360</v>
      </c>
      <c r="D41" s="272">
        <v>4900000</v>
      </c>
      <c r="E41" s="272"/>
      <c r="F41" s="273">
        <f t="shared" si="0"/>
        <v>0</v>
      </c>
      <c r="G41" s="260"/>
    </row>
    <row r="42" spans="1:7" ht="28.5" customHeight="1" x14ac:dyDescent="0.25">
      <c r="A42" s="262">
        <v>31</v>
      </c>
      <c r="B42" s="261">
        <v>45015</v>
      </c>
      <c r="C42" s="260" t="s">
        <v>1459</v>
      </c>
      <c r="D42" s="272"/>
      <c r="E42" s="272">
        <v>9800000</v>
      </c>
      <c r="F42" s="273">
        <f t="shared" si="0"/>
        <v>-9800000</v>
      </c>
      <c r="G42" s="260"/>
    </row>
    <row r="43" spans="1:7" ht="28.5" customHeight="1" x14ac:dyDescent="0.25">
      <c r="A43" s="262">
        <v>32</v>
      </c>
      <c r="B43" s="261">
        <v>45046</v>
      </c>
      <c r="C43" s="260" t="s">
        <v>1444</v>
      </c>
      <c r="D43" s="272"/>
      <c r="E43" s="272">
        <v>24800000</v>
      </c>
      <c r="F43" s="273">
        <f t="shared" si="0"/>
        <v>-34600000</v>
      </c>
      <c r="G43" s="260"/>
    </row>
    <row r="44" spans="1:7" ht="28.5" customHeight="1" x14ac:dyDescent="0.25">
      <c r="A44" s="262"/>
      <c r="B44" s="261">
        <v>45155</v>
      </c>
      <c r="C44" s="260" t="s">
        <v>1360</v>
      </c>
      <c r="D44" s="272">
        <v>9800000</v>
      </c>
      <c r="E44" s="272"/>
      <c r="F44" s="273">
        <f t="shared" si="0"/>
        <v>-24800000</v>
      </c>
      <c r="G44" s="260"/>
    </row>
    <row r="45" spans="1:7" ht="28.5" customHeight="1" x14ac:dyDescent="0.25">
      <c r="A45" s="260"/>
      <c r="B45" s="261">
        <v>45174</v>
      </c>
      <c r="C45" s="260" t="s">
        <v>1360</v>
      </c>
      <c r="D45" s="272">
        <v>24800000</v>
      </c>
      <c r="E45" s="272"/>
      <c r="F45" s="272"/>
      <c r="G45" s="260"/>
    </row>
    <row r="46" spans="1:7" ht="28.5" customHeight="1" x14ac:dyDescent="0.25">
      <c r="A46" s="260"/>
      <c r="B46" s="261"/>
      <c r="C46" s="260"/>
      <c r="D46" s="272"/>
      <c r="E46" s="272"/>
      <c r="F46" s="272"/>
      <c r="G46" s="260"/>
    </row>
    <row r="47" spans="1:7" ht="28.5" customHeight="1" x14ac:dyDescent="0.25">
      <c r="A47" s="260"/>
      <c r="B47" s="261"/>
      <c r="C47" s="260"/>
      <c r="D47" s="272"/>
      <c r="E47" s="272"/>
      <c r="F47" s="272"/>
      <c r="G47" s="260"/>
    </row>
    <row r="48" spans="1:7" ht="28.5" customHeight="1" x14ac:dyDescent="0.25">
      <c r="A48" s="260"/>
      <c r="B48" s="262"/>
      <c r="C48" s="260"/>
      <c r="D48" s="272"/>
      <c r="E48" s="272"/>
      <c r="F48" s="272"/>
      <c r="G48" s="260"/>
    </row>
    <row r="49" spans="1:7" x14ac:dyDescent="0.25">
      <c r="A49" s="260"/>
      <c r="B49" s="262"/>
      <c r="C49" s="260"/>
      <c r="D49" s="272"/>
      <c r="E49" s="272"/>
      <c r="F49" s="272"/>
      <c r="G49" s="260"/>
    </row>
    <row r="50" spans="1:7" x14ac:dyDescent="0.25">
      <c r="A50" s="260"/>
      <c r="B50" s="262"/>
      <c r="C50" s="260"/>
      <c r="D50" s="272"/>
      <c r="E50" s="272"/>
      <c r="F50" s="272"/>
      <c r="G50" s="260"/>
    </row>
    <row r="51" spans="1:7" x14ac:dyDescent="0.25">
      <c r="A51" s="260"/>
      <c r="B51" s="262"/>
      <c r="C51" s="260"/>
      <c r="D51" s="272"/>
      <c r="E51" s="272"/>
      <c r="F51" s="272"/>
      <c r="G51" s="260"/>
    </row>
    <row r="52" spans="1:7" x14ac:dyDescent="0.25">
      <c r="A52" s="260"/>
      <c r="B52" s="262"/>
      <c r="C52" s="260"/>
      <c r="D52" s="272"/>
      <c r="E52" s="272"/>
      <c r="F52" s="272"/>
      <c r="G52" s="260"/>
    </row>
    <row r="53" spans="1:7" x14ac:dyDescent="0.25">
      <c r="A53" s="260"/>
      <c r="B53" s="262"/>
      <c r="C53" s="260"/>
      <c r="D53" s="272"/>
      <c r="E53" s="272"/>
      <c r="F53" s="272"/>
      <c r="G53" s="260"/>
    </row>
    <row r="54" spans="1:7" x14ac:dyDescent="0.25">
      <c r="A54" s="260"/>
      <c r="B54" s="262"/>
      <c r="C54" s="260"/>
      <c r="D54" s="272"/>
      <c r="E54" s="272"/>
      <c r="F54" s="272"/>
      <c r="G54" s="260"/>
    </row>
    <row r="55" spans="1:7" x14ac:dyDescent="0.25">
      <c r="A55" s="260"/>
      <c r="B55" s="262"/>
      <c r="C55" s="260"/>
      <c r="D55" s="272"/>
      <c r="E55" s="272"/>
      <c r="F55" s="272"/>
      <c r="G55" s="260"/>
    </row>
    <row r="56" spans="1:7" x14ac:dyDescent="0.25">
      <c r="A56" s="260"/>
      <c r="B56" s="262"/>
      <c r="C56" s="260"/>
      <c r="D56" s="272"/>
      <c r="E56" s="272"/>
      <c r="F56" s="272"/>
      <c r="G56" s="260"/>
    </row>
    <row r="57" spans="1:7" x14ac:dyDescent="0.25">
      <c r="A57" s="260"/>
      <c r="B57" s="262"/>
      <c r="C57" s="260"/>
      <c r="D57" s="272"/>
      <c r="E57" s="272"/>
      <c r="F57" s="272"/>
      <c r="G57" s="260"/>
    </row>
    <row r="58" spans="1:7" x14ac:dyDescent="0.25">
      <c r="A58" s="260"/>
      <c r="B58" s="262"/>
      <c r="C58" s="260"/>
      <c r="D58" s="272"/>
      <c r="E58" s="272"/>
      <c r="F58" s="272"/>
      <c r="G58" s="260"/>
    </row>
    <row r="59" spans="1:7" x14ac:dyDescent="0.25">
      <c r="A59" s="260"/>
      <c r="B59" s="262"/>
      <c r="C59" s="260"/>
      <c r="D59" s="272"/>
      <c r="E59" s="272"/>
      <c r="F59" s="272"/>
      <c r="G59" s="260"/>
    </row>
    <row r="60" spans="1:7" x14ac:dyDescent="0.25">
      <c r="A60" s="260"/>
      <c r="B60" s="262"/>
      <c r="C60" s="260"/>
      <c r="D60" s="272"/>
      <c r="E60" s="272"/>
      <c r="F60" s="272"/>
      <c r="G60" s="260"/>
    </row>
    <row r="61" spans="1:7" x14ac:dyDescent="0.25">
      <c r="A61" s="260"/>
      <c r="B61" s="262"/>
      <c r="C61" s="260"/>
      <c r="D61" s="272"/>
      <c r="E61" s="272"/>
      <c r="F61" s="272"/>
      <c r="G61" s="260"/>
    </row>
    <row r="62" spans="1:7" x14ac:dyDescent="0.25">
      <c r="A62" s="260"/>
      <c r="B62" s="262"/>
      <c r="C62" s="260"/>
      <c r="D62" s="272"/>
      <c r="E62" s="272"/>
      <c r="F62" s="272"/>
      <c r="G62" s="260"/>
    </row>
    <row r="63" spans="1:7" x14ac:dyDescent="0.25">
      <c r="A63" s="260"/>
      <c r="B63" s="262"/>
      <c r="C63" s="260"/>
      <c r="D63" s="272"/>
      <c r="E63" s="272"/>
      <c r="F63" s="272"/>
      <c r="G63" s="260"/>
    </row>
    <row r="64" spans="1:7" x14ac:dyDescent="0.25">
      <c r="A64" s="260"/>
      <c r="B64" s="262"/>
      <c r="C64" s="260"/>
      <c r="D64" s="272"/>
      <c r="E64" s="272"/>
      <c r="F64" s="272"/>
      <c r="G64" s="260"/>
    </row>
    <row r="65" spans="1:7" x14ac:dyDescent="0.25">
      <c r="A65" s="260"/>
      <c r="B65" s="262"/>
      <c r="C65" s="260"/>
      <c r="D65" s="272"/>
      <c r="E65" s="272"/>
      <c r="F65" s="272"/>
      <c r="G65" s="260"/>
    </row>
    <row r="66" spans="1:7" x14ac:dyDescent="0.25">
      <c r="A66" s="260"/>
      <c r="B66" s="262"/>
      <c r="C66" s="260"/>
      <c r="D66" s="272"/>
      <c r="E66" s="272"/>
      <c r="F66" s="272"/>
      <c r="G66" s="260"/>
    </row>
    <row r="67" spans="1:7" x14ac:dyDescent="0.25">
      <c r="A67" s="260"/>
      <c r="B67" s="262"/>
      <c r="C67" s="260"/>
      <c r="D67" s="272"/>
      <c r="E67" s="272"/>
      <c r="F67" s="272"/>
      <c r="G67" s="260"/>
    </row>
    <row r="68" spans="1:7" x14ac:dyDescent="0.25">
      <c r="A68" s="260"/>
      <c r="B68" s="262"/>
      <c r="C68" s="260"/>
      <c r="D68" s="272"/>
      <c r="E68" s="272"/>
      <c r="F68" s="272"/>
      <c r="G68" s="260"/>
    </row>
    <row r="69" spans="1:7" x14ac:dyDescent="0.25">
      <c r="A69" s="260"/>
      <c r="B69" s="262"/>
      <c r="C69" s="260"/>
      <c r="D69" s="272"/>
      <c r="E69" s="272"/>
      <c r="F69" s="272"/>
      <c r="G69" s="260"/>
    </row>
    <row r="70" spans="1:7" x14ac:dyDescent="0.25">
      <c r="A70" s="260"/>
      <c r="B70" s="262"/>
      <c r="C70" s="260"/>
      <c r="D70" s="272"/>
      <c r="E70" s="272"/>
      <c r="F70" s="272"/>
      <c r="G70" s="260"/>
    </row>
    <row r="71" spans="1:7" x14ac:dyDescent="0.25">
      <c r="A71" s="260"/>
      <c r="B71" s="262"/>
      <c r="C71" s="260"/>
      <c r="D71" s="272"/>
      <c r="E71" s="272"/>
      <c r="F71" s="272"/>
      <c r="G71" s="260"/>
    </row>
    <row r="72" spans="1:7" x14ac:dyDescent="0.25">
      <c r="A72" s="260"/>
      <c r="B72" s="262"/>
      <c r="C72" s="260"/>
      <c r="D72" s="272"/>
      <c r="E72" s="272"/>
      <c r="F72" s="272"/>
      <c r="G72" s="260"/>
    </row>
    <row r="73" spans="1:7" x14ac:dyDescent="0.25">
      <c r="A73" s="260"/>
      <c r="B73" s="262"/>
      <c r="C73" s="260"/>
      <c r="D73" s="272"/>
      <c r="E73" s="272"/>
      <c r="F73" s="272"/>
      <c r="G73" s="260"/>
    </row>
    <row r="74" spans="1:7" x14ac:dyDescent="0.25">
      <c r="A74" s="260"/>
      <c r="B74" s="262"/>
      <c r="C74" s="260"/>
      <c r="D74" s="272"/>
      <c r="E74" s="272"/>
      <c r="F74" s="272"/>
      <c r="G74" s="260"/>
    </row>
    <row r="75" spans="1:7" x14ac:dyDescent="0.25">
      <c r="A75" s="260"/>
      <c r="B75" s="262"/>
      <c r="C75" s="260"/>
      <c r="D75" s="272"/>
      <c r="E75" s="272"/>
      <c r="F75" s="272"/>
      <c r="G75" s="260"/>
    </row>
    <row r="76" spans="1:7" x14ac:dyDescent="0.25">
      <c r="A76" s="260"/>
      <c r="B76" s="262"/>
      <c r="C76" s="260"/>
      <c r="D76" s="272"/>
      <c r="E76" s="272"/>
      <c r="F76" s="272"/>
      <c r="G76" s="260"/>
    </row>
    <row r="77" spans="1:7" x14ac:dyDescent="0.25">
      <c r="A77" s="260"/>
      <c r="B77" s="262"/>
      <c r="C77" s="260"/>
      <c r="D77" s="272"/>
      <c r="E77" s="272"/>
      <c r="F77" s="272"/>
      <c r="G77" s="260"/>
    </row>
    <row r="78" spans="1:7" x14ac:dyDescent="0.25">
      <c r="A78" s="260"/>
      <c r="B78" s="262"/>
      <c r="C78" s="260"/>
      <c r="D78" s="272"/>
      <c r="E78" s="272"/>
      <c r="F78" s="272"/>
      <c r="G78" s="260"/>
    </row>
    <row r="79" spans="1:7" x14ac:dyDescent="0.25">
      <c r="A79" s="260"/>
      <c r="B79" s="262"/>
      <c r="C79" s="260"/>
      <c r="D79" s="272"/>
      <c r="E79" s="272"/>
      <c r="F79" s="272"/>
      <c r="G79" s="260"/>
    </row>
    <row r="80" spans="1:7" x14ac:dyDescent="0.25">
      <c r="A80" s="260"/>
      <c r="B80" s="262"/>
      <c r="C80" s="260"/>
      <c r="D80" s="272"/>
      <c r="E80" s="272"/>
      <c r="F80" s="272"/>
      <c r="G80" s="260"/>
    </row>
    <row r="81" spans="1:7" x14ac:dyDescent="0.25">
      <c r="A81" s="260"/>
      <c r="B81" s="262"/>
      <c r="C81" s="260"/>
      <c r="D81" s="272"/>
      <c r="E81" s="272"/>
      <c r="F81" s="272"/>
      <c r="G81" s="260"/>
    </row>
    <row r="82" spans="1:7" x14ac:dyDescent="0.25">
      <c r="A82" s="260"/>
      <c r="B82" s="262"/>
      <c r="C82" s="260"/>
      <c r="D82" s="272"/>
      <c r="E82" s="272"/>
      <c r="F82" s="272"/>
      <c r="G82" s="260"/>
    </row>
    <row r="83" spans="1:7" x14ac:dyDescent="0.25">
      <c r="A83" s="260"/>
      <c r="B83" s="262"/>
      <c r="C83" s="260"/>
      <c r="D83" s="272"/>
      <c r="E83" s="272"/>
      <c r="F83" s="272"/>
      <c r="G83" s="260"/>
    </row>
    <row r="84" spans="1:7" x14ac:dyDescent="0.25">
      <c r="A84" s="260"/>
      <c r="B84" s="262"/>
      <c r="C84" s="260"/>
      <c r="D84" s="272"/>
      <c r="E84" s="272"/>
      <c r="F84" s="272"/>
      <c r="G84" s="260"/>
    </row>
    <row r="85" spans="1:7" x14ac:dyDescent="0.25">
      <c r="A85" s="260"/>
      <c r="B85" s="262"/>
      <c r="C85" s="260"/>
      <c r="D85" s="272"/>
      <c r="E85" s="272"/>
      <c r="F85" s="272"/>
      <c r="G85" s="260"/>
    </row>
    <row r="86" spans="1:7" x14ac:dyDescent="0.25">
      <c r="A86" s="260"/>
      <c r="B86" s="262"/>
      <c r="C86" s="260"/>
      <c r="D86" s="272"/>
      <c r="E86" s="272"/>
      <c r="F86" s="272"/>
      <c r="G86" s="260"/>
    </row>
    <row r="87" spans="1:7" x14ac:dyDescent="0.25">
      <c r="A87" s="260"/>
      <c r="B87" s="262"/>
      <c r="C87" s="260"/>
      <c r="D87" s="272"/>
      <c r="E87" s="272"/>
      <c r="F87" s="272"/>
      <c r="G87" s="260"/>
    </row>
    <row r="88" spans="1:7" x14ac:dyDescent="0.25">
      <c r="A88" s="260"/>
      <c r="B88" s="262"/>
      <c r="C88" s="260"/>
      <c r="D88" s="272"/>
      <c r="E88" s="272"/>
      <c r="F88" s="272"/>
      <c r="G88" s="260"/>
    </row>
    <row r="89" spans="1:7" x14ac:dyDescent="0.25">
      <c r="A89" s="260"/>
      <c r="B89" s="262"/>
      <c r="C89" s="260"/>
      <c r="D89" s="272"/>
      <c r="E89" s="272"/>
      <c r="F89" s="272"/>
      <c r="G89" s="260"/>
    </row>
    <row r="90" spans="1:7" x14ac:dyDescent="0.25">
      <c r="A90" s="260"/>
      <c r="B90" s="262"/>
      <c r="C90" s="260"/>
      <c r="D90" s="272"/>
      <c r="E90" s="272"/>
      <c r="F90" s="272"/>
      <c r="G90" s="260"/>
    </row>
    <row r="91" spans="1:7" x14ac:dyDescent="0.25">
      <c r="A91" s="260"/>
      <c r="B91" s="262"/>
      <c r="C91" s="260"/>
      <c r="D91" s="272"/>
      <c r="E91" s="272"/>
      <c r="F91" s="272"/>
      <c r="G91" s="260"/>
    </row>
    <row r="92" spans="1:7" x14ac:dyDescent="0.25">
      <c r="A92" s="260"/>
      <c r="B92" s="262"/>
      <c r="C92" s="260"/>
      <c r="D92" s="272"/>
      <c r="E92" s="272"/>
      <c r="F92" s="272"/>
      <c r="G92" s="260"/>
    </row>
    <row r="93" spans="1:7" x14ac:dyDescent="0.25">
      <c r="A93" s="260"/>
      <c r="B93" s="262"/>
      <c r="C93" s="260"/>
      <c r="D93" s="272"/>
      <c r="E93" s="272"/>
      <c r="F93" s="272"/>
      <c r="G93" s="260"/>
    </row>
    <row r="94" spans="1:7" x14ac:dyDescent="0.25">
      <c r="A94" s="260"/>
      <c r="B94" s="262"/>
      <c r="C94" s="260"/>
      <c r="D94" s="272"/>
      <c r="E94" s="272"/>
      <c r="F94" s="272"/>
      <c r="G94" s="260"/>
    </row>
    <row r="95" spans="1:7" x14ac:dyDescent="0.25">
      <c r="A95" s="260"/>
      <c r="B95" s="262"/>
      <c r="C95" s="260"/>
      <c r="D95" s="272"/>
      <c r="E95" s="272"/>
      <c r="F95" s="272"/>
      <c r="G95" s="260"/>
    </row>
    <row r="96" spans="1:7" x14ac:dyDescent="0.25">
      <c r="A96" s="260"/>
      <c r="B96" s="262"/>
      <c r="C96" s="260"/>
      <c r="D96" s="272"/>
      <c r="E96" s="272"/>
      <c r="F96" s="272"/>
      <c r="G96" s="260"/>
    </row>
    <row r="97" spans="1:7" x14ac:dyDescent="0.25">
      <c r="A97" s="260"/>
      <c r="B97" s="262"/>
      <c r="C97" s="260"/>
      <c r="D97" s="272"/>
      <c r="E97" s="272"/>
      <c r="F97" s="272"/>
      <c r="G97" s="260"/>
    </row>
    <row r="98" spans="1:7" x14ac:dyDescent="0.25">
      <c r="A98" s="260"/>
      <c r="B98" s="262"/>
      <c r="C98" s="260"/>
      <c r="D98" s="272"/>
      <c r="E98" s="272"/>
      <c r="F98" s="272"/>
      <c r="G98" s="260"/>
    </row>
    <row r="99" spans="1:7" x14ac:dyDescent="0.25">
      <c r="A99" s="260"/>
      <c r="B99" s="262"/>
      <c r="C99" s="260"/>
      <c r="D99" s="272"/>
      <c r="E99" s="272"/>
      <c r="F99" s="272"/>
      <c r="G99" s="260"/>
    </row>
    <row r="100" spans="1:7" x14ac:dyDescent="0.25">
      <c r="A100" s="260"/>
      <c r="B100" s="262"/>
      <c r="C100" s="260"/>
      <c r="D100" s="272"/>
      <c r="E100" s="272"/>
      <c r="F100" s="272"/>
      <c r="G100" s="260"/>
    </row>
    <row r="101" spans="1:7" x14ac:dyDescent="0.25">
      <c r="A101" s="260"/>
      <c r="B101" s="262"/>
      <c r="C101" s="260"/>
      <c r="D101" s="272"/>
      <c r="E101" s="272"/>
      <c r="F101" s="272"/>
      <c r="G101" s="260"/>
    </row>
    <row r="102" spans="1:7" x14ac:dyDescent="0.25">
      <c r="A102" s="260"/>
      <c r="B102" s="262"/>
      <c r="C102" s="260"/>
      <c r="D102" s="272"/>
      <c r="E102" s="272"/>
      <c r="F102" s="272"/>
      <c r="G102" s="260"/>
    </row>
    <row r="103" spans="1:7" x14ac:dyDescent="0.25">
      <c r="A103" s="260"/>
      <c r="B103" s="262"/>
      <c r="C103" s="260"/>
      <c r="D103" s="272"/>
      <c r="E103" s="272"/>
      <c r="F103" s="272"/>
      <c r="G103" s="260"/>
    </row>
    <row r="104" spans="1:7" x14ac:dyDescent="0.25">
      <c r="A104" s="260"/>
      <c r="B104" s="262"/>
      <c r="C104" s="260"/>
      <c r="D104" s="272"/>
      <c r="E104" s="272"/>
      <c r="F104" s="272"/>
      <c r="G104" s="260"/>
    </row>
    <row r="105" spans="1:7" x14ac:dyDescent="0.25">
      <c r="A105" s="260"/>
      <c r="B105" s="262"/>
      <c r="C105" s="260"/>
      <c r="D105" s="272"/>
      <c r="E105" s="272"/>
      <c r="F105" s="272"/>
      <c r="G105" s="260"/>
    </row>
    <row r="106" spans="1:7" x14ac:dyDescent="0.25">
      <c r="A106" s="260"/>
      <c r="B106" s="262"/>
      <c r="C106" s="260"/>
      <c r="D106" s="272"/>
      <c r="E106" s="272"/>
      <c r="F106" s="272"/>
      <c r="G106" s="260"/>
    </row>
    <row r="107" spans="1:7" x14ac:dyDescent="0.25">
      <c r="A107" s="260"/>
      <c r="B107" s="262"/>
      <c r="C107" s="260"/>
      <c r="D107" s="272"/>
      <c r="E107" s="272"/>
      <c r="F107" s="272"/>
      <c r="G107" s="260"/>
    </row>
    <row r="108" spans="1:7" x14ac:dyDescent="0.25">
      <c r="A108" s="260"/>
      <c r="B108" s="262"/>
      <c r="C108" s="260"/>
      <c r="D108" s="272"/>
      <c r="E108" s="272"/>
      <c r="F108" s="272"/>
      <c r="G108" s="260"/>
    </row>
    <row r="109" spans="1:7" x14ac:dyDescent="0.25">
      <c r="A109" s="260"/>
      <c r="B109" s="262"/>
      <c r="C109" s="260"/>
      <c r="D109" s="272"/>
      <c r="E109" s="272"/>
      <c r="F109" s="272"/>
      <c r="G109" s="260"/>
    </row>
    <row r="110" spans="1:7" x14ac:dyDescent="0.25">
      <c r="A110" s="260"/>
      <c r="B110" s="262"/>
      <c r="C110" s="260"/>
      <c r="D110" s="272"/>
      <c r="E110" s="272"/>
      <c r="F110" s="272"/>
      <c r="G110" s="260"/>
    </row>
    <row r="111" spans="1:7" x14ac:dyDescent="0.25">
      <c r="A111" s="260"/>
      <c r="B111" s="262"/>
      <c r="C111" s="260"/>
      <c r="D111" s="272"/>
      <c r="E111" s="272"/>
      <c r="F111" s="272"/>
      <c r="G111" s="260"/>
    </row>
    <row r="112" spans="1:7" x14ac:dyDescent="0.25">
      <c r="A112" s="260"/>
      <c r="B112" s="262"/>
      <c r="C112" s="260"/>
      <c r="D112" s="272"/>
      <c r="E112" s="272"/>
      <c r="F112" s="272"/>
      <c r="G112" s="260"/>
    </row>
    <row r="113" spans="1:7" x14ac:dyDescent="0.25">
      <c r="A113" s="260"/>
      <c r="B113" s="262"/>
      <c r="C113" s="260"/>
      <c r="D113" s="272"/>
      <c r="E113" s="272"/>
      <c r="F113" s="272"/>
      <c r="G113" s="260"/>
    </row>
    <row r="114" spans="1:7" x14ac:dyDescent="0.25">
      <c r="A114" s="260"/>
      <c r="B114" s="262"/>
      <c r="C114" s="260"/>
      <c r="D114" s="272"/>
      <c r="E114" s="272"/>
      <c r="F114" s="272"/>
      <c r="G114" s="260"/>
    </row>
    <row r="115" spans="1:7" x14ac:dyDescent="0.25">
      <c r="A115" s="260"/>
      <c r="B115" s="262"/>
      <c r="C115" s="260"/>
      <c r="D115" s="272"/>
      <c r="E115" s="272"/>
      <c r="F115" s="272"/>
      <c r="G115" s="260"/>
    </row>
    <row r="116" spans="1:7" x14ac:dyDescent="0.25">
      <c r="A116" s="260"/>
      <c r="B116" s="262"/>
      <c r="C116" s="260"/>
      <c r="D116" s="272"/>
      <c r="E116" s="272"/>
      <c r="F116" s="272"/>
      <c r="G116" s="260"/>
    </row>
    <row r="117" spans="1:7" x14ac:dyDescent="0.25">
      <c r="A117" s="260"/>
      <c r="B117" s="262"/>
      <c r="C117" s="260"/>
      <c r="D117" s="272"/>
      <c r="E117" s="272"/>
      <c r="F117" s="272"/>
      <c r="G117" s="260"/>
    </row>
    <row r="118" spans="1:7" x14ac:dyDescent="0.25">
      <c r="A118" s="260"/>
      <c r="B118" s="262"/>
      <c r="C118" s="260"/>
      <c r="D118" s="272"/>
      <c r="E118" s="272"/>
      <c r="F118" s="272"/>
      <c r="G118" s="260"/>
    </row>
    <row r="119" spans="1:7" x14ac:dyDescent="0.25">
      <c r="A119" s="260"/>
      <c r="B119" s="262"/>
      <c r="C119" s="260"/>
      <c r="D119" s="272"/>
      <c r="E119" s="272"/>
      <c r="F119" s="272"/>
      <c r="G119" s="260"/>
    </row>
    <row r="120" spans="1:7" x14ac:dyDescent="0.25">
      <c r="A120" s="260"/>
      <c r="B120" s="262"/>
      <c r="C120" s="260"/>
      <c r="D120" s="272"/>
      <c r="E120" s="272"/>
      <c r="F120" s="272"/>
      <c r="G120" s="260"/>
    </row>
    <row r="121" spans="1:7" x14ac:dyDescent="0.25">
      <c r="A121" s="260"/>
      <c r="B121" s="262"/>
      <c r="C121" s="260"/>
      <c r="D121" s="272"/>
      <c r="E121" s="272"/>
      <c r="F121" s="272"/>
      <c r="G121" s="260"/>
    </row>
    <row r="122" spans="1:7" x14ac:dyDescent="0.25">
      <c r="A122" s="260"/>
      <c r="B122" s="262"/>
      <c r="C122" s="260"/>
      <c r="D122" s="272"/>
      <c r="E122" s="272"/>
      <c r="F122" s="272"/>
      <c r="G122" s="260"/>
    </row>
    <row r="123" spans="1:7" x14ac:dyDescent="0.25">
      <c r="A123" s="260"/>
      <c r="B123" s="262"/>
      <c r="C123" s="260"/>
      <c r="D123" s="272"/>
      <c r="E123" s="272"/>
      <c r="F123" s="272"/>
      <c r="G123" s="260"/>
    </row>
    <row r="124" spans="1:7" x14ac:dyDescent="0.25">
      <c r="A124" s="260"/>
      <c r="B124" s="262"/>
      <c r="C124" s="260"/>
      <c r="D124" s="272"/>
      <c r="E124" s="272"/>
      <c r="F124" s="272"/>
      <c r="G124" s="260"/>
    </row>
    <row r="125" spans="1:7" x14ac:dyDescent="0.25">
      <c r="A125" s="260"/>
      <c r="B125" s="262"/>
      <c r="C125" s="260"/>
      <c r="D125" s="272"/>
      <c r="E125" s="272"/>
      <c r="F125" s="272"/>
      <c r="G125" s="260"/>
    </row>
    <row r="126" spans="1:7" x14ac:dyDescent="0.25">
      <c r="A126" s="260"/>
      <c r="B126" s="262"/>
      <c r="C126" s="260"/>
      <c r="D126" s="272"/>
      <c r="E126" s="272"/>
      <c r="F126" s="272"/>
      <c r="G126" s="260"/>
    </row>
    <row r="127" spans="1:7" x14ac:dyDescent="0.25">
      <c r="A127" s="260"/>
      <c r="B127" s="262"/>
      <c r="C127" s="260"/>
      <c r="D127" s="272"/>
      <c r="E127" s="272"/>
      <c r="F127" s="272"/>
      <c r="G127" s="260"/>
    </row>
    <row r="128" spans="1:7" x14ac:dyDescent="0.25">
      <c r="A128" s="260"/>
      <c r="B128" s="262"/>
      <c r="C128" s="260"/>
      <c r="D128" s="272"/>
      <c r="E128" s="272"/>
      <c r="F128" s="272"/>
      <c r="G128" s="260"/>
    </row>
    <row r="129" spans="1:7" x14ac:dyDescent="0.25">
      <c r="A129" s="260"/>
      <c r="B129" s="262"/>
      <c r="C129" s="260"/>
      <c r="D129" s="272"/>
      <c r="E129" s="272"/>
      <c r="F129" s="272"/>
      <c r="G129" s="260"/>
    </row>
    <row r="130" spans="1:7" x14ac:dyDescent="0.25">
      <c r="A130" s="260"/>
      <c r="B130" s="262"/>
      <c r="C130" s="260"/>
      <c r="D130" s="272"/>
      <c r="E130" s="272"/>
      <c r="F130" s="272"/>
      <c r="G130" s="260"/>
    </row>
    <row r="131" spans="1:7" x14ac:dyDescent="0.25">
      <c r="A131" s="260"/>
      <c r="B131" s="262"/>
      <c r="C131" s="260"/>
      <c r="D131" s="272"/>
      <c r="E131" s="272"/>
      <c r="F131" s="272"/>
      <c r="G131" s="260"/>
    </row>
    <row r="132" spans="1:7" x14ac:dyDescent="0.25">
      <c r="A132" s="260"/>
      <c r="B132" s="262"/>
      <c r="C132" s="260"/>
      <c r="D132" s="272"/>
      <c r="E132" s="272"/>
      <c r="F132" s="272"/>
      <c r="G132" s="260"/>
    </row>
  </sheetData>
  <mergeCells count="7">
    <mergeCell ref="G8:G9"/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2B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1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86" t="s">
        <v>570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23400000</v>
      </c>
    </row>
    <row r="6" spans="1:7" x14ac:dyDescent="0.25">
      <c r="E6" s="2" t="s">
        <v>11</v>
      </c>
      <c r="F6" s="2">
        <f>SUM(E10:E68)</f>
        <v>0</v>
      </c>
    </row>
    <row r="7" spans="1:7" x14ac:dyDescent="0.25">
      <c r="E7" s="2" t="s">
        <v>12</v>
      </c>
      <c r="F7" s="2">
        <f>+F4+F5-F6</f>
        <v>23400000</v>
      </c>
    </row>
    <row r="8" spans="1:7" x14ac:dyDescent="0.25">
      <c r="A8" s="418" t="s">
        <v>0</v>
      </c>
      <c r="B8" s="418" t="s">
        <v>13</v>
      </c>
      <c r="C8" s="418" t="s">
        <v>5</v>
      </c>
      <c r="D8" s="419" t="s">
        <v>8</v>
      </c>
      <c r="E8" s="419"/>
      <c r="F8" s="419" t="s">
        <v>2</v>
      </c>
    </row>
    <row r="9" spans="1:7" x14ac:dyDescent="0.25">
      <c r="A9" s="418"/>
      <c r="B9" s="418"/>
      <c r="C9" s="418"/>
      <c r="D9" s="2" t="s">
        <v>6</v>
      </c>
      <c r="E9" s="2" t="s">
        <v>7</v>
      </c>
      <c r="F9" s="419"/>
    </row>
    <row r="10" spans="1:7" ht="20.25" customHeight="1" x14ac:dyDescent="0.25">
      <c r="B10" s="253">
        <v>44043</v>
      </c>
      <c r="C10" t="s">
        <v>566</v>
      </c>
      <c r="D10" s="2">
        <v>23400000</v>
      </c>
    </row>
    <row r="11" spans="1:7" x14ac:dyDescent="0.25">
      <c r="B11" s="253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3200-000000000000}"/>
  </hyperlinks>
  <pageMargins left="0.7" right="0.7" top="0.75" bottom="0.75" header="0.3" footer="0.3"/>
  <pageSetup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  <col min="9" max="9" width="12.85546875" customWidth="1"/>
    <col min="11" max="11" width="14.28515625" bestFit="1" customWidth="1"/>
    <col min="12" max="12" width="11.5703125" bestFit="1" customWidth="1"/>
    <col min="13" max="13" width="10.5703125" bestFit="1" customWidth="1"/>
  </cols>
  <sheetData>
    <row r="1" spans="1:11" x14ac:dyDescent="0.25">
      <c r="A1" s="1"/>
      <c r="B1" s="252"/>
      <c r="G1" s="1" t="s">
        <v>16</v>
      </c>
    </row>
    <row r="2" spans="1:11" x14ac:dyDescent="0.25">
      <c r="A2" s="411" t="s">
        <v>3</v>
      </c>
      <c r="B2" s="411"/>
      <c r="C2" s="411"/>
      <c r="D2" s="411"/>
      <c r="E2" s="411"/>
      <c r="F2" s="411"/>
    </row>
    <row r="3" spans="1:11" x14ac:dyDescent="0.25">
      <c r="A3" t="s">
        <v>4</v>
      </c>
      <c r="D3" s="292" t="s">
        <v>615</v>
      </c>
    </row>
    <row r="4" spans="1:11" x14ac:dyDescent="0.25">
      <c r="E4" s="2" t="s">
        <v>9</v>
      </c>
      <c r="F4" s="2">
        <v>0</v>
      </c>
    </row>
    <row r="5" spans="1:11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1102419000</v>
      </c>
    </row>
    <row r="6" spans="1:11" x14ac:dyDescent="0.25">
      <c r="E6" s="2" t="s">
        <v>11</v>
      </c>
      <c r="F6" s="2">
        <f>SUM(E10:E68)</f>
        <v>1102419000</v>
      </c>
    </row>
    <row r="7" spans="1:11" x14ac:dyDescent="0.25">
      <c r="E7" s="2" t="s">
        <v>12</v>
      </c>
      <c r="F7" s="2">
        <f>+F4+F5-F6</f>
        <v>0</v>
      </c>
    </row>
    <row r="8" spans="1:11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11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11" ht="20.25" customHeight="1" x14ac:dyDescent="0.25">
      <c r="A10" s="260"/>
      <c r="B10" s="261"/>
      <c r="C10" s="260"/>
      <c r="D10" s="259"/>
      <c r="E10" s="259"/>
      <c r="F10" s="259"/>
      <c r="I10" s="242"/>
    </row>
    <row r="11" spans="1:11" ht="18.75" customHeight="1" x14ac:dyDescent="0.25">
      <c r="A11" s="262">
        <v>1</v>
      </c>
      <c r="B11" s="261">
        <v>44094</v>
      </c>
      <c r="C11" s="260" t="s">
        <v>619</v>
      </c>
      <c r="D11" s="259">
        <v>9130000</v>
      </c>
      <c r="E11" s="259"/>
      <c r="F11" s="259"/>
      <c r="I11" s="242"/>
    </row>
    <row r="12" spans="1:11" ht="18.75" customHeight="1" x14ac:dyDescent="0.25">
      <c r="A12" s="262">
        <v>2</v>
      </c>
      <c r="B12" s="261">
        <v>44133</v>
      </c>
      <c r="C12" s="260" t="s">
        <v>619</v>
      </c>
      <c r="D12" s="259">
        <v>12930000</v>
      </c>
      <c r="E12" s="259"/>
      <c r="F12" s="259"/>
      <c r="I12" s="242"/>
    </row>
    <row r="13" spans="1:11" ht="18.75" customHeight="1" x14ac:dyDescent="0.25">
      <c r="A13" s="262">
        <v>3</v>
      </c>
      <c r="B13" s="261">
        <v>44147</v>
      </c>
      <c r="C13" s="260" t="s">
        <v>671</v>
      </c>
      <c r="D13" s="259"/>
      <c r="E13" s="259">
        <v>18260000</v>
      </c>
      <c r="F13" s="259"/>
      <c r="I13" s="242"/>
    </row>
    <row r="14" spans="1:11" ht="18.75" customHeight="1" x14ac:dyDescent="0.25">
      <c r="A14" s="262">
        <v>4</v>
      </c>
      <c r="B14" s="261">
        <v>44148</v>
      </c>
      <c r="C14" s="260" t="s">
        <v>671</v>
      </c>
      <c r="D14" s="259"/>
      <c r="E14" s="259">
        <v>3800000</v>
      </c>
      <c r="F14" s="259"/>
      <c r="I14" s="242"/>
    </row>
    <row r="15" spans="1:11" ht="18.75" customHeight="1" x14ac:dyDescent="0.25">
      <c r="A15" s="262">
        <v>5</v>
      </c>
      <c r="B15" s="261">
        <v>44165</v>
      </c>
      <c r="C15" s="260" t="s">
        <v>682</v>
      </c>
      <c r="D15" s="259">
        <v>78650000</v>
      </c>
      <c r="E15" s="259"/>
      <c r="F15" s="259"/>
      <c r="I15" s="242"/>
      <c r="K15" s="242"/>
    </row>
    <row r="16" spans="1:11" ht="18.75" customHeight="1" x14ac:dyDescent="0.25">
      <c r="A16" s="262">
        <v>6</v>
      </c>
      <c r="B16" s="261">
        <v>44196</v>
      </c>
      <c r="C16" s="260" t="s">
        <v>699</v>
      </c>
      <c r="D16" s="259">
        <v>24310000</v>
      </c>
      <c r="E16" s="259"/>
      <c r="F16" s="259" t="s">
        <v>819</v>
      </c>
      <c r="I16" s="242"/>
    </row>
    <row r="17" spans="1:14" ht="18.75" customHeight="1" x14ac:dyDescent="0.25">
      <c r="A17" s="262">
        <v>7</v>
      </c>
      <c r="B17" s="261">
        <v>44196</v>
      </c>
      <c r="C17" s="260" t="s">
        <v>700</v>
      </c>
      <c r="D17" s="259">
        <v>442000</v>
      </c>
      <c r="E17" s="259"/>
      <c r="F17" s="259"/>
      <c r="I17" s="242"/>
    </row>
    <row r="18" spans="1:14" ht="18.75" customHeight="1" x14ac:dyDescent="0.25">
      <c r="A18" s="262">
        <v>8</v>
      </c>
      <c r="B18" s="261">
        <v>43848</v>
      </c>
      <c r="C18" s="260" t="s">
        <v>671</v>
      </c>
      <c r="D18" s="259"/>
      <c r="E18" s="259">
        <v>78650000</v>
      </c>
      <c r="F18" s="259"/>
      <c r="I18" s="242"/>
    </row>
    <row r="19" spans="1:14" ht="18.75" customHeight="1" x14ac:dyDescent="0.25">
      <c r="A19" s="262">
        <v>9</v>
      </c>
      <c r="B19" s="261">
        <v>44227</v>
      </c>
      <c r="C19" s="260" t="s">
        <v>724</v>
      </c>
      <c r="D19" s="259">
        <v>4730000</v>
      </c>
      <c r="E19" s="259"/>
      <c r="F19" s="259"/>
      <c r="I19" s="242"/>
      <c r="K19" s="2"/>
      <c r="L19" s="2"/>
      <c r="M19" s="2"/>
      <c r="N19" s="2"/>
    </row>
    <row r="20" spans="1:14" ht="18.75" customHeight="1" x14ac:dyDescent="0.25">
      <c r="A20" s="262">
        <v>10</v>
      </c>
      <c r="B20" s="261">
        <v>44255</v>
      </c>
      <c r="C20" s="260" t="s">
        <v>746</v>
      </c>
      <c r="D20" s="259">
        <v>6600000</v>
      </c>
      <c r="E20" s="259"/>
      <c r="F20" s="259"/>
      <c r="I20" s="242"/>
      <c r="K20" s="2"/>
      <c r="L20" s="2"/>
      <c r="M20" s="2"/>
      <c r="N20" s="2"/>
    </row>
    <row r="21" spans="1:14" ht="18.75" customHeight="1" x14ac:dyDescent="0.25">
      <c r="A21" s="262">
        <v>11</v>
      </c>
      <c r="B21" s="261">
        <v>44259</v>
      </c>
      <c r="C21" s="260" t="s">
        <v>671</v>
      </c>
      <c r="D21" s="259"/>
      <c r="E21" s="259">
        <v>36082000</v>
      </c>
      <c r="F21" s="259">
        <v>40502000</v>
      </c>
      <c r="I21" s="242"/>
      <c r="K21" s="2"/>
      <c r="L21" s="2"/>
      <c r="M21" s="2"/>
      <c r="N21" s="2"/>
    </row>
    <row r="22" spans="1:14" ht="18.75" customHeight="1" x14ac:dyDescent="0.25">
      <c r="A22" s="262">
        <v>12</v>
      </c>
      <c r="B22" s="261">
        <v>44286</v>
      </c>
      <c r="C22" s="260" t="s">
        <v>758</v>
      </c>
      <c r="D22" s="259">
        <v>5030000</v>
      </c>
      <c r="E22" s="259"/>
      <c r="F22" s="259"/>
      <c r="I22" s="242"/>
      <c r="K22" s="2"/>
      <c r="L22" s="2"/>
      <c r="M22" s="2"/>
      <c r="N22" s="2"/>
    </row>
    <row r="23" spans="1:14" ht="18.75" customHeight="1" x14ac:dyDescent="0.25">
      <c r="A23" s="262">
        <v>13</v>
      </c>
      <c r="B23" s="261">
        <v>44340</v>
      </c>
      <c r="C23" s="260" t="s">
        <v>826</v>
      </c>
      <c r="D23" s="259">
        <v>19340000</v>
      </c>
      <c r="E23" s="259"/>
      <c r="F23" s="259"/>
      <c r="I23" s="242"/>
    </row>
    <row r="24" spans="1:14" ht="18.75" customHeight="1" x14ac:dyDescent="0.25">
      <c r="A24" s="262">
        <v>14</v>
      </c>
      <c r="B24" s="261">
        <v>44342</v>
      </c>
      <c r="C24" s="260" t="s">
        <v>671</v>
      </c>
      <c r="D24" s="259"/>
      <c r="E24" s="259">
        <v>5030000</v>
      </c>
      <c r="F24" s="259"/>
      <c r="I24" s="242"/>
      <c r="K24" s="242"/>
    </row>
    <row r="25" spans="1:14" ht="18.75" customHeight="1" x14ac:dyDescent="0.25">
      <c r="A25" s="262">
        <v>15</v>
      </c>
      <c r="B25" s="261">
        <v>44377</v>
      </c>
      <c r="C25" s="260" t="s">
        <v>671</v>
      </c>
      <c r="D25" s="259"/>
      <c r="E25" s="259">
        <v>19340000</v>
      </c>
      <c r="F25" s="259"/>
      <c r="I25" s="242"/>
      <c r="K25" s="297"/>
      <c r="L25" s="242"/>
    </row>
    <row r="26" spans="1:14" ht="18.75" customHeight="1" x14ac:dyDescent="0.25">
      <c r="A26" s="262">
        <v>16</v>
      </c>
      <c r="B26" s="261">
        <v>44377</v>
      </c>
      <c r="C26" s="260" t="s">
        <v>857</v>
      </c>
      <c r="D26" s="259">
        <v>44570000</v>
      </c>
      <c r="E26" s="259"/>
      <c r="F26" s="259"/>
      <c r="I26" s="242"/>
    </row>
    <row r="27" spans="1:14" ht="18.75" customHeight="1" x14ac:dyDescent="0.25">
      <c r="A27" s="262">
        <v>17</v>
      </c>
      <c r="B27" s="261">
        <v>44407</v>
      </c>
      <c r="C27" s="260" t="s">
        <v>884</v>
      </c>
      <c r="D27" s="259">
        <v>59430000</v>
      </c>
      <c r="E27" s="259"/>
      <c r="F27" s="259"/>
      <c r="I27" s="242"/>
    </row>
    <row r="28" spans="1:14" ht="18.75" customHeight="1" x14ac:dyDescent="0.25">
      <c r="A28" s="262">
        <v>18</v>
      </c>
      <c r="B28" s="261">
        <v>44410</v>
      </c>
      <c r="C28" s="260" t="s">
        <v>671</v>
      </c>
      <c r="D28" s="259"/>
      <c r="E28" s="259">
        <v>44570000</v>
      </c>
      <c r="F28" s="259"/>
      <c r="I28" s="242"/>
    </row>
    <row r="29" spans="1:14" ht="18.75" customHeight="1" x14ac:dyDescent="0.25">
      <c r="A29" s="262">
        <v>19</v>
      </c>
      <c r="B29" s="261">
        <v>44438</v>
      </c>
      <c r="C29" s="260" t="s">
        <v>923</v>
      </c>
      <c r="D29" s="259">
        <v>15370000</v>
      </c>
      <c r="E29" s="259"/>
      <c r="F29" s="259"/>
      <c r="I29" s="242"/>
    </row>
    <row r="30" spans="1:14" ht="18.75" customHeight="1" x14ac:dyDescent="0.25">
      <c r="A30" s="262">
        <v>20</v>
      </c>
      <c r="B30" s="261">
        <v>44456</v>
      </c>
      <c r="C30" s="260" t="s">
        <v>671</v>
      </c>
      <c r="D30" s="259"/>
      <c r="E30" s="259">
        <v>15370000</v>
      </c>
      <c r="F30" s="259"/>
      <c r="I30" s="242"/>
    </row>
    <row r="31" spans="1:14" ht="18.75" customHeight="1" x14ac:dyDescent="0.25">
      <c r="A31" s="262">
        <v>21</v>
      </c>
      <c r="B31" s="261">
        <v>44466</v>
      </c>
      <c r="C31" s="260" t="s">
        <v>671</v>
      </c>
      <c r="D31" s="259"/>
      <c r="E31" s="259">
        <v>59430000</v>
      </c>
      <c r="F31" s="259"/>
      <c r="I31" s="242"/>
    </row>
    <row r="32" spans="1:14" ht="18.75" customHeight="1" x14ac:dyDescent="0.25">
      <c r="A32" s="262">
        <v>22</v>
      </c>
      <c r="B32" s="261">
        <v>44469</v>
      </c>
      <c r="C32" s="260" t="s">
        <v>979</v>
      </c>
      <c r="D32" s="259">
        <v>20710000</v>
      </c>
      <c r="E32" s="259"/>
      <c r="F32" s="259"/>
      <c r="I32" s="242"/>
    </row>
    <row r="33" spans="1:9" ht="18.75" customHeight="1" x14ac:dyDescent="0.25">
      <c r="A33" s="262">
        <v>23</v>
      </c>
      <c r="B33" s="261">
        <v>44494</v>
      </c>
      <c r="C33" s="260" t="s">
        <v>671</v>
      </c>
      <c r="D33" s="259"/>
      <c r="E33" s="259">
        <v>20710000</v>
      </c>
      <c r="F33" s="259"/>
      <c r="I33" s="242"/>
    </row>
    <row r="34" spans="1:9" ht="18.75" customHeight="1" x14ac:dyDescent="0.25">
      <c r="A34" s="262">
        <v>24</v>
      </c>
      <c r="B34" s="261">
        <v>44499</v>
      </c>
      <c r="C34" s="260" t="s">
        <v>984</v>
      </c>
      <c r="D34" s="259">
        <v>31355000</v>
      </c>
      <c r="E34" s="259"/>
      <c r="F34" s="259"/>
      <c r="I34" s="242"/>
    </row>
    <row r="35" spans="1:9" ht="18.75" customHeight="1" x14ac:dyDescent="0.25">
      <c r="A35" s="262">
        <v>25</v>
      </c>
      <c r="B35" s="261">
        <v>44526</v>
      </c>
      <c r="C35" s="260" t="s">
        <v>671</v>
      </c>
      <c r="D35" s="259"/>
      <c r="E35" s="259">
        <v>31355000</v>
      </c>
      <c r="F35" s="259"/>
      <c r="I35" s="242"/>
    </row>
    <row r="36" spans="1:9" ht="18.75" customHeight="1" x14ac:dyDescent="0.25">
      <c r="A36" s="262">
        <v>26</v>
      </c>
      <c r="B36" s="261" t="s">
        <v>1013</v>
      </c>
      <c r="C36" s="260" t="s">
        <v>1024</v>
      </c>
      <c r="D36" s="259">
        <v>14500000</v>
      </c>
      <c r="E36" s="259"/>
      <c r="F36" s="259"/>
      <c r="I36" s="242"/>
    </row>
    <row r="37" spans="1:9" ht="18.75" customHeight="1" x14ac:dyDescent="0.25">
      <c r="A37" s="262">
        <v>27</v>
      </c>
      <c r="B37" s="261">
        <v>44560</v>
      </c>
      <c r="C37" s="260" t="s">
        <v>1023</v>
      </c>
      <c r="D37" s="259">
        <v>5500000</v>
      </c>
      <c r="E37" s="259"/>
      <c r="F37" s="259"/>
      <c r="I37" s="242"/>
    </row>
    <row r="38" spans="1:9" ht="18.75" customHeight="1" x14ac:dyDescent="0.25">
      <c r="A38" s="262">
        <v>28</v>
      </c>
      <c r="B38" s="261">
        <v>44561</v>
      </c>
      <c r="C38" s="260" t="s">
        <v>671</v>
      </c>
      <c r="D38" s="259"/>
      <c r="E38" s="259">
        <v>14500000</v>
      </c>
      <c r="F38" s="259"/>
      <c r="I38" s="242"/>
    </row>
    <row r="39" spans="1:9" ht="18.75" customHeight="1" x14ac:dyDescent="0.25">
      <c r="A39" s="262">
        <v>29</v>
      </c>
      <c r="B39" s="261">
        <v>44588</v>
      </c>
      <c r="C39" s="260" t="s">
        <v>671</v>
      </c>
      <c r="D39" s="259"/>
      <c r="E39" s="259">
        <v>5500000</v>
      </c>
      <c r="F39" s="259"/>
      <c r="I39" s="242"/>
    </row>
    <row r="40" spans="1:9" ht="18.75" customHeight="1" x14ac:dyDescent="0.25">
      <c r="A40" s="262">
        <v>30</v>
      </c>
      <c r="B40" s="261">
        <v>44620</v>
      </c>
      <c r="C40" s="260" t="s">
        <v>1063</v>
      </c>
      <c r="D40" s="259">
        <v>22356000</v>
      </c>
      <c r="E40" s="259"/>
      <c r="F40" s="259"/>
      <c r="I40" s="242"/>
    </row>
    <row r="41" spans="1:9" ht="18.75" customHeight="1" x14ac:dyDescent="0.25">
      <c r="A41" s="262">
        <v>31</v>
      </c>
      <c r="B41" s="261">
        <v>44650</v>
      </c>
      <c r="C41" s="260" t="s">
        <v>671</v>
      </c>
      <c r="D41" s="259"/>
      <c r="E41" s="259">
        <v>22356000</v>
      </c>
      <c r="F41" s="259"/>
      <c r="I41" s="242"/>
    </row>
    <row r="42" spans="1:9" ht="18.75" customHeight="1" x14ac:dyDescent="0.25">
      <c r="A42" s="262">
        <v>32</v>
      </c>
      <c r="B42" s="261">
        <v>44650</v>
      </c>
      <c r="C42" s="260" t="s">
        <v>1081</v>
      </c>
      <c r="D42" s="259">
        <v>91692000</v>
      </c>
      <c r="E42" s="259"/>
      <c r="F42" s="259"/>
      <c r="I42" s="242"/>
    </row>
    <row r="43" spans="1:9" ht="18.75" customHeight="1" x14ac:dyDescent="0.25">
      <c r="A43" s="262">
        <v>33</v>
      </c>
      <c r="B43" s="261">
        <v>44679</v>
      </c>
      <c r="C43" s="260" t="s">
        <v>1108</v>
      </c>
      <c r="D43" s="259">
        <v>23976000</v>
      </c>
      <c r="E43" s="259"/>
      <c r="F43" s="259"/>
      <c r="I43" s="242"/>
    </row>
    <row r="44" spans="1:9" ht="18.75" customHeight="1" x14ac:dyDescent="0.25">
      <c r="A44" s="262">
        <v>34</v>
      </c>
      <c r="B44" s="261">
        <v>44685</v>
      </c>
      <c r="C44" s="260" t="s">
        <v>671</v>
      </c>
      <c r="D44" s="259"/>
      <c r="E44" s="259">
        <v>91692000</v>
      </c>
      <c r="F44" s="259"/>
      <c r="I44" s="242"/>
    </row>
    <row r="45" spans="1:9" ht="18.75" customHeight="1" x14ac:dyDescent="0.25">
      <c r="A45" s="262">
        <v>35</v>
      </c>
      <c r="B45" s="261">
        <v>44708</v>
      </c>
      <c r="C45" s="260" t="s">
        <v>1135</v>
      </c>
      <c r="D45" s="259">
        <v>25444800</v>
      </c>
      <c r="E45" s="259"/>
      <c r="F45" s="259"/>
      <c r="I45" s="242"/>
    </row>
    <row r="46" spans="1:9" ht="18.75" customHeight="1" x14ac:dyDescent="0.25">
      <c r="A46" s="262">
        <v>36</v>
      </c>
      <c r="B46" s="261">
        <v>44711</v>
      </c>
      <c r="C46" s="260" t="s">
        <v>671</v>
      </c>
      <c r="D46" s="259"/>
      <c r="E46" s="259">
        <v>23976000</v>
      </c>
      <c r="F46" s="259"/>
      <c r="I46" s="242"/>
    </row>
    <row r="47" spans="1:9" ht="18.75" customHeight="1" x14ac:dyDescent="0.25">
      <c r="A47" s="262">
        <v>37</v>
      </c>
      <c r="B47" s="261">
        <v>44742</v>
      </c>
      <c r="C47" s="260" t="s">
        <v>1154</v>
      </c>
      <c r="D47" s="259">
        <v>46375200</v>
      </c>
      <c r="E47" s="259"/>
      <c r="F47" s="259"/>
      <c r="I47" s="242"/>
    </row>
    <row r="48" spans="1:9" ht="18.75" customHeight="1" x14ac:dyDescent="0.25">
      <c r="A48" s="262">
        <v>38</v>
      </c>
      <c r="B48" s="261">
        <v>44742</v>
      </c>
      <c r="C48" s="260" t="s">
        <v>671</v>
      </c>
      <c r="D48" s="259"/>
      <c r="E48" s="259">
        <v>25444800</v>
      </c>
      <c r="F48" s="259"/>
      <c r="I48" s="242"/>
    </row>
    <row r="49" spans="1:9" ht="18.75" customHeight="1" x14ac:dyDescent="0.25">
      <c r="A49" s="262">
        <v>39</v>
      </c>
      <c r="B49" s="261">
        <v>44771</v>
      </c>
      <c r="C49" s="260" t="s">
        <v>1179</v>
      </c>
      <c r="D49" s="259">
        <v>87588000</v>
      </c>
      <c r="E49" s="259"/>
      <c r="F49" s="259"/>
      <c r="I49" s="242"/>
    </row>
    <row r="50" spans="1:9" ht="18.75" customHeight="1" x14ac:dyDescent="0.25">
      <c r="A50" s="262">
        <v>40</v>
      </c>
      <c r="B50" s="261">
        <v>44772</v>
      </c>
      <c r="C50" s="260" t="s">
        <v>671</v>
      </c>
      <c r="D50" s="259"/>
      <c r="E50" s="259">
        <v>46375200</v>
      </c>
      <c r="F50" s="259"/>
      <c r="I50" s="242"/>
    </row>
    <row r="51" spans="1:9" ht="18.75" customHeight="1" x14ac:dyDescent="0.25">
      <c r="A51" s="262">
        <v>41</v>
      </c>
      <c r="B51" s="261">
        <v>44803</v>
      </c>
      <c r="C51" s="260" t="s">
        <v>1225</v>
      </c>
      <c r="D51" s="259">
        <v>82586000</v>
      </c>
      <c r="E51" s="259"/>
      <c r="F51" s="259"/>
      <c r="I51" s="242"/>
    </row>
    <row r="52" spans="1:9" ht="18.75" customHeight="1" x14ac:dyDescent="0.25">
      <c r="A52" s="262">
        <v>42</v>
      </c>
      <c r="B52" s="261">
        <v>44803</v>
      </c>
      <c r="C52" s="260" t="s">
        <v>671</v>
      </c>
      <c r="D52" s="259"/>
      <c r="E52" s="259">
        <v>87588000</v>
      </c>
      <c r="F52" s="259"/>
      <c r="I52" s="242"/>
    </row>
    <row r="53" spans="1:9" ht="18.75" customHeight="1" x14ac:dyDescent="0.25">
      <c r="A53" s="262">
        <v>43</v>
      </c>
      <c r="B53" s="261">
        <v>44833</v>
      </c>
      <c r="C53" s="260" t="s">
        <v>1243</v>
      </c>
      <c r="D53" s="259">
        <v>43274000</v>
      </c>
      <c r="E53" s="259"/>
      <c r="F53" s="259"/>
      <c r="I53" s="242"/>
    </row>
    <row r="54" spans="1:9" ht="18.75" customHeight="1" x14ac:dyDescent="0.25">
      <c r="A54" s="262">
        <v>44</v>
      </c>
      <c r="B54" s="261">
        <v>44839</v>
      </c>
      <c r="C54" s="260" t="s">
        <v>671</v>
      </c>
      <c r="D54" s="259"/>
      <c r="E54" s="259">
        <v>82586000</v>
      </c>
      <c r="F54" s="259"/>
      <c r="I54" s="242"/>
    </row>
    <row r="55" spans="1:9" ht="18.75" customHeight="1" x14ac:dyDescent="0.25">
      <c r="A55" s="262">
        <v>45</v>
      </c>
      <c r="B55" s="261">
        <v>44865</v>
      </c>
      <c r="C55" s="260" t="s">
        <v>1260</v>
      </c>
      <c r="D55" s="259">
        <v>53940000</v>
      </c>
      <c r="E55" s="259"/>
      <c r="F55" s="259"/>
      <c r="I55" s="242"/>
    </row>
    <row r="56" spans="1:9" ht="18.75" customHeight="1" x14ac:dyDescent="0.25">
      <c r="A56" s="262">
        <v>46</v>
      </c>
      <c r="B56" s="261">
        <v>44865</v>
      </c>
      <c r="C56" s="260" t="s">
        <v>671</v>
      </c>
      <c r="D56" s="259"/>
      <c r="E56" s="259">
        <v>43274000</v>
      </c>
      <c r="F56" s="259"/>
      <c r="I56" s="242"/>
    </row>
    <row r="57" spans="1:9" ht="18.75" customHeight="1" x14ac:dyDescent="0.25">
      <c r="A57" s="262">
        <v>47</v>
      </c>
      <c r="B57" s="261">
        <v>44895</v>
      </c>
      <c r="C57" s="260" t="s">
        <v>1290</v>
      </c>
      <c r="D57" s="259">
        <v>120690000</v>
      </c>
      <c r="E57" s="259"/>
      <c r="F57" s="259"/>
      <c r="I57" s="242"/>
    </row>
    <row r="58" spans="1:9" ht="18.75" customHeight="1" x14ac:dyDescent="0.25">
      <c r="A58" s="262">
        <v>48</v>
      </c>
      <c r="B58" s="261">
        <v>44895</v>
      </c>
      <c r="C58" s="260" t="s">
        <v>671</v>
      </c>
      <c r="D58" s="259"/>
      <c r="E58" s="259">
        <v>53940000</v>
      </c>
      <c r="F58" s="259"/>
      <c r="I58" s="242"/>
    </row>
    <row r="59" spans="1:9" ht="18.75" customHeight="1" x14ac:dyDescent="0.25">
      <c r="A59" s="262">
        <v>49</v>
      </c>
      <c r="B59" s="261">
        <v>44925</v>
      </c>
      <c r="C59" s="260" t="s">
        <v>1339</v>
      </c>
      <c r="D59" s="259">
        <v>32454000</v>
      </c>
      <c r="E59" s="259"/>
      <c r="F59" s="259"/>
      <c r="I59" s="242"/>
    </row>
    <row r="60" spans="1:9" ht="18.75" customHeight="1" x14ac:dyDescent="0.25">
      <c r="A60" s="262">
        <v>50</v>
      </c>
      <c r="B60" s="261">
        <v>44924</v>
      </c>
      <c r="C60" s="260" t="s">
        <v>671</v>
      </c>
      <c r="D60" s="259"/>
      <c r="E60" s="259">
        <v>120690000</v>
      </c>
      <c r="F60" s="259"/>
      <c r="I60" s="242"/>
    </row>
    <row r="61" spans="1:9" ht="18.75" customHeight="1" x14ac:dyDescent="0.25">
      <c r="A61" s="262">
        <v>51</v>
      </c>
      <c r="B61" s="261">
        <v>44956</v>
      </c>
      <c r="C61" s="260" t="s">
        <v>1364</v>
      </c>
      <c r="D61" s="259">
        <v>72886000</v>
      </c>
      <c r="E61" s="259"/>
      <c r="F61" s="259"/>
    </row>
    <row r="62" spans="1:9" ht="18.75" customHeight="1" x14ac:dyDescent="0.25">
      <c r="A62" s="262">
        <v>52</v>
      </c>
      <c r="B62" s="261">
        <v>44957</v>
      </c>
      <c r="C62" s="260" t="s">
        <v>671</v>
      </c>
      <c r="D62" s="259"/>
      <c r="E62" s="259">
        <v>32454000</v>
      </c>
      <c r="F62" s="259"/>
    </row>
    <row r="63" spans="1:9" ht="18.75" customHeight="1" x14ac:dyDescent="0.25">
      <c r="A63" s="262">
        <v>53</v>
      </c>
      <c r="B63" s="261">
        <v>44985</v>
      </c>
      <c r="C63" s="260" t="s">
        <v>671</v>
      </c>
      <c r="D63" s="259"/>
      <c r="E63" s="259">
        <v>72886000</v>
      </c>
      <c r="F63" s="259"/>
    </row>
    <row r="64" spans="1:9" ht="18.75" customHeight="1" x14ac:dyDescent="0.25">
      <c r="A64" s="262">
        <v>54</v>
      </c>
      <c r="B64" s="261">
        <v>44985</v>
      </c>
      <c r="C64" s="260" t="s">
        <v>1386</v>
      </c>
      <c r="D64" s="259">
        <v>24420000</v>
      </c>
      <c r="E64" s="259"/>
      <c r="F64" s="259"/>
    </row>
    <row r="65" spans="1:6" ht="18.75" customHeight="1" x14ac:dyDescent="0.25">
      <c r="A65" s="262">
        <v>55</v>
      </c>
      <c r="B65" s="261">
        <v>45015</v>
      </c>
      <c r="C65" s="260" t="s">
        <v>671</v>
      </c>
      <c r="D65" s="259"/>
      <c r="E65" s="259">
        <v>24420000</v>
      </c>
      <c r="F65" s="259"/>
    </row>
    <row r="66" spans="1:6" ht="18.75" customHeight="1" x14ac:dyDescent="0.25">
      <c r="A66" s="262">
        <v>56</v>
      </c>
      <c r="B66" s="261">
        <v>45412</v>
      </c>
      <c r="C66" s="260" t="s">
        <v>1780</v>
      </c>
      <c r="D66" s="259">
        <v>22140000</v>
      </c>
      <c r="E66" s="259"/>
      <c r="F66" s="259"/>
    </row>
    <row r="67" spans="1:6" ht="18.75" customHeight="1" x14ac:dyDescent="0.25">
      <c r="A67" s="262">
        <v>57</v>
      </c>
      <c r="B67" s="261">
        <v>45439</v>
      </c>
      <c r="C67" s="260" t="s">
        <v>671</v>
      </c>
      <c r="D67" s="259"/>
      <c r="E67" s="259">
        <v>22140000</v>
      </c>
      <c r="F67" s="259"/>
    </row>
    <row r="68" spans="1:6" ht="18.75" customHeight="1" x14ac:dyDescent="0.25">
      <c r="A68" s="262">
        <v>58</v>
      </c>
      <c r="B68" s="261"/>
      <c r="C68" s="260"/>
      <c r="D68" s="259"/>
      <c r="E68" s="259"/>
      <c r="F68" s="259"/>
    </row>
    <row r="69" spans="1:6" ht="18.75" customHeight="1" x14ac:dyDescent="0.25">
      <c r="A69" s="262">
        <v>59</v>
      </c>
      <c r="B69" s="261"/>
      <c r="C69" s="260"/>
      <c r="D69" s="259"/>
      <c r="E69" s="259"/>
      <c r="F69" s="259"/>
    </row>
    <row r="70" spans="1:6" ht="18.75" customHeight="1" x14ac:dyDescent="0.25">
      <c r="A70" s="262">
        <v>60</v>
      </c>
      <c r="B70" s="261"/>
      <c r="C70" s="260"/>
      <c r="D70" s="259"/>
      <c r="E70" s="259"/>
      <c r="F70" s="259"/>
    </row>
    <row r="71" spans="1:6" ht="18.75" customHeight="1" x14ac:dyDescent="0.25">
      <c r="A71" s="262">
        <v>61</v>
      </c>
      <c r="B71" s="261"/>
      <c r="C71" s="260"/>
      <c r="D71" s="259"/>
      <c r="E71" s="259"/>
      <c r="F71" s="259"/>
    </row>
    <row r="72" spans="1:6" ht="18.75" customHeight="1" x14ac:dyDescent="0.25">
      <c r="A72" s="262">
        <v>62</v>
      </c>
      <c r="B72" s="261"/>
      <c r="C72" s="260"/>
      <c r="D72" s="259"/>
      <c r="E72" s="259"/>
      <c r="F72" s="259"/>
    </row>
    <row r="73" spans="1:6" ht="18.75" customHeight="1" x14ac:dyDescent="0.25">
      <c r="A73" s="262">
        <v>63</v>
      </c>
      <c r="B73" s="261"/>
      <c r="C73" s="260"/>
      <c r="D73" s="259"/>
      <c r="E73" s="259"/>
      <c r="F73" s="259"/>
    </row>
    <row r="74" spans="1:6" ht="18.75" customHeight="1" x14ac:dyDescent="0.25">
      <c r="A74" s="262">
        <v>64</v>
      </c>
      <c r="B74" s="262"/>
      <c r="C74" s="260"/>
      <c r="D74" s="259"/>
      <c r="E74" s="259"/>
      <c r="F74" s="259"/>
    </row>
    <row r="75" spans="1:6" ht="18.75" customHeight="1" x14ac:dyDescent="0.25">
      <c r="A75" s="262">
        <v>65</v>
      </c>
      <c r="B75" s="262"/>
      <c r="C75" s="260"/>
      <c r="D75" s="259"/>
      <c r="E75" s="259"/>
      <c r="F75" s="259"/>
    </row>
    <row r="76" spans="1:6" ht="18.75" customHeight="1" x14ac:dyDescent="0.25">
      <c r="A76" s="262">
        <v>66</v>
      </c>
      <c r="B76" s="262"/>
      <c r="C76" s="260"/>
      <c r="D76" s="259"/>
      <c r="E76" s="259"/>
      <c r="F76" s="259"/>
    </row>
    <row r="77" spans="1:6" ht="18.75" customHeight="1" x14ac:dyDescent="0.25">
      <c r="A77" s="262">
        <v>67</v>
      </c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3300-000000000000}"/>
  </hyperlinks>
  <pageMargins left="0.7" right="0.7" top="0.75" bottom="0.75" header="0.3" footer="0.3"/>
  <pageSetup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689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471771240</v>
      </c>
    </row>
    <row r="6" spans="1:7" x14ac:dyDescent="0.25">
      <c r="E6" s="2" t="s">
        <v>11</v>
      </c>
      <c r="F6" s="2">
        <f>SUM(E10:E68)</f>
        <v>471771240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44181</v>
      </c>
      <c r="C11" s="260" t="s">
        <v>691</v>
      </c>
      <c r="D11" s="259">
        <v>180451000</v>
      </c>
      <c r="E11" s="259"/>
      <c r="F11" s="259"/>
    </row>
    <row r="12" spans="1:7" ht="18.75" customHeight="1" x14ac:dyDescent="0.25">
      <c r="A12" s="262">
        <v>2</v>
      </c>
      <c r="B12" s="261">
        <v>44181</v>
      </c>
      <c r="C12" s="260" t="s">
        <v>692</v>
      </c>
      <c r="D12" s="259">
        <v>90737000</v>
      </c>
      <c r="E12" s="259"/>
      <c r="F12" s="259"/>
    </row>
    <row r="13" spans="1:7" ht="18.75" customHeight="1" x14ac:dyDescent="0.25">
      <c r="A13" s="262">
        <v>3</v>
      </c>
      <c r="B13" s="261">
        <v>44201</v>
      </c>
      <c r="C13" s="260" t="s">
        <v>701</v>
      </c>
      <c r="D13" s="259"/>
      <c r="E13" s="259">
        <v>180451000</v>
      </c>
      <c r="F13" s="259"/>
    </row>
    <row r="14" spans="1:7" ht="18.75" customHeight="1" x14ac:dyDescent="0.25">
      <c r="A14" s="262">
        <v>4</v>
      </c>
      <c r="B14" s="261">
        <v>44214</v>
      </c>
      <c r="C14" s="260" t="s">
        <v>722</v>
      </c>
      <c r="D14" s="259"/>
      <c r="E14" s="259">
        <v>90737000</v>
      </c>
      <c r="F14" s="259"/>
    </row>
    <row r="15" spans="1:7" ht="18.75" customHeight="1" x14ac:dyDescent="0.25">
      <c r="A15" s="262">
        <v>5</v>
      </c>
      <c r="B15" s="261">
        <v>44221</v>
      </c>
      <c r="C15" s="260" t="s">
        <v>728</v>
      </c>
      <c r="D15" s="259">
        <v>3534000</v>
      </c>
      <c r="E15" s="259"/>
      <c r="F15" s="259"/>
    </row>
    <row r="16" spans="1:7" ht="18.75" customHeight="1" x14ac:dyDescent="0.25">
      <c r="A16" s="262">
        <v>6</v>
      </c>
      <c r="B16" s="261">
        <v>44228</v>
      </c>
      <c r="C16" s="260" t="s">
        <v>727</v>
      </c>
      <c r="D16" s="259"/>
      <c r="E16" s="259">
        <v>3534000</v>
      </c>
      <c r="F16" s="259"/>
    </row>
    <row r="17" spans="1:6" ht="18.75" customHeight="1" x14ac:dyDescent="0.25">
      <c r="A17" s="262">
        <v>7</v>
      </c>
      <c r="B17" s="261">
        <v>44390</v>
      </c>
      <c r="C17" s="260" t="s">
        <v>866</v>
      </c>
      <c r="D17" s="259">
        <v>197049240</v>
      </c>
      <c r="E17" s="259"/>
      <c r="F17" s="259"/>
    </row>
    <row r="18" spans="1:6" ht="18.75" customHeight="1" x14ac:dyDescent="0.25">
      <c r="A18" s="262">
        <v>8</v>
      </c>
      <c r="B18" s="261">
        <v>44411</v>
      </c>
      <c r="C18" s="260" t="s">
        <v>889</v>
      </c>
      <c r="D18" s="259"/>
      <c r="E18" s="259">
        <v>100000000</v>
      </c>
      <c r="F18" s="259"/>
    </row>
    <row r="19" spans="1:6" ht="18.75" customHeight="1" x14ac:dyDescent="0.25">
      <c r="A19" s="262">
        <v>9</v>
      </c>
      <c r="B19" s="261">
        <v>44421</v>
      </c>
      <c r="C19" s="260" t="s">
        <v>727</v>
      </c>
      <c r="D19" s="259"/>
      <c r="E19" s="259">
        <v>97049240</v>
      </c>
      <c r="F19" s="259"/>
    </row>
    <row r="20" spans="1:6" ht="18.75" customHeight="1" x14ac:dyDescent="0.25">
      <c r="A20" s="262"/>
      <c r="B20" s="261"/>
      <c r="C20" s="260"/>
      <c r="D20" s="259"/>
      <c r="E20" s="259"/>
      <c r="F20" s="259"/>
    </row>
    <row r="21" spans="1:6" ht="18.75" customHeight="1" x14ac:dyDescent="0.25">
      <c r="A21" s="262"/>
      <c r="B21" s="261"/>
      <c r="C21" s="260"/>
      <c r="D21" s="259"/>
      <c r="E21" s="259"/>
      <c r="F21" s="259"/>
    </row>
    <row r="22" spans="1:6" ht="18.75" customHeight="1" x14ac:dyDescent="0.25">
      <c r="A22" s="262"/>
      <c r="B22" s="261"/>
      <c r="C22" s="260"/>
      <c r="D22" s="259"/>
      <c r="E22" s="259"/>
      <c r="F22" s="259"/>
    </row>
    <row r="23" spans="1:6" ht="18.75" customHeight="1" x14ac:dyDescent="0.25">
      <c r="A23" s="262"/>
      <c r="B23" s="261"/>
      <c r="C23" s="260"/>
      <c r="D23" s="259"/>
      <c r="E23" s="259"/>
      <c r="F23" s="259"/>
    </row>
    <row r="24" spans="1:6" ht="18.75" customHeight="1" x14ac:dyDescent="0.25">
      <c r="A24" s="262"/>
      <c r="B24" s="261"/>
      <c r="C24" s="260"/>
      <c r="D24" s="259"/>
      <c r="E24" s="259"/>
      <c r="F24" s="259"/>
    </row>
    <row r="25" spans="1:6" ht="18.75" customHeight="1" x14ac:dyDescent="0.25">
      <c r="A25" s="262"/>
      <c r="B25" s="261"/>
      <c r="C25" s="260"/>
      <c r="D25" s="259"/>
      <c r="E25" s="259"/>
      <c r="F25" s="259"/>
    </row>
    <row r="26" spans="1:6" ht="18.75" customHeight="1" x14ac:dyDescent="0.25">
      <c r="A26" s="262"/>
      <c r="B26" s="261"/>
      <c r="C26" s="260"/>
      <c r="D26" s="259"/>
      <c r="E26" s="259"/>
      <c r="F26" s="259"/>
    </row>
    <row r="27" spans="1:6" ht="18.75" customHeight="1" x14ac:dyDescent="0.25">
      <c r="A27" s="262"/>
      <c r="B27" s="261"/>
      <c r="C27" s="260"/>
      <c r="D27" s="259"/>
      <c r="E27" s="259"/>
      <c r="F27" s="259"/>
    </row>
    <row r="28" spans="1:6" ht="18.75" customHeight="1" x14ac:dyDescent="0.25">
      <c r="A28" s="262"/>
      <c r="B28" s="261"/>
      <c r="C28" s="260"/>
      <c r="D28" s="259"/>
      <c r="E28" s="259"/>
      <c r="F28" s="259"/>
    </row>
    <row r="29" spans="1:6" ht="18.75" customHeight="1" x14ac:dyDescent="0.25">
      <c r="A29" s="262"/>
      <c r="B29" s="261"/>
      <c r="C29" s="260"/>
      <c r="D29" s="259"/>
      <c r="E29" s="259"/>
      <c r="F29" s="259"/>
    </row>
    <row r="30" spans="1:6" ht="18.75" customHeight="1" x14ac:dyDescent="0.25">
      <c r="A30" s="262"/>
      <c r="B30" s="261"/>
      <c r="C30" s="260"/>
      <c r="D30" s="259"/>
      <c r="E30" s="259"/>
      <c r="F30" s="259"/>
    </row>
    <row r="31" spans="1:6" ht="18.75" customHeight="1" x14ac:dyDescent="0.25">
      <c r="A31" s="260"/>
      <c r="B31" s="261"/>
      <c r="C31" s="260"/>
      <c r="D31" s="259"/>
      <c r="E31" s="259"/>
      <c r="F31" s="259"/>
    </row>
    <row r="32" spans="1:6" ht="18.75" customHeight="1" x14ac:dyDescent="0.25">
      <c r="A32" s="260"/>
      <c r="B32" s="262"/>
      <c r="C32" s="260"/>
      <c r="D32" s="259"/>
      <c r="E32" s="259"/>
      <c r="F32" s="259"/>
    </row>
    <row r="33" spans="1:6" ht="18.75" customHeight="1" x14ac:dyDescent="0.25">
      <c r="A33" s="260"/>
      <c r="B33" s="262"/>
      <c r="C33" s="260"/>
      <c r="D33" s="259"/>
      <c r="E33" s="259"/>
      <c r="F33" s="259"/>
    </row>
    <row r="34" spans="1:6" ht="18.75" customHeight="1" x14ac:dyDescent="0.25">
      <c r="A34" s="260"/>
      <c r="B34" s="262"/>
      <c r="C34" s="260"/>
      <c r="D34" s="259"/>
      <c r="E34" s="259"/>
      <c r="F34" s="259"/>
    </row>
    <row r="35" spans="1:6" ht="18.75" customHeight="1" x14ac:dyDescent="0.25">
      <c r="A35" s="260"/>
      <c r="B35" s="262"/>
      <c r="C35" s="260"/>
      <c r="D35" s="259"/>
      <c r="E35" s="259"/>
      <c r="F35" s="259"/>
    </row>
    <row r="36" spans="1:6" ht="18.75" customHeight="1" x14ac:dyDescent="0.25">
      <c r="A36" s="260"/>
      <c r="B36" s="262"/>
      <c r="C36" s="260"/>
      <c r="D36" s="259"/>
      <c r="E36" s="259"/>
      <c r="F36" s="259"/>
    </row>
    <row r="37" spans="1:6" ht="18.75" customHeight="1" x14ac:dyDescent="0.25">
      <c r="A37" s="260"/>
      <c r="B37" s="262"/>
      <c r="C37" s="260"/>
      <c r="D37" s="259"/>
      <c r="E37" s="259"/>
      <c r="F37" s="259"/>
    </row>
    <row r="38" spans="1:6" ht="18.75" customHeight="1" x14ac:dyDescent="0.25">
      <c r="A38" s="260"/>
      <c r="B38" s="262"/>
      <c r="C38" s="260"/>
      <c r="D38" s="259"/>
      <c r="E38" s="259"/>
      <c r="F38" s="259"/>
    </row>
    <row r="39" spans="1:6" ht="18.75" customHeight="1" x14ac:dyDescent="0.25">
      <c r="A39" s="260"/>
      <c r="B39" s="262"/>
      <c r="C39" s="260"/>
      <c r="D39" s="259"/>
      <c r="E39" s="259"/>
      <c r="F39" s="259"/>
    </row>
    <row r="40" spans="1:6" ht="18.75" customHeight="1" x14ac:dyDescent="0.25">
      <c r="A40" s="260"/>
      <c r="B40" s="262"/>
      <c r="C40" s="260"/>
      <c r="D40" s="259"/>
      <c r="E40" s="259"/>
      <c r="F40" s="259"/>
    </row>
    <row r="41" spans="1:6" ht="18.75" customHeight="1" x14ac:dyDescent="0.25">
      <c r="A41" s="260"/>
      <c r="B41" s="262"/>
      <c r="C41" s="260"/>
      <c r="D41" s="259"/>
      <c r="E41" s="259"/>
      <c r="F41" s="259"/>
    </row>
    <row r="42" spans="1:6" ht="18.75" customHeight="1" x14ac:dyDescent="0.25">
      <c r="A42" s="260"/>
      <c r="B42" s="262"/>
      <c r="C42" s="260"/>
      <c r="D42" s="259"/>
      <c r="E42" s="259"/>
      <c r="F42" s="259"/>
    </row>
    <row r="43" spans="1:6" ht="18.75" customHeight="1" x14ac:dyDescent="0.25">
      <c r="A43" s="260"/>
      <c r="B43" s="262"/>
      <c r="C43" s="260"/>
      <c r="D43" s="259"/>
      <c r="E43" s="259"/>
      <c r="F43" s="259"/>
    </row>
    <row r="44" spans="1:6" ht="18.75" customHeight="1" x14ac:dyDescent="0.25">
      <c r="A44" s="260"/>
      <c r="B44" s="262"/>
      <c r="C44" s="260"/>
      <c r="D44" s="259"/>
      <c r="E44" s="259"/>
      <c r="F44" s="259"/>
    </row>
    <row r="45" spans="1:6" ht="18.75" customHeight="1" x14ac:dyDescent="0.25">
      <c r="A45" s="260"/>
      <c r="B45" s="262"/>
      <c r="C45" s="260"/>
      <c r="D45" s="259"/>
      <c r="E45" s="259"/>
      <c r="F45" s="259"/>
    </row>
    <row r="46" spans="1:6" ht="18.75" customHeight="1" x14ac:dyDescent="0.25">
      <c r="A46" s="260"/>
      <c r="B46" s="262"/>
      <c r="C46" s="260"/>
      <c r="D46" s="259"/>
      <c r="E46" s="259"/>
      <c r="F46" s="259"/>
    </row>
    <row r="47" spans="1:6" ht="18.75" customHeight="1" x14ac:dyDescent="0.25">
      <c r="A47" s="260"/>
      <c r="B47" s="262"/>
      <c r="C47" s="260"/>
      <c r="D47" s="259"/>
      <c r="E47" s="259"/>
      <c r="F47" s="259"/>
    </row>
    <row r="48" spans="1:6" ht="18.75" customHeight="1" x14ac:dyDescent="0.25">
      <c r="A48" s="260"/>
      <c r="B48" s="262"/>
      <c r="C48" s="260"/>
      <c r="D48" s="259"/>
      <c r="E48" s="259"/>
      <c r="F48" s="259"/>
    </row>
    <row r="49" spans="1:6" ht="18.75" customHeight="1" x14ac:dyDescent="0.25">
      <c r="A49" s="260"/>
      <c r="B49" s="262"/>
      <c r="C49" s="260"/>
      <c r="D49" s="259"/>
      <c r="E49" s="259"/>
      <c r="F49" s="259"/>
    </row>
    <row r="50" spans="1:6" ht="18.75" customHeight="1" x14ac:dyDescent="0.25">
      <c r="A50" s="260"/>
      <c r="B50" s="262"/>
      <c r="C50" s="260"/>
      <c r="D50" s="259"/>
      <c r="E50" s="259"/>
      <c r="F50" s="259"/>
    </row>
    <row r="51" spans="1:6" ht="18.75" customHeight="1" x14ac:dyDescent="0.25">
      <c r="A51" s="260"/>
      <c r="B51" s="262"/>
      <c r="C51" s="260"/>
      <c r="D51" s="259"/>
      <c r="E51" s="259"/>
      <c r="F51" s="259"/>
    </row>
    <row r="52" spans="1:6" ht="18.75" customHeight="1" x14ac:dyDescent="0.25">
      <c r="A52" s="260"/>
      <c r="B52" s="262"/>
      <c r="C52" s="260"/>
      <c r="D52" s="259"/>
      <c r="E52" s="259"/>
      <c r="F52" s="259"/>
    </row>
    <row r="53" spans="1:6" ht="18.75" customHeight="1" x14ac:dyDescent="0.25">
      <c r="A53" s="260"/>
      <c r="B53" s="262"/>
      <c r="C53" s="260"/>
      <c r="D53" s="259"/>
      <c r="E53" s="259"/>
      <c r="F53" s="259"/>
    </row>
    <row r="54" spans="1:6" ht="18.75" customHeight="1" x14ac:dyDescent="0.25">
      <c r="A54" s="260"/>
      <c r="B54" s="262"/>
      <c r="C54" s="260"/>
      <c r="D54" s="259"/>
      <c r="E54" s="259"/>
      <c r="F54" s="259"/>
    </row>
    <row r="55" spans="1:6" ht="18.75" customHeight="1" x14ac:dyDescent="0.25">
      <c r="A55" s="260"/>
      <c r="B55" s="262"/>
      <c r="C55" s="260"/>
      <c r="D55" s="259"/>
      <c r="E55" s="259"/>
      <c r="F55" s="259"/>
    </row>
    <row r="56" spans="1:6" ht="18.75" customHeight="1" x14ac:dyDescent="0.25">
      <c r="A56" s="260"/>
      <c r="B56" s="262"/>
      <c r="C56" s="260"/>
      <c r="D56" s="259"/>
      <c r="E56" s="259"/>
      <c r="F56" s="259"/>
    </row>
    <row r="57" spans="1:6" ht="18.75" customHeight="1" x14ac:dyDescent="0.25">
      <c r="A57" s="260"/>
      <c r="B57" s="262"/>
      <c r="C57" s="260"/>
      <c r="D57" s="259"/>
      <c r="E57" s="259"/>
      <c r="F57" s="259"/>
    </row>
    <row r="58" spans="1:6" ht="18.75" customHeight="1" x14ac:dyDescent="0.25">
      <c r="A58" s="260"/>
      <c r="B58" s="262"/>
      <c r="C58" s="260"/>
      <c r="D58" s="259"/>
      <c r="E58" s="259"/>
      <c r="F58" s="259"/>
    </row>
    <row r="59" spans="1:6" ht="18.75" customHeight="1" x14ac:dyDescent="0.25">
      <c r="A59" s="260"/>
      <c r="B59" s="262"/>
      <c r="C59" s="260"/>
      <c r="D59" s="259"/>
      <c r="E59" s="259"/>
      <c r="F59" s="259"/>
    </row>
    <row r="60" spans="1:6" ht="18.75" customHeight="1" x14ac:dyDescent="0.25">
      <c r="A60" s="260"/>
      <c r="B60" s="262"/>
      <c r="C60" s="260"/>
      <c r="D60" s="259"/>
      <c r="E60" s="259"/>
      <c r="F60" s="259"/>
    </row>
    <row r="61" spans="1:6" ht="18.75" customHeight="1" x14ac:dyDescent="0.25">
      <c r="A61" s="260"/>
      <c r="B61" s="262"/>
      <c r="C61" s="260"/>
      <c r="D61" s="259"/>
      <c r="E61" s="259"/>
      <c r="F61" s="259"/>
    </row>
    <row r="62" spans="1:6" ht="18.75" customHeight="1" x14ac:dyDescent="0.25">
      <c r="A62" s="260"/>
      <c r="B62" s="262"/>
      <c r="C62" s="260"/>
      <c r="D62" s="259"/>
      <c r="E62" s="259"/>
      <c r="F62" s="259"/>
    </row>
    <row r="63" spans="1:6" ht="18.75" customHeight="1" x14ac:dyDescent="0.25">
      <c r="A63" s="260"/>
      <c r="B63" s="262"/>
      <c r="C63" s="260"/>
      <c r="D63" s="259"/>
      <c r="E63" s="259"/>
      <c r="F63" s="259"/>
    </row>
    <row r="64" spans="1:6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3400-000000000000}"/>
  </hyperlinks>
  <pageMargins left="0.7" right="0.7" top="0.75" bottom="0.75" header="0.3" footer="0.3"/>
  <pageSetup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694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982723550</v>
      </c>
    </row>
    <row r="6" spans="1:7" x14ac:dyDescent="0.25">
      <c r="E6" s="2" t="s">
        <v>11</v>
      </c>
      <c r="F6" s="2">
        <f>SUM(E10:E68)</f>
        <v>982723550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44195</v>
      </c>
      <c r="C11" s="260" t="s">
        <v>695</v>
      </c>
      <c r="D11" s="259">
        <v>15204000</v>
      </c>
      <c r="E11" s="259"/>
      <c r="F11" s="259"/>
    </row>
    <row r="12" spans="1:7" ht="18.75" customHeight="1" x14ac:dyDescent="0.25">
      <c r="A12" s="262">
        <v>2</v>
      </c>
      <c r="B12" s="261">
        <v>44202</v>
      </c>
      <c r="C12" s="260" t="s">
        <v>702</v>
      </c>
      <c r="D12" s="259"/>
      <c r="E12" s="259">
        <v>15204000</v>
      </c>
      <c r="F12" s="259"/>
    </row>
    <row r="13" spans="1:7" ht="18.75" customHeight="1" x14ac:dyDescent="0.25">
      <c r="A13" s="262">
        <v>3</v>
      </c>
      <c r="B13" s="261">
        <v>44227</v>
      </c>
      <c r="C13" s="260" t="s">
        <v>723</v>
      </c>
      <c r="D13" s="259">
        <v>14974000</v>
      </c>
      <c r="E13" s="259"/>
      <c r="F13" s="259"/>
    </row>
    <row r="14" spans="1:7" ht="18.75" customHeight="1" x14ac:dyDescent="0.25">
      <c r="A14" s="262">
        <v>4</v>
      </c>
      <c r="B14" s="261">
        <v>44235</v>
      </c>
      <c r="C14" s="260" t="s">
        <v>702</v>
      </c>
      <c r="D14" s="259"/>
      <c r="E14" s="259">
        <v>14974000</v>
      </c>
      <c r="F14" s="259"/>
    </row>
    <row r="15" spans="1:7" ht="18.75" customHeight="1" x14ac:dyDescent="0.25">
      <c r="A15" s="262">
        <v>5</v>
      </c>
      <c r="B15" s="261">
        <v>44235</v>
      </c>
      <c r="C15" s="260" t="s">
        <v>741</v>
      </c>
      <c r="D15" s="259">
        <v>14294000</v>
      </c>
      <c r="E15" s="259"/>
      <c r="F15" s="259"/>
    </row>
    <row r="16" spans="1:7" ht="18.75" customHeight="1" x14ac:dyDescent="0.25">
      <c r="A16" s="262">
        <v>6</v>
      </c>
      <c r="B16" s="261">
        <v>44251</v>
      </c>
      <c r="C16" s="260" t="s">
        <v>702</v>
      </c>
      <c r="D16" s="259"/>
      <c r="E16" s="259">
        <v>14294000</v>
      </c>
      <c r="F16" s="259"/>
    </row>
    <row r="17" spans="1:6" ht="18.75" customHeight="1" x14ac:dyDescent="0.25">
      <c r="A17" s="262">
        <v>7</v>
      </c>
      <c r="B17" s="261">
        <v>44286</v>
      </c>
      <c r="C17" s="260" t="s">
        <v>761</v>
      </c>
      <c r="D17" s="259">
        <v>29978000</v>
      </c>
      <c r="E17" s="259"/>
      <c r="F17" s="259"/>
    </row>
    <row r="18" spans="1:6" ht="18.75" customHeight="1" x14ac:dyDescent="0.25">
      <c r="A18" s="262">
        <v>8</v>
      </c>
      <c r="B18" s="261">
        <v>44291</v>
      </c>
      <c r="C18" s="260" t="s">
        <v>702</v>
      </c>
      <c r="D18" s="259"/>
      <c r="E18" s="259">
        <v>29978000</v>
      </c>
      <c r="F18" s="259"/>
    </row>
    <row r="19" spans="1:6" ht="18.75" customHeight="1" x14ac:dyDescent="0.25">
      <c r="A19" s="262">
        <v>9</v>
      </c>
      <c r="B19" s="261">
        <v>44347</v>
      </c>
      <c r="C19" s="260" t="s">
        <v>827</v>
      </c>
      <c r="D19" s="259">
        <v>15514000</v>
      </c>
      <c r="E19" s="259"/>
      <c r="F19" s="259"/>
    </row>
    <row r="20" spans="1:6" ht="18.75" customHeight="1" x14ac:dyDescent="0.25">
      <c r="A20" s="262">
        <v>10</v>
      </c>
      <c r="B20" s="261">
        <v>44355</v>
      </c>
      <c r="C20" s="260" t="s">
        <v>702</v>
      </c>
      <c r="D20" s="259"/>
      <c r="E20" s="259">
        <v>15514000</v>
      </c>
      <c r="F20" s="259"/>
    </row>
    <row r="21" spans="1:6" ht="18.75" customHeight="1" x14ac:dyDescent="0.25">
      <c r="A21" s="262">
        <v>11</v>
      </c>
      <c r="B21" s="261">
        <v>44377</v>
      </c>
      <c r="C21" s="260" t="s">
        <v>861</v>
      </c>
      <c r="D21" s="259">
        <v>15488000</v>
      </c>
      <c r="E21" s="259"/>
      <c r="F21" s="259"/>
    </row>
    <row r="22" spans="1:6" ht="18.75" customHeight="1" x14ac:dyDescent="0.25">
      <c r="A22" s="262">
        <v>12</v>
      </c>
      <c r="B22" s="261">
        <v>44389</v>
      </c>
      <c r="C22" s="260" t="s">
        <v>702</v>
      </c>
      <c r="D22" s="259"/>
      <c r="E22" s="259">
        <v>15488000</v>
      </c>
      <c r="F22" s="259"/>
    </row>
    <row r="23" spans="1:6" ht="18.75" customHeight="1" x14ac:dyDescent="0.25">
      <c r="A23" s="262">
        <v>13</v>
      </c>
      <c r="B23" s="261">
        <v>44680</v>
      </c>
      <c r="C23" s="260" t="s">
        <v>1121</v>
      </c>
      <c r="D23" s="287">
        <v>19532000</v>
      </c>
      <c r="E23" s="259"/>
      <c r="F23" s="259"/>
    </row>
    <row r="24" spans="1:6" ht="18.75" customHeight="1" x14ac:dyDescent="0.25">
      <c r="A24" s="262">
        <v>14</v>
      </c>
      <c r="B24" s="261">
        <v>44690</v>
      </c>
      <c r="C24" s="260" t="s">
        <v>702</v>
      </c>
      <c r="D24" s="259"/>
      <c r="E24" s="259">
        <v>19532000</v>
      </c>
      <c r="F24" s="259"/>
    </row>
    <row r="25" spans="1:6" ht="18.75" customHeight="1" x14ac:dyDescent="0.25">
      <c r="A25" s="262">
        <v>15</v>
      </c>
      <c r="B25" s="261">
        <v>44688</v>
      </c>
      <c r="C25" s="260" t="s">
        <v>1126</v>
      </c>
      <c r="D25" s="259">
        <v>25796200</v>
      </c>
      <c r="E25" s="259"/>
      <c r="F25" s="259"/>
    </row>
    <row r="26" spans="1:6" ht="18.75" customHeight="1" x14ac:dyDescent="0.25">
      <c r="A26" s="262">
        <v>16</v>
      </c>
      <c r="B26" s="261">
        <v>44700</v>
      </c>
      <c r="C26" s="260" t="s">
        <v>702</v>
      </c>
      <c r="D26" s="259"/>
      <c r="E26" s="259">
        <v>24496200</v>
      </c>
      <c r="F26" s="259"/>
    </row>
    <row r="27" spans="1:6" ht="18.75" customHeight="1" x14ac:dyDescent="0.25">
      <c r="A27" s="262">
        <v>17</v>
      </c>
      <c r="B27" s="261">
        <v>44712</v>
      </c>
      <c r="C27" s="260" t="s">
        <v>1137</v>
      </c>
      <c r="D27" s="259">
        <v>19768800</v>
      </c>
      <c r="E27" s="259"/>
      <c r="F27" s="259"/>
    </row>
    <row r="28" spans="1:6" ht="18.75" customHeight="1" x14ac:dyDescent="0.25">
      <c r="A28" s="262">
        <v>18</v>
      </c>
      <c r="B28" s="261">
        <v>44719</v>
      </c>
      <c r="C28" s="260" t="s">
        <v>702</v>
      </c>
      <c r="D28" s="259"/>
      <c r="E28" s="259">
        <v>19768800</v>
      </c>
      <c r="F28" s="259"/>
    </row>
    <row r="29" spans="1:6" ht="18.75" customHeight="1" x14ac:dyDescent="0.25">
      <c r="A29" s="262">
        <v>19</v>
      </c>
      <c r="B29" s="261">
        <v>44740</v>
      </c>
      <c r="C29" s="260" t="s">
        <v>702</v>
      </c>
      <c r="D29" s="259"/>
      <c r="E29" s="259">
        <v>1300000</v>
      </c>
      <c r="F29" s="259"/>
    </row>
    <row r="30" spans="1:6" ht="18.75" customHeight="1" x14ac:dyDescent="0.25">
      <c r="A30" s="262">
        <v>20</v>
      </c>
      <c r="B30" s="261">
        <v>44742</v>
      </c>
      <c r="C30" s="260" t="s">
        <v>1157</v>
      </c>
      <c r="D30" s="259">
        <v>101194000</v>
      </c>
      <c r="E30" s="259"/>
      <c r="F30" s="259"/>
    </row>
    <row r="31" spans="1:6" ht="18.75" customHeight="1" x14ac:dyDescent="0.25">
      <c r="A31" s="262">
        <v>21</v>
      </c>
      <c r="B31" s="261">
        <v>44749</v>
      </c>
      <c r="C31" s="260" t="s">
        <v>702</v>
      </c>
      <c r="D31" s="259"/>
      <c r="E31" s="259">
        <v>101194000</v>
      </c>
      <c r="F31" s="259"/>
    </row>
    <row r="32" spans="1:6" ht="18.75" customHeight="1" x14ac:dyDescent="0.25">
      <c r="A32" s="262">
        <v>22</v>
      </c>
      <c r="B32" s="261">
        <v>44771</v>
      </c>
      <c r="C32" s="260" t="s">
        <v>1181</v>
      </c>
      <c r="D32" s="259">
        <v>58576400</v>
      </c>
      <c r="E32" s="259"/>
      <c r="F32" s="259"/>
    </row>
    <row r="33" spans="1:6" ht="18.75" customHeight="1" x14ac:dyDescent="0.25">
      <c r="A33" s="262">
        <v>23</v>
      </c>
      <c r="B33" s="261">
        <v>44777</v>
      </c>
      <c r="C33" s="260" t="s">
        <v>702</v>
      </c>
      <c r="D33" s="259"/>
      <c r="E33" s="259">
        <v>58576400</v>
      </c>
      <c r="F33" s="259"/>
    </row>
    <row r="34" spans="1:6" ht="18.75" customHeight="1" x14ac:dyDescent="0.25">
      <c r="A34" s="262">
        <v>24</v>
      </c>
      <c r="B34" s="261">
        <v>44802</v>
      </c>
      <c r="C34" s="260" t="s">
        <v>1227</v>
      </c>
      <c r="D34" s="259">
        <v>56786400</v>
      </c>
      <c r="E34" s="259"/>
      <c r="F34" s="259"/>
    </row>
    <row r="35" spans="1:6" ht="18.75" customHeight="1" x14ac:dyDescent="0.25">
      <c r="A35" s="262">
        <v>25</v>
      </c>
      <c r="B35" s="261">
        <v>44811</v>
      </c>
      <c r="C35" s="260" t="s">
        <v>702</v>
      </c>
      <c r="D35" s="259"/>
      <c r="E35" s="259">
        <v>56786400</v>
      </c>
      <c r="F35" s="259"/>
    </row>
    <row r="36" spans="1:6" ht="18.75" customHeight="1" x14ac:dyDescent="0.25">
      <c r="A36" s="262">
        <v>26</v>
      </c>
      <c r="B36" s="261">
        <v>44833</v>
      </c>
      <c r="C36" s="260" t="s">
        <v>1240</v>
      </c>
      <c r="D36" s="259">
        <v>95804800</v>
      </c>
      <c r="E36" s="259"/>
      <c r="F36" s="259"/>
    </row>
    <row r="37" spans="1:6" ht="18.75" customHeight="1" x14ac:dyDescent="0.25">
      <c r="A37" s="262">
        <v>27</v>
      </c>
      <c r="B37" s="261">
        <v>44838</v>
      </c>
      <c r="C37" s="260" t="s">
        <v>702</v>
      </c>
      <c r="D37" s="259"/>
      <c r="E37" s="259">
        <v>95804800</v>
      </c>
      <c r="F37" s="259"/>
    </row>
    <row r="38" spans="1:6" ht="18.75" customHeight="1" x14ac:dyDescent="0.25">
      <c r="A38" s="262">
        <v>28</v>
      </c>
      <c r="B38" s="261">
        <v>44865</v>
      </c>
      <c r="C38" s="260" t="s">
        <v>1261</v>
      </c>
      <c r="D38" s="259">
        <v>73449600</v>
      </c>
      <c r="E38" s="259"/>
      <c r="F38" s="259"/>
    </row>
    <row r="39" spans="1:6" ht="18.75" customHeight="1" x14ac:dyDescent="0.25">
      <c r="A39" s="262">
        <v>29</v>
      </c>
      <c r="B39" s="261">
        <v>44872</v>
      </c>
      <c r="C39" s="260" t="s">
        <v>702</v>
      </c>
      <c r="D39" s="259"/>
      <c r="E39" s="259">
        <v>73449600</v>
      </c>
      <c r="F39" s="259"/>
    </row>
    <row r="40" spans="1:6" ht="18.75" customHeight="1" x14ac:dyDescent="0.25">
      <c r="A40" s="262">
        <v>30</v>
      </c>
      <c r="B40" s="261">
        <v>44895</v>
      </c>
      <c r="C40" s="260" t="s">
        <v>1295</v>
      </c>
      <c r="D40" s="259">
        <v>19308800</v>
      </c>
      <c r="E40" s="259"/>
      <c r="F40" s="259"/>
    </row>
    <row r="41" spans="1:6" ht="18.75" customHeight="1" x14ac:dyDescent="0.25">
      <c r="A41" s="262">
        <v>31</v>
      </c>
      <c r="B41" s="261">
        <v>44900</v>
      </c>
      <c r="C41" s="260" t="s">
        <v>702</v>
      </c>
      <c r="D41" s="259"/>
      <c r="E41" s="259">
        <v>19308800</v>
      </c>
      <c r="F41" s="259"/>
    </row>
    <row r="42" spans="1:6" ht="18.75" customHeight="1" x14ac:dyDescent="0.25">
      <c r="A42" s="262">
        <v>32</v>
      </c>
      <c r="B42" s="261">
        <v>44923</v>
      </c>
      <c r="C42" s="260" t="s">
        <v>1340</v>
      </c>
      <c r="D42" s="259">
        <v>189394400</v>
      </c>
      <c r="E42" s="259"/>
      <c r="F42" s="259"/>
    </row>
    <row r="43" spans="1:6" ht="18.75" customHeight="1" x14ac:dyDescent="0.25">
      <c r="A43" s="262">
        <v>33</v>
      </c>
      <c r="B43" s="261">
        <v>44938</v>
      </c>
      <c r="C43" s="260" t="s">
        <v>702</v>
      </c>
      <c r="D43" s="259"/>
      <c r="E43" s="259">
        <v>189394400</v>
      </c>
      <c r="F43" s="259"/>
    </row>
    <row r="44" spans="1:6" ht="18.75" customHeight="1" x14ac:dyDescent="0.25">
      <c r="A44" s="262">
        <v>34</v>
      </c>
      <c r="B44" s="261">
        <v>44956</v>
      </c>
      <c r="C44" s="260" t="s">
        <v>1362</v>
      </c>
      <c r="D44" s="259">
        <v>18684000</v>
      </c>
      <c r="E44" s="259"/>
      <c r="F44" s="259"/>
    </row>
    <row r="45" spans="1:6" ht="18.75" customHeight="1" x14ac:dyDescent="0.25">
      <c r="A45" s="262">
        <v>35</v>
      </c>
      <c r="B45" s="261">
        <v>44963</v>
      </c>
      <c r="C45" s="260" t="s">
        <v>702</v>
      </c>
      <c r="D45" s="259"/>
      <c r="E45" s="259">
        <v>18684000</v>
      </c>
      <c r="F45" s="259"/>
    </row>
    <row r="46" spans="1:6" ht="18.75" customHeight="1" x14ac:dyDescent="0.25">
      <c r="A46" s="262">
        <v>36</v>
      </c>
      <c r="B46" s="261">
        <v>44985</v>
      </c>
      <c r="C46" s="260" t="s">
        <v>1388</v>
      </c>
      <c r="D46" s="259">
        <v>55857000</v>
      </c>
      <c r="E46" s="259"/>
      <c r="F46" s="259"/>
    </row>
    <row r="47" spans="1:6" ht="18.75" customHeight="1" x14ac:dyDescent="0.25">
      <c r="A47" s="262">
        <v>37</v>
      </c>
      <c r="B47" s="261">
        <v>44992</v>
      </c>
      <c r="C47" s="260" t="s">
        <v>702</v>
      </c>
      <c r="D47" s="259"/>
      <c r="E47" s="259">
        <v>55857000</v>
      </c>
      <c r="F47" s="259"/>
    </row>
    <row r="48" spans="1:6" ht="18.75" customHeight="1" x14ac:dyDescent="0.25">
      <c r="A48" s="262">
        <v>38</v>
      </c>
      <c r="B48" s="261">
        <v>45076</v>
      </c>
      <c r="C48" s="260" t="s">
        <v>1485</v>
      </c>
      <c r="D48" s="259">
        <v>89161000</v>
      </c>
      <c r="E48" s="259"/>
      <c r="F48" s="259"/>
    </row>
    <row r="49" spans="1:6" ht="18.75" customHeight="1" x14ac:dyDescent="0.25">
      <c r="A49" s="262">
        <v>39</v>
      </c>
      <c r="B49" s="261">
        <v>45084</v>
      </c>
      <c r="C49" s="260" t="s">
        <v>702</v>
      </c>
      <c r="D49" s="259"/>
      <c r="E49" s="259">
        <v>89161000</v>
      </c>
      <c r="F49" s="259"/>
    </row>
    <row r="50" spans="1:6" ht="18.75" customHeight="1" x14ac:dyDescent="0.25">
      <c r="A50" s="262">
        <v>40</v>
      </c>
      <c r="B50" s="261">
        <v>45167</v>
      </c>
      <c r="C50" s="260" t="s">
        <v>1568</v>
      </c>
      <c r="D50" s="259">
        <v>30796500</v>
      </c>
      <c r="E50" s="259"/>
      <c r="F50" s="259"/>
    </row>
    <row r="51" spans="1:6" ht="18.75" customHeight="1" x14ac:dyDescent="0.25">
      <c r="A51" s="262">
        <v>41</v>
      </c>
      <c r="B51" s="261">
        <v>45174</v>
      </c>
      <c r="C51" s="260" t="s">
        <v>702</v>
      </c>
      <c r="D51" s="259"/>
      <c r="E51" s="259">
        <v>30796500</v>
      </c>
      <c r="F51" s="259"/>
    </row>
    <row r="52" spans="1:6" ht="18.75" customHeight="1" x14ac:dyDescent="0.25">
      <c r="A52" s="262">
        <v>42</v>
      </c>
      <c r="B52" s="261">
        <v>45504</v>
      </c>
      <c r="C52" s="260" t="s">
        <v>1843</v>
      </c>
      <c r="D52" s="259">
        <v>23161650</v>
      </c>
      <c r="E52" s="259"/>
      <c r="F52" s="259"/>
    </row>
    <row r="53" spans="1:6" ht="18.75" customHeight="1" x14ac:dyDescent="0.25">
      <c r="A53" s="262">
        <v>43</v>
      </c>
      <c r="B53" s="261">
        <v>45510</v>
      </c>
      <c r="C53" s="260" t="s">
        <v>702</v>
      </c>
      <c r="D53" s="259"/>
      <c r="E53" s="259">
        <v>23161650</v>
      </c>
      <c r="F53" s="259"/>
    </row>
    <row r="54" spans="1:6" ht="18.75" customHeight="1" x14ac:dyDescent="0.25">
      <c r="A54" s="260"/>
      <c r="C54" s="260"/>
      <c r="D54" s="259"/>
      <c r="E54" s="259"/>
      <c r="F54" s="259"/>
    </row>
    <row r="55" spans="1:6" ht="18.75" customHeight="1" x14ac:dyDescent="0.25">
      <c r="A55" s="260"/>
      <c r="B55" s="262"/>
      <c r="C55" s="260"/>
      <c r="D55" s="259"/>
      <c r="E55" s="259"/>
      <c r="F55" s="259"/>
    </row>
    <row r="56" spans="1:6" ht="18.75" customHeight="1" x14ac:dyDescent="0.25">
      <c r="A56" s="260"/>
      <c r="B56" s="262"/>
      <c r="C56" s="260"/>
      <c r="D56" s="259"/>
      <c r="E56" s="259"/>
      <c r="F56" s="259"/>
    </row>
    <row r="57" spans="1:6" ht="18.75" customHeight="1" x14ac:dyDescent="0.25">
      <c r="A57" s="260"/>
      <c r="B57" s="262"/>
      <c r="C57" s="260"/>
      <c r="D57" s="259"/>
      <c r="E57" s="259"/>
      <c r="F57" s="259"/>
    </row>
    <row r="58" spans="1:6" ht="18.75" customHeight="1" x14ac:dyDescent="0.25">
      <c r="A58" s="260"/>
      <c r="B58" s="262"/>
      <c r="C58" s="260"/>
      <c r="D58" s="259"/>
      <c r="E58" s="259"/>
      <c r="F58" s="259"/>
    </row>
    <row r="59" spans="1:6" ht="18.75" customHeight="1" x14ac:dyDescent="0.25">
      <c r="A59" s="260"/>
      <c r="B59" s="262"/>
      <c r="C59" s="260"/>
      <c r="D59" s="259"/>
      <c r="E59" s="259"/>
      <c r="F59" s="259"/>
    </row>
    <row r="60" spans="1:6" ht="18.75" customHeight="1" x14ac:dyDescent="0.25">
      <c r="A60" s="260"/>
      <c r="B60" s="262"/>
      <c r="C60" s="260"/>
      <c r="D60" s="259"/>
      <c r="E60" s="259"/>
      <c r="F60" s="259"/>
    </row>
    <row r="61" spans="1:6" ht="18.75" customHeight="1" x14ac:dyDescent="0.25">
      <c r="A61" s="260"/>
      <c r="B61" s="262"/>
      <c r="C61" s="260"/>
      <c r="D61" s="259"/>
      <c r="E61" s="259"/>
      <c r="F61" s="259"/>
    </row>
    <row r="62" spans="1:6" ht="18.75" customHeight="1" x14ac:dyDescent="0.25">
      <c r="A62" s="260"/>
      <c r="B62" s="262"/>
      <c r="C62" s="260"/>
      <c r="D62" s="259"/>
      <c r="E62" s="259"/>
      <c r="F62" s="259"/>
    </row>
    <row r="63" spans="1:6" ht="18.75" customHeight="1" x14ac:dyDescent="0.25">
      <c r="A63" s="260"/>
      <c r="B63" s="262"/>
      <c r="C63" s="260"/>
      <c r="D63" s="259"/>
      <c r="E63" s="259"/>
      <c r="F63" s="259"/>
    </row>
    <row r="64" spans="1:6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3500-000000000000}"/>
  </hyperlinks>
  <pageMargins left="0.7" right="0.7" top="0.75" bottom="0.75" header="0.3" footer="0.3"/>
  <pageSetup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789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253225600</v>
      </c>
    </row>
    <row r="6" spans="1:7" x14ac:dyDescent="0.25">
      <c r="E6" s="2" t="s">
        <v>11</v>
      </c>
      <c r="F6" s="2">
        <f>SUM(E10:E68)</f>
        <v>253225600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44315</v>
      </c>
      <c r="C11" s="260" t="s">
        <v>790</v>
      </c>
      <c r="D11" s="259">
        <v>14580000</v>
      </c>
      <c r="E11" s="259"/>
      <c r="F11" s="259">
        <f>F4+D11-E11</f>
        <v>14580000</v>
      </c>
    </row>
    <row r="12" spans="1:7" ht="18.75" customHeight="1" x14ac:dyDescent="0.25">
      <c r="A12" s="262">
        <v>2</v>
      </c>
      <c r="B12" s="261">
        <v>44377</v>
      </c>
      <c r="C12" s="260" t="s">
        <v>854</v>
      </c>
      <c r="D12" s="259">
        <v>14684000</v>
      </c>
      <c r="E12" s="259"/>
      <c r="F12" s="259">
        <f>F11+D12-E12</f>
        <v>29264000</v>
      </c>
    </row>
    <row r="13" spans="1:7" ht="18.75" customHeight="1" x14ac:dyDescent="0.25">
      <c r="A13" s="262">
        <v>3</v>
      </c>
      <c r="B13" s="261">
        <v>44391</v>
      </c>
      <c r="C13" s="260" t="s">
        <v>870</v>
      </c>
      <c r="D13" s="259"/>
      <c r="E13" s="259">
        <v>14580000</v>
      </c>
      <c r="F13" s="259">
        <f t="shared" ref="F13:F31" si="0">F12+D13-E13</f>
        <v>14684000</v>
      </c>
    </row>
    <row r="14" spans="1:7" ht="18.75" customHeight="1" x14ac:dyDescent="0.25">
      <c r="A14" s="262">
        <v>4</v>
      </c>
      <c r="B14" s="261">
        <v>44407</v>
      </c>
      <c r="C14" s="260" t="s">
        <v>883</v>
      </c>
      <c r="D14" s="259">
        <v>45250000</v>
      </c>
      <c r="E14" s="259"/>
      <c r="F14" s="259">
        <f t="shared" si="0"/>
        <v>59934000</v>
      </c>
    </row>
    <row r="15" spans="1:7" ht="18.75" customHeight="1" x14ac:dyDescent="0.25">
      <c r="A15" s="262">
        <v>5</v>
      </c>
      <c r="B15" s="261">
        <v>44463</v>
      </c>
      <c r="C15" s="260" t="s">
        <v>936</v>
      </c>
      <c r="D15" s="259"/>
      <c r="E15" s="259">
        <v>14684000</v>
      </c>
      <c r="F15" s="259">
        <f t="shared" si="0"/>
        <v>45250000</v>
      </c>
    </row>
    <row r="16" spans="1:7" ht="18.75" customHeight="1" x14ac:dyDescent="0.25">
      <c r="A16" s="262">
        <v>6</v>
      </c>
      <c r="B16" s="261">
        <v>44484</v>
      </c>
      <c r="C16" s="260" t="s">
        <v>977</v>
      </c>
      <c r="D16" s="259"/>
      <c r="E16" s="259">
        <v>45250000</v>
      </c>
      <c r="F16" s="259">
        <f t="shared" si="0"/>
        <v>0</v>
      </c>
    </row>
    <row r="17" spans="1:6" ht="18.75" customHeight="1" x14ac:dyDescent="0.25">
      <c r="A17" s="262">
        <v>7</v>
      </c>
      <c r="B17" s="261">
        <v>44499</v>
      </c>
      <c r="C17" s="260" t="s">
        <v>983</v>
      </c>
      <c r="D17" s="259">
        <v>29700000</v>
      </c>
      <c r="E17" s="259"/>
      <c r="F17" s="259">
        <f t="shared" si="0"/>
        <v>29700000</v>
      </c>
    </row>
    <row r="18" spans="1:6" ht="18.75" customHeight="1" x14ac:dyDescent="0.25">
      <c r="A18" s="262">
        <v>8</v>
      </c>
      <c r="B18" s="261">
        <v>44530</v>
      </c>
      <c r="C18" s="260" t="s">
        <v>1010</v>
      </c>
      <c r="D18" s="259">
        <v>50612000</v>
      </c>
      <c r="E18" s="259"/>
      <c r="F18" s="259">
        <f t="shared" si="0"/>
        <v>80312000</v>
      </c>
    </row>
    <row r="19" spans="1:6" ht="18.75" customHeight="1" x14ac:dyDescent="0.25">
      <c r="A19" s="262">
        <v>9</v>
      </c>
      <c r="B19" s="261">
        <v>44552</v>
      </c>
      <c r="C19" s="260" t="s">
        <v>1016</v>
      </c>
      <c r="D19" s="259"/>
      <c r="E19" s="259">
        <v>29700000</v>
      </c>
      <c r="F19" s="259">
        <f t="shared" si="0"/>
        <v>50612000</v>
      </c>
    </row>
    <row r="20" spans="1:6" ht="18.75" customHeight="1" x14ac:dyDescent="0.25">
      <c r="A20" s="262">
        <v>10</v>
      </c>
      <c r="B20" s="261">
        <v>44560</v>
      </c>
      <c r="C20" s="260" t="s">
        <v>1020</v>
      </c>
      <c r="D20" s="259">
        <v>7734000</v>
      </c>
      <c r="E20" s="259"/>
      <c r="F20" s="259">
        <f t="shared" si="0"/>
        <v>58346000</v>
      </c>
    </row>
    <row r="21" spans="1:6" ht="18.75" customHeight="1" x14ac:dyDescent="0.25">
      <c r="A21" s="262">
        <v>11</v>
      </c>
      <c r="B21" s="261">
        <v>44561</v>
      </c>
      <c r="C21" s="260" t="s">
        <v>1056</v>
      </c>
      <c r="D21" s="259"/>
      <c r="E21" s="259">
        <v>58346000</v>
      </c>
      <c r="F21" s="259">
        <f t="shared" si="0"/>
        <v>0</v>
      </c>
    </row>
    <row r="22" spans="1:6" ht="18.75" customHeight="1" x14ac:dyDescent="0.25">
      <c r="A22" s="262">
        <v>12</v>
      </c>
      <c r="B22" s="261">
        <v>44589</v>
      </c>
      <c r="C22" s="260" t="s">
        <v>1057</v>
      </c>
      <c r="D22" s="259">
        <v>8418000</v>
      </c>
      <c r="E22" s="259"/>
      <c r="F22" s="259">
        <f t="shared" si="0"/>
        <v>8418000</v>
      </c>
    </row>
    <row r="23" spans="1:6" ht="18.75" customHeight="1" x14ac:dyDescent="0.25">
      <c r="A23" s="262">
        <v>13</v>
      </c>
      <c r="B23" s="261">
        <v>44652</v>
      </c>
      <c r="C23" s="260" t="s">
        <v>1093</v>
      </c>
      <c r="D23" s="259"/>
      <c r="E23" s="259">
        <v>8418000</v>
      </c>
      <c r="F23" s="259">
        <f t="shared" si="0"/>
        <v>0</v>
      </c>
    </row>
    <row r="24" spans="1:6" ht="18.75" customHeight="1" x14ac:dyDescent="0.25">
      <c r="A24" s="262">
        <v>14</v>
      </c>
      <c r="B24" s="261">
        <v>44741</v>
      </c>
      <c r="C24" s="260" t="s">
        <v>1153</v>
      </c>
      <c r="D24" s="259">
        <v>27486800</v>
      </c>
      <c r="E24" s="259"/>
      <c r="F24" s="259">
        <f t="shared" si="0"/>
        <v>27486800</v>
      </c>
    </row>
    <row r="25" spans="1:6" ht="18.75" customHeight="1" x14ac:dyDescent="0.25">
      <c r="A25" s="262">
        <v>15</v>
      </c>
      <c r="B25" s="261">
        <v>44770</v>
      </c>
      <c r="C25" s="260" t="s">
        <v>1185</v>
      </c>
      <c r="D25" s="259">
        <v>28766800</v>
      </c>
      <c r="E25" s="259"/>
      <c r="F25" s="259">
        <f t="shared" si="0"/>
        <v>56253600</v>
      </c>
    </row>
    <row r="26" spans="1:6" ht="18.75" customHeight="1" x14ac:dyDescent="0.25">
      <c r="A26" s="262">
        <v>16</v>
      </c>
      <c r="B26" s="261">
        <v>44796</v>
      </c>
      <c r="C26" s="260" t="s">
        <v>1211</v>
      </c>
      <c r="D26" s="259"/>
      <c r="E26" s="259">
        <v>27486800</v>
      </c>
      <c r="F26" s="259">
        <f t="shared" si="0"/>
        <v>28766800</v>
      </c>
    </row>
    <row r="27" spans="1:6" ht="18.75" customHeight="1" x14ac:dyDescent="0.25">
      <c r="A27" s="262">
        <v>17</v>
      </c>
      <c r="B27" s="261">
        <v>44796</v>
      </c>
      <c r="C27" s="260" t="s">
        <v>1212</v>
      </c>
      <c r="D27" s="259"/>
      <c r="E27" s="259">
        <v>26000000</v>
      </c>
      <c r="F27" s="259">
        <f t="shared" si="0"/>
        <v>2766800</v>
      </c>
    </row>
    <row r="28" spans="1:6" ht="18.75" customHeight="1" x14ac:dyDescent="0.25">
      <c r="A28" s="262">
        <v>18</v>
      </c>
      <c r="B28" s="261">
        <v>44895</v>
      </c>
      <c r="C28" s="260" t="s">
        <v>1294</v>
      </c>
      <c r="D28" s="259">
        <v>25994000</v>
      </c>
      <c r="E28" s="259"/>
      <c r="F28" s="279">
        <f t="shared" si="0"/>
        <v>28760800</v>
      </c>
    </row>
    <row r="29" spans="1:6" ht="18.75" customHeight="1" x14ac:dyDescent="0.25">
      <c r="A29" s="262">
        <v>19</v>
      </c>
      <c r="B29" s="261">
        <v>44937</v>
      </c>
      <c r="C29" s="260" t="s">
        <v>1056</v>
      </c>
      <c r="D29" s="259"/>
      <c r="E29" s="259">
        <v>23600000</v>
      </c>
      <c r="F29" s="287">
        <f t="shared" si="0"/>
        <v>5160800</v>
      </c>
    </row>
    <row r="30" spans="1:6" ht="18.75" customHeight="1" x14ac:dyDescent="0.25">
      <c r="A30" s="262">
        <v>20</v>
      </c>
      <c r="B30" s="261">
        <v>44939</v>
      </c>
      <c r="C30" s="260" t="s">
        <v>1357</v>
      </c>
      <c r="D30" s="259"/>
      <c r="E30" s="259">
        <v>5160800</v>
      </c>
      <c r="F30" s="279">
        <f t="shared" si="0"/>
        <v>0</v>
      </c>
    </row>
    <row r="31" spans="1:6" ht="18.75" customHeight="1" x14ac:dyDescent="0.25">
      <c r="A31" s="262">
        <v>21</v>
      </c>
      <c r="B31" s="261"/>
      <c r="C31" s="260"/>
      <c r="D31" s="259"/>
      <c r="E31" s="259"/>
      <c r="F31" s="279">
        <f t="shared" si="0"/>
        <v>0</v>
      </c>
    </row>
    <row r="32" spans="1:6" ht="18.75" customHeight="1" x14ac:dyDescent="0.25">
      <c r="A32" s="260"/>
      <c r="B32" s="262"/>
      <c r="C32" s="260"/>
      <c r="D32" s="259"/>
      <c r="E32" s="259"/>
      <c r="F32" s="259"/>
    </row>
    <row r="33" spans="1:6" ht="18.75" customHeight="1" x14ac:dyDescent="0.25">
      <c r="A33" s="260"/>
      <c r="B33" s="262"/>
      <c r="C33" s="260"/>
      <c r="D33" s="259"/>
      <c r="E33" s="259"/>
      <c r="F33" s="259"/>
    </row>
    <row r="34" spans="1:6" ht="18.75" customHeight="1" x14ac:dyDescent="0.25">
      <c r="A34" s="260"/>
      <c r="B34" s="262"/>
      <c r="C34" s="260"/>
      <c r="D34" s="259"/>
      <c r="E34" s="259"/>
      <c r="F34" s="259"/>
    </row>
    <row r="35" spans="1:6" ht="18.75" customHeight="1" x14ac:dyDescent="0.25">
      <c r="A35" s="260"/>
      <c r="B35" s="262"/>
      <c r="C35" s="260"/>
      <c r="D35" s="259"/>
      <c r="E35" s="259"/>
      <c r="F35" s="259"/>
    </row>
    <row r="36" spans="1:6" ht="18.75" customHeight="1" x14ac:dyDescent="0.25">
      <c r="A36" s="260"/>
      <c r="B36" s="262"/>
      <c r="C36" s="260"/>
      <c r="D36" s="259"/>
      <c r="E36" s="259"/>
      <c r="F36" s="259"/>
    </row>
    <row r="37" spans="1:6" ht="18.75" customHeight="1" x14ac:dyDescent="0.25">
      <c r="A37" s="260"/>
      <c r="B37" s="262"/>
      <c r="C37" s="260"/>
      <c r="D37" s="259"/>
      <c r="E37" s="259"/>
      <c r="F37" s="259"/>
    </row>
    <row r="38" spans="1:6" ht="18.75" customHeight="1" x14ac:dyDescent="0.25">
      <c r="A38" s="260"/>
      <c r="B38" s="262"/>
      <c r="C38" s="260"/>
      <c r="D38" s="259"/>
      <c r="E38" s="259"/>
      <c r="F38" s="259"/>
    </row>
    <row r="39" spans="1:6" ht="18.75" customHeight="1" x14ac:dyDescent="0.25">
      <c r="A39" s="260"/>
      <c r="B39" s="262"/>
      <c r="C39" s="260"/>
      <c r="D39" s="259"/>
      <c r="E39" s="259"/>
      <c r="F39" s="259"/>
    </row>
    <row r="40" spans="1:6" ht="18.75" customHeight="1" x14ac:dyDescent="0.25">
      <c r="A40" s="260"/>
      <c r="B40" s="262"/>
      <c r="C40" s="260"/>
      <c r="D40" s="259"/>
      <c r="E40" s="259"/>
      <c r="F40" s="259"/>
    </row>
    <row r="41" spans="1:6" ht="18.75" customHeight="1" x14ac:dyDescent="0.25">
      <c r="A41" s="260"/>
      <c r="B41" s="262"/>
      <c r="C41" s="260"/>
      <c r="D41" s="259"/>
      <c r="E41" s="259"/>
      <c r="F41" s="259"/>
    </row>
    <row r="42" spans="1:6" ht="18.75" customHeight="1" x14ac:dyDescent="0.25">
      <c r="A42" s="260"/>
      <c r="B42" s="262"/>
      <c r="C42" s="260"/>
      <c r="D42" s="259"/>
      <c r="E42" s="259"/>
      <c r="F42" s="259"/>
    </row>
    <row r="43" spans="1:6" ht="18.75" customHeight="1" x14ac:dyDescent="0.25">
      <c r="A43" s="260"/>
      <c r="B43" s="262"/>
      <c r="C43" s="260"/>
      <c r="D43" s="259"/>
      <c r="E43" s="259"/>
      <c r="F43" s="259"/>
    </row>
    <row r="44" spans="1:6" ht="18.75" customHeight="1" x14ac:dyDescent="0.25">
      <c r="A44" s="260"/>
      <c r="B44" s="262"/>
      <c r="C44" s="260"/>
      <c r="D44" s="259"/>
      <c r="E44" s="259"/>
      <c r="F44" s="259"/>
    </row>
    <row r="45" spans="1:6" ht="18.75" customHeight="1" x14ac:dyDescent="0.25">
      <c r="A45" s="260"/>
      <c r="B45" s="262"/>
      <c r="C45" s="260"/>
      <c r="D45" s="259"/>
      <c r="E45" s="259"/>
      <c r="F45" s="259"/>
    </row>
    <row r="46" spans="1:6" ht="18.75" customHeight="1" x14ac:dyDescent="0.25">
      <c r="A46" s="260"/>
      <c r="B46" s="262"/>
      <c r="C46" s="260"/>
      <c r="D46" s="259"/>
      <c r="E46" s="259"/>
      <c r="F46" s="259"/>
    </row>
    <row r="47" spans="1:6" ht="18.75" customHeight="1" x14ac:dyDescent="0.25">
      <c r="A47" s="260"/>
      <c r="B47" s="262"/>
      <c r="C47" s="260"/>
      <c r="D47" s="259"/>
      <c r="E47" s="259"/>
      <c r="F47" s="259"/>
    </row>
    <row r="48" spans="1:6" ht="18.75" customHeight="1" x14ac:dyDescent="0.25">
      <c r="A48" s="260"/>
      <c r="B48" s="262"/>
      <c r="C48" s="260"/>
      <c r="D48" s="259"/>
      <c r="E48" s="259"/>
      <c r="F48" s="259"/>
    </row>
    <row r="49" spans="1:6" ht="18.75" customHeight="1" x14ac:dyDescent="0.25">
      <c r="A49" s="260"/>
      <c r="B49" s="262"/>
      <c r="C49" s="260"/>
      <c r="D49" s="259"/>
      <c r="E49" s="259"/>
      <c r="F49" s="259"/>
    </row>
    <row r="50" spans="1:6" ht="18.75" customHeight="1" x14ac:dyDescent="0.25">
      <c r="A50" s="260"/>
      <c r="B50" s="262"/>
      <c r="C50" s="260"/>
      <c r="D50" s="259"/>
      <c r="E50" s="259"/>
      <c r="F50" s="259"/>
    </row>
    <row r="51" spans="1:6" ht="18.75" customHeight="1" x14ac:dyDescent="0.25">
      <c r="A51" s="260"/>
      <c r="B51" s="262"/>
      <c r="C51" s="260"/>
      <c r="D51" s="259"/>
      <c r="E51" s="259"/>
      <c r="F51" s="259"/>
    </row>
    <row r="52" spans="1:6" ht="18.75" customHeight="1" x14ac:dyDescent="0.25">
      <c r="A52" s="260"/>
      <c r="B52" s="262"/>
      <c r="C52" s="260"/>
      <c r="D52" s="259"/>
      <c r="E52" s="259"/>
      <c r="F52" s="259"/>
    </row>
    <row r="53" spans="1:6" ht="18.75" customHeight="1" x14ac:dyDescent="0.25">
      <c r="A53" s="260"/>
      <c r="B53" s="262"/>
      <c r="C53" s="260"/>
      <c r="D53" s="259"/>
      <c r="E53" s="259"/>
      <c r="F53" s="259"/>
    </row>
    <row r="54" spans="1:6" ht="18.75" customHeight="1" x14ac:dyDescent="0.25">
      <c r="A54" s="260"/>
      <c r="B54" s="262"/>
      <c r="C54" s="260"/>
      <c r="D54" s="259"/>
      <c r="E54" s="259"/>
      <c r="F54" s="259"/>
    </row>
    <row r="55" spans="1:6" ht="18.75" customHeight="1" x14ac:dyDescent="0.25">
      <c r="A55" s="260"/>
      <c r="B55" s="262"/>
      <c r="C55" s="260"/>
      <c r="D55" s="259"/>
      <c r="E55" s="259"/>
      <c r="F55" s="259"/>
    </row>
    <row r="56" spans="1:6" ht="18.75" customHeight="1" x14ac:dyDescent="0.25">
      <c r="A56" s="260"/>
      <c r="B56" s="262"/>
      <c r="C56" s="260"/>
      <c r="D56" s="259"/>
      <c r="E56" s="259"/>
      <c r="F56" s="259"/>
    </row>
    <row r="57" spans="1:6" ht="18.75" customHeight="1" x14ac:dyDescent="0.25">
      <c r="A57" s="260"/>
      <c r="B57" s="262"/>
      <c r="C57" s="260"/>
      <c r="D57" s="259"/>
      <c r="E57" s="259"/>
      <c r="F57" s="259"/>
    </row>
    <row r="58" spans="1:6" ht="18.75" customHeight="1" x14ac:dyDescent="0.25">
      <c r="A58" s="260"/>
      <c r="B58" s="262"/>
      <c r="C58" s="260"/>
      <c r="D58" s="259"/>
      <c r="E58" s="259"/>
      <c r="F58" s="259"/>
    </row>
    <row r="59" spans="1:6" ht="18.75" customHeight="1" x14ac:dyDescent="0.25">
      <c r="A59" s="260"/>
      <c r="B59" s="262"/>
      <c r="C59" s="260"/>
      <c r="D59" s="259"/>
      <c r="E59" s="259"/>
      <c r="F59" s="259"/>
    </row>
    <row r="60" spans="1:6" ht="18.75" customHeight="1" x14ac:dyDescent="0.25">
      <c r="A60" s="260"/>
      <c r="B60" s="262"/>
      <c r="C60" s="260"/>
      <c r="D60" s="259"/>
      <c r="E60" s="259"/>
      <c r="F60" s="259"/>
    </row>
    <row r="61" spans="1:6" ht="18.75" customHeight="1" x14ac:dyDescent="0.25">
      <c r="A61" s="260"/>
      <c r="B61" s="262"/>
      <c r="C61" s="260"/>
      <c r="D61" s="259"/>
      <c r="E61" s="259"/>
      <c r="F61" s="259"/>
    </row>
    <row r="62" spans="1:6" ht="18.75" customHeight="1" x14ac:dyDescent="0.25">
      <c r="A62" s="260"/>
      <c r="B62" s="262"/>
      <c r="C62" s="260"/>
      <c r="D62" s="259"/>
      <c r="E62" s="259"/>
      <c r="F62" s="259"/>
    </row>
    <row r="63" spans="1:6" ht="18.75" customHeight="1" x14ac:dyDescent="0.25">
      <c r="A63" s="260"/>
      <c r="B63" s="262"/>
      <c r="C63" s="260"/>
      <c r="D63" s="259"/>
      <c r="E63" s="259"/>
      <c r="F63" s="259"/>
    </row>
    <row r="64" spans="1:6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3700-000000000000}"/>
  </hyperlinks>
  <pageMargins left="0.7" right="0.7" top="0.75" bottom="0.75" header="0.3" footer="0.3"/>
  <pageSetup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56" customWidth="1"/>
    <col min="4" max="4" width="19.85546875" style="2" customWidth="1"/>
    <col min="5" max="5" width="13.85546875" style="2" customWidth="1"/>
    <col min="6" max="6" width="19" style="2" customWidth="1"/>
    <col min="9" max="9" width="10.5703125" bestFit="1" customWidth="1"/>
    <col min="11" max="11" width="10.5703125" bestFit="1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799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28840000</v>
      </c>
    </row>
    <row r="6" spans="1:7" x14ac:dyDescent="0.25">
      <c r="E6" s="2" t="s">
        <v>11</v>
      </c>
      <c r="F6" s="2">
        <f>SUM(E10:E68)</f>
        <v>28840000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96">
        <v>44182</v>
      </c>
      <c r="C11" s="281" t="s">
        <v>1624</v>
      </c>
      <c r="D11" s="287">
        <v>800000</v>
      </c>
      <c r="E11" s="259"/>
      <c r="F11" s="259" t="s">
        <v>817</v>
      </c>
    </row>
    <row r="12" spans="1:7" ht="18.75" customHeight="1" x14ac:dyDescent="0.25">
      <c r="A12" s="262">
        <v>4</v>
      </c>
      <c r="B12" s="261">
        <v>44195</v>
      </c>
      <c r="C12" s="298" t="s">
        <v>804</v>
      </c>
      <c r="D12" s="279">
        <v>3900000</v>
      </c>
      <c r="E12" s="259"/>
      <c r="F12" s="259"/>
    </row>
    <row r="13" spans="1:7" ht="18.75" customHeight="1" x14ac:dyDescent="0.25">
      <c r="A13" s="262">
        <v>5</v>
      </c>
      <c r="B13" s="261">
        <v>44228</v>
      </c>
      <c r="C13" s="298" t="s">
        <v>805</v>
      </c>
      <c r="D13" s="279">
        <v>3400000</v>
      </c>
      <c r="E13" s="259"/>
      <c r="F13" s="259"/>
    </row>
    <row r="14" spans="1:7" ht="18.75" customHeight="1" x14ac:dyDescent="0.25">
      <c r="A14" s="262">
        <v>2</v>
      </c>
      <c r="B14" s="296">
        <v>44233</v>
      </c>
      <c r="C14" s="281" t="s">
        <v>1625</v>
      </c>
      <c r="D14" s="287">
        <v>450000</v>
      </c>
      <c r="E14" s="259"/>
      <c r="F14" s="259" t="s">
        <v>818</v>
      </c>
    </row>
    <row r="15" spans="1:7" ht="18.75" customHeight="1" x14ac:dyDescent="0.25">
      <c r="A15" s="262">
        <v>3</v>
      </c>
      <c r="B15" s="296">
        <v>44244</v>
      </c>
      <c r="C15" s="281" t="s">
        <v>1626</v>
      </c>
      <c r="D15" s="287">
        <v>320000</v>
      </c>
      <c r="E15" s="259"/>
      <c r="F15" s="259" t="s">
        <v>818</v>
      </c>
    </row>
    <row r="16" spans="1:7" ht="18.75" customHeight="1" x14ac:dyDescent="0.25">
      <c r="A16" s="262">
        <v>6</v>
      </c>
      <c r="B16" s="261">
        <v>44254</v>
      </c>
      <c r="C16" s="299" t="s">
        <v>806</v>
      </c>
      <c r="D16" s="279">
        <v>4870000</v>
      </c>
      <c r="E16" s="259"/>
      <c r="F16" s="259"/>
    </row>
    <row r="17" spans="1:11" ht="18.75" customHeight="1" x14ac:dyDescent="0.25">
      <c r="A17" s="262">
        <v>7</v>
      </c>
      <c r="B17" s="261">
        <v>44287</v>
      </c>
      <c r="C17" s="299" t="s">
        <v>807</v>
      </c>
      <c r="D17" s="279">
        <v>5390000</v>
      </c>
      <c r="E17" s="259"/>
      <c r="F17" s="259"/>
      <c r="K17" s="242"/>
    </row>
    <row r="18" spans="1:11" ht="18.75" customHeight="1" x14ac:dyDescent="0.25">
      <c r="A18" s="262">
        <v>8</v>
      </c>
      <c r="B18" s="261">
        <v>44349</v>
      </c>
      <c r="C18" s="260" t="s">
        <v>832</v>
      </c>
      <c r="D18" s="279"/>
      <c r="E18" s="259">
        <v>12170000</v>
      </c>
      <c r="F18" s="259"/>
      <c r="I18" s="242"/>
    </row>
    <row r="19" spans="1:11" ht="18.75" customHeight="1" x14ac:dyDescent="0.25">
      <c r="A19" s="262">
        <v>9</v>
      </c>
      <c r="B19" s="261">
        <v>44400</v>
      </c>
      <c r="C19" s="260" t="s">
        <v>832</v>
      </c>
      <c r="D19" s="285"/>
      <c r="E19" s="259">
        <v>5390000</v>
      </c>
      <c r="F19" s="259"/>
    </row>
    <row r="20" spans="1:11" ht="18.75" customHeight="1" x14ac:dyDescent="0.25">
      <c r="A20" s="262">
        <v>10</v>
      </c>
      <c r="B20" s="261">
        <v>44566</v>
      </c>
      <c r="C20" s="260" t="s">
        <v>1103</v>
      </c>
      <c r="D20" s="259">
        <v>3800000</v>
      </c>
      <c r="E20" s="259"/>
      <c r="F20" s="259"/>
    </row>
    <row r="21" spans="1:11" ht="18.75" customHeight="1" x14ac:dyDescent="0.25">
      <c r="A21" s="262">
        <v>11</v>
      </c>
      <c r="B21" s="261">
        <v>44693</v>
      </c>
      <c r="C21" s="260" t="s">
        <v>832</v>
      </c>
      <c r="D21" s="259"/>
      <c r="E21" s="259">
        <v>3800000</v>
      </c>
      <c r="F21" s="259"/>
    </row>
    <row r="22" spans="1:11" ht="18.75" customHeight="1" x14ac:dyDescent="0.25">
      <c r="A22" s="262">
        <v>12</v>
      </c>
      <c r="B22" s="261">
        <v>44690</v>
      </c>
      <c r="C22" s="260" t="s">
        <v>1166</v>
      </c>
      <c r="D22" s="259">
        <v>530000</v>
      </c>
      <c r="E22" s="259"/>
      <c r="F22" s="259"/>
    </row>
    <row r="23" spans="1:11" ht="18.75" customHeight="1" x14ac:dyDescent="0.25">
      <c r="A23" s="262">
        <v>13</v>
      </c>
      <c r="B23" s="261">
        <v>44727</v>
      </c>
      <c r="C23" s="260" t="s">
        <v>1167</v>
      </c>
      <c r="D23" s="259">
        <v>290000</v>
      </c>
      <c r="E23" s="259"/>
      <c r="F23" s="259"/>
    </row>
    <row r="24" spans="1:11" ht="18.75" customHeight="1" x14ac:dyDescent="0.25">
      <c r="A24" s="262">
        <v>14</v>
      </c>
      <c r="B24" s="261">
        <v>44785</v>
      </c>
      <c r="C24" s="246" t="s">
        <v>1214</v>
      </c>
      <c r="D24" s="259">
        <v>1000000</v>
      </c>
      <c r="E24" s="259"/>
      <c r="F24" s="259"/>
    </row>
    <row r="25" spans="1:11" ht="18.75" customHeight="1" x14ac:dyDescent="0.25">
      <c r="A25" s="262">
        <v>15</v>
      </c>
      <c r="B25" s="261">
        <v>44795</v>
      </c>
      <c r="C25" s="260" t="s">
        <v>832</v>
      </c>
      <c r="D25" s="259"/>
      <c r="E25" s="259">
        <v>1820000</v>
      </c>
      <c r="F25" s="259"/>
    </row>
    <row r="26" spans="1:11" ht="18.75" customHeight="1" x14ac:dyDescent="0.25">
      <c r="A26" s="262">
        <v>4</v>
      </c>
      <c r="B26" s="261">
        <v>45162</v>
      </c>
      <c r="C26" s="260" t="s">
        <v>1627</v>
      </c>
      <c r="D26" s="259"/>
      <c r="E26" s="259">
        <f>5660000</f>
        <v>5660000</v>
      </c>
      <c r="F26" s="259"/>
    </row>
    <row r="27" spans="1:11" ht="18.75" customHeight="1" x14ac:dyDescent="0.25">
      <c r="A27" s="262"/>
      <c r="B27" s="261"/>
      <c r="C27" s="260" t="s">
        <v>1628</v>
      </c>
      <c r="D27" s="285">
        <f>E26-D11-D14-D15</f>
        <v>4090000</v>
      </c>
      <c r="E27" s="259"/>
      <c r="F27" s="259"/>
    </row>
    <row r="28" spans="1:11" ht="18.75" customHeight="1" x14ac:dyDescent="0.25">
      <c r="A28" s="262"/>
      <c r="B28" s="261"/>
      <c r="C28" s="260"/>
      <c r="D28" s="259"/>
      <c r="E28" s="259"/>
      <c r="F28" s="259"/>
    </row>
    <row r="29" spans="1:11" ht="18.75" customHeight="1" x14ac:dyDescent="0.25">
      <c r="A29" s="262"/>
      <c r="B29" s="261"/>
      <c r="C29" s="260"/>
      <c r="D29" s="259"/>
      <c r="E29" s="259"/>
      <c r="F29" s="259"/>
    </row>
    <row r="30" spans="1:11" ht="18.75" customHeight="1" x14ac:dyDescent="0.25">
      <c r="A30" s="262"/>
      <c r="B30" s="261"/>
      <c r="C30" s="260"/>
      <c r="D30" s="259"/>
      <c r="E30" s="259"/>
      <c r="F30" s="259"/>
    </row>
    <row r="31" spans="1:11" ht="18.75" customHeight="1" x14ac:dyDescent="0.25">
      <c r="A31" s="260"/>
      <c r="B31" s="261"/>
      <c r="C31" s="260"/>
      <c r="D31" s="259"/>
      <c r="E31" s="259"/>
      <c r="F31" s="259"/>
    </row>
    <row r="32" spans="1:11" ht="18.75" customHeight="1" x14ac:dyDescent="0.25">
      <c r="A32" s="260"/>
      <c r="B32" s="261"/>
      <c r="C32" s="260"/>
      <c r="D32" s="259"/>
      <c r="E32" s="259"/>
      <c r="F32" s="259"/>
    </row>
    <row r="33" spans="1:6" ht="18.75" customHeight="1" x14ac:dyDescent="0.25">
      <c r="A33" s="260"/>
      <c r="B33" s="262"/>
      <c r="C33" s="260"/>
      <c r="D33" s="259"/>
      <c r="E33" s="259"/>
      <c r="F33" s="259"/>
    </row>
    <row r="34" spans="1:6" ht="18.75" customHeight="1" x14ac:dyDescent="0.25">
      <c r="A34" s="260"/>
      <c r="B34" s="262"/>
      <c r="C34" s="260"/>
      <c r="D34" s="259"/>
      <c r="E34" s="259"/>
      <c r="F34" s="259"/>
    </row>
    <row r="35" spans="1:6" ht="18.75" customHeight="1" x14ac:dyDescent="0.25">
      <c r="A35" s="260"/>
      <c r="B35" s="262"/>
      <c r="C35" s="260"/>
      <c r="D35" s="259"/>
      <c r="E35" s="259"/>
      <c r="F35" s="259"/>
    </row>
    <row r="36" spans="1:6" ht="18.75" customHeight="1" x14ac:dyDescent="0.25">
      <c r="A36" s="260"/>
      <c r="B36" s="262"/>
      <c r="C36" s="260"/>
      <c r="D36" s="259"/>
      <c r="E36" s="259"/>
      <c r="F36" s="259"/>
    </row>
    <row r="37" spans="1:6" ht="18.75" customHeight="1" x14ac:dyDescent="0.25">
      <c r="A37" s="260"/>
      <c r="B37" s="262"/>
      <c r="C37" s="260"/>
      <c r="D37" s="259"/>
      <c r="E37" s="259"/>
      <c r="F37" s="259"/>
    </row>
    <row r="38" spans="1:6" ht="18.75" customHeight="1" x14ac:dyDescent="0.25">
      <c r="A38" s="260"/>
      <c r="B38" s="262"/>
      <c r="C38" s="260"/>
      <c r="D38" s="259"/>
      <c r="E38" s="259"/>
      <c r="F38" s="259"/>
    </row>
    <row r="39" spans="1:6" ht="18.75" customHeight="1" x14ac:dyDescent="0.25">
      <c r="A39" s="260"/>
      <c r="B39" s="262"/>
      <c r="C39" s="260"/>
      <c r="D39" s="259"/>
      <c r="E39" s="259"/>
      <c r="F39" s="259"/>
    </row>
    <row r="40" spans="1:6" ht="18.75" customHeight="1" x14ac:dyDescent="0.25">
      <c r="A40" s="260"/>
      <c r="B40" s="262"/>
      <c r="C40" s="260"/>
      <c r="D40" s="259"/>
      <c r="E40" s="259"/>
      <c r="F40" s="259"/>
    </row>
    <row r="41" spans="1:6" ht="18.75" customHeight="1" x14ac:dyDescent="0.25">
      <c r="A41" s="260"/>
      <c r="B41" s="262"/>
      <c r="C41" s="260"/>
      <c r="D41" s="259"/>
      <c r="E41" s="259"/>
      <c r="F41" s="259"/>
    </row>
    <row r="42" spans="1:6" ht="18.75" customHeight="1" x14ac:dyDescent="0.25">
      <c r="A42" s="260"/>
      <c r="B42" s="262"/>
      <c r="C42" s="260"/>
      <c r="D42" s="259"/>
      <c r="E42" s="259"/>
      <c r="F42" s="259"/>
    </row>
    <row r="43" spans="1:6" ht="18.75" customHeight="1" x14ac:dyDescent="0.25">
      <c r="A43" s="260"/>
      <c r="B43" s="262"/>
      <c r="C43" s="260"/>
      <c r="D43" s="259"/>
      <c r="E43" s="259"/>
      <c r="F43" s="259"/>
    </row>
    <row r="44" spans="1:6" ht="18.75" customHeight="1" x14ac:dyDescent="0.25">
      <c r="A44" s="260"/>
      <c r="B44" s="262"/>
      <c r="C44" s="260"/>
      <c r="D44" s="259"/>
      <c r="E44" s="259"/>
      <c r="F44" s="259"/>
    </row>
    <row r="45" spans="1:6" ht="18.75" customHeight="1" x14ac:dyDescent="0.25">
      <c r="A45" s="260"/>
      <c r="B45" s="262"/>
      <c r="C45" s="260"/>
      <c r="D45" s="259"/>
      <c r="E45" s="259"/>
      <c r="F45" s="259"/>
    </row>
    <row r="46" spans="1:6" ht="18.75" customHeight="1" x14ac:dyDescent="0.25">
      <c r="A46" s="260"/>
      <c r="B46" s="262"/>
      <c r="C46" s="260"/>
      <c r="D46" s="259"/>
      <c r="E46" s="259"/>
      <c r="F46" s="259"/>
    </row>
    <row r="47" spans="1:6" ht="18.75" customHeight="1" x14ac:dyDescent="0.25">
      <c r="A47" s="260"/>
      <c r="B47" s="262"/>
      <c r="C47" s="260"/>
      <c r="D47" s="259"/>
      <c r="E47" s="259"/>
      <c r="F47" s="259"/>
    </row>
    <row r="48" spans="1:6" ht="18.75" customHeight="1" x14ac:dyDescent="0.25">
      <c r="A48" s="260"/>
      <c r="B48" s="262"/>
      <c r="C48" s="260"/>
      <c r="D48" s="259"/>
      <c r="E48" s="259"/>
      <c r="F48" s="259"/>
    </row>
    <row r="49" spans="1:6" ht="18.75" customHeight="1" x14ac:dyDescent="0.25">
      <c r="A49" s="260"/>
      <c r="B49" s="262"/>
      <c r="C49" s="260"/>
      <c r="D49" s="259"/>
      <c r="E49" s="259"/>
      <c r="F49" s="259"/>
    </row>
    <row r="50" spans="1:6" ht="18.75" customHeight="1" x14ac:dyDescent="0.25">
      <c r="A50" s="260"/>
      <c r="B50" s="262"/>
      <c r="C50" s="260"/>
      <c r="D50" s="259"/>
      <c r="E50" s="259"/>
      <c r="F50" s="259"/>
    </row>
    <row r="51" spans="1:6" ht="18.75" customHeight="1" x14ac:dyDescent="0.25">
      <c r="A51" s="260"/>
      <c r="B51" s="262"/>
      <c r="C51" s="260"/>
      <c r="D51" s="259"/>
      <c r="E51" s="259"/>
      <c r="F51" s="259"/>
    </row>
    <row r="52" spans="1:6" ht="18.75" customHeight="1" x14ac:dyDescent="0.25">
      <c r="A52" s="260"/>
      <c r="B52" s="262"/>
      <c r="C52" s="260"/>
      <c r="D52" s="259"/>
      <c r="E52" s="259"/>
      <c r="F52" s="259"/>
    </row>
    <row r="53" spans="1:6" ht="18.75" customHeight="1" x14ac:dyDescent="0.25">
      <c r="A53" s="260"/>
      <c r="B53" s="262"/>
      <c r="C53" s="260"/>
      <c r="D53" s="259"/>
      <c r="E53" s="259"/>
      <c r="F53" s="259"/>
    </row>
    <row r="54" spans="1:6" ht="18.75" customHeight="1" x14ac:dyDescent="0.25">
      <c r="A54" s="260"/>
      <c r="B54" s="262"/>
      <c r="C54" s="260"/>
      <c r="D54" s="259"/>
      <c r="E54" s="259"/>
      <c r="F54" s="259"/>
    </row>
    <row r="55" spans="1:6" ht="18.75" customHeight="1" x14ac:dyDescent="0.25">
      <c r="A55" s="260"/>
      <c r="B55" s="262"/>
      <c r="C55" s="260"/>
      <c r="D55" s="259"/>
      <c r="E55" s="259"/>
      <c r="F55" s="259"/>
    </row>
    <row r="56" spans="1:6" ht="18.75" customHeight="1" x14ac:dyDescent="0.25">
      <c r="A56" s="260"/>
      <c r="B56" s="262"/>
      <c r="C56" s="260"/>
      <c r="D56" s="259"/>
      <c r="E56" s="259"/>
      <c r="F56" s="259"/>
    </row>
    <row r="57" spans="1:6" ht="18.75" customHeight="1" x14ac:dyDescent="0.25">
      <c r="A57" s="260"/>
      <c r="B57" s="262"/>
      <c r="C57" s="260"/>
      <c r="D57" s="259"/>
      <c r="E57" s="259"/>
      <c r="F57" s="259"/>
    </row>
    <row r="58" spans="1:6" ht="18.75" customHeight="1" x14ac:dyDescent="0.25">
      <c r="A58" s="260"/>
      <c r="B58" s="262"/>
      <c r="C58" s="260"/>
      <c r="D58" s="259"/>
      <c r="E58" s="259"/>
      <c r="F58" s="259"/>
    </row>
    <row r="59" spans="1:6" ht="18.75" customHeight="1" x14ac:dyDescent="0.25">
      <c r="A59" s="260"/>
      <c r="B59" s="262"/>
      <c r="C59" s="260"/>
      <c r="D59" s="259"/>
      <c r="E59" s="259"/>
      <c r="F59" s="259"/>
    </row>
    <row r="60" spans="1:6" ht="18.75" customHeight="1" x14ac:dyDescent="0.25">
      <c r="A60" s="260"/>
      <c r="B60" s="262"/>
      <c r="C60" s="260"/>
      <c r="D60" s="259"/>
      <c r="E60" s="259"/>
      <c r="F60" s="259"/>
    </row>
    <row r="61" spans="1:6" ht="18.75" customHeight="1" x14ac:dyDescent="0.25">
      <c r="A61" s="260"/>
      <c r="B61" s="262"/>
      <c r="C61" s="260"/>
      <c r="D61" s="259"/>
      <c r="E61" s="259"/>
      <c r="F61" s="259"/>
    </row>
    <row r="62" spans="1:6" ht="18.75" customHeight="1" x14ac:dyDescent="0.25">
      <c r="A62" s="260"/>
      <c r="B62" s="262"/>
      <c r="C62" s="260"/>
      <c r="D62" s="259"/>
      <c r="E62" s="259"/>
      <c r="F62" s="259"/>
    </row>
    <row r="63" spans="1:6" ht="18.75" customHeight="1" x14ac:dyDescent="0.25">
      <c r="A63" s="260"/>
      <c r="B63" s="262"/>
      <c r="C63" s="260"/>
      <c r="D63" s="259"/>
      <c r="E63" s="259"/>
      <c r="F63" s="259"/>
    </row>
    <row r="64" spans="1:6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sortState xmlns:xlrd2="http://schemas.microsoft.com/office/spreadsheetml/2017/richdata2" ref="A11:F17">
    <sortCondition ref="B11:B17"/>
  </sortState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3800-000000000000}"/>
  </hyperlink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800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12800000</v>
      </c>
    </row>
    <row r="6" spans="1:7" x14ac:dyDescent="0.25">
      <c r="E6" s="2" t="s">
        <v>11</v>
      </c>
      <c r="F6" s="2">
        <f>SUM(E10:E68)</f>
        <v>12800000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44173</v>
      </c>
      <c r="C11" s="260" t="s">
        <v>801</v>
      </c>
      <c r="D11" s="279">
        <v>4000000</v>
      </c>
      <c r="E11" s="259"/>
      <c r="F11" s="259"/>
    </row>
    <row r="12" spans="1:7" ht="18.75" customHeight="1" x14ac:dyDescent="0.25">
      <c r="A12" s="262">
        <v>2</v>
      </c>
      <c r="B12" s="261">
        <v>44250</v>
      </c>
      <c r="C12" s="260" t="s">
        <v>802</v>
      </c>
      <c r="D12" s="279">
        <v>3200000</v>
      </c>
      <c r="E12" s="259"/>
      <c r="F12" s="259"/>
    </row>
    <row r="13" spans="1:7" ht="18.75" customHeight="1" x14ac:dyDescent="0.25">
      <c r="A13" s="262">
        <v>3</v>
      </c>
      <c r="B13" s="261">
        <v>44313</v>
      </c>
      <c r="C13" s="260" t="s">
        <v>803</v>
      </c>
      <c r="D13" s="279"/>
      <c r="E13" s="259">
        <v>4000000</v>
      </c>
      <c r="F13" s="259"/>
    </row>
    <row r="14" spans="1:7" ht="18.75" customHeight="1" x14ac:dyDescent="0.25">
      <c r="A14" s="262">
        <v>4</v>
      </c>
      <c r="B14" s="261">
        <v>44404</v>
      </c>
      <c r="C14" s="260" t="s">
        <v>803</v>
      </c>
      <c r="D14" s="279"/>
      <c r="E14" s="259">
        <v>3200000</v>
      </c>
      <c r="F14" s="259"/>
    </row>
    <row r="15" spans="1:7" ht="18.75" customHeight="1" x14ac:dyDescent="0.25">
      <c r="A15" s="262">
        <v>5</v>
      </c>
      <c r="B15" s="261">
        <v>44468</v>
      </c>
      <c r="C15" s="260" t="s">
        <v>1037</v>
      </c>
      <c r="D15" s="279">
        <v>1800000</v>
      </c>
      <c r="E15" s="259"/>
      <c r="F15" s="259"/>
    </row>
    <row r="16" spans="1:7" ht="18.75" customHeight="1" x14ac:dyDescent="0.25">
      <c r="A16" s="262">
        <v>6</v>
      </c>
      <c r="B16" s="261">
        <v>44211</v>
      </c>
      <c r="C16" s="260" t="s">
        <v>803</v>
      </c>
      <c r="D16" s="279"/>
      <c r="E16" s="259">
        <v>1800000</v>
      </c>
      <c r="F16" s="259"/>
    </row>
    <row r="17" spans="1:6" ht="18.75" customHeight="1" x14ac:dyDescent="0.25">
      <c r="A17" s="262">
        <v>7</v>
      </c>
      <c r="B17" s="261">
        <v>45357</v>
      </c>
      <c r="C17" s="260" t="s">
        <v>1785</v>
      </c>
      <c r="D17" s="279">
        <v>3800000</v>
      </c>
      <c r="E17" s="259"/>
      <c r="F17" s="259"/>
    </row>
    <row r="18" spans="1:6" ht="18.75" customHeight="1" x14ac:dyDescent="0.25">
      <c r="A18" s="262">
        <v>8</v>
      </c>
      <c r="B18" s="261">
        <v>45471</v>
      </c>
      <c r="C18" s="260" t="s">
        <v>803</v>
      </c>
      <c r="D18" s="279"/>
      <c r="E18" s="259">
        <v>3800000</v>
      </c>
      <c r="F18" s="259"/>
    </row>
    <row r="19" spans="1:6" ht="18.75" customHeight="1" x14ac:dyDescent="0.25">
      <c r="A19" s="262">
        <v>9</v>
      </c>
      <c r="B19" s="261"/>
      <c r="C19" s="260"/>
      <c r="D19" s="259"/>
      <c r="E19" s="259"/>
      <c r="F19" s="259"/>
    </row>
    <row r="20" spans="1:6" ht="18.75" customHeight="1" x14ac:dyDescent="0.25">
      <c r="A20" s="262">
        <v>10</v>
      </c>
      <c r="B20" s="261"/>
      <c r="C20" s="260"/>
      <c r="D20" s="259"/>
      <c r="E20" s="259"/>
      <c r="F20" s="259"/>
    </row>
    <row r="21" spans="1:6" ht="18.75" customHeight="1" x14ac:dyDescent="0.25">
      <c r="A21" s="262">
        <v>11</v>
      </c>
      <c r="B21" s="261"/>
      <c r="C21" s="260"/>
      <c r="D21" s="259"/>
      <c r="E21" s="259"/>
      <c r="F21" s="259"/>
    </row>
    <row r="22" spans="1:6" ht="18.75" customHeight="1" x14ac:dyDescent="0.25">
      <c r="A22" s="262">
        <v>12</v>
      </c>
      <c r="B22" s="261"/>
      <c r="C22" s="260"/>
      <c r="D22" s="259"/>
      <c r="E22" s="259"/>
      <c r="F22" s="259"/>
    </row>
    <row r="23" spans="1:6" ht="18.75" customHeight="1" x14ac:dyDescent="0.25">
      <c r="A23" s="262">
        <v>13</v>
      </c>
      <c r="B23" s="261"/>
      <c r="C23" s="260"/>
      <c r="D23" s="259"/>
      <c r="E23" s="259"/>
      <c r="F23" s="259"/>
    </row>
    <row r="24" spans="1:6" ht="18.75" customHeight="1" x14ac:dyDescent="0.25">
      <c r="A24" s="262">
        <v>14</v>
      </c>
      <c r="B24" s="261"/>
      <c r="C24" s="260"/>
      <c r="D24" s="259"/>
      <c r="E24" s="259"/>
      <c r="F24" s="259"/>
    </row>
    <row r="25" spans="1:6" ht="18.75" customHeight="1" x14ac:dyDescent="0.25">
      <c r="A25" s="262">
        <v>15</v>
      </c>
      <c r="B25" s="261"/>
      <c r="C25" s="260"/>
      <c r="D25" s="259"/>
      <c r="E25" s="259"/>
      <c r="F25" s="259"/>
    </row>
    <row r="26" spans="1:6" ht="18.75" customHeight="1" x14ac:dyDescent="0.25">
      <c r="A26" s="262">
        <v>16</v>
      </c>
      <c r="B26" s="261"/>
      <c r="C26" s="260"/>
      <c r="D26" s="259"/>
      <c r="E26" s="259"/>
      <c r="F26" s="259"/>
    </row>
    <row r="27" spans="1:6" ht="18.75" customHeight="1" x14ac:dyDescent="0.25">
      <c r="A27" s="262">
        <v>17</v>
      </c>
      <c r="B27" s="261"/>
      <c r="C27" s="260"/>
      <c r="D27" s="259"/>
      <c r="E27" s="259"/>
      <c r="F27" s="259"/>
    </row>
    <row r="28" spans="1:6" ht="18.75" customHeight="1" x14ac:dyDescent="0.25">
      <c r="A28" s="262">
        <v>18</v>
      </c>
      <c r="B28" s="261"/>
      <c r="C28" s="260"/>
      <c r="D28" s="259"/>
      <c r="E28" s="259"/>
      <c r="F28" s="259"/>
    </row>
    <row r="29" spans="1:6" ht="18.75" customHeight="1" x14ac:dyDescent="0.25">
      <c r="A29" s="262">
        <v>19</v>
      </c>
      <c r="B29" s="261"/>
      <c r="C29" s="260"/>
      <c r="D29" s="259"/>
      <c r="E29" s="259"/>
      <c r="F29" s="259"/>
    </row>
    <row r="30" spans="1:6" ht="18.75" customHeight="1" x14ac:dyDescent="0.25">
      <c r="A30" s="262">
        <v>20</v>
      </c>
      <c r="B30" s="261"/>
      <c r="C30" s="260"/>
      <c r="D30" s="259"/>
      <c r="E30" s="259"/>
      <c r="F30" s="259"/>
    </row>
    <row r="31" spans="1:6" ht="18.75" customHeight="1" x14ac:dyDescent="0.25">
      <c r="A31" s="262">
        <v>21</v>
      </c>
      <c r="B31" s="261"/>
      <c r="C31" s="260"/>
      <c r="D31" s="259"/>
      <c r="E31" s="259"/>
      <c r="F31" s="259"/>
    </row>
    <row r="32" spans="1:6" ht="18.75" customHeight="1" x14ac:dyDescent="0.25">
      <c r="A32" s="262">
        <v>22</v>
      </c>
      <c r="B32" s="262"/>
      <c r="C32" s="260"/>
      <c r="D32" s="259"/>
      <c r="E32" s="259"/>
      <c r="F32" s="259"/>
    </row>
    <row r="33" spans="1:6" ht="18.75" customHeight="1" x14ac:dyDescent="0.25">
      <c r="A33" s="262">
        <v>23</v>
      </c>
      <c r="B33" s="262"/>
      <c r="C33" s="260"/>
      <c r="D33" s="259"/>
      <c r="E33" s="259"/>
      <c r="F33" s="259"/>
    </row>
    <row r="34" spans="1:6" ht="18.75" customHeight="1" x14ac:dyDescent="0.25">
      <c r="A34" s="262">
        <v>24</v>
      </c>
      <c r="B34" s="262"/>
      <c r="C34" s="260"/>
      <c r="D34" s="259"/>
      <c r="E34" s="259"/>
      <c r="F34" s="259"/>
    </row>
    <row r="35" spans="1:6" ht="18.75" customHeight="1" x14ac:dyDescent="0.25">
      <c r="A35" s="262">
        <v>25</v>
      </c>
      <c r="B35" s="262"/>
      <c r="C35" s="260"/>
      <c r="D35" s="259"/>
      <c r="E35" s="259"/>
      <c r="F35" s="259"/>
    </row>
    <row r="36" spans="1:6" ht="18.75" customHeight="1" x14ac:dyDescent="0.25">
      <c r="A36" s="262">
        <v>26</v>
      </c>
      <c r="B36" s="262"/>
      <c r="C36" s="260"/>
      <c r="D36" s="259"/>
      <c r="E36" s="259"/>
      <c r="F36" s="259"/>
    </row>
    <row r="37" spans="1:6" ht="18.75" customHeight="1" x14ac:dyDescent="0.25">
      <c r="A37" s="262">
        <v>27</v>
      </c>
      <c r="B37" s="262"/>
      <c r="C37" s="260"/>
      <c r="D37" s="259"/>
      <c r="E37" s="259"/>
      <c r="F37" s="259"/>
    </row>
    <row r="38" spans="1:6" ht="18.75" customHeight="1" x14ac:dyDescent="0.25">
      <c r="A38" s="262">
        <v>28</v>
      </c>
      <c r="B38" s="262"/>
      <c r="C38" s="260"/>
      <c r="D38" s="259"/>
      <c r="E38" s="259"/>
      <c r="F38" s="259"/>
    </row>
    <row r="39" spans="1:6" ht="18.75" customHeight="1" x14ac:dyDescent="0.25">
      <c r="A39" s="260"/>
      <c r="B39" s="262"/>
      <c r="C39" s="260"/>
      <c r="D39" s="259"/>
      <c r="E39" s="259"/>
      <c r="F39" s="259"/>
    </row>
    <row r="40" spans="1:6" ht="18.75" customHeight="1" x14ac:dyDescent="0.25">
      <c r="A40" s="260"/>
      <c r="B40" s="262"/>
      <c r="C40" s="260"/>
      <c r="D40" s="259"/>
      <c r="E40" s="259"/>
      <c r="F40" s="259"/>
    </row>
    <row r="41" spans="1:6" ht="18.75" customHeight="1" x14ac:dyDescent="0.25">
      <c r="A41" s="260"/>
      <c r="B41" s="262"/>
      <c r="C41" s="260"/>
      <c r="D41" s="259"/>
      <c r="E41" s="259"/>
      <c r="F41" s="259"/>
    </row>
    <row r="42" spans="1:6" ht="18.75" customHeight="1" x14ac:dyDescent="0.25">
      <c r="A42" s="260"/>
      <c r="B42" s="262"/>
      <c r="C42" s="260"/>
      <c r="D42" s="259"/>
      <c r="E42" s="259"/>
      <c r="F42" s="259"/>
    </row>
    <row r="43" spans="1:6" ht="18.75" customHeight="1" x14ac:dyDescent="0.25">
      <c r="A43" s="260"/>
      <c r="B43" s="262"/>
      <c r="C43" s="260"/>
      <c r="D43" s="259"/>
      <c r="E43" s="259"/>
      <c r="F43" s="259"/>
    </row>
    <row r="44" spans="1:6" ht="18.75" customHeight="1" x14ac:dyDescent="0.25">
      <c r="A44" s="260"/>
      <c r="B44" s="262"/>
      <c r="C44" s="260"/>
      <c r="D44" s="259"/>
      <c r="E44" s="259"/>
      <c r="F44" s="259"/>
    </row>
    <row r="45" spans="1:6" ht="18.75" customHeight="1" x14ac:dyDescent="0.25">
      <c r="A45" s="260"/>
      <c r="B45" s="262"/>
      <c r="C45" s="260"/>
      <c r="D45" s="259"/>
      <c r="E45" s="259"/>
      <c r="F45" s="259"/>
    </row>
    <row r="46" spans="1:6" ht="18.75" customHeight="1" x14ac:dyDescent="0.25">
      <c r="A46" s="260"/>
      <c r="B46" s="262"/>
      <c r="C46" s="260"/>
      <c r="D46" s="259"/>
      <c r="E46" s="259"/>
      <c r="F46" s="259"/>
    </row>
    <row r="47" spans="1:6" ht="18.75" customHeight="1" x14ac:dyDescent="0.25">
      <c r="A47" s="260"/>
      <c r="B47" s="262"/>
      <c r="C47" s="260"/>
      <c r="D47" s="259"/>
      <c r="E47" s="259"/>
      <c r="F47" s="259"/>
    </row>
    <row r="48" spans="1:6" ht="18.75" customHeight="1" x14ac:dyDescent="0.25">
      <c r="A48" s="260"/>
      <c r="B48" s="262"/>
      <c r="C48" s="260"/>
      <c r="D48" s="259"/>
      <c r="E48" s="259"/>
      <c r="F48" s="259"/>
    </row>
    <row r="49" spans="1:6" ht="18.75" customHeight="1" x14ac:dyDescent="0.25">
      <c r="A49" s="260"/>
      <c r="B49" s="262"/>
      <c r="C49" s="260"/>
      <c r="D49" s="259"/>
      <c r="E49" s="259"/>
      <c r="F49" s="259"/>
    </row>
    <row r="50" spans="1:6" ht="18.75" customHeight="1" x14ac:dyDescent="0.25">
      <c r="A50" s="260"/>
      <c r="B50" s="262"/>
      <c r="C50" s="260"/>
      <c r="D50" s="259"/>
      <c r="E50" s="259"/>
      <c r="F50" s="259"/>
    </row>
    <row r="51" spans="1:6" ht="18.75" customHeight="1" x14ac:dyDescent="0.25">
      <c r="A51" s="260"/>
      <c r="B51" s="262"/>
      <c r="C51" s="260"/>
      <c r="D51" s="259"/>
      <c r="E51" s="259"/>
      <c r="F51" s="259"/>
    </row>
    <row r="52" spans="1:6" ht="18.75" customHeight="1" x14ac:dyDescent="0.25">
      <c r="A52" s="260"/>
      <c r="B52" s="262"/>
      <c r="C52" s="260"/>
      <c r="D52" s="259"/>
      <c r="E52" s="259"/>
      <c r="F52" s="259"/>
    </row>
    <row r="53" spans="1:6" ht="18.75" customHeight="1" x14ac:dyDescent="0.25">
      <c r="A53" s="260"/>
      <c r="B53" s="262"/>
      <c r="C53" s="260"/>
      <c r="D53" s="259"/>
      <c r="E53" s="259"/>
      <c r="F53" s="259"/>
    </row>
    <row r="54" spans="1:6" ht="18.75" customHeight="1" x14ac:dyDescent="0.25">
      <c r="A54" s="260"/>
      <c r="B54" s="262"/>
      <c r="C54" s="260"/>
      <c r="D54" s="259"/>
      <c r="E54" s="259"/>
      <c r="F54" s="259"/>
    </row>
    <row r="55" spans="1:6" ht="18.75" customHeight="1" x14ac:dyDescent="0.25">
      <c r="A55" s="260"/>
      <c r="B55" s="262"/>
      <c r="C55" s="260"/>
      <c r="D55" s="259"/>
      <c r="E55" s="259"/>
      <c r="F55" s="259"/>
    </row>
    <row r="56" spans="1:6" ht="18.75" customHeight="1" x14ac:dyDescent="0.25">
      <c r="A56" s="260"/>
      <c r="B56" s="262"/>
      <c r="C56" s="260"/>
      <c r="D56" s="259"/>
      <c r="E56" s="259"/>
      <c r="F56" s="259"/>
    </row>
    <row r="57" spans="1:6" ht="18.75" customHeight="1" x14ac:dyDescent="0.25">
      <c r="A57" s="260"/>
      <c r="B57" s="262"/>
      <c r="C57" s="260"/>
      <c r="D57" s="259"/>
      <c r="E57" s="259"/>
      <c r="F57" s="259"/>
    </row>
    <row r="58" spans="1:6" ht="18.75" customHeight="1" x14ac:dyDescent="0.25">
      <c r="A58" s="260"/>
      <c r="B58" s="262"/>
      <c r="C58" s="260"/>
      <c r="D58" s="259"/>
      <c r="E58" s="259"/>
      <c r="F58" s="259"/>
    </row>
    <row r="59" spans="1:6" ht="18.75" customHeight="1" x14ac:dyDescent="0.25">
      <c r="A59" s="260"/>
      <c r="B59" s="262"/>
      <c r="C59" s="260"/>
      <c r="D59" s="259"/>
      <c r="E59" s="259"/>
      <c r="F59" s="259"/>
    </row>
    <row r="60" spans="1:6" ht="18.75" customHeight="1" x14ac:dyDescent="0.25">
      <c r="A60" s="260"/>
      <c r="B60" s="262"/>
      <c r="C60" s="260"/>
      <c r="D60" s="259"/>
      <c r="E60" s="259"/>
      <c r="F60" s="259"/>
    </row>
    <row r="61" spans="1:6" ht="18.75" customHeight="1" x14ac:dyDescent="0.25">
      <c r="A61" s="260"/>
      <c r="B61" s="262"/>
      <c r="C61" s="260"/>
      <c r="D61" s="259"/>
      <c r="E61" s="259"/>
      <c r="F61" s="259"/>
    </row>
    <row r="62" spans="1:6" ht="18.75" customHeight="1" x14ac:dyDescent="0.25">
      <c r="A62" s="260"/>
      <c r="B62" s="262"/>
      <c r="C62" s="260"/>
      <c r="D62" s="259"/>
      <c r="E62" s="259"/>
      <c r="F62" s="259"/>
    </row>
    <row r="63" spans="1:6" ht="18.75" customHeight="1" x14ac:dyDescent="0.25">
      <c r="A63" s="260"/>
      <c r="B63" s="262"/>
      <c r="C63" s="260"/>
      <c r="D63" s="259"/>
      <c r="E63" s="259"/>
      <c r="F63" s="259"/>
    </row>
    <row r="64" spans="1:6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3900-000000000000}"/>
  </hyperlinks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1446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400336703</v>
      </c>
    </row>
    <row r="6" spans="1:7" x14ac:dyDescent="0.25">
      <c r="E6" s="2" t="s">
        <v>11</v>
      </c>
      <c r="F6" s="2">
        <f>SUM(E10:E68)</f>
        <v>400336703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45056</v>
      </c>
      <c r="C11" s="260" t="s">
        <v>1447</v>
      </c>
      <c r="D11" s="279">
        <v>39589400</v>
      </c>
      <c r="E11" s="259"/>
      <c r="F11" s="259"/>
    </row>
    <row r="12" spans="1:7" ht="18.75" customHeight="1" x14ac:dyDescent="0.25">
      <c r="A12" s="262">
        <v>2</v>
      </c>
      <c r="B12" s="261">
        <v>45061</v>
      </c>
      <c r="C12" s="260" t="s">
        <v>1468</v>
      </c>
      <c r="D12" s="279"/>
      <c r="E12" s="259">
        <v>36789400</v>
      </c>
      <c r="F12" s="259"/>
    </row>
    <row r="13" spans="1:7" ht="18.75" customHeight="1" x14ac:dyDescent="0.25">
      <c r="A13" s="262">
        <v>3</v>
      </c>
      <c r="B13" s="261">
        <v>45069</v>
      </c>
      <c r="C13" s="260" t="s">
        <v>1468</v>
      </c>
      <c r="D13" s="279"/>
      <c r="E13" s="259">
        <v>2800000</v>
      </c>
      <c r="F13" s="259"/>
    </row>
    <row r="14" spans="1:7" ht="18.75" customHeight="1" x14ac:dyDescent="0.25">
      <c r="A14" s="262">
        <v>4</v>
      </c>
      <c r="B14" s="261">
        <v>45110</v>
      </c>
      <c r="C14" s="260" t="s">
        <v>1554</v>
      </c>
      <c r="D14" s="279">
        <v>31990300</v>
      </c>
      <c r="E14" s="259"/>
      <c r="F14" s="259"/>
    </row>
    <row r="15" spans="1:7" ht="18.75" customHeight="1" x14ac:dyDescent="0.25">
      <c r="A15" s="262">
        <v>5</v>
      </c>
      <c r="B15" s="261">
        <v>45120</v>
      </c>
      <c r="C15" s="260" t="s">
        <v>1468</v>
      </c>
      <c r="D15" s="279"/>
      <c r="E15" s="259">
        <v>31990300</v>
      </c>
      <c r="F15" s="259"/>
    </row>
    <row r="16" spans="1:7" ht="18.75" customHeight="1" x14ac:dyDescent="0.25">
      <c r="A16" s="262">
        <v>6</v>
      </c>
      <c r="B16" s="261">
        <v>45139</v>
      </c>
      <c r="C16" s="260" t="s">
        <v>1555</v>
      </c>
      <c r="D16" s="279">
        <v>31186120</v>
      </c>
      <c r="E16" s="259"/>
      <c r="F16" s="259"/>
    </row>
    <row r="17" spans="1:6" ht="18.75" customHeight="1" x14ac:dyDescent="0.25">
      <c r="A17" s="262">
        <v>7</v>
      </c>
      <c r="B17" s="261">
        <v>45153</v>
      </c>
      <c r="C17" s="260" t="s">
        <v>1468</v>
      </c>
      <c r="D17" s="279"/>
      <c r="E17" s="259">
        <v>30326120</v>
      </c>
      <c r="F17" s="259"/>
    </row>
    <row r="18" spans="1:6" ht="18.75" customHeight="1" x14ac:dyDescent="0.25">
      <c r="A18" s="262">
        <v>8</v>
      </c>
      <c r="B18" s="261"/>
      <c r="C18" s="260" t="s">
        <v>1468</v>
      </c>
      <c r="D18" s="279"/>
      <c r="E18" s="259">
        <v>860000</v>
      </c>
      <c r="F18" s="259" t="s">
        <v>1560</v>
      </c>
    </row>
    <row r="19" spans="1:6" ht="18.75" customHeight="1" x14ac:dyDescent="0.25">
      <c r="A19" s="262">
        <v>9</v>
      </c>
      <c r="B19" s="261">
        <v>45166</v>
      </c>
      <c r="C19" s="260" t="s">
        <v>1618</v>
      </c>
      <c r="D19" s="259">
        <v>22382473</v>
      </c>
      <c r="E19" s="259"/>
      <c r="F19" s="259"/>
    </row>
    <row r="20" spans="1:6" ht="18.75" customHeight="1" x14ac:dyDescent="0.25">
      <c r="A20" s="262">
        <v>10</v>
      </c>
      <c r="B20" s="261">
        <v>45169</v>
      </c>
      <c r="C20" s="260" t="s">
        <v>1468</v>
      </c>
      <c r="D20" s="259"/>
      <c r="E20" s="259">
        <v>22382473</v>
      </c>
      <c r="F20" s="259"/>
    </row>
    <row r="21" spans="1:6" ht="18.75" customHeight="1" x14ac:dyDescent="0.25">
      <c r="A21" s="262">
        <v>11</v>
      </c>
      <c r="B21" s="261">
        <v>45195</v>
      </c>
      <c r="C21" s="260" t="s">
        <v>1617</v>
      </c>
      <c r="D21" s="259">
        <v>28043000</v>
      </c>
      <c r="E21" s="259"/>
      <c r="F21" s="259"/>
    </row>
    <row r="22" spans="1:6" ht="18.75" customHeight="1" x14ac:dyDescent="0.25">
      <c r="A22" s="262">
        <v>12</v>
      </c>
      <c r="B22" s="261">
        <v>45209</v>
      </c>
      <c r="C22" s="260" t="s">
        <v>1468</v>
      </c>
      <c r="D22" s="259"/>
      <c r="E22" s="259">
        <v>28043000</v>
      </c>
      <c r="F22" s="259"/>
    </row>
    <row r="23" spans="1:6" ht="18.75" customHeight="1" x14ac:dyDescent="0.25">
      <c r="A23" s="262">
        <v>13</v>
      </c>
      <c r="B23" s="261">
        <v>45212</v>
      </c>
      <c r="C23" s="260" t="s">
        <v>1629</v>
      </c>
      <c r="D23" s="259">
        <v>30013700</v>
      </c>
      <c r="E23" s="259"/>
      <c r="F23" s="259"/>
    </row>
    <row r="24" spans="1:6" ht="18.75" customHeight="1" x14ac:dyDescent="0.25">
      <c r="A24" s="262">
        <v>14</v>
      </c>
      <c r="B24" s="261">
        <v>45228</v>
      </c>
      <c r="C24" s="260" t="s">
        <v>1468</v>
      </c>
      <c r="D24" s="259"/>
      <c r="E24" s="259">
        <v>30013700</v>
      </c>
      <c r="F24" s="259"/>
    </row>
    <row r="25" spans="1:6" ht="18.75" customHeight="1" x14ac:dyDescent="0.25">
      <c r="A25" s="262">
        <v>15</v>
      </c>
      <c r="B25" s="261">
        <v>45315</v>
      </c>
      <c r="C25" s="260" t="s">
        <v>1704</v>
      </c>
      <c r="D25" s="259">
        <v>26787000</v>
      </c>
      <c r="E25" s="259"/>
      <c r="F25" s="259"/>
    </row>
    <row r="26" spans="1:6" ht="18.75" customHeight="1" x14ac:dyDescent="0.25">
      <c r="A26" s="262">
        <v>16</v>
      </c>
      <c r="B26" s="261">
        <v>45320</v>
      </c>
      <c r="C26" s="260" t="s">
        <v>1468</v>
      </c>
      <c r="D26" s="259"/>
      <c r="E26" s="259">
        <v>26787000</v>
      </c>
      <c r="F26" s="259"/>
    </row>
    <row r="27" spans="1:6" ht="18.75" customHeight="1" x14ac:dyDescent="0.25">
      <c r="A27" s="262">
        <v>17</v>
      </c>
      <c r="B27" s="261">
        <v>45479</v>
      </c>
      <c r="C27" s="260" t="s">
        <v>1818</v>
      </c>
      <c r="D27" s="259">
        <v>27985360</v>
      </c>
      <c r="E27" s="259"/>
      <c r="F27" s="259"/>
    </row>
    <row r="28" spans="1:6" ht="18.75" customHeight="1" x14ac:dyDescent="0.25">
      <c r="A28" s="262">
        <v>18</v>
      </c>
      <c r="B28" s="261">
        <v>45484</v>
      </c>
      <c r="C28" s="260" t="s">
        <v>1468</v>
      </c>
      <c r="D28" s="259"/>
      <c r="E28" s="259">
        <v>27985360</v>
      </c>
      <c r="F28" s="259"/>
    </row>
    <row r="29" spans="1:6" ht="18.75" customHeight="1" x14ac:dyDescent="0.25">
      <c r="A29" s="262">
        <v>19</v>
      </c>
      <c r="B29" s="261">
        <v>45507</v>
      </c>
      <c r="C29" s="260" t="s">
        <v>1842</v>
      </c>
      <c r="D29" s="259">
        <v>37620800</v>
      </c>
      <c r="E29" s="259"/>
      <c r="F29" s="259"/>
    </row>
    <row r="30" spans="1:6" ht="18.75" customHeight="1" x14ac:dyDescent="0.25">
      <c r="A30" s="262">
        <v>20</v>
      </c>
      <c r="B30" s="261">
        <v>45526</v>
      </c>
      <c r="C30" s="260" t="s">
        <v>1468</v>
      </c>
      <c r="D30" s="259"/>
      <c r="E30" s="259">
        <v>37620800</v>
      </c>
      <c r="F30" s="259"/>
    </row>
    <row r="31" spans="1:6" ht="18.75" customHeight="1" x14ac:dyDescent="0.25">
      <c r="A31" s="262">
        <v>21</v>
      </c>
      <c r="B31" s="261">
        <v>45552</v>
      </c>
      <c r="C31" s="260" t="s">
        <v>1870</v>
      </c>
      <c r="D31" s="259">
        <v>32060300</v>
      </c>
      <c r="E31" s="259"/>
      <c r="F31" s="259"/>
    </row>
    <row r="32" spans="1:6" ht="18.75" customHeight="1" x14ac:dyDescent="0.25">
      <c r="A32" s="262">
        <v>22</v>
      </c>
      <c r="B32" s="261">
        <v>45558</v>
      </c>
      <c r="C32" s="260" t="s">
        <v>1468</v>
      </c>
      <c r="D32" s="259"/>
      <c r="E32" s="259">
        <v>32060300</v>
      </c>
      <c r="F32" s="259"/>
    </row>
    <row r="33" spans="1:6" ht="18.75" customHeight="1" x14ac:dyDescent="0.25">
      <c r="A33" s="262">
        <v>23</v>
      </c>
      <c r="B33" s="261">
        <v>45604</v>
      </c>
      <c r="C33" s="260" t="s">
        <v>1920</v>
      </c>
      <c r="D33" s="259">
        <v>32717300</v>
      </c>
      <c r="E33" s="259"/>
      <c r="F33" s="259"/>
    </row>
    <row r="34" spans="1:6" ht="18.75" customHeight="1" x14ac:dyDescent="0.25">
      <c r="A34" s="262">
        <v>24</v>
      </c>
      <c r="B34" s="261">
        <v>45628</v>
      </c>
      <c r="C34" s="260" t="s">
        <v>1468</v>
      </c>
      <c r="D34" s="259"/>
      <c r="E34" s="259">
        <v>32717300</v>
      </c>
      <c r="F34" s="259"/>
    </row>
    <row r="35" spans="1:6" ht="18.75" customHeight="1" x14ac:dyDescent="0.25">
      <c r="A35" s="262">
        <v>25</v>
      </c>
      <c r="B35" s="261">
        <v>45643</v>
      </c>
      <c r="C35" s="260" t="s">
        <v>1938</v>
      </c>
      <c r="D35" s="259">
        <v>30940950</v>
      </c>
      <c r="E35" s="259"/>
      <c r="F35" s="259"/>
    </row>
    <row r="36" spans="1:6" ht="18.75" customHeight="1" x14ac:dyDescent="0.25">
      <c r="A36" s="262">
        <v>26</v>
      </c>
      <c r="B36" s="261">
        <v>45645</v>
      </c>
      <c r="C36" s="260" t="s">
        <v>1468</v>
      </c>
      <c r="D36" s="259"/>
      <c r="E36" s="259">
        <v>30940950</v>
      </c>
      <c r="F36" s="259"/>
    </row>
    <row r="37" spans="1:6" ht="18.75" customHeight="1" x14ac:dyDescent="0.25">
      <c r="A37" s="262">
        <v>27</v>
      </c>
      <c r="B37" s="261">
        <v>45747</v>
      </c>
      <c r="C37" s="260" t="s">
        <v>1994</v>
      </c>
      <c r="D37" s="259">
        <v>29020000</v>
      </c>
      <c r="E37" s="259"/>
      <c r="F37" s="259"/>
    </row>
    <row r="38" spans="1:6" ht="18.75" customHeight="1" x14ac:dyDescent="0.25">
      <c r="A38" s="262">
        <v>28</v>
      </c>
      <c r="B38" s="261">
        <v>45749</v>
      </c>
      <c r="C38" s="260" t="s">
        <v>1468</v>
      </c>
      <c r="D38" s="259"/>
      <c r="E38" s="259">
        <v>29020000</v>
      </c>
      <c r="F38" s="259"/>
    </row>
    <row r="39" spans="1:6" ht="18.75" customHeight="1" x14ac:dyDescent="0.25">
      <c r="A39" s="260"/>
      <c r="B39" s="261"/>
      <c r="C39" s="260"/>
      <c r="D39" s="259"/>
      <c r="E39" s="259"/>
      <c r="F39" s="259"/>
    </row>
    <row r="40" spans="1:6" ht="18.75" customHeight="1" x14ac:dyDescent="0.25">
      <c r="A40" s="260"/>
      <c r="B40" s="261"/>
      <c r="C40" s="260"/>
      <c r="D40" s="259"/>
      <c r="E40" s="259"/>
      <c r="F40" s="259"/>
    </row>
    <row r="41" spans="1:6" ht="18.75" customHeight="1" x14ac:dyDescent="0.25">
      <c r="A41" s="260"/>
      <c r="B41" s="261"/>
      <c r="C41" s="260"/>
      <c r="D41" s="259"/>
      <c r="E41" s="259"/>
      <c r="F41" s="259"/>
    </row>
    <row r="42" spans="1:6" ht="18.75" customHeight="1" x14ac:dyDescent="0.25">
      <c r="A42" s="260"/>
      <c r="B42" s="261"/>
      <c r="C42" s="260"/>
      <c r="D42" s="259"/>
      <c r="E42" s="259"/>
      <c r="F42" s="259"/>
    </row>
    <row r="43" spans="1:6" ht="18.75" customHeight="1" x14ac:dyDescent="0.25">
      <c r="A43" s="260"/>
      <c r="B43" s="261"/>
      <c r="C43" s="260"/>
      <c r="D43" s="259"/>
      <c r="E43" s="259"/>
      <c r="F43" s="259"/>
    </row>
    <row r="44" spans="1:6" ht="18.75" customHeight="1" x14ac:dyDescent="0.25">
      <c r="A44" s="260"/>
      <c r="B44" s="261"/>
      <c r="C44" s="260"/>
      <c r="D44" s="259"/>
      <c r="E44" s="259"/>
      <c r="F44" s="259"/>
    </row>
    <row r="45" spans="1:6" ht="18.75" customHeight="1" x14ac:dyDescent="0.25">
      <c r="A45" s="260"/>
      <c r="B45" s="261"/>
      <c r="C45" s="260"/>
      <c r="D45" s="259"/>
      <c r="E45" s="259"/>
      <c r="F45" s="259"/>
    </row>
    <row r="46" spans="1:6" ht="18.75" customHeight="1" x14ac:dyDescent="0.25">
      <c r="A46" s="260"/>
      <c r="B46" s="261"/>
      <c r="C46" s="260"/>
      <c r="D46" s="259"/>
      <c r="E46" s="259"/>
      <c r="F46" s="259"/>
    </row>
    <row r="47" spans="1:6" ht="18.75" customHeight="1" x14ac:dyDescent="0.25">
      <c r="A47" s="260"/>
      <c r="B47" s="261"/>
      <c r="C47" s="260"/>
      <c r="D47" s="259"/>
      <c r="E47" s="259"/>
      <c r="F47" s="259"/>
    </row>
    <row r="48" spans="1:6" ht="18.75" customHeight="1" x14ac:dyDescent="0.25">
      <c r="A48" s="260"/>
      <c r="B48" s="261"/>
      <c r="C48" s="260"/>
      <c r="D48" s="259"/>
      <c r="E48" s="259"/>
      <c r="F48" s="259"/>
    </row>
    <row r="49" spans="1:6" ht="18.75" customHeight="1" x14ac:dyDescent="0.25">
      <c r="A49" s="260"/>
      <c r="B49" s="261"/>
      <c r="C49" s="260"/>
      <c r="D49" s="259"/>
      <c r="E49" s="259"/>
      <c r="F49" s="259"/>
    </row>
    <row r="50" spans="1:6" ht="18.75" customHeight="1" x14ac:dyDescent="0.25">
      <c r="A50" s="260"/>
      <c r="B50" s="261"/>
      <c r="C50" s="260"/>
      <c r="D50" s="259"/>
      <c r="E50" s="259"/>
      <c r="F50" s="259"/>
    </row>
    <row r="51" spans="1:6" ht="18.75" customHeight="1" x14ac:dyDescent="0.25">
      <c r="A51" s="260"/>
      <c r="B51" s="261"/>
      <c r="C51" s="260"/>
      <c r="D51" s="259"/>
      <c r="E51" s="259"/>
      <c r="F51" s="259"/>
    </row>
    <row r="52" spans="1:6" ht="18.75" customHeight="1" x14ac:dyDescent="0.25">
      <c r="A52" s="260"/>
      <c r="B52" s="261"/>
      <c r="C52" s="260"/>
      <c r="D52" s="259"/>
      <c r="E52" s="259"/>
      <c r="F52" s="259"/>
    </row>
    <row r="53" spans="1:6" ht="18.75" customHeight="1" x14ac:dyDescent="0.25">
      <c r="A53" s="260"/>
      <c r="B53" s="261"/>
      <c r="C53" s="260"/>
      <c r="D53" s="259"/>
      <c r="E53" s="259"/>
      <c r="F53" s="259"/>
    </row>
    <row r="54" spans="1:6" ht="18.75" customHeight="1" x14ac:dyDescent="0.25">
      <c r="A54" s="260"/>
      <c r="B54" s="262"/>
      <c r="C54" s="260"/>
      <c r="D54" s="259"/>
      <c r="E54" s="259"/>
      <c r="F54" s="259"/>
    </row>
    <row r="55" spans="1:6" ht="18.75" customHeight="1" x14ac:dyDescent="0.25">
      <c r="A55" s="260"/>
      <c r="B55" s="262"/>
      <c r="C55" s="260"/>
      <c r="D55" s="259"/>
      <c r="E55" s="259"/>
      <c r="F55" s="259"/>
    </row>
    <row r="56" spans="1:6" ht="18.75" customHeight="1" x14ac:dyDescent="0.25">
      <c r="A56" s="260"/>
      <c r="B56" s="262"/>
      <c r="C56" s="260"/>
      <c r="D56" s="259"/>
      <c r="E56" s="259"/>
      <c r="F56" s="259"/>
    </row>
    <row r="57" spans="1:6" ht="18.75" customHeight="1" x14ac:dyDescent="0.25">
      <c r="A57" s="260"/>
      <c r="B57" s="262"/>
      <c r="C57" s="260"/>
      <c r="D57" s="259"/>
      <c r="E57" s="259"/>
      <c r="F57" s="259"/>
    </row>
    <row r="58" spans="1:6" ht="18.75" customHeight="1" x14ac:dyDescent="0.25">
      <c r="A58" s="260"/>
      <c r="B58" s="262"/>
      <c r="C58" s="260"/>
      <c r="D58" s="259"/>
      <c r="E58" s="259"/>
      <c r="F58" s="259"/>
    </row>
    <row r="59" spans="1:6" ht="18.75" customHeight="1" x14ac:dyDescent="0.25">
      <c r="A59" s="260"/>
      <c r="B59" s="262"/>
      <c r="C59" s="260"/>
      <c r="D59" s="259"/>
      <c r="E59" s="259"/>
      <c r="F59" s="259"/>
    </row>
    <row r="60" spans="1:6" ht="18.75" customHeight="1" x14ac:dyDescent="0.25">
      <c r="A60" s="260"/>
      <c r="B60" s="262"/>
      <c r="C60" s="260"/>
      <c r="D60" s="259"/>
      <c r="E60" s="259"/>
      <c r="F60" s="259"/>
    </row>
    <row r="61" spans="1:6" ht="18.75" customHeight="1" x14ac:dyDescent="0.25">
      <c r="A61" s="260"/>
      <c r="B61" s="262"/>
      <c r="C61" s="260"/>
      <c r="D61" s="259"/>
      <c r="E61" s="259"/>
      <c r="F61" s="259"/>
    </row>
    <row r="62" spans="1:6" ht="18.75" customHeight="1" x14ac:dyDescent="0.25">
      <c r="A62" s="260"/>
      <c r="B62" s="262"/>
      <c r="C62" s="260"/>
      <c r="D62" s="259"/>
      <c r="E62" s="259"/>
      <c r="F62" s="259"/>
    </row>
    <row r="63" spans="1:6" ht="18.75" customHeight="1" x14ac:dyDescent="0.25">
      <c r="A63" s="260"/>
      <c r="B63" s="262"/>
      <c r="C63" s="260"/>
      <c r="D63" s="259"/>
      <c r="E63" s="259"/>
      <c r="F63" s="259"/>
    </row>
    <row r="64" spans="1:6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3A00-000000000000}"/>
  </hyperlinks>
  <pageMargins left="0.7" right="0.7" top="0.75" bottom="0.75" header="0.3" footer="0.3"/>
  <pageSetup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8.85546875" style="2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855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335678000</v>
      </c>
    </row>
    <row r="6" spans="1:7" x14ac:dyDescent="0.25">
      <c r="E6" s="2" t="s">
        <v>11</v>
      </c>
      <c r="F6" s="2">
        <f>SUM(E10:E68)</f>
        <v>331250000</v>
      </c>
    </row>
    <row r="7" spans="1:7" x14ac:dyDescent="0.25">
      <c r="E7" s="2" t="s">
        <v>12</v>
      </c>
      <c r="F7" s="2">
        <f>+F4+F5-F6</f>
        <v>4428000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44377</v>
      </c>
      <c r="C11" s="260" t="s">
        <v>856</v>
      </c>
      <c r="D11" s="279">
        <v>22500000</v>
      </c>
      <c r="E11" s="259"/>
      <c r="F11" s="259"/>
    </row>
    <row r="12" spans="1:7" ht="18.75" customHeight="1" x14ac:dyDescent="0.25">
      <c r="A12" s="262">
        <v>2</v>
      </c>
      <c r="B12" s="261">
        <v>44408</v>
      </c>
      <c r="C12" s="260" t="s">
        <v>882</v>
      </c>
      <c r="D12" s="279">
        <v>40100000</v>
      </c>
      <c r="E12" s="259"/>
      <c r="F12" s="259"/>
    </row>
    <row r="13" spans="1:7" ht="18.75" customHeight="1" x14ac:dyDescent="0.25">
      <c r="A13" s="262">
        <v>3</v>
      </c>
      <c r="B13" s="261">
        <v>44439</v>
      </c>
      <c r="C13" s="260" t="s">
        <v>924</v>
      </c>
      <c r="D13" s="279">
        <v>3500000</v>
      </c>
      <c r="E13" s="259"/>
      <c r="F13" s="259"/>
    </row>
    <row r="14" spans="1:7" ht="18.75" customHeight="1" x14ac:dyDescent="0.25">
      <c r="A14" s="262">
        <v>4</v>
      </c>
      <c r="B14" s="261">
        <v>44469</v>
      </c>
      <c r="C14" s="260" t="s">
        <v>997</v>
      </c>
      <c r="D14" s="279">
        <v>6200000</v>
      </c>
      <c r="E14" s="259"/>
      <c r="F14" s="259"/>
    </row>
    <row r="15" spans="1:7" ht="18.75" customHeight="1" x14ac:dyDescent="0.25">
      <c r="A15" s="262">
        <v>5</v>
      </c>
      <c r="B15" s="261">
        <v>44498</v>
      </c>
      <c r="C15" s="260" t="s">
        <v>995</v>
      </c>
      <c r="D15" s="279"/>
      <c r="E15" s="259">
        <v>22500000</v>
      </c>
      <c r="F15" s="259"/>
    </row>
    <row r="16" spans="1:7" ht="18.75" customHeight="1" x14ac:dyDescent="0.25">
      <c r="A16" s="262">
        <v>6</v>
      </c>
      <c r="B16" s="261">
        <v>44499</v>
      </c>
      <c r="C16" s="260" t="s">
        <v>996</v>
      </c>
      <c r="D16" s="279">
        <v>26200000</v>
      </c>
      <c r="E16" s="259"/>
      <c r="F16" s="259"/>
    </row>
    <row r="17" spans="1:6" ht="18.75" customHeight="1" x14ac:dyDescent="0.25">
      <c r="A17" s="262">
        <v>7</v>
      </c>
      <c r="B17" s="261" t="s">
        <v>1013</v>
      </c>
      <c r="C17" s="260" t="s">
        <v>1018</v>
      </c>
      <c r="D17" s="279">
        <v>20650000</v>
      </c>
      <c r="E17" s="259"/>
      <c r="F17" s="259"/>
    </row>
    <row r="18" spans="1:6" ht="18.75" customHeight="1" x14ac:dyDescent="0.25">
      <c r="A18" s="262">
        <v>8</v>
      </c>
      <c r="B18" s="261">
        <v>44558</v>
      </c>
      <c r="C18" s="260" t="s">
        <v>1019</v>
      </c>
      <c r="D18" s="279"/>
      <c r="E18" s="259">
        <v>43600000</v>
      </c>
      <c r="F18" s="259"/>
    </row>
    <row r="19" spans="1:6" ht="18.75" customHeight="1" x14ac:dyDescent="0.25">
      <c r="A19" s="262">
        <v>9</v>
      </c>
      <c r="B19" s="261">
        <v>44620</v>
      </c>
      <c r="C19" s="260" t="s">
        <v>1062</v>
      </c>
      <c r="D19" s="259">
        <v>3800000</v>
      </c>
      <c r="E19" s="259"/>
      <c r="F19" s="259"/>
    </row>
    <row r="20" spans="1:6" ht="18.75" customHeight="1" x14ac:dyDescent="0.25">
      <c r="A20" s="262">
        <v>10</v>
      </c>
      <c r="B20" s="261">
        <v>44621</v>
      </c>
      <c r="C20" s="260" t="s">
        <v>1171</v>
      </c>
      <c r="D20" s="259"/>
      <c r="E20" s="259">
        <v>53050000</v>
      </c>
      <c r="F20" s="259"/>
    </row>
    <row r="21" spans="1:6" ht="18.75" customHeight="1" x14ac:dyDescent="0.25">
      <c r="A21" s="262">
        <v>11</v>
      </c>
      <c r="B21" s="261">
        <v>44757</v>
      </c>
      <c r="C21" s="260" t="s">
        <v>1172</v>
      </c>
      <c r="D21" s="259"/>
      <c r="E21" s="259">
        <v>3800000</v>
      </c>
      <c r="F21" s="259"/>
    </row>
    <row r="22" spans="1:6" ht="18.75" customHeight="1" x14ac:dyDescent="0.25">
      <c r="A22" s="262">
        <v>12</v>
      </c>
      <c r="B22" s="261">
        <v>44770</v>
      </c>
      <c r="C22" s="260" t="s">
        <v>1178</v>
      </c>
      <c r="D22" s="259">
        <v>6800000</v>
      </c>
      <c r="E22" s="259"/>
      <c r="F22" s="259"/>
    </row>
    <row r="23" spans="1:6" ht="18.75" customHeight="1" x14ac:dyDescent="0.25">
      <c r="A23" s="262">
        <v>13</v>
      </c>
      <c r="B23" s="261">
        <v>44895</v>
      </c>
      <c r="C23" s="260" t="s">
        <v>1318</v>
      </c>
      <c r="D23" s="259">
        <v>3400000</v>
      </c>
      <c r="E23" s="259"/>
      <c r="F23" s="259"/>
    </row>
    <row r="24" spans="1:6" ht="18.75" customHeight="1" x14ac:dyDescent="0.25">
      <c r="A24" s="262">
        <v>14</v>
      </c>
      <c r="B24" s="261">
        <v>44919</v>
      </c>
      <c r="C24" s="260" t="s">
        <v>1019</v>
      </c>
      <c r="D24" s="259"/>
      <c r="E24" s="259">
        <v>6800000</v>
      </c>
      <c r="F24" s="259"/>
    </row>
    <row r="25" spans="1:6" ht="18.75" customHeight="1" x14ac:dyDescent="0.25">
      <c r="A25" s="262">
        <v>15</v>
      </c>
      <c r="B25" s="261">
        <v>45003</v>
      </c>
      <c r="C25" s="260" t="s">
        <v>1411</v>
      </c>
      <c r="D25" s="259"/>
      <c r="E25" s="259">
        <v>3400000</v>
      </c>
      <c r="F25" s="259"/>
    </row>
    <row r="26" spans="1:6" ht="18.75" customHeight="1" x14ac:dyDescent="0.25">
      <c r="A26" s="262">
        <v>16</v>
      </c>
      <c r="B26" s="261">
        <v>45045</v>
      </c>
      <c r="C26" s="260" t="s">
        <v>1441</v>
      </c>
      <c r="D26" s="259">
        <v>37700000</v>
      </c>
      <c r="E26" s="259"/>
      <c r="F26" s="259"/>
    </row>
    <row r="27" spans="1:6" ht="18.75" customHeight="1" x14ac:dyDescent="0.25">
      <c r="A27" s="262">
        <v>17</v>
      </c>
      <c r="B27" s="261">
        <v>45076</v>
      </c>
      <c r="C27" s="260" t="s">
        <v>1480</v>
      </c>
      <c r="D27" s="259">
        <v>15730000</v>
      </c>
      <c r="E27" s="259"/>
      <c r="F27" s="259"/>
    </row>
    <row r="28" spans="1:6" ht="18.75" customHeight="1" x14ac:dyDescent="0.25">
      <c r="A28" s="262">
        <v>18</v>
      </c>
      <c r="B28" s="261">
        <v>45106</v>
      </c>
      <c r="C28" s="260" t="s">
        <v>1504</v>
      </c>
      <c r="D28" s="259">
        <v>15070000</v>
      </c>
      <c r="E28" s="259"/>
      <c r="F28" s="259"/>
    </row>
    <row r="29" spans="1:6" ht="18.75" customHeight="1" x14ac:dyDescent="0.25">
      <c r="A29" s="262">
        <v>19</v>
      </c>
      <c r="B29" s="261">
        <v>45138</v>
      </c>
      <c r="C29" s="260" t="s">
        <v>1543</v>
      </c>
      <c r="D29" s="259">
        <v>38772000</v>
      </c>
      <c r="E29" s="259"/>
      <c r="F29" s="259"/>
    </row>
    <row r="30" spans="1:6" ht="18.75" customHeight="1" x14ac:dyDescent="0.25">
      <c r="A30" s="262">
        <v>20</v>
      </c>
      <c r="B30" s="261">
        <v>45139</v>
      </c>
      <c r="C30" s="260" t="s">
        <v>1548</v>
      </c>
      <c r="D30" s="259"/>
      <c r="E30" s="259">
        <v>20000000</v>
      </c>
      <c r="F30" s="259"/>
    </row>
    <row r="31" spans="1:6" ht="18.75" customHeight="1" x14ac:dyDescent="0.25">
      <c r="A31" s="262">
        <v>21</v>
      </c>
      <c r="B31" s="261">
        <v>45145</v>
      </c>
      <c r="C31" s="260" t="s">
        <v>1593</v>
      </c>
      <c r="D31" s="259"/>
      <c r="E31" s="259">
        <v>17700000</v>
      </c>
      <c r="F31" s="259"/>
    </row>
    <row r="32" spans="1:6" ht="18.75" customHeight="1" x14ac:dyDescent="0.25">
      <c r="A32" s="262">
        <v>22</v>
      </c>
      <c r="B32" s="261">
        <v>45168</v>
      </c>
      <c r="C32" s="260" t="s">
        <v>1565</v>
      </c>
      <c r="D32" s="259">
        <v>9936000</v>
      </c>
      <c r="E32" s="259"/>
      <c r="F32" s="259"/>
    </row>
    <row r="33" spans="1:6" ht="18.75" customHeight="1" x14ac:dyDescent="0.25">
      <c r="A33" s="262">
        <v>23</v>
      </c>
      <c r="B33" s="261">
        <v>45188</v>
      </c>
      <c r="C33" s="260" t="s">
        <v>1594</v>
      </c>
      <c r="D33" s="259"/>
      <c r="E33" s="259">
        <v>15730000</v>
      </c>
      <c r="F33" s="259"/>
    </row>
    <row r="34" spans="1:6" ht="18.75" customHeight="1" x14ac:dyDescent="0.25">
      <c r="A34" s="262">
        <v>24</v>
      </c>
      <c r="B34" s="261">
        <v>45218</v>
      </c>
      <c r="C34" s="260" t="s">
        <v>1632</v>
      </c>
      <c r="D34" s="259"/>
      <c r="E34" s="259">
        <v>15070000</v>
      </c>
      <c r="F34" s="259"/>
    </row>
    <row r="35" spans="1:6" ht="18.75" customHeight="1" x14ac:dyDescent="0.25">
      <c r="A35" s="262">
        <v>25</v>
      </c>
      <c r="B35" s="261">
        <v>45251</v>
      </c>
      <c r="C35" s="260" t="s">
        <v>1663</v>
      </c>
      <c r="D35" s="259"/>
      <c r="E35" s="259">
        <v>38772000</v>
      </c>
      <c r="F35" s="259"/>
    </row>
    <row r="36" spans="1:6" ht="18.75" customHeight="1" x14ac:dyDescent="0.25">
      <c r="A36" s="262">
        <v>26</v>
      </c>
      <c r="B36" s="261">
        <v>45260</v>
      </c>
      <c r="C36" s="260" t="s">
        <v>1662</v>
      </c>
      <c r="D36" s="259">
        <v>15444000</v>
      </c>
      <c r="E36" s="259"/>
      <c r="F36" s="259"/>
    </row>
    <row r="37" spans="1:6" ht="18.75" customHeight="1" x14ac:dyDescent="0.25">
      <c r="A37" s="262">
        <v>27</v>
      </c>
      <c r="B37" s="261">
        <v>45275</v>
      </c>
      <c r="C37" s="260" t="s">
        <v>1674</v>
      </c>
      <c r="D37" s="259"/>
      <c r="E37" s="259">
        <v>9936000</v>
      </c>
      <c r="F37" s="259"/>
    </row>
    <row r="38" spans="1:6" ht="18.75" customHeight="1" x14ac:dyDescent="0.25">
      <c r="A38" s="262">
        <v>28</v>
      </c>
      <c r="B38" s="261">
        <v>45291</v>
      </c>
      <c r="C38" s="260" t="s">
        <v>1678</v>
      </c>
      <c r="D38" s="259">
        <v>8100000</v>
      </c>
      <c r="E38" s="259"/>
      <c r="F38" s="259"/>
    </row>
    <row r="39" spans="1:6" ht="18.75" customHeight="1" x14ac:dyDescent="0.25">
      <c r="A39" s="262">
        <v>29</v>
      </c>
      <c r="B39" s="261">
        <v>45322</v>
      </c>
      <c r="C39" s="260" t="s">
        <v>1709</v>
      </c>
      <c r="D39" s="259">
        <v>2268000</v>
      </c>
      <c r="E39" s="259"/>
      <c r="F39" s="259"/>
    </row>
    <row r="40" spans="1:6" ht="18.75" customHeight="1" x14ac:dyDescent="0.25">
      <c r="A40" s="262">
        <v>30</v>
      </c>
      <c r="B40" s="261">
        <v>45381</v>
      </c>
      <c r="C40" s="260" t="s">
        <v>1750</v>
      </c>
      <c r="D40" s="259"/>
      <c r="E40" s="259">
        <v>15444000</v>
      </c>
      <c r="F40" s="259"/>
    </row>
    <row r="41" spans="1:6" ht="18.75" customHeight="1" x14ac:dyDescent="0.25">
      <c r="A41" s="262">
        <v>31</v>
      </c>
      <c r="B41" s="261">
        <v>45406</v>
      </c>
      <c r="C41" s="260" t="s">
        <v>1758</v>
      </c>
      <c r="D41" s="259"/>
      <c r="E41" s="259">
        <v>8100000</v>
      </c>
      <c r="F41" s="259"/>
    </row>
    <row r="42" spans="1:6" ht="18.75" customHeight="1" x14ac:dyDescent="0.25">
      <c r="A42" s="262">
        <v>32</v>
      </c>
      <c r="B42" s="261">
        <v>45412</v>
      </c>
      <c r="C42" s="260" t="s">
        <v>1759</v>
      </c>
      <c r="D42" s="259">
        <v>8964000</v>
      </c>
      <c r="E42" s="259"/>
      <c r="F42" s="259"/>
    </row>
    <row r="43" spans="1:6" ht="18.75" customHeight="1" x14ac:dyDescent="0.25">
      <c r="A43" s="262">
        <v>33</v>
      </c>
      <c r="B43" s="261">
        <v>45422</v>
      </c>
      <c r="C43" s="260" t="s">
        <v>1774</v>
      </c>
      <c r="D43" s="259"/>
      <c r="E43" s="259">
        <v>2268000</v>
      </c>
      <c r="F43" s="259"/>
    </row>
    <row r="44" spans="1:6" ht="18.75" customHeight="1" x14ac:dyDescent="0.25">
      <c r="A44" s="262">
        <v>34</v>
      </c>
      <c r="B44" s="261">
        <v>45443</v>
      </c>
      <c r="C44" s="260" t="s">
        <v>1792</v>
      </c>
      <c r="D44" s="259">
        <v>3348000</v>
      </c>
      <c r="E44" s="259"/>
      <c r="F44" s="259"/>
    </row>
    <row r="45" spans="1:6" ht="18.75" customHeight="1" x14ac:dyDescent="0.25">
      <c r="A45" s="262">
        <v>35</v>
      </c>
      <c r="B45" s="261">
        <v>45472</v>
      </c>
      <c r="C45" s="260" t="s">
        <v>1809</v>
      </c>
      <c r="D45" s="259">
        <v>4428000</v>
      </c>
      <c r="E45" s="259"/>
      <c r="F45" s="259"/>
    </row>
    <row r="46" spans="1:6" ht="18.75" customHeight="1" x14ac:dyDescent="0.25">
      <c r="A46" s="262">
        <v>36</v>
      </c>
      <c r="B46" s="261">
        <v>45503</v>
      </c>
      <c r="C46" s="260" t="s">
        <v>1831</v>
      </c>
      <c r="D46" s="259">
        <v>13068000</v>
      </c>
      <c r="E46" s="259"/>
      <c r="F46" s="259"/>
    </row>
    <row r="47" spans="1:6" ht="18.75" customHeight="1" x14ac:dyDescent="0.25">
      <c r="A47" s="262">
        <v>37</v>
      </c>
      <c r="B47" s="261">
        <v>45531</v>
      </c>
      <c r="C47" s="260" t="s">
        <v>1851</v>
      </c>
      <c r="D47" s="259"/>
      <c r="E47" s="259">
        <v>9072000</v>
      </c>
      <c r="F47" s="259"/>
    </row>
    <row r="48" spans="1:6" ht="18.75" customHeight="1" x14ac:dyDescent="0.25">
      <c r="A48" s="262">
        <v>38</v>
      </c>
      <c r="B48" s="261">
        <v>45534</v>
      </c>
      <c r="C48" s="260" t="s">
        <v>1859</v>
      </c>
      <c r="D48" s="259">
        <v>9072000</v>
      </c>
      <c r="E48" s="259"/>
      <c r="F48" s="259"/>
    </row>
    <row r="49" spans="1:6" ht="18.75" customHeight="1" x14ac:dyDescent="0.25">
      <c r="A49" s="262">
        <v>39</v>
      </c>
      <c r="B49" s="261">
        <v>45562</v>
      </c>
      <c r="C49" s="260" t="s">
        <v>1886</v>
      </c>
      <c r="D49" s="259"/>
      <c r="E49" s="259">
        <v>3348000</v>
      </c>
      <c r="F49" s="259"/>
    </row>
    <row r="50" spans="1:6" ht="18.75" customHeight="1" x14ac:dyDescent="0.25">
      <c r="A50" s="262">
        <v>40</v>
      </c>
      <c r="B50" s="261">
        <v>45595</v>
      </c>
      <c r="C50" s="260" t="s">
        <v>995</v>
      </c>
      <c r="D50" s="259"/>
      <c r="E50" s="259">
        <v>4428000</v>
      </c>
      <c r="F50" s="259"/>
    </row>
    <row r="51" spans="1:6" ht="18.75" customHeight="1" x14ac:dyDescent="0.25">
      <c r="A51" s="262">
        <v>41</v>
      </c>
      <c r="B51" s="261">
        <v>45622</v>
      </c>
      <c r="C51" s="260" t="s">
        <v>1913</v>
      </c>
      <c r="D51" s="259"/>
      <c r="E51" s="259">
        <v>13068000</v>
      </c>
      <c r="F51" s="259"/>
    </row>
    <row r="52" spans="1:6" ht="18.75" customHeight="1" x14ac:dyDescent="0.25">
      <c r="A52" s="262">
        <v>42</v>
      </c>
      <c r="B52" s="261">
        <v>45626</v>
      </c>
      <c r="C52" s="260" t="s">
        <v>1914</v>
      </c>
      <c r="D52" s="259">
        <v>12204000</v>
      </c>
      <c r="E52" s="259"/>
      <c r="F52" s="259"/>
    </row>
    <row r="53" spans="1:6" ht="18.75" customHeight="1" x14ac:dyDescent="0.25">
      <c r="A53" s="262">
        <v>43</v>
      </c>
      <c r="B53" s="261">
        <v>45656</v>
      </c>
      <c r="C53" s="260" t="s">
        <v>1946</v>
      </c>
      <c r="D53" s="259">
        <v>3996000</v>
      </c>
      <c r="E53" s="259"/>
      <c r="F53" s="259"/>
    </row>
    <row r="54" spans="1:6" ht="18.75" customHeight="1" x14ac:dyDescent="0.25">
      <c r="A54" s="262">
        <v>44</v>
      </c>
      <c r="B54" s="261">
        <v>45664</v>
      </c>
      <c r="C54" s="260" t="s">
        <v>1957</v>
      </c>
      <c r="D54" s="259"/>
      <c r="E54" s="259">
        <v>8964000</v>
      </c>
      <c r="F54" s="259"/>
    </row>
    <row r="55" spans="1:6" ht="18.75" customHeight="1" x14ac:dyDescent="0.25">
      <c r="A55" s="262">
        <v>45</v>
      </c>
      <c r="B55" s="261">
        <v>45716</v>
      </c>
      <c r="C55" s="260" t="s">
        <v>1981</v>
      </c>
      <c r="D55" s="259">
        <v>4428000</v>
      </c>
      <c r="E55" s="259"/>
      <c r="F55" s="259"/>
    </row>
    <row r="56" spans="1:6" ht="18.75" customHeight="1" x14ac:dyDescent="0.25">
      <c r="A56" s="262">
        <v>46</v>
      </c>
      <c r="B56" s="261">
        <v>45737</v>
      </c>
      <c r="C56" s="260" t="s">
        <v>1988</v>
      </c>
      <c r="D56" s="259"/>
      <c r="E56" s="259">
        <v>12204000</v>
      </c>
      <c r="F56" s="259"/>
    </row>
    <row r="57" spans="1:6" ht="18.75" customHeight="1" x14ac:dyDescent="0.25">
      <c r="A57" s="262">
        <v>47</v>
      </c>
      <c r="B57" s="261">
        <v>45772</v>
      </c>
      <c r="C57" s="260" t="s">
        <v>2001</v>
      </c>
      <c r="D57" s="259"/>
      <c r="E57" s="259">
        <v>3996000</v>
      </c>
      <c r="F57" s="259"/>
    </row>
    <row r="58" spans="1:6" ht="18.75" customHeight="1" x14ac:dyDescent="0.25">
      <c r="A58" s="262">
        <v>48</v>
      </c>
      <c r="B58" s="262"/>
      <c r="C58" s="260"/>
      <c r="D58" s="259"/>
      <c r="E58" s="259"/>
      <c r="F58" s="259"/>
    </row>
    <row r="59" spans="1:6" ht="18.75" customHeight="1" x14ac:dyDescent="0.25">
      <c r="A59" s="262">
        <v>49</v>
      </c>
      <c r="B59" s="262"/>
      <c r="C59" s="260"/>
      <c r="D59" s="259"/>
      <c r="E59" s="259"/>
      <c r="F59" s="259"/>
    </row>
    <row r="60" spans="1:6" ht="18.75" customHeight="1" x14ac:dyDescent="0.25">
      <c r="A60" s="262">
        <v>50</v>
      </c>
      <c r="B60" s="262"/>
      <c r="C60" s="260"/>
      <c r="D60" s="259"/>
      <c r="E60" s="259"/>
      <c r="F60" s="259"/>
    </row>
    <row r="61" spans="1:6" ht="18.75" customHeight="1" x14ac:dyDescent="0.25">
      <c r="A61" s="262">
        <v>51</v>
      </c>
      <c r="B61" s="262"/>
      <c r="C61" s="260"/>
      <c r="D61" s="259"/>
      <c r="E61" s="259"/>
      <c r="F61" s="259"/>
    </row>
    <row r="62" spans="1:6" ht="18.75" customHeight="1" x14ac:dyDescent="0.25">
      <c r="A62" s="262">
        <v>52</v>
      </c>
      <c r="B62" s="262"/>
      <c r="C62" s="260"/>
      <c r="D62" s="259"/>
      <c r="E62" s="259"/>
      <c r="F62" s="259"/>
    </row>
    <row r="63" spans="1:6" ht="18.75" customHeight="1" x14ac:dyDescent="0.25">
      <c r="A63" s="262">
        <v>53</v>
      </c>
      <c r="B63" s="262"/>
      <c r="C63" s="260"/>
      <c r="D63" s="259"/>
      <c r="E63" s="259"/>
      <c r="F63" s="259"/>
    </row>
    <row r="64" spans="1:6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3B00-000000000000}"/>
  </hyperlinks>
  <pageMargins left="0.7" right="0.7" top="0.75" bottom="0.75" header="0.3" footer="0.3"/>
  <pageSetup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881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3700000</v>
      </c>
    </row>
    <row r="6" spans="1:7" x14ac:dyDescent="0.25">
      <c r="E6" s="2" t="s">
        <v>11</v>
      </c>
      <c r="F6" s="2">
        <f>SUM(E10:E68)</f>
        <v>3700000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44407</v>
      </c>
      <c r="C11" s="260" t="s">
        <v>882</v>
      </c>
      <c r="D11" s="279">
        <v>3700000</v>
      </c>
      <c r="E11" s="259"/>
      <c r="F11" s="259"/>
    </row>
    <row r="12" spans="1:7" ht="18.75" customHeight="1" x14ac:dyDescent="0.25">
      <c r="A12" s="262">
        <v>2</v>
      </c>
      <c r="B12" s="261">
        <v>44480</v>
      </c>
      <c r="C12" s="260" t="s">
        <v>960</v>
      </c>
      <c r="D12" s="279"/>
      <c r="E12" s="259">
        <v>3700000</v>
      </c>
      <c r="F12" s="259"/>
    </row>
    <row r="13" spans="1:7" ht="18.75" customHeight="1" x14ac:dyDescent="0.25">
      <c r="A13" s="262">
        <v>3</v>
      </c>
      <c r="B13" s="261"/>
      <c r="C13" s="260"/>
      <c r="D13" s="279"/>
      <c r="E13" s="259"/>
      <c r="F13" s="259"/>
    </row>
    <row r="14" spans="1:7" ht="18.75" customHeight="1" x14ac:dyDescent="0.25">
      <c r="A14" s="262">
        <v>4</v>
      </c>
      <c r="B14" s="261"/>
      <c r="C14" s="260"/>
      <c r="D14" s="279"/>
      <c r="E14" s="259"/>
      <c r="F14" s="259"/>
    </row>
    <row r="15" spans="1:7" ht="18.75" customHeight="1" x14ac:dyDescent="0.25">
      <c r="A15" s="262">
        <v>5</v>
      </c>
      <c r="B15" s="261"/>
      <c r="C15" s="260"/>
      <c r="D15" s="279"/>
      <c r="E15" s="259"/>
      <c r="F15" s="259"/>
    </row>
    <row r="16" spans="1:7" ht="18.75" customHeight="1" x14ac:dyDescent="0.25">
      <c r="A16" s="262">
        <v>6</v>
      </c>
      <c r="B16" s="261"/>
      <c r="C16" s="260"/>
      <c r="D16" s="279"/>
      <c r="E16" s="259"/>
      <c r="F16" s="259"/>
    </row>
    <row r="17" spans="1:6" ht="18.75" customHeight="1" x14ac:dyDescent="0.25">
      <c r="A17" s="262">
        <v>7</v>
      </c>
      <c r="B17" s="261"/>
      <c r="C17" s="260"/>
      <c r="D17" s="279"/>
      <c r="E17" s="259"/>
      <c r="F17" s="259"/>
    </row>
    <row r="18" spans="1:6" ht="18.75" customHeight="1" x14ac:dyDescent="0.25">
      <c r="A18" s="262">
        <v>8</v>
      </c>
      <c r="B18" s="261"/>
      <c r="C18" s="260"/>
      <c r="D18" s="279"/>
      <c r="E18" s="259"/>
      <c r="F18" s="259"/>
    </row>
    <row r="19" spans="1:6" ht="18.75" customHeight="1" x14ac:dyDescent="0.25">
      <c r="A19" s="262">
        <v>9</v>
      </c>
      <c r="B19" s="261"/>
      <c r="C19" s="260"/>
      <c r="D19" s="259"/>
      <c r="E19" s="259"/>
      <c r="F19" s="259"/>
    </row>
    <row r="20" spans="1:6" ht="18.75" customHeight="1" x14ac:dyDescent="0.25">
      <c r="A20" s="262">
        <v>10</v>
      </c>
      <c r="B20" s="261"/>
      <c r="C20" s="260"/>
      <c r="D20" s="259"/>
      <c r="E20" s="259"/>
      <c r="F20" s="259"/>
    </row>
    <row r="21" spans="1:6" ht="18.75" customHeight="1" x14ac:dyDescent="0.25">
      <c r="A21" s="262">
        <v>11</v>
      </c>
      <c r="B21" s="261"/>
      <c r="C21" s="260"/>
      <c r="D21" s="259"/>
      <c r="E21" s="259"/>
      <c r="F21" s="259"/>
    </row>
    <row r="22" spans="1:6" ht="18.75" customHeight="1" x14ac:dyDescent="0.25">
      <c r="A22" s="262">
        <v>12</v>
      </c>
      <c r="B22" s="261"/>
      <c r="C22" s="260"/>
      <c r="D22" s="259"/>
      <c r="E22" s="259"/>
      <c r="F22" s="259"/>
    </row>
    <row r="23" spans="1:6" ht="18.75" customHeight="1" x14ac:dyDescent="0.25">
      <c r="A23" s="262">
        <v>13</v>
      </c>
      <c r="B23" s="261"/>
      <c r="C23" s="260"/>
      <c r="D23" s="259"/>
      <c r="E23" s="259"/>
      <c r="F23" s="259"/>
    </row>
    <row r="24" spans="1:6" ht="18.75" customHeight="1" x14ac:dyDescent="0.25">
      <c r="A24" s="262">
        <v>14</v>
      </c>
      <c r="B24" s="261"/>
      <c r="C24" s="260"/>
      <c r="D24" s="259"/>
      <c r="E24" s="259"/>
      <c r="F24" s="259"/>
    </row>
    <row r="25" spans="1:6" ht="18.75" customHeight="1" x14ac:dyDescent="0.25">
      <c r="A25" s="262">
        <v>15</v>
      </c>
      <c r="B25" s="261"/>
      <c r="C25" s="260"/>
      <c r="D25" s="259"/>
      <c r="E25" s="259"/>
      <c r="F25" s="259"/>
    </row>
    <row r="26" spans="1:6" ht="18.75" customHeight="1" x14ac:dyDescent="0.25">
      <c r="A26" s="262">
        <v>16</v>
      </c>
      <c r="B26" s="261"/>
      <c r="C26" s="260"/>
      <c r="D26" s="259"/>
      <c r="E26" s="259"/>
      <c r="F26" s="259"/>
    </row>
    <row r="27" spans="1:6" ht="18.75" customHeight="1" x14ac:dyDescent="0.25">
      <c r="A27" s="262">
        <v>17</v>
      </c>
      <c r="B27" s="261"/>
      <c r="C27" s="260"/>
      <c r="D27" s="259"/>
      <c r="E27" s="259"/>
      <c r="F27" s="259"/>
    </row>
    <row r="28" spans="1:6" ht="18.75" customHeight="1" x14ac:dyDescent="0.25">
      <c r="A28" s="262">
        <v>18</v>
      </c>
      <c r="B28" s="261"/>
      <c r="C28" s="260"/>
      <c r="D28" s="259"/>
      <c r="E28" s="259"/>
      <c r="F28" s="259"/>
    </row>
    <row r="29" spans="1:6" ht="18.75" customHeight="1" x14ac:dyDescent="0.25">
      <c r="A29" s="262">
        <v>19</v>
      </c>
      <c r="B29" s="261"/>
      <c r="C29" s="260"/>
      <c r="D29" s="259"/>
      <c r="E29" s="259"/>
      <c r="F29" s="259"/>
    </row>
    <row r="30" spans="1:6" ht="18.75" customHeight="1" x14ac:dyDescent="0.25">
      <c r="A30" s="262">
        <v>20</v>
      </c>
      <c r="B30" s="261"/>
      <c r="C30" s="260"/>
      <c r="D30" s="259"/>
      <c r="E30" s="259"/>
      <c r="F30" s="259"/>
    </row>
    <row r="31" spans="1:6" ht="18.75" customHeight="1" x14ac:dyDescent="0.25">
      <c r="A31" s="262">
        <v>21</v>
      </c>
      <c r="B31" s="261"/>
      <c r="C31" s="260"/>
      <c r="D31" s="259"/>
      <c r="E31" s="259"/>
      <c r="F31" s="259"/>
    </row>
    <row r="32" spans="1:6" ht="18.75" customHeight="1" x14ac:dyDescent="0.25">
      <c r="A32" s="262">
        <v>22</v>
      </c>
      <c r="B32" s="262"/>
      <c r="C32" s="260"/>
      <c r="D32" s="259"/>
      <c r="E32" s="259"/>
      <c r="F32" s="259"/>
    </row>
    <row r="33" spans="1:6" ht="18.75" customHeight="1" x14ac:dyDescent="0.25">
      <c r="A33" s="262">
        <v>23</v>
      </c>
      <c r="B33" s="262"/>
      <c r="C33" s="260"/>
      <c r="D33" s="259"/>
      <c r="E33" s="259"/>
      <c r="F33" s="259"/>
    </row>
    <row r="34" spans="1:6" ht="18.75" customHeight="1" x14ac:dyDescent="0.25">
      <c r="A34" s="262">
        <v>24</v>
      </c>
      <c r="B34" s="262"/>
      <c r="C34" s="260"/>
      <c r="D34" s="259"/>
      <c r="E34" s="259"/>
      <c r="F34" s="259"/>
    </row>
    <row r="35" spans="1:6" ht="18.75" customHeight="1" x14ac:dyDescent="0.25">
      <c r="A35" s="262">
        <v>25</v>
      </c>
      <c r="B35" s="262"/>
      <c r="C35" s="260"/>
      <c r="D35" s="259"/>
      <c r="E35" s="259"/>
      <c r="F35" s="259"/>
    </row>
    <row r="36" spans="1:6" ht="18.75" customHeight="1" x14ac:dyDescent="0.25">
      <c r="A36" s="262">
        <v>26</v>
      </c>
      <c r="B36" s="262"/>
      <c r="C36" s="260"/>
      <c r="D36" s="259"/>
      <c r="E36" s="259"/>
      <c r="F36" s="259"/>
    </row>
    <row r="37" spans="1:6" ht="18.75" customHeight="1" x14ac:dyDescent="0.25">
      <c r="A37" s="262">
        <v>27</v>
      </c>
      <c r="B37" s="262"/>
      <c r="C37" s="260"/>
      <c r="D37" s="259"/>
      <c r="E37" s="259"/>
      <c r="F37" s="259"/>
    </row>
    <row r="38" spans="1:6" ht="18.75" customHeight="1" x14ac:dyDescent="0.25">
      <c r="A38" s="262">
        <v>28</v>
      </c>
      <c r="B38" s="262"/>
      <c r="C38" s="260"/>
      <c r="D38" s="259"/>
      <c r="E38" s="259"/>
      <c r="F38" s="259"/>
    </row>
    <row r="39" spans="1:6" ht="18.75" customHeight="1" x14ac:dyDescent="0.25">
      <c r="A39" s="260"/>
      <c r="B39" s="262"/>
      <c r="C39" s="260"/>
      <c r="D39" s="259"/>
      <c r="E39" s="259"/>
      <c r="F39" s="259"/>
    </row>
    <row r="40" spans="1:6" ht="18.75" customHeight="1" x14ac:dyDescent="0.25">
      <c r="A40" s="260"/>
      <c r="B40" s="262"/>
      <c r="C40" s="260"/>
      <c r="D40" s="259"/>
      <c r="E40" s="259"/>
      <c r="F40" s="259"/>
    </row>
    <row r="41" spans="1:6" ht="18.75" customHeight="1" x14ac:dyDescent="0.25">
      <c r="A41" s="260"/>
      <c r="B41" s="262"/>
      <c r="C41" s="260"/>
      <c r="D41" s="259"/>
      <c r="E41" s="259"/>
      <c r="F41" s="259"/>
    </row>
    <row r="42" spans="1:6" ht="18.75" customHeight="1" x14ac:dyDescent="0.25">
      <c r="A42" s="260"/>
      <c r="B42" s="262"/>
      <c r="C42" s="260"/>
      <c r="D42" s="259"/>
      <c r="E42" s="259"/>
      <c r="F42" s="259"/>
    </row>
    <row r="43" spans="1:6" ht="18.75" customHeight="1" x14ac:dyDescent="0.25">
      <c r="A43" s="260"/>
      <c r="B43" s="262"/>
      <c r="C43" s="260"/>
      <c r="D43" s="259"/>
      <c r="E43" s="259"/>
      <c r="F43" s="259"/>
    </row>
    <row r="44" spans="1:6" ht="18.75" customHeight="1" x14ac:dyDescent="0.25">
      <c r="A44" s="260"/>
      <c r="B44" s="262"/>
      <c r="C44" s="260"/>
      <c r="D44" s="259"/>
      <c r="E44" s="259"/>
      <c r="F44" s="259"/>
    </row>
    <row r="45" spans="1:6" ht="18.75" customHeight="1" x14ac:dyDescent="0.25">
      <c r="A45" s="260"/>
      <c r="B45" s="262"/>
      <c r="C45" s="260"/>
      <c r="D45" s="259"/>
      <c r="E45" s="259"/>
      <c r="F45" s="259"/>
    </row>
    <row r="46" spans="1:6" ht="18.75" customHeight="1" x14ac:dyDescent="0.25">
      <c r="A46" s="260"/>
      <c r="B46" s="262"/>
      <c r="C46" s="260"/>
      <c r="D46" s="259"/>
      <c r="E46" s="259"/>
      <c r="F46" s="259"/>
    </row>
    <row r="47" spans="1:6" ht="18.75" customHeight="1" x14ac:dyDescent="0.25">
      <c r="A47" s="260"/>
      <c r="B47" s="262"/>
      <c r="C47" s="260"/>
      <c r="D47" s="259"/>
      <c r="E47" s="259"/>
      <c r="F47" s="259"/>
    </row>
    <row r="48" spans="1:6" ht="18.75" customHeight="1" x14ac:dyDescent="0.25">
      <c r="A48" s="260"/>
      <c r="B48" s="262"/>
      <c r="C48" s="260"/>
      <c r="D48" s="259"/>
      <c r="E48" s="259"/>
      <c r="F48" s="259"/>
    </row>
    <row r="49" spans="1:6" ht="18.75" customHeight="1" x14ac:dyDescent="0.25">
      <c r="A49" s="260"/>
      <c r="B49" s="262"/>
      <c r="C49" s="260"/>
      <c r="D49" s="259"/>
      <c r="E49" s="259"/>
      <c r="F49" s="259"/>
    </row>
    <row r="50" spans="1:6" ht="18.75" customHeight="1" x14ac:dyDescent="0.25">
      <c r="A50" s="260"/>
      <c r="B50" s="262"/>
      <c r="C50" s="260"/>
      <c r="D50" s="259"/>
      <c r="E50" s="259"/>
      <c r="F50" s="259"/>
    </row>
    <row r="51" spans="1:6" ht="18.75" customHeight="1" x14ac:dyDescent="0.25">
      <c r="A51" s="260"/>
      <c r="B51" s="262"/>
      <c r="C51" s="260"/>
      <c r="D51" s="259"/>
      <c r="E51" s="259"/>
      <c r="F51" s="259"/>
    </row>
    <row r="52" spans="1:6" ht="18.75" customHeight="1" x14ac:dyDescent="0.25">
      <c r="A52" s="260"/>
      <c r="B52" s="262"/>
      <c r="C52" s="260"/>
      <c r="D52" s="259"/>
      <c r="E52" s="259"/>
      <c r="F52" s="259"/>
    </row>
    <row r="53" spans="1:6" ht="18.75" customHeight="1" x14ac:dyDescent="0.25">
      <c r="A53" s="260"/>
      <c r="B53" s="262"/>
      <c r="C53" s="260"/>
      <c r="D53" s="259"/>
      <c r="E53" s="259"/>
      <c r="F53" s="259"/>
    </row>
    <row r="54" spans="1:6" ht="18.75" customHeight="1" x14ac:dyDescent="0.25">
      <c r="A54" s="260"/>
      <c r="B54" s="262"/>
      <c r="C54" s="260"/>
      <c r="D54" s="259"/>
      <c r="E54" s="259"/>
      <c r="F54" s="259"/>
    </row>
    <row r="55" spans="1:6" ht="18.75" customHeight="1" x14ac:dyDescent="0.25">
      <c r="A55" s="260"/>
      <c r="B55" s="262"/>
      <c r="C55" s="260"/>
      <c r="D55" s="259"/>
      <c r="E55" s="259"/>
      <c r="F55" s="259"/>
    </row>
    <row r="56" spans="1:6" ht="18.75" customHeight="1" x14ac:dyDescent="0.25">
      <c r="A56" s="260"/>
      <c r="B56" s="262"/>
      <c r="C56" s="260"/>
      <c r="D56" s="259"/>
      <c r="E56" s="259"/>
      <c r="F56" s="259"/>
    </row>
    <row r="57" spans="1:6" ht="18.75" customHeight="1" x14ac:dyDescent="0.25">
      <c r="A57" s="260"/>
      <c r="B57" s="262"/>
      <c r="C57" s="260"/>
      <c r="D57" s="259"/>
      <c r="E57" s="259"/>
      <c r="F57" s="259"/>
    </row>
    <row r="58" spans="1:6" ht="18.75" customHeight="1" x14ac:dyDescent="0.25">
      <c r="A58" s="260"/>
      <c r="B58" s="262"/>
      <c r="C58" s="260"/>
      <c r="D58" s="259"/>
      <c r="E58" s="259"/>
      <c r="F58" s="259"/>
    </row>
    <row r="59" spans="1:6" ht="18.75" customHeight="1" x14ac:dyDescent="0.25">
      <c r="A59" s="260"/>
      <c r="B59" s="262"/>
      <c r="C59" s="260"/>
      <c r="D59" s="259"/>
      <c r="E59" s="259"/>
      <c r="F59" s="259"/>
    </row>
    <row r="60" spans="1:6" ht="18.75" customHeight="1" x14ac:dyDescent="0.25">
      <c r="A60" s="260"/>
      <c r="B60" s="262"/>
      <c r="C60" s="260"/>
      <c r="D60" s="259"/>
      <c r="E60" s="259"/>
      <c r="F60" s="259"/>
    </row>
    <row r="61" spans="1:6" ht="18.75" customHeight="1" x14ac:dyDescent="0.25">
      <c r="A61" s="260"/>
      <c r="B61" s="262"/>
      <c r="C61" s="260"/>
      <c r="D61" s="259"/>
      <c r="E61" s="259"/>
      <c r="F61" s="259"/>
    </row>
    <row r="62" spans="1:6" ht="18.75" customHeight="1" x14ac:dyDescent="0.25">
      <c r="A62" s="260"/>
      <c r="B62" s="262"/>
      <c r="C62" s="260"/>
      <c r="D62" s="259"/>
      <c r="E62" s="259"/>
      <c r="F62" s="259"/>
    </row>
    <row r="63" spans="1:6" ht="18.75" customHeight="1" x14ac:dyDescent="0.25">
      <c r="A63" s="260"/>
      <c r="B63" s="262"/>
      <c r="C63" s="260"/>
      <c r="D63" s="259"/>
      <c r="E63" s="259"/>
      <c r="F63" s="259"/>
    </row>
    <row r="64" spans="1:6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3C00-000000000000}"/>
  </hyperlinks>
  <pageMargins left="0.7" right="0.7" top="0.75" bottom="0.75" header="0.3" footer="0.3"/>
  <pageSetup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  <col min="8" max="8" width="12.5703125" bestFit="1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887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213440000</v>
      </c>
    </row>
    <row r="6" spans="1:7" x14ac:dyDescent="0.25">
      <c r="E6" s="2" t="s">
        <v>11</v>
      </c>
      <c r="F6" s="2">
        <f>SUM(E10:E68)</f>
        <v>213440000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44407</v>
      </c>
      <c r="C11" s="260" t="s">
        <v>882</v>
      </c>
      <c r="D11" s="279">
        <v>22340000</v>
      </c>
      <c r="E11" s="259"/>
      <c r="F11" s="259"/>
      <c r="G11" t="s">
        <v>925</v>
      </c>
    </row>
    <row r="12" spans="1:7" ht="18.75" customHeight="1" x14ac:dyDescent="0.25">
      <c r="A12" s="262">
        <v>2</v>
      </c>
      <c r="B12" s="261">
        <v>44439</v>
      </c>
      <c r="C12" s="260" t="s">
        <v>924</v>
      </c>
      <c r="D12" s="279">
        <v>141500000</v>
      </c>
      <c r="E12" s="259"/>
      <c r="F12" s="259"/>
    </row>
    <row r="13" spans="1:7" ht="18.75" customHeight="1" x14ac:dyDescent="0.25">
      <c r="A13" s="262">
        <v>3</v>
      </c>
      <c r="B13" s="261">
        <v>44438</v>
      </c>
      <c r="C13" s="260" t="s">
        <v>942</v>
      </c>
      <c r="D13" s="279">
        <v>5000000</v>
      </c>
      <c r="E13" s="259"/>
      <c r="F13" s="259"/>
    </row>
    <row r="14" spans="1:7" ht="18.75" customHeight="1" x14ac:dyDescent="0.25">
      <c r="A14" s="262">
        <v>4</v>
      </c>
      <c r="B14" s="261">
        <v>44461</v>
      </c>
      <c r="C14" s="260" t="s">
        <v>935</v>
      </c>
      <c r="D14" s="279"/>
      <c r="E14" s="259">
        <v>22340000</v>
      </c>
      <c r="F14" s="259"/>
    </row>
    <row r="15" spans="1:7" ht="18.75" customHeight="1" x14ac:dyDescent="0.25">
      <c r="A15" s="262">
        <v>5</v>
      </c>
      <c r="B15" s="261">
        <v>44450</v>
      </c>
      <c r="C15" s="260" t="s">
        <v>943</v>
      </c>
      <c r="D15" s="279">
        <v>3200000</v>
      </c>
      <c r="E15" s="259"/>
      <c r="F15" s="259"/>
    </row>
    <row r="16" spans="1:7" ht="18.75" customHeight="1" x14ac:dyDescent="0.25">
      <c r="A16" s="262">
        <v>6</v>
      </c>
      <c r="B16" s="261">
        <v>44469</v>
      </c>
      <c r="C16" s="260" t="s">
        <v>944</v>
      </c>
      <c r="D16" s="279">
        <v>33900000</v>
      </c>
      <c r="E16" s="259"/>
      <c r="F16" s="259"/>
    </row>
    <row r="17" spans="1:8" ht="18.75" customHeight="1" x14ac:dyDescent="0.25">
      <c r="A17" s="262">
        <v>7</v>
      </c>
      <c r="B17" s="261">
        <v>44477</v>
      </c>
      <c r="C17" s="260" t="s">
        <v>978</v>
      </c>
      <c r="D17" s="279">
        <v>7500000</v>
      </c>
      <c r="E17" s="259"/>
      <c r="F17" s="259"/>
    </row>
    <row r="18" spans="1:8" ht="18.75" customHeight="1" x14ac:dyDescent="0.25">
      <c r="A18" s="262">
        <v>8</v>
      </c>
      <c r="B18" s="261">
        <v>44502</v>
      </c>
      <c r="C18" s="260" t="s">
        <v>935</v>
      </c>
      <c r="D18" s="279"/>
      <c r="E18" s="259">
        <v>90200000</v>
      </c>
      <c r="F18" s="259"/>
    </row>
    <row r="19" spans="1:8" ht="18.75" customHeight="1" x14ac:dyDescent="0.25">
      <c r="A19" s="262">
        <v>9</v>
      </c>
      <c r="B19" s="261">
        <v>44511</v>
      </c>
      <c r="C19" s="260" t="s">
        <v>935</v>
      </c>
      <c r="D19" s="259"/>
      <c r="E19" s="259">
        <v>82500000</v>
      </c>
      <c r="F19" s="259"/>
    </row>
    <row r="20" spans="1:8" ht="18.75" customHeight="1" x14ac:dyDescent="0.25">
      <c r="A20" s="262">
        <v>10</v>
      </c>
      <c r="B20" s="261">
        <v>44558</v>
      </c>
      <c r="C20" s="260" t="s">
        <v>935</v>
      </c>
      <c r="D20" s="259"/>
      <c r="E20" s="259">
        <v>18400000</v>
      </c>
      <c r="F20" s="259"/>
      <c r="H20" s="242">
        <f>D11+D12+D16</f>
        <v>197740000</v>
      </c>
    </row>
    <row r="21" spans="1:8" ht="18.75" customHeight="1" x14ac:dyDescent="0.25">
      <c r="A21" s="262">
        <v>11</v>
      </c>
      <c r="B21" s="261"/>
      <c r="C21" s="260"/>
      <c r="D21" s="259"/>
      <c r="E21" s="259"/>
      <c r="F21" s="259"/>
    </row>
    <row r="22" spans="1:8" ht="18.75" customHeight="1" x14ac:dyDescent="0.25">
      <c r="A22" s="262">
        <v>12</v>
      </c>
      <c r="B22" s="261"/>
      <c r="C22" s="260"/>
      <c r="D22" s="259"/>
      <c r="E22" s="259"/>
      <c r="F22" s="259"/>
    </row>
    <row r="23" spans="1:8" ht="18.75" customHeight="1" x14ac:dyDescent="0.25">
      <c r="A23" s="262">
        <v>13</v>
      </c>
      <c r="B23" s="261"/>
      <c r="C23" s="260"/>
      <c r="D23" s="259"/>
      <c r="E23" s="259"/>
      <c r="F23" s="259"/>
    </row>
    <row r="24" spans="1:8" ht="18.75" customHeight="1" x14ac:dyDescent="0.25">
      <c r="A24" s="262">
        <v>14</v>
      </c>
      <c r="B24" s="261"/>
      <c r="C24" s="260"/>
      <c r="D24" s="259"/>
      <c r="E24" s="259"/>
      <c r="F24" s="259"/>
    </row>
    <row r="25" spans="1:8" ht="18.75" customHeight="1" x14ac:dyDescent="0.25">
      <c r="A25" s="262">
        <v>15</v>
      </c>
      <c r="B25" s="261"/>
      <c r="C25" s="260"/>
      <c r="D25" s="259"/>
      <c r="E25" s="259"/>
      <c r="F25" s="259"/>
    </row>
    <row r="26" spans="1:8" ht="18.75" customHeight="1" x14ac:dyDescent="0.25">
      <c r="A26" s="262">
        <v>16</v>
      </c>
      <c r="B26" s="261"/>
      <c r="C26" s="260"/>
      <c r="D26" s="259"/>
      <c r="E26" s="259"/>
      <c r="F26" s="259"/>
    </row>
    <row r="27" spans="1:8" ht="18.75" customHeight="1" x14ac:dyDescent="0.25">
      <c r="A27" s="262">
        <v>17</v>
      </c>
      <c r="B27" s="261"/>
      <c r="C27" s="260"/>
      <c r="D27" s="259"/>
      <c r="E27" s="259"/>
      <c r="F27" s="259"/>
    </row>
    <row r="28" spans="1:8" ht="18.75" customHeight="1" x14ac:dyDescent="0.25">
      <c r="A28" s="262">
        <v>18</v>
      </c>
      <c r="B28" s="261"/>
      <c r="C28" s="260"/>
      <c r="D28" s="259"/>
      <c r="E28" s="259"/>
      <c r="F28" s="259"/>
    </row>
    <row r="29" spans="1:8" ht="18.75" customHeight="1" x14ac:dyDescent="0.25">
      <c r="A29" s="262">
        <v>19</v>
      </c>
      <c r="B29" s="261"/>
      <c r="C29" s="260"/>
      <c r="D29" s="259"/>
      <c r="E29" s="259"/>
      <c r="F29" s="259"/>
    </row>
    <row r="30" spans="1:8" ht="18.75" customHeight="1" x14ac:dyDescent="0.25">
      <c r="A30" s="262">
        <v>20</v>
      </c>
      <c r="B30" s="261"/>
      <c r="C30" s="260"/>
      <c r="D30" s="259"/>
      <c r="E30" s="259"/>
      <c r="F30" s="259"/>
    </row>
    <row r="31" spans="1:8" ht="18.75" customHeight="1" x14ac:dyDescent="0.25">
      <c r="A31" s="262">
        <v>21</v>
      </c>
      <c r="B31" s="261"/>
      <c r="C31" s="260"/>
      <c r="D31" s="259"/>
      <c r="E31" s="259"/>
      <c r="F31" s="259"/>
    </row>
    <row r="32" spans="1:8" ht="18.75" customHeight="1" x14ac:dyDescent="0.25">
      <c r="A32" s="262">
        <v>22</v>
      </c>
      <c r="B32" s="262"/>
      <c r="C32" s="260"/>
      <c r="D32" s="259"/>
      <c r="E32" s="259"/>
      <c r="F32" s="259"/>
    </row>
    <row r="33" spans="1:6" ht="18.75" customHeight="1" x14ac:dyDescent="0.25">
      <c r="A33" s="262">
        <v>23</v>
      </c>
      <c r="B33" s="262"/>
      <c r="C33" s="260"/>
      <c r="D33" s="259"/>
      <c r="E33" s="259"/>
      <c r="F33" s="259"/>
    </row>
    <row r="34" spans="1:6" ht="18.75" customHeight="1" x14ac:dyDescent="0.25">
      <c r="A34" s="262">
        <v>24</v>
      </c>
      <c r="B34" s="262"/>
      <c r="C34" s="260"/>
      <c r="D34" s="259"/>
      <c r="E34" s="259"/>
      <c r="F34" s="259"/>
    </row>
    <row r="35" spans="1:6" ht="18.75" customHeight="1" x14ac:dyDescent="0.25">
      <c r="A35" s="262">
        <v>25</v>
      </c>
      <c r="B35" s="262"/>
      <c r="C35" s="260"/>
      <c r="D35" s="259"/>
      <c r="E35" s="259"/>
      <c r="F35" s="259"/>
    </row>
    <row r="36" spans="1:6" ht="18.75" customHeight="1" x14ac:dyDescent="0.25">
      <c r="A36" s="262">
        <v>26</v>
      </c>
      <c r="B36" s="262"/>
      <c r="C36" s="260"/>
      <c r="D36" s="259"/>
      <c r="E36" s="259"/>
      <c r="F36" s="259"/>
    </row>
    <row r="37" spans="1:6" ht="18.75" customHeight="1" x14ac:dyDescent="0.25">
      <c r="A37" s="262">
        <v>27</v>
      </c>
      <c r="B37" s="262"/>
      <c r="C37" s="260"/>
      <c r="D37" s="259"/>
      <c r="E37" s="259"/>
      <c r="F37" s="259"/>
    </row>
    <row r="38" spans="1:6" ht="18.75" customHeight="1" x14ac:dyDescent="0.25">
      <c r="A38" s="262">
        <v>28</v>
      </c>
      <c r="B38" s="262"/>
      <c r="C38" s="260"/>
      <c r="D38" s="259"/>
      <c r="E38" s="259"/>
      <c r="F38" s="259"/>
    </row>
    <row r="39" spans="1:6" ht="18.75" customHeight="1" x14ac:dyDescent="0.25">
      <c r="A39" s="260"/>
      <c r="B39" s="262"/>
      <c r="C39" s="260"/>
      <c r="D39" s="259"/>
      <c r="E39" s="259"/>
      <c r="F39" s="259"/>
    </row>
    <row r="40" spans="1:6" ht="18.75" customHeight="1" x14ac:dyDescent="0.25">
      <c r="A40" s="260"/>
      <c r="B40" s="262"/>
      <c r="C40" s="260"/>
      <c r="D40" s="259"/>
      <c r="E40" s="259"/>
      <c r="F40" s="259"/>
    </row>
    <row r="41" spans="1:6" ht="18.75" customHeight="1" x14ac:dyDescent="0.25">
      <c r="A41" s="260"/>
      <c r="B41" s="262"/>
      <c r="C41" s="260"/>
      <c r="D41" s="259"/>
      <c r="E41" s="259"/>
      <c r="F41" s="259"/>
    </row>
    <row r="42" spans="1:6" ht="18.75" customHeight="1" x14ac:dyDescent="0.25">
      <c r="A42" s="260"/>
      <c r="B42" s="262"/>
      <c r="C42" s="260"/>
      <c r="D42" s="259"/>
      <c r="E42" s="259"/>
      <c r="F42" s="259"/>
    </row>
    <row r="43" spans="1:6" ht="18.75" customHeight="1" x14ac:dyDescent="0.25">
      <c r="A43" s="260"/>
      <c r="B43" s="262"/>
      <c r="C43" s="260"/>
      <c r="D43" s="259"/>
      <c r="E43" s="259"/>
      <c r="F43" s="259"/>
    </row>
    <row r="44" spans="1:6" ht="18.75" customHeight="1" x14ac:dyDescent="0.25">
      <c r="A44" s="260"/>
      <c r="B44" s="262"/>
      <c r="C44" s="260"/>
      <c r="D44" s="259"/>
      <c r="E44" s="259"/>
      <c r="F44" s="259"/>
    </row>
    <row r="45" spans="1:6" ht="18.75" customHeight="1" x14ac:dyDescent="0.25">
      <c r="A45" s="260"/>
      <c r="B45" s="262"/>
      <c r="C45" s="260"/>
      <c r="D45" s="259"/>
      <c r="E45" s="259"/>
      <c r="F45" s="259"/>
    </row>
    <row r="46" spans="1:6" ht="18.75" customHeight="1" x14ac:dyDescent="0.25">
      <c r="A46" s="260"/>
      <c r="B46" s="262"/>
      <c r="C46" s="260"/>
      <c r="D46" s="259"/>
      <c r="E46" s="259"/>
      <c r="F46" s="259"/>
    </row>
    <row r="47" spans="1:6" ht="18.75" customHeight="1" x14ac:dyDescent="0.25">
      <c r="A47" s="260"/>
      <c r="B47" s="262"/>
      <c r="C47" s="260"/>
      <c r="D47" s="259"/>
      <c r="E47" s="259"/>
      <c r="F47" s="259"/>
    </row>
    <row r="48" spans="1:6" ht="18.75" customHeight="1" x14ac:dyDescent="0.25">
      <c r="A48" s="260"/>
      <c r="B48" s="262"/>
      <c r="C48" s="260"/>
      <c r="D48" s="259"/>
      <c r="E48" s="259"/>
      <c r="F48" s="259"/>
    </row>
    <row r="49" spans="1:6" ht="18.75" customHeight="1" x14ac:dyDescent="0.25">
      <c r="A49" s="260"/>
      <c r="B49" s="262"/>
      <c r="C49" s="260"/>
      <c r="D49" s="259"/>
      <c r="E49" s="259"/>
      <c r="F49" s="259"/>
    </row>
    <row r="50" spans="1:6" ht="18.75" customHeight="1" x14ac:dyDescent="0.25">
      <c r="A50" s="260"/>
      <c r="B50" s="262"/>
      <c r="C50" s="260"/>
      <c r="D50" s="259"/>
      <c r="E50" s="259"/>
      <c r="F50" s="259"/>
    </row>
    <row r="51" spans="1:6" ht="18.75" customHeight="1" x14ac:dyDescent="0.25">
      <c r="A51" s="260"/>
      <c r="B51" s="262"/>
      <c r="C51" s="260"/>
      <c r="D51" s="259"/>
      <c r="E51" s="259"/>
      <c r="F51" s="259"/>
    </row>
    <row r="52" spans="1:6" ht="18.75" customHeight="1" x14ac:dyDescent="0.25">
      <c r="A52" s="260"/>
      <c r="B52" s="262"/>
      <c r="C52" s="260"/>
      <c r="D52" s="259"/>
      <c r="E52" s="259"/>
      <c r="F52" s="259"/>
    </row>
    <row r="53" spans="1:6" ht="18.75" customHeight="1" x14ac:dyDescent="0.25">
      <c r="A53" s="260"/>
      <c r="B53" s="262"/>
      <c r="C53" s="260"/>
      <c r="D53" s="259"/>
      <c r="E53" s="259"/>
      <c r="F53" s="259"/>
    </row>
    <row r="54" spans="1:6" ht="18.75" customHeight="1" x14ac:dyDescent="0.25">
      <c r="A54" s="260"/>
      <c r="B54" s="262"/>
      <c r="C54" s="260"/>
      <c r="D54" s="259"/>
      <c r="E54" s="259"/>
      <c r="F54" s="259"/>
    </row>
    <row r="55" spans="1:6" ht="18.75" customHeight="1" x14ac:dyDescent="0.25">
      <c r="A55" s="260"/>
      <c r="B55" s="262"/>
      <c r="C55" s="260"/>
      <c r="D55" s="259"/>
      <c r="E55" s="259"/>
      <c r="F55" s="259"/>
    </row>
    <row r="56" spans="1:6" ht="18.75" customHeight="1" x14ac:dyDescent="0.25">
      <c r="A56" s="260"/>
      <c r="B56" s="262"/>
      <c r="C56" s="260"/>
      <c r="D56" s="259"/>
      <c r="E56" s="259"/>
      <c r="F56" s="259"/>
    </row>
    <row r="57" spans="1:6" ht="18.75" customHeight="1" x14ac:dyDescent="0.25">
      <c r="A57" s="260"/>
      <c r="B57" s="262"/>
      <c r="C57" s="260"/>
      <c r="D57" s="259"/>
      <c r="E57" s="259"/>
      <c r="F57" s="259"/>
    </row>
    <row r="58" spans="1:6" ht="18.75" customHeight="1" x14ac:dyDescent="0.25">
      <c r="A58" s="260"/>
      <c r="B58" s="262"/>
      <c r="C58" s="260"/>
      <c r="D58" s="259"/>
      <c r="E58" s="259"/>
      <c r="F58" s="259"/>
    </row>
    <row r="59" spans="1:6" ht="18.75" customHeight="1" x14ac:dyDescent="0.25">
      <c r="A59" s="260"/>
      <c r="B59" s="262"/>
      <c r="C59" s="260"/>
      <c r="D59" s="259"/>
      <c r="E59" s="259"/>
      <c r="F59" s="259"/>
    </row>
    <row r="60" spans="1:6" ht="18.75" customHeight="1" x14ac:dyDescent="0.25">
      <c r="A60" s="260"/>
      <c r="B60" s="262"/>
      <c r="C60" s="260"/>
      <c r="D60" s="259"/>
      <c r="E60" s="259"/>
      <c r="F60" s="259"/>
    </row>
    <row r="61" spans="1:6" ht="18.75" customHeight="1" x14ac:dyDescent="0.25">
      <c r="A61" s="260"/>
      <c r="B61" s="262"/>
      <c r="C61" s="260"/>
      <c r="D61" s="259"/>
      <c r="E61" s="259"/>
      <c r="F61" s="259"/>
    </row>
    <row r="62" spans="1:6" ht="18.75" customHeight="1" x14ac:dyDescent="0.25">
      <c r="A62" s="260"/>
      <c r="B62" s="262"/>
      <c r="C62" s="260"/>
      <c r="D62" s="259"/>
      <c r="E62" s="259"/>
      <c r="F62" s="259"/>
    </row>
    <row r="63" spans="1:6" ht="18.75" customHeight="1" x14ac:dyDescent="0.25">
      <c r="A63" s="260"/>
      <c r="B63" s="262"/>
      <c r="C63" s="260"/>
      <c r="D63" s="259"/>
      <c r="E63" s="259"/>
      <c r="F63" s="259"/>
    </row>
    <row r="64" spans="1:6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00000000-0004-0000-3D00-000000000000}"/>
  </hyperlinks>
  <pageMargins left="0.7" right="0.7" top="0.75" bottom="0.75" header="0.3" footer="0.3"/>
  <pageSetup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5DA9-9B26-4E43-8F02-C8094FA72EB8}">
  <dimension ref="A1:G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945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45890000</v>
      </c>
    </row>
    <row r="6" spans="1:7" x14ac:dyDescent="0.25">
      <c r="E6" s="2" t="s">
        <v>11</v>
      </c>
      <c r="F6" s="2">
        <f>SUM(E10:E68)</f>
        <v>45890000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44464</v>
      </c>
      <c r="C11" s="260" t="s">
        <v>946</v>
      </c>
      <c r="D11" s="279">
        <v>31740000</v>
      </c>
      <c r="E11" s="259"/>
      <c r="F11" s="259"/>
    </row>
    <row r="12" spans="1:7" ht="18.75" customHeight="1" x14ac:dyDescent="0.25">
      <c r="A12" s="262">
        <v>2</v>
      </c>
      <c r="B12" s="261">
        <v>44497</v>
      </c>
      <c r="C12" s="260" t="s">
        <v>982</v>
      </c>
      <c r="D12" s="279">
        <v>14150000</v>
      </c>
      <c r="E12" s="259"/>
      <c r="F12" s="259"/>
    </row>
    <row r="13" spans="1:7" ht="18.75" customHeight="1" x14ac:dyDescent="0.25">
      <c r="A13" s="262">
        <v>3</v>
      </c>
      <c r="B13" s="261">
        <v>44505</v>
      </c>
      <c r="C13" s="260" t="s">
        <v>990</v>
      </c>
      <c r="D13" s="279"/>
      <c r="E13" s="259">
        <v>31740000</v>
      </c>
      <c r="F13" s="259"/>
    </row>
    <row r="14" spans="1:7" ht="18.75" customHeight="1" x14ac:dyDescent="0.25">
      <c r="A14" s="262">
        <v>4</v>
      </c>
      <c r="B14" s="261">
        <v>44539</v>
      </c>
      <c r="C14" s="260" t="s">
        <v>990</v>
      </c>
      <c r="D14" s="279"/>
      <c r="E14" s="259">
        <f>12500000+1650000</f>
        <v>14150000</v>
      </c>
      <c r="F14" s="259"/>
    </row>
    <row r="15" spans="1:7" ht="18.75" customHeight="1" x14ac:dyDescent="0.25">
      <c r="A15" s="262">
        <v>5</v>
      </c>
      <c r="B15" s="261"/>
      <c r="C15" s="260"/>
      <c r="D15" s="279"/>
      <c r="E15" s="259"/>
      <c r="F15" s="259"/>
    </row>
    <row r="16" spans="1:7" ht="18.75" customHeight="1" x14ac:dyDescent="0.25">
      <c r="A16" s="262">
        <v>6</v>
      </c>
      <c r="B16" s="261"/>
      <c r="C16" s="260"/>
      <c r="D16" s="279"/>
      <c r="E16" s="259"/>
      <c r="F16" s="259"/>
    </row>
    <row r="17" spans="1:6" ht="18.75" customHeight="1" x14ac:dyDescent="0.25">
      <c r="A17" s="262">
        <v>7</v>
      </c>
      <c r="B17" s="261"/>
      <c r="C17" s="260"/>
      <c r="D17" s="279"/>
      <c r="E17" s="259"/>
      <c r="F17" s="259"/>
    </row>
    <row r="18" spans="1:6" ht="18.75" customHeight="1" x14ac:dyDescent="0.25">
      <c r="A18" s="262">
        <v>8</v>
      </c>
      <c r="B18" s="261"/>
      <c r="C18" s="260"/>
      <c r="D18" s="279"/>
      <c r="E18" s="259"/>
      <c r="F18" s="259"/>
    </row>
    <row r="19" spans="1:6" ht="18.75" customHeight="1" x14ac:dyDescent="0.25">
      <c r="A19" s="262">
        <v>9</v>
      </c>
      <c r="B19" s="261"/>
      <c r="C19" s="260"/>
      <c r="D19" s="259"/>
      <c r="E19" s="259"/>
      <c r="F19" s="259"/>
    </row>
    <row r="20" spans="1:6" ht="18.75" customHeight="1" x14ac:dyDescent="0.25">
      <c r="A20" s="262">
        <v>10</v>
      </c>
      <c r="B20" s="261"/>
      <c r="C20" s="260"/>
      <c r="D20" s="259"/>
      <c r="E20" s="259"/>
      <c r="F20" s="259"/>
    </row>
    <row r="21" spans="1:6" ht="18.75" customHeight="1" x14ac:dyDescent="0.25">
      <c r="A21" s="262">
        <v>11</v>
      </c>
      <c r="B21" s="261"/>
      <c r="C21" s="260"/>
      <c r="D21" s="259"/>
      <c r="E21" s="259"/>
      <c r="F21" s="259"/>
    </row>
    <row r="22" spans="1:6" ht="18.75" customHeight="1" x14ac:dyDescent="0.25">
      <c r="A22" s="262">
        <v>12</v>
      </c>
      <c r="B22" s="261"/>
      <c r="C22" s="260"/>
      <c r="D22" s="259"/>
      <c r="E22" s="259"/>
      <c r="F22" s="259"/>
    </row>
    <row r="23" spans="1:6" ht="18.75" customHeight="1" x14ac:dyDescent="0.25">
      <c r="A23" s="262">
        <v>13</v>
      </c>
      <c r="B23" s="261"/>
      <c r="C23" s="260"/>
      <c r="D23" s="259"/>
      <c r="E23" s="259"/>
      <c r="F23" s="259"/>
    </row>
    <row r="24" spans="1:6" ht="18.75" customHeight="1" x14ac:dyDescent="0.25">
      <c r="A24" s="262">
        <v>14</v>
      </c>
      <c r="B24" s="261"/>
      <c r="C24" s="260"/>
      <c r="D24" s="259"/>
      <c r="E24" s="259"/>
      <c r="F24" s="259"/>
    </row>
    <row r="25" spans="1:6" ht="18.75" customHeight="1" x14ac:dyDescent="0.25">
      <c r="A25" s="262">
        <v>15</v>
      </c>
      <c r="B25" s="261"/>
      <c r="C25" s="260"/>
      <c r="D25" s="259"/>
      <c r="E25" s="259"/>
      <c r="F25" s="259"/>
    </row>
    <row r="26" spans="1:6" ht="18.75" customHeight="1" x14ac:dyDescent="0.25">
      <c r="A26" s="262">
        <v>16</v>
      </c>
      <c r="B26" s="261"/>
      <c r="C26" s="260"/>
      <c r="D26" s="259"/>
      <c r="E26" s="259"/>
      <c r="F26" s="259"/>
    </row>
    <row r="27" spans="1:6" ht="18.75" customHeight="1" x14ac:dyDescent="0.25">
      <c r="A27" s="262">
        <v>17</v>
      </c>
      <c r="B27" s="261"/>
      <c r="C27" s="260"/>
      <c r="D27" s="259"/>
      <c r="E27" s="259"/>
      <c r="F27" s="259"/>
    </row>
    <row r="28" spans="1:6" ht="18.75" customHeight="1" x14ac:dyDescent="0.25">
      <c r="A28" s="262">
        <v>18</v>
      </c>
      <c r="B28" s="261"/>
      <c r="C28" s="260"/>
      <c r="D28" s="259"/>
      <c r="E28" s="259"/>
      <c r="F28" s="259"/>
    </row>
    <row r="29" spans="1:6" ht="18.75" customHeight="1" x14ac:dyDescent="0.25">
      <c r="A29" s="262">
        <v>19</v>
      </c>
      <c r="B29" s="261"/>
      <c r="C29" s="260"/>
      <c r="D29" s="259"/>
      <c r="E29" s="259"/>
      <c r="F29" s="259"/>
    </row>
    <row r="30" spans="1:6" ht="18.75" customHeight="1" x14ac:dyDescent="0.25">
      <c r="A30" s="262">
        <v>20</v>
      </c>
      <c r="B30" s="261"/>
      <c r="C30" s="260"/>
      <c r="D30" s="259"/>
      <c r="E30" s="259"/>
      <c r="F30" s="259"/>
    </row>
    <row r="31" spans="1:6" ht="18.75" customHeight="1" x14ac:dyDescent="0.25">
      <c r="A31" s="262">
        <v>21</v>
      </c>
      <c r="B31" s="261"/>
      <c r="C31" s="260"/>
      <c r="D31" s="259"/>
      <c r="E31" s="259"/>
      <c r="F31" s="259"/>
    </row>
    <row r="32" spans="1:6" ht="18.75" customHeight="1" x14ac:dyDescent="0.25">
      <c r="A32" s="262">
        <v>22</v>
      </c>
      <c r="B32" s="262"/>
      <c r="C32" s="260"/>
      <c r="D32" s="259"/>
      <c r="E32" s="259"/>
      <c r="F32" s="259"/>
    </row>
    <row r="33" spans="1:6" ht="18.75" customHeight="1" x14ac:dyDescent="0.25">
      <c r="A33" s="262">
        <v>23</v>
      </c>
      <c r="B33" s="262"/>
      <c r="C33" s="260"/>
      <c r="D33" s="259"/>
      <c r="E33" s="259"/>
      <c r="F33" s="259"/>
    </row>
    <row r="34" spans="1:6" ht="18.75" customHeight="1" x14ac:dyDescent="0.25">
      <c r="A34" s="262">
        <v>24</v>
      </c>
      <c r="B34" s="262"/>
      <c r="C34" s="260"/>
      <c r="D34" s="259"/>
      <c r="E34" s="259"/>
      <c r="F34" s="259"/>
    </row>
    <row r="35" spans="1:6" ht="18.75" customHeight="1" x14ac:dyDescent="0.25">
      <c r="A35" s="262">
        <v>25</v>
      </c>
      <c r="B35" s="262"/>
      <c r="C35" s="260"/>
      <c r="D35" s="259"/>
      <c r="E35" s="259"/>
      <c r="F35" s="259"/>
    </row>
    <row r="36" spans="1:6" ht="18.75" customHeight="1" x14ac:dyDescent="0.25">
      <c r="A36" s="262">
        <v>26</v>
      </c>
      <c r="B36" s="262"/>
      <c r="C36" s="260"/>
      <c r="D36" s="259"/>
      <c r="E36" s="259"/>
      <c r="F36" s="259"/>
    </row>
    <row r="37" spans="1:6" ht="18.75" customHeight="1" x14ac:dyDescent="0.25">
      <c r="A37" s="262">
        <v>27</v>
      </c>
      <c r="B37" s="262"/>
      <c r="C37" s="260"/>
      <c r="D37" s="259"/>
      <c r="E37" s="259"/>
      <c r="F37" s="259"/>
    </row>
    <row r="38" spans="1:6" ht="18.75" customHeight="1" x14ac:dyDescent="0.25">
      <c r="A38" s="262">
        <v>28</v>
      </c>
      <c r="B38" s="262"/>
      <c r="C38" s="260"/>
      <c r="D38" s="259"/>
      <c r="E38" s="259"/>
      <c r="F38" s="259"/>
    </row>
    <row r="39" spans="1:6" ht="18.75" customHeight="1" x14ac:dyDescent="0.25">
      <c r="A39" s="260"/>
      <c r="B39" s="262"/>
      <c r="C39" s="260"/>
      <c r="D39" s="259"/>
      <c r="E39" s="259"/>
      <c r="F39" s="259"/>
    </row>
    <row r="40" spans="1:6" ht="18.75" customHeight="1" x14ac:dyDescent="0.25">
      <c r="A40" s="260"/>
      <c r="B40" s="262"/>
      <c r="C40" s="260"/>
      <c r="D40" s="259"/>
      <c r="E40" s="259"/>
      <c r="F40" s="259"/>
    </row>
    <row r="41" spans="1:6" ht="18.75" customHeight="1" x14ac:dyDescent="0.25">
      <c r="A41" s="260"/>
      <c r="B41" s="262"/>
      <c r="C41" s="260"/>
      <c r="D41" s="259"/>
      <c r="E41" s="259"/>
      <c r="F41" s="259"/>
    </row>
    <row r="42" spans="1:6" ht="18.75" customHeight="1" x14ac:dyDescent="0.25">
      <c r="A42" s="260"/>
      <c r="B42" s="262"/>
      <c r="C42" s="260"/>
      <c r="D42" s="259"/>
      <c r="E42" s="259"/>
      <c r="F42" s="259"/>
    </row>
    <row r="43" spans="1:6" ht="18.75" customHeight="1" x14ac:dyDescent="0.25">
      <c r="A43" s="260"/>
      <c r="B43" s="262"/>
      <c r="C43" s="260"/>
      <c r="D43" s="259"/>
      <c r="E43" s="259"/>
      <c r="F43" s="259"/>
    </row>
    <row r="44" spans="1:6" ht="18.75" customHeight="1" x14ac:dyDescent="0.25">
      <c r="A44" s="260"/>
      <c r="B44" s="262"/>
      <c r="C44" s="260"/>
      <c r="D44" s="259"/>
      <c r="E44" s="259"/>
      <c r="F44" s="259"/>
    </row>
    <row r="45" spans="1:6" ht="18.75" customHeight="1" x14ac:dyDescent="0.25">
      <c r="A45" s="260"/>
      <c r="B45" s="262"/>
      <c r="C45" s="260"/>
      <c r="D45" s="259"/>
      <c r="E45" s="259"/>
      <c r="F45" s="259"/>
    </row>
    <row r="46" spans="1:6" ht="18.75" customHeight="1" x14ac:dyDescent="0.25">
      <c r="A46" s="260"/>
      <c r="B46" s="262"/>
      <c r="C46" s="260"/>
      <c r="D46" s="259"/>
      <c r="E46" s="259"/>
      <c r="F46" s="259"/>
    </row>
    <row r="47" spans="1:6" ht="18.75" customHeight="1" x14ac:dyDescent="0.25">
      <c r="A47" s="260"/>
      <c r="B47" s="262"/>
      <c r="C47" s="260"/>
      <c r="D47" s="259"/>
      <c r="E47" s="259"/>
      <c r="F47" s="259"/>
    </row>
    <row r="48" spans="1:6" ht="18.75" customHeight="1" x14ac:dyDescent="0.25">
      <c r="A48" s="260"/>
      <c r="B48" s="262"/>
      <c r="C48" s="260"/>
      <c r="D48" s="259"/>
      <c r="E48" s="259"/>
      <c r="F48" s="259"/>
    </row>
    <row r="49" spans="1:6" ht="18.75" customHeight="1" x14ac:dyDescent="0.25">
      <c r="A49" s="260"/>
      <c r="B49" s="262"/>
      <c r="C49" s="260"/>
      <c r="D49" s="259"/>
      <c r="E49" s="259"/>
      <c r="F49" s="259"/>
    </row>
    <row r="50" spans="1:6" ht="18.75" customHeight="1" x14ac:dyDescent="0.25">
      <c r="A50" s="260"/>
      <c r="B50" s="262"/>
      <c r="C50" s="260"/>
      <c r="D50" s="259"/>
      <c r="E50" s="259"/>
      <c r="F50" s="259"/>
    </row>
    <row r="51" spans="1:6" ht="18.75" customHeight="1" x14ac:dyDescent="0.25">
      <c r="A51" s="260"/>
      <c r="B51" s="262"/>
      <c r="C51" s="260"/>
      <c r="D51" s="259"/>
      <c r="E51" s="259"/>
      <c r="F51" s="259"/>
    </row>
    <row r="52" spans="1:6" ht="18.75" customHeight="1" x14ac:dyDescent="0.25">
      <c r="A52" s="260"/>
      <c r="B52" s="262"/>
      <c r="C52" s="260"/>
      <c r="D52" s="259"/>
      <c r="E52" s="259"/>
      <c r="F52" s="259"/>
    </row>
    <row r="53" spans="1:6" ht="18.75" customHeight="1" x14ac:dyDescent="0.25">
      <c r="A53" s="260"/>
      <c r="B53" s="262"/>
      <c r="C53" s="260"/>
      <c r="D53" s="259"/>
      <c r="E53" s="259"/>
      <c r="F53" s="259"/>
    </row>
    <row r="54" spans="1:6" ht="18.75" customHeight="1" x14ac:dyDescent="0.25">
      <c r="A54" s="260"/>
      <c r="B54" s="262"/>
      <c r="C54" s="260"/>
      <c r="D54" s="259"/>
      <c r="E54" s="259"/>
      <c r="F54" s="259"/>
    </row>
    <row r="55" spans="1:6" ht="18.75" customHeight="1" x14ac:dyDescent="0.25">
      <c r="A55" s="260"/>
      <c r="B55" s="262"/>
      <c r="C55" s="260"/>
      <c r="D55" s="259"/>
      <c r="E55" s="259"/>
      <c r="F55" s="259"/>
    </row>
    <row r="56" spans="1:6" ht="18.75" customHeight="1" x14ac:dyDescent="0.25">
      <c r="A56" s="260"/>
      <c r="B56" s="262"/>
      <c r="C56" s="260"/>
      <c r="D56" s="259"/>
      <c r="E56" s="259"/>
      <c r="F56" s="259"/>
    </row>
    <row r="57" spans="1:6" ht="18.75" customHeight="1" x14ac:dyDescent="0.25">
      <c r="A57" s="260"/>
      <c r="B57" s="262"/>
      <c r="C57" s="260"/>
      <c r="D57" s="259"/>
      <c r="E57" s="259"/>
      <c r="F57" s="259"/>
    </row>
    <row r="58" spans="1:6" ht="18.75" customHeight="1" x14ac:dyDescent="0.25">
      <c r="A58" s="260"/>
      <c r="B58" s="262"/>
      <c r="C58" s="260"/>
      <c r="D58" s="259"/>
      <c r="E58" s="259"/>
      <c r="F58" s="259"/>
    </row>
    <row r="59" spans="1:6" ht="18.75" customHeight="1" x14ac:dyDescent="0.25">
      <c r="A59" s="260"/>
      <c r="B59" s="262"/>
      <c r="C59" s="260"/>
      <c r="D59" s="259"/>
      <c r="E59" s="259"/>
      <c r="F59" s="259"/>
    </row>
    <row r="60" spans="1:6" ht="18.75" customHeight="1" x14ac:dyDescent="0.25">
      <c r="A60" s="260"/>
      <c r="B60" s="262"/>
      <c r="C60" s="260"/>
      <c r="D60" s="259"/>
      <c r="E60" s="259"/>
      <c r="F60" s="259"/>
    </row>
    <row r="61" spans="1:6" ht="18.75" customHeight="1" x14ac:dyDescent="0.25">
      <c r="A61" s="260"/>
      <c r="B61" s="262"/>
      <c r="C61" s="260"/>
      <c r="D61" s="259"/>
      <c r="E61" s="259"/>
      <c r="F61" s="259"/>
    </row>
    <row r="62" spans="1:6" ht="18.75" customHeight="1" x14ac:dyDescent="0.25">
      <c r="A62" s="260"/>
      <c r="B62" s="262"/>
      <c r="C62" s="260"/>
      <c r="D62" s="259"/>
      <c r="E62" s="259"/>
      <c r="F62" s="259"/>
    </row>
    <row r="63" spans="1:6" ht="18.75" customHeight="1" x14ac:dyDescent="0.25">
      <c r="A63" s="260"/>
      <c r="B63" s="262"/>
      <c r="C63" s="260"/>
      <c r="D63" s="259"/>
      <c r="E63" s="259"/>
      <c r="F63" s="259"/>
    </row>
    <row r="64" spans="1:6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A4EF4835-6B25-4ED1-BC7A-FFE0FA3CC0A4}"/>
  </hyperlinks>
  <pageMargins left="0.7" right="0.7" top="0.75" bottom="0.75" header="0.3" footer="0.3"/>
  <pageSetup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092A-F02A-431C-BAB4-E9B694925F16}">
  <dimension ref="A1:G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  <col min="7" max="7" width="16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1041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SUM(D10:D200)</f>
        <v>566941956</v>
      </c>
    </row>
    <row r="6" spans="1:7" x14ac:dyDescent="0.25">
      <c r="E6" s="2" t="s">
        <v>11</v>
      </c>
      <c r="F6" s="2">
        <f>SUM(E10:E200)</f>
        <v>572773956</v>
      </c>
    </row>
    <row r="7" spans="1:7" x14ac:dyDescent="0.25">
      <c r="E7" s="2" t="s">
        <v>12</v>
      </c>
      <c r="F7" s="2">
        <f>+F4+F5-F6</f>
        <v>-5832000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44377</v>
      </c>
      <c r="C11" s="260" t="s">
        <v>1042</v>
      </c>
      <c r="D11" s="279"/>
      <c r="E11" s="259">
        <v>3900000</v>
      </c>
      <c r="F11" s="259"/>
      <c r="G11" s="242">
        <f>D11-E11</f>
        <v>-3900000</v>
      </c>
    </row>
    <row r="12" spans="1:7" ht="18.75" customHeight="1" x14ac:dyDescent="0.25">
      <c r="A12" s="262">
        <v>2</v>
      </c>
      <c r="B12" s="261">
        <v>44407</v>
      </c>
      <c r="C12" s="260" t="s">
        <v>1043</v>
      </c>
      <c r="D12" s="279">
        <v>13500000</v>
      </c>
      <c r="E12" s="259"/>
      <c r="F12" s="259"/>
      <c r="G12" s="242">
        <f>G11+D12-E12</f>
        <v>9600000</v>
      </c>
    </row>
    <row r="13" spans="1:7" ht="18.75" customHeight="1" x14ac:dyDescent="0.25">
      <c r="A13" s="262">
        <v>3</v>
      </c>
      <c r="B13" s="261">
        <v>44438</v>
      </c>
      <c r="C13" s="260" t="s">
        <v>1044</v>
      </c>
      <c r="D13" s="279"/>
      <c r="E13" s="259">
        <v>9100000</v>
      </c>
      <c r="F13" s="259"/>
      <c r="G13" s="242">
        <f t="shared" ref="G13:G76" si="0">G12+D13-E13</f>
        <v>500000</v>
      </c>
    </row>
    <row r="14" spans="1:7" ht="18.75" customHeight="1" x14ac:dyDescent="0.25">
      <c r="A14" s="262">
        <v>4</v>
      </c>
      <c r="B14" s="261">
        <v>44469</v>
      </c>
      <c r="C14" s="260" t="s">
        <v>299</v>
      </c>
      <c r="D14" s="279">
        <v>1400000</v>
      </c>
      <c r="E14" s="259"/>
      <c r="F14" s="259"/>
      <c r="G14" s="242">
        <f t="shared" si="0"/>
        <v>1900000</v>
      </c>
    </row>
    <row r="15" spans="1:7" ht="18.75" customHeight="1" x14ac:dyDescent="0.25">
      <c r="A15" s="262">
        <v>5</v>
      </c>
      <c r="B15" s="261">
        <v>44530</v>
      </c>
      <c r="C15" s="260" t="s">
        <v>350</v>
      </c>
      <c r="D15" s="279">
        <v>7400000</v>
      </c>
      <c r="E15" s="259"/>
      <c r="F15" s="259"/>
      <c r="G15" s="242">
        <f t="shared" si="0"/>
        <v>9300000</v>
      </c>
    </row>
    <row r="16" spans="1:7" ht="18.75" customHeight="1" x14ac:dyDescent="0.25">
      <c r="A16" s="262">
        <v>6</v>
      </c>
      <c r="B16" s="261">
        <v>44561</v>
      </c>
      <c r="C16" s="260" t="s">
        <v>1045</v>
      </c>
      <c r="D16" s="279">
        <v>54300000</v>
      </c>
      <c r="E16" s="259"/>
      <c r="F16" s="259"/>
      <c r="G16" s="242">
        <f t="shared" si="0"/>
        <v>63600000</v>
      </c>
    </row>
    <row r="17" spans="1:7" ht="18.75" customHeight="1" x14ac:dyDescent="0.25">
      <c r="A17" s="262">
        <v>7</v>
      </c>
      <c r="B17" s="261">
        <v>44589</v>
      </c>
      <c r="C17" s="260" t="s">
        <v>1061</v>
      </c>
      <c r="D17" s="279"/>
      <c r="E17" s="259">
        <v>9300000</v>
      </c>
      <c r="F17" s="259"/>
      <c r="G17" s="242">
        <f t="shared" si="0"/>
        <v>54300000</v>
      </c>
    </row>
    <row r="18" spans="1:7" ht="18.75" customHeight="1" x14ac:dyDescent="0.25">
      <c r="A18" s="262">
        <v>8</v>
      </c>
      <c r="B18" s="261">
        <v>44589</v>
      </c>
      <c r="C18" s="260" t="s">
        <v>1079</v>
      </c>
      <c r="D18" s="279">
        <v>19400000</v>
      </c>
      <c r="E18" s="259"/>
      <c r="F18" s="259"/>
      <c r="G18" s="242">
        <f t="shared" si="0"/>
        <v>73700000</v>
      </c>
    </row>
    <row r="19" spans="1:7" ht="18.75" customHeight="1" x14ac:dyDescent="0.25">
      <c r="A19" s="262">
        <v>9</v>
      </c>
      <c r="B19" s="261">
        <v>44651</v>
      </c>
      <c r="C19" s="260" t="s">
        <v>1270</v>
      </c>
      <c r="D19" s="259"/>
      <c r="E19" s="259">
        <v>3580000</v>
      </c>
      <c r="F19" s="259"/>
      <c r="G19" s="242">
        <f t="shared" si="0"/>
        <v>70120000</v>
      </c>
    </row>
    <row r="20" spans="1:7" ht="18.75" customHeight="1" x14ac:dyDescent="0.25">
      <c r="A20" s="262">
        <v>10</v>
      </c>
      <c r="B20" s="261">
        <v>44657</v>
      </c>
      <c r="C20" s="260" t="s">
        <v>1104</v>
      </c>
      <c r="D20" s="259"/>
      <c r="E20" s="259">
        <v>54300000</v>
      </c>
      <c r="F20" s="259"/>
      <c r="G20" s="242">
        <f t="shared" si="0"/>
        <v>15820000</v>
      </c>
    </row>
    <row r="21" spans="1:7" ht="18.75" customHeight="1" x14ac:dyDescent="0.25">
      <c r="A21" s="262">
        <v>11</v>
      </c>
      <c r="B21" s="261">
        <v>44680</v>
      </c>
      <c r="C21" s="260" t="s">
        <v>1116</v>
      </c>
      <c r="D21" s="259">
        <v>27400000</v>
      </c>
      <c r="E21" s="259"/>
      <c r="F21" s="259"/>
      <c r="G21" s="242">
        <f t="shared" si="0"/>
        <v>43220000</v>
      </c>
    </row>
    <row r="22" spans="1:7" ht="18.75" customHeight="1" x14ac:dyDescent="0.25">
      <c r="A22" s="262">
        <v>12</v>
      </c>
      <c r="B22" s="261">
        <v>44718</v>
      </c>
      <c r="C22" s="260" t="s">
        <v>1148</v>
      </c>
      <c r="D22" s="259"/>
      <c r="E22" s="259">
        <v>19400000</v>
      </c>
      <c r="F22" s="259"/>
      <c r="G22" s="242">
        <f t="shared" si="0"/>
        <v>23820000</v>
      </c>
    </row>
    <row r="23" spans="1:7" ht="18.75" customHeight="1" x14ac:dyDescent="0.25">
      <c r="A23" s="262">
        <v>13</v>
      </c>
      <c r="B23" s="261">
        <v>44711</v>
      </c>
      <c r="C23" s="260" t="s">
        <v>1131</v>
      </c>
      <c r="D23" s="259">
        <v>16800000</v>
      </c>
      <c r="E23" s="259"/>
      <c r="F23" s="259"/>
      <c r="G23" s="242">
        <f t="shared" si="0"/>
        <v>40620000</v>
      </c>
    </row>
    <row r="24" spans="1:7" ht="18.75" customHeight="1" x14ac:dyDescent="0.25">
      <c r="A24" s="262">
        <v>14</v>
      </c>
      <c r="B24" s="261">
        <v>44742</v>
      </c>
      <c r="C24" s="260" t="s">
        <v>1042</v>
      </c>
      <c r="D24" s="259"/>
      <c r="E24" s="259">
        <v>2850000</v>
      </c>
      <c r="F24" s="259"/>
      <c r="G24" s="242">
        <f t="shared" si="0"/>
        <v>37770000</v>
      </c>
    </row>
    <row r="25" spans="1:7" ht="18.75" customHeight="1" x14ac:dyDescent="0.25">
      <c r="A25" s="262">
        <v>15</v>
      </c>
      <c r="B25" s="261">
        <v>44772</v>
      </c>
      <c r="C25" s="260" t="s">
        <v>1043</v>
      </c>
      <c r="D25" s="259">
        <v>93450000</v>
      </c>
      <c r="E25" s="259"/>
      <c r="F25" s="259"/>
      <c r="G25" s="242">
        <f t="shared" si="0"/>
        <v>131220000</v>
      </c>
    </row>
    <row r="26" spans="1:7" ht="18.75" customHeight="1" x14ac:dyDescent="0.25">
      <c r="A26" s="262">
        <v>16</v>
      </c>
      <c r="B26" s="261">
        <v>44793</v>
      </c>
      <c r="C26" s="260" t="s">
        <v>1215</v>
      </c>
      <c r="D26" s="259"/>
      <c r="E26" s="259">
        <v>27400000</v>
      </c>
      <c r="F26" s="259"/>
      <c r="G26" s="242">
        <f t="shared" si="0"/>
        <v>103820000</v>
      </c>
    </row>
    <row r="27" spans="1:7" ht="18.75" customHeight="1" x14ac:dyDescent="0.25">
      <c r="A27" s="262">
        <v>17</v>
      </c>
      <c r="B27" s="261">
        <v>44803</v>
      </c>
      <c r="C27" s="260" t="s">
        <v>1044</v>
      </c>
      <c r="D27" s="259"/>
      <c r="E27" s="259">
        <v>3600000</v>
      </c>
      <c r="F27" s="259"/>
      <c r="G27" s="242">
        <f t="shared" si="0"/>
        <v>100220000</v>
      </c>
    </row>
    <row r="28" spans="1:7" ht="18.75" customHeight="1" x14ac:dyDescent="0.25">
      <c r="A28" s="262">
        <v>18</v>
      </c>
      <c r="B28" s="261">
        <v>44817</v>
      </c>
      <c r="C28" s="260" t="s">
        <v>1268</v>
      </c>
      <c r="D28" s="259"/>
      <c r="E28" s="259">
        <v>10370000</v>
      </c>
      <c r="F28" s="259"/>
      <c r="G28" s="242">
        <f t="shared" si="0"/>
        <v>89850000</v>
      </c>
    </row>
    <row r="29" spans="1:7" ht="18.75" customHeight="1" x14ac:dyDescent="0.25">
      <c r="A29" s="262">
        <v>19</v>
      </c>
      <c r="B29" s="261">
        <v>44834</v>
      </c>
      <c r="C29" s="260" t="s">
        <v>1269</v>
      </c>
      <c r="D29" s="259"/>
      <c r="E29" s="259">
        <v>8300000</v>
      </c>
      <c r="F29" s="259"/>
      <c r="G29" s="242">
        <f t="shared" si="0"/>
        <v>81550000</v>
      </c>
    </row>
    <row r="30" spans="1:7" ht="18.75" customHeight="1" x14ac:dyDescent="0.25">
      <c r="A30" s="262">
        <v>20</v>
      </c>
      <c r="B30" s="261">
        <v>44864</v>
      </c>
      <c r="C30" s="260" t="s">
        <v>323</v>
      </c>
      <c r="D30" s="259">
        <v>17200000</v>
      </c>
      <c r="E30" s="259"/>
      <c r="F30" s="259"/>
      <c r="G30" s="242">
        <f t="shared" si="0"/>
        <v>98750000</v>
      </c>
    </row>
    <row r="31" spans="1:7" ht="18.75" customHeight="1" x14ac:dyDescent="0.25">
      <c r="A31" s="262">
        <v>21</v>
      </c>
      <c r="B31" s="261">
        <v>44872</v>
      </c>
      <c r="C31" s="260" t="s">
        <v>1276</v>
      </c>
      <c r="D31" s="259"/>
      <c r="E31" s="259">
        <v>89850000</v>
      </c>
      <c r="F31" s="259"/>
      <c r="G31" s="242">
        <f t="shared" si="0"/>
        <v>8900000</v>
      </c>
    </row>
    <row r="32" spans="1:7" ht="18.75" customHeight="1" x14ac:dyDescent="0.25">
      <c r="A32" s="262">
        <v>22</v>
      </c>
      <c r="B32" s="261">
        <v>44895</v>
      </c>
      <c r="C32" s="260" t="s">
        <v>350</v>
      </c>
      <c r="D32" s="259">
        <v>12900000</v>
      </c>
      <c r="E32" s="259"/>
      <c r="F32" s="259"/>
      <c r="G32" s="242">
        <f t="shared" si="0"/>
        <v>21800000</v>
      </c>
    </row>
    <row r="33" spans="1:7" ht="18.75" customHeight="1" x14ac:dyDescent="0.25">
      <c r="A33" s="262">
        <v>23</v>
      </c>
      <c r="B33" s="261">
        <v>45290</v>
      </c>
      <c r="C33" s="260" t="s">
        <v>365</v>
      </c>
      <c r="D33" s="259">
        <v>2400000</v>
      </c>
      <c r="E33" s="259"/>
      <c r="F33" s="259"/>
      <c r="G33" s="242">
        <f t="shared" si="0"/>
        <v>24200000</v>
      </c>
    </row>
    <row r="34" spans="1:7" ht="18.75" customHeight="1" x14ac:dyDescent="0.25">
      <c r="A34" s="262">
        <v>24</v>
      </c>
      <c r="B34" s="261">
        <v>44956</v>
      </c>
      <c r="C34" s="260" t="s">
        <v>1371</v>
      </c>
      <c r="D34" s="259"/>
      <c r="E34" s="259">
        <v>500000</v>
      </c>
      <c r="F34" s="259"/>
      <c r="G34" s="242">
        <f t="shared" si="0"/>
        <v>23700000</v>
      </c>
    </row>
    <row r="35" spans="1:7" ht="18.75" customHeight="1" x14ac:dyDescent="0.25">
      <c r="A35" s="262">
        <v>25</v>
      </c>
      <c r="B35" s="261">
        <v>44965</v>
      </c>
      <c r="C35" s="260" t="s">
        <v>1372</v>
      </c>
      <c r="D35" s="259"/>
      <c r="E35" s="259">
        <v>8900000</v>
      </c>
      <c r="F35" s="259"/>
      <c r="G35" s="242">
        <f t="shared" si="0"/>
        <v>14800000</v>
      </c>
    </row>
    <row r="36" spans="1:7" ht="18.75" customHeight="1" x14ac:dyDescent="0.25">
      <c r="A36" s="262">
        <v>26</v>
      </c>
      <c r="B36" s="261">
        <v>44985</v>
      </c>
      <c r="C36" s="260" t="s">
        <v>1390</v>
      </c>
      <c r="D36" s="259">
        <v>9300000</v>
      </c>
      <c r="E36" s="259"/>
      <c r="F36" s="259"/>
      <c r="G36" s="242">
        <f t="shared" si="0"/>
        <v>24100000</v>
      </c>
    </row>
    <row r="37" spans="1:7" ht="18.75" customHeight="1" x14ac:dyDescent="0.25">
      <c r="A37" s="262">
        <v>27</v>
      </c>
      <c r="B37" s="261">
        <v>44993</v>
      </c>
      <c r="C37" s="260" t="s">
        <v>1399</v>
      </c>
      <c r="D37" s="259"/>
      <c r="E37" s="259">
        <v>12900000</v>
      </c>
      <c r="F37" s="259"/>
      <c r="G37" s="242">
        <f t="shared" si="0"/>
        <v>11200000</v>
      </c>
    </row>
    <row r="38" spans="1:7" ht="18.75" customHeight="1" x14ac:dyDescent="0.25">
      <c r="A38" s="262">
        <v>28</v>
      </c>
      <c r="B38" s="261">
        <v>45016</v>
      </c>
      <c r="C38" s="260" t="s">
        <v>1115</v>
      </c>
      <c r="D38" s="259">
        <v>6300000</v>
      </c>
      <c r="E38" s="259"/>
      <c r="F38" s="259"/>
      <c r="G38" s="242">
        <f t="shared" si="0"/>
        <v>17500000</v>
      </c>
    </row>
    <row r="39" spans="1:7" ht="18.75" customHeight="1" x14ac:dyDescent="0.25">
      <c r="A39" s="262">
        <v>29</v>
      </c>
      <c r="B39" s="261">
        <v>45046</v>
      </c>
      <c r="C39" s="260" t="s">
        <v>1116</v>
      </c>
      <c r="D39" s="259">
        <v>14000000</v>
      </c>
      <c r="E39" s="259"/>
      <c r="F39" s="259"/>
      <c r="G39" s="242">
        <f t="shared" si="0"/>
        <v>31500000</v>
      </c>
    </row>
    <row r="40" spans="1:7" ht="18.75" customHeight="1" x14ac:dyDescent="0.25">
      <c r="A40" s="262">
        <v>30</v>
      </c>
      <c r="B40" s="261">
        <v>45085</v>
      </c>
      <c r="C40" s="260" t="s">
        <v>1491</v>
      </c>
      <c r="D40" s="259"/>
      <c r="E40" s="259">
        <v>11200000</v>
      </c>
      <c r="F40" s="259"/>
      <c r="G40" s="242">
        <f t="shared" si="0"/>
        <v>20300000</v>
      </c>
    </row>
    <row r="41" spans="1:7" ht="18.75" customHeight="1" x14ac:dyDescent="0.25">
      <c r="A41" s="262">
        <v>31</v>
      </c>
      <c r="B41" s="261">
        <v>45076</v>
      </c>
      <c r="C41" s="260" t="s">
        <v>1131</v>
      </c>
      <c r="D41" s="259">
        <v>8000000</v>
      </c>
      <c r="E41" s="259"/>
      <c r="F41" s="259"/>
      <c r="G41" s="242">
        <f t="shared" si="0"/>
        <v>28300000</v>
      </c>
    </row>
    <row r="42" spans="1:7" ht="18.75" customHeight="1" x14ac:dyDescent="0.25">
      <c r="A42" s="262">
        <v>32</v>
      </c>
      <c r="B42" s="261">
        <v>45107</v>
      </c>
      <c r="C42" s="260" t="s">
        <v>177</v>
      </c>
      <c r="D42" s="259">
        <v>8740000</v>
      </c>
      <c r="E42" s="259"/>
      <c r="F42" s="259"/>
      <c r="G42" s="242">
        <f t="shared" si="0"/>
        <v>37040000</v>
      </c>
    </row>
    <row r="43" spans="1:7" ht="18.75" customHeight="1" x14ac:dyDescent="0.25">
      <c r="A43" s="262">
        <v>33</v>
      </c>
      <c r="B43" s="261">
        <v>45138</v>
      </c>
      <c r="C43" s="260" t="s">
        <v>1043</v>
      </c>
      <c r="D43" s="259">
        <v>21222000</v>
      </c>
      <c r="E43" s="259"/>
      <c r="F43" s="259"/>
      <c r="G43" s="242">
        <f t="shared" si="0"/>
        <v>58262000</v>
      </c>
    </row>
    <row r="44" spans="1:7" ht="18.75" customHeight="1" x14ac:dyDescent="0.25">
      <c r="A44" s="262">
        <v>34</v>
      </c>
      <c r="B44" s="261">
        <v>45141</v>
      </c>
      <c r="C44" s="260" t="s">
        <v>1551</v>
      </c>
      <c r="D44" s="259"/>
      <c r="E44" s="259">
        <v>20300000</v>
      </c>
      <c r="F44" s="259"/>
      <c r="G44" s="242">
        <f t="shared" si="0"/>
        <v>37962000</v>
      </c>
    </row>
    <row r="45" spans="1:7" ht="18.75" customHeight="1" x14ac:dyDescent="0.25">
      <c r="A45" s="262">
        <v>35</v>
      </c>
      <c r="B45" s="261">
        <v>45169</v>
      </c>
      <c r="C45" s="260" t="s">
        <v>1044</v>
      </c>
      <c r="D45" s="259"/>
      <c r="E45" s="259">
        <f>4900000</f>
        <v>4900000</v>
      </c>
      <c r="F45" s="259"/>
      <c r="G45" s="242">
        <f t="shared" si="0"/>
        <v>33062000</v>
      </c>
    </row>
    <row r="46" spans="1:7" ht="18.75" customHeight="1" x14ac:dyDescent="0.25">
      <c r="A46" s="262">
        <v>36</v>
      </c>
      <c r="B46" s="261">
        <v>45182</v>
      </c>
      <c r="C46" s="260" t="s">
        <v>1268</v>
      </c>
      <c r="D46" s="259"/>
      <c r="E46" s="259">
        <v>8000000</v>
      </c>
      <c r="F46" s="259"/>
      <c r="G46" s="242">
        <f t="shared" si="0"/>
        <v>25062000</v>
      </c>
    </row>
    <row r="47" spans="1:7" ht="18.75" customHeight="1" x14ac:dyDescent="0.25">
      <c r="A47" s="262">
        <v>37</v>
      </c>
      <c r="B47" s="261">
        <v>45199</v>
      </c>
      <c r="C47" s="260" t="s">
        <v>1269</v>
      </c>
      <c r="D47" s="259"/>
      <c r="E47" s="259">
        <v>3640000</v>
      </c>
      <c r="F47" s="259"/>
      <c r="G47" s="242">
        <f t="shared" si="0"/>
        <v>21422000</v>
      </c>
    </row>
    <row r="48" spans="1:7" ht="18.75" customHeight="1" x14ac:dyDescent="0.25">
      <c r="A48" s="262">
        <v>38</v>
      </c>
      <c r="B48" s="261">
        <v>45212</v>
      </c>
      <c r="C48" s="260" t="s">
        <v>1621</v>
      </c>
      <c r="D48" s="259"/>
      <c r="E48" s="259">
        <v>3840000</v>
      </c>
      <c r="F48" s="259"/>
      <c r="G48" s="242">
        <f t="shared" si="0"/>
        <v>17582000</v>
      </c>
    </row>
    <row r="49" spans="1:7" ht="18.75" customHeight="1" x14ac:dyDescent="0.25">
      <c r="A49" s="262">
        <v>39</v>
      </c>
      <c r="B49" s="261">
        <v>45230</v>
      </c>
      <c r="C49" s="260" t="s">
        <v>1649</v>
      </c>
      <c r="D49" s="259"/>
      <c r="E49" s="259">
        <v>31955556</v>
      </c>
      <c r="F49" s="259"/>
      <c r="G49" s="242">
        <f t="shared" si="0"/>
        <v>-14373556</v>
      </c>
    </row>
    <row r="50" spans="1:7" ht="18.75" customHeight="1" x14ac:dyDescent="0.25">
      <c r="A50" s="262">
        <v>40</v>
      </c>
      <c r="B50" s="261">
        <v>45246</v>
      </c>
      <c r="C50" s="260" t="s">
        <v>1657</v>
      </c>
      <c r="D50" s="259"/>
      <c r="E50" s="259">
        <v>21222000</v>
      </c>
      <c r="F50" s="259"/>
      <c r="G50" s="242">
        <f t="shared" si="0"/>
        <v>-35595556</v>
      </c>
    </row>
    <row r="51" spans="1:7" ht="18.75" customHeight="1" x14ac:dyDescent="0.25">
      <c r="A51" s="262">
        <v>41</v>
      </c>
      <c r="B51" s="261">
        <v>45260</v>
      </c>
      <c r="C51" s="260" t="s">
        <v>1522</v>
      </c>
      <c r="D51" s="259"/>
      <c r="E51" s="259">
        <v>6200000</v>
      </c>
      <c r="F51" s="259"/>
      <c r="G51" s="242">
        <f t="shared" si="0"/>
        <v>-41795556</v>
      </c>
    </row>
    <row r="52" spans="1:7" ht="18.75" customHeight="1" x14ac:dyDescent="0.25">
      <c r="A52" s="262">
        <v>42</v>
      </c>
      <c r="B52" s="261">
        <v>45295</v>
      </c>
      <c r="C52" s="260" t="s">
        <v>1465</v>
      </c>
      <c r="D52" s="259">
        <v>3640000</v>
      </c>
      <c r="E52" s="259"/>
      <c r="F52" s="259"/>
      <c r="G52" s="242">
        <f t="shared" si="0"/>
        <v>-38155556</v>
      </c>
    </row>
    <row r="53" spans="1:7" ht="18.75" customHeight="1" x14ac:dyDescent="0.25">
      <c r="A53" s="262">
        <v>43</v>
      </c>
      <c r="B53" s="261">
        <v>45322</v>
      </c>
      <c r="C53" s="260" t="s">
        <v>1371</v>
      </c>
      <c r="D53" s="259"/>
      <c r="E53" s="259">
        <v>6900000</v>
      </c>
      <c r="F53" s="259"/>
      <c r="G53" s="242">
        <f t="shared" si="0"/>
        <v>-45055556</v>
      </c>
    </row>
    <row r="54" spans="1:7" ht="18.75" customHeight="1" x14ac:dyDescent="0.25">
      <c r="A54" s="262">
        <v>44</v>
      </c>
      <c r="B54" s="261">
        <v>45324</v>
      </c>
      <c r="C54" s="260" t="s">
        <v>1730</v>
      </c>
      <c r="D54" s="259">
        <v>31955556</v>
      </c>
      <c r="F54" s="259"/>
      <c r="G54" s="242">
        <f t="shared" si="0"/>
        <v>-13100000</v>
      </c>
    </row>
    <row r="55" spans="1:7" ht="18.75" customHeight="1" x14ac:dyDescent="0.25">
      <c r="A55" s="262">
        <v>45</v>
      </c>
      <c r="B55" s="261">
        <v>45351</v>
      </c>
      <c r="C55" s="260" t="s">
        <v>1390</v>
      </c>
      <c r="D55" s="259">
        <v>39852000</v>
      </c>
      <c r="E55" s="259"/>
      <c r="F55" s="259"/>
      <c r="G55" s="242">
        <f t="shared" si="0"/>
        <v>26752000</v>
      </c>
    </row>
    <row r="56" spans="1:7" ht="18.75" customHeight="1" x14ac:dyDescent="0.25">
      <c r="A56" s="262">
        <v>46</v>
      </c>
      <c r="B56" s="261">
        <v>45363</v>
      </c>
      <c r="C56" s="260" t="s">
        <v>1729</v>
      </c>
      <c r="D56" s="259">
        <v>6200000</v>
      </c>
      <c r="E56" s="259"/>
      <c r="F56" s="259"/>
      <c r="G56" s="242">
        <f t="shared" si="0"/>
        <v>32952000</v>
      </c>
    </row>
    <row r="57" spans="1:7" ht="18.75" customHeight="1" x14ac:dyDescent="0.25">
      <c r="A57" s="262">
        <v>47</v>
      </c>
      <c r="B57" s="261">
        <v>45381</v>
      </c>
      <c r="C57" s="260" t="s">
        <v>1115</v>
      </c>
      <c r="D57" s="259">
        <v>4400000</v>
      </c>
      <c r="E57" s="259"/>
      <c r="F57" s="259"/>
      <c r="G57" s="242">
        <f t="shared" si="0"/>
        <v>37352000</v>
      </c>
    </row>
    <row r="58" spans="1:7" ht="18.75" customHeight="1" x14ac:dyDescent="0.25">
      <c r="A58" s="262">
        <v>48</v>
      </c>
      <c r="B58" s="261">
        <v>45408</v>
      </c>
      <c r="C58" s="260" t="s">
        <v>1116</v>
      </c>
      <c r="D58" s="259">
        <v>9612000</v>
      </c>
      <c r="E58" s="259"/>
      <c r="F58" s="259"/>
      <c r="G58" s="242">
        <f>G57+D58-E58</f>
        <v>46964000</v>
      </c>
    </row>
    <row r="59" spans="1:7" ht="18.75" customHeight="1" x14ac:dyDescent="0.25">
      <c r="A59" s="262">
        <v>49</v>
      </c>
      <c r="B59" s="261">
        <v>45442</v>
      </c>
      <c r="C59" s="260" t="s">
        <v>1789</v>
      </c>
      <c r="D59" s="259"/>
      <c r="E59" s="259">
        <v>4320000</v>
      </c>
      <c r="F59" s="259"/>
      <c r="G59" s="242">
        <f>G58+D59-E59</f>
        <v>42644000</v>
      </c>
    </row>
    <row r="60" spans="1:7" ht="18.75" customHeight="1" x14ac:dyDescent="0.25">
      <c r="A60" s="262">
        <v>50</v>
      </c>
      <c r="B60" s="261">
        <v>45448</v>
      </c>
      <c r="C60" s="260" t="s">
        <v>1798</v>
      </c>
      <c r="D60" s="259"/>
      <c r="E60" s="259">
        <f>39852000-6900000</f>
        <v>32952000</v>
      </c>
      <c r="F60" s="259"/>
      <c r="G60" s="242">
        <f>G59+D60-E60</f>
        <v>9692000</v>
      </c>
    </row>
    <row r="61" spans="1:7" ht="18.75" customHeight="1" x14ac:dyDescent="0.25">
      <c r="A61" s="262">
        <v>51</v>
      </c>
      <c r="B61" s="261">
        <v>45473</v>
      </c>
      <c r="C61" s="260" t="s">
        <v>1042</v>
      </c>
      <c r="D61" s="259"/>
      <c r="E61" s="259">
        <v>46008000</v>
      </c>
      <c r="F61" s="259"/>
      <c r="G61" s="242">
        <f t="shared" si="0"/>
        <v>-36316000</v>
      </c>
    </row>
    <row r="62" spans="1:7" ht="18.75" customHeight="1" x14ac:dyDescent="0.25">
      <c r="A62" s="262">
        <v>52</v>
      </c>
      <c r="B62" s="261">
        <v>45503</v>
      </c>
      <c r="C62" s="260" t="s">
        <v>1834</v>
      </c>
      <c r="D62" s="259"/>
      <c r="E62" s="259">
        <v>7560000</v>
      </c>
      <c r="F62" s="259"/>
      <c r="G62" s="242">
        <f t="shared" si="0"/>
        <v>-43876000</v>
      </c>
    </row>
    <row r="63" spans="1:7" ht="18.75" customHeight="1" x14ac:dyDescent="0.25">
      <c r="A63" s="262">
        <v>53</v>
      </c>
      <c r="B63" s="261">
        <v>45534</v>
      </c>
      <c r="C63" s="260" t="s">
        <v>1044</v>
      </c>
      <c r="D63" s="259"/>
      <c r="E63" s="259">
        <v>35197200</v>
      </c>
      <c r="F63" s="259"/>
      <c r="G63" s="242">
        <f t="shared" si="0"/>
        <v>-79073200</v>
      </c>
    </row>
    <row r="64" spans="1:7" ht="18.75" customHeight="1" x14ac:dyDescent="0.25">
      <c r="A64" s="262">
        <v>54</v>
      </c>
      <c r="B64" s="261">
        <v>45549</v>
      </c>
      <c r="C64" s="260" t="s">
        <v>1867</v>
      </c>
      <c r="D64" s="259"/>
      <c r="E64" s="259">
        <v>9692000</v>
      </c>
      <c r="F64" s="259"/>
      <c r="G64" s="242">
        <f t="shared" si="0"/>
        <v>-88765200</v>
      </c>
    </row>
    <row r="65" spans="1:7" ht="18.75" customHeight="1" x14ac:dyDescent="0.25">
      <c r="A65" s="262">
        <v>55</v>
      </c>
      <c r="B65" s="261">
        <v>45565</v>
      </c>
      <c r="C65" s="260" t="s">
        <v>1885</v>
      </c>
      <c r="D65" s="259"/>
      <c r="E65" s="259">
        <v>19224000</v>
      </c>
      <c r="F65" s="259"/>
      <c r="G65" s="242">
        <f t="shared" si="0"/>
        <v>-107989200</v>
      </c>
    </row>
    <row r="66" spans="1:7" ht="18.75" customHeight="1" x14ac:dyDescent="0.25">
      <c r="A66" s="262">
        <v>56</v>
      </c>
      <c r="B66" s="261">
        <v>45574</v>
      </c>
      <c r="C66" s="260" t="s">
        <v>1889</v>
      </c>
      <c r="D66" s="259">
        <v>46008000</v>
      </c>
      <c r="E66" s="259"/>
      <c r="F66" s="259"/>
      <c r="G66" s="242">
        <f t="shared" si="0"/>
        <v>-61981200</v>
      </c>
    </row>
    <row r="67" spans="1:7" ht="18.75" customHeight="1" x14ac:dyDescent="0.25">
      <c r="A67" s="262">
        <v>57</v>
      </c>
      <c r="B67" s="261">
        <v>45596</v>
      </c>
      <c r="C67" s="260" t="s">
        <v>1647</v>
      </c>
      <c r="D67" s="259"/>
      <c r="E67" s="259">
        <v>14904000</v>
      </c>
      <c r="F67" s="259"/>
      <c r="G67" s="242">
        <f t="shared" si="0"/>
        <v>-76885200</v>
      </c>
    </row>
    <row r="68" spans="1:7" ht="18.75" customHeight="1" x14ac:dyDescent="0.25">
      <c r="A68" s="262">
        <v>58</v>
      </c>
      <c r="B68" s="261">
        <v>45604</v>
      </c>
      <c r="C68" s="260" t="s">
        <v>1908</v>
      </c>
      <c r="D68" s="259">
        <v>7560000</v>
      </c>
      <c r="E68" s="259"/>
      <c r="F68" s="259"/>
      <c r="G68" s="242">
        <f t="shared" si="0"/>
        <v>-69325200</v>
      </c>
    </row>
    <row r="69" spans="1:7" ht="18.75" customHeight="1" x14ac:dyDescent="0.25">
      <c r="A69" s="262">
        <v>59</v>
      </c>
      <c r="B69" s="261">
        <v>45615</v>
      </c>
      <c r="C69" s="260" t="s">
        <v>1921</v>
      </c>
      <c r="D69" s="259">
        <v>35197200</v>
      </c>
      <c r="E69" s="259"/>
      <c r="F69" s="259"/>
      <c r="G69" s="242">
        <f t="shared" si="0"/>
        <v>-34128000</v>
      </c>
    </row>
    <row r="70" spans="1:7" ht="18.75" customHeight="1" x14ac:dyDescent="0.25">
      <c r="A70" s="262">
        <v>60</v>
      </c>
      <c r="B70" s="261">
        <v>45626</v>
      </c>
      <c r="C70" s="260" t="s">
        <v>1922</v>
      </c>
      <c r="D70" s="259"/>
      <c r="E70" s="259">
        <v>7441200</v>
      </c>
      <c r="F70" s="259"/>
      <c r="G70" s="242">
        <f t="shared" si="0"/>
        <v>-41569200</v>
      </c>
    </row>
    <row r="71" spans="1:7" ht="18.75" customHeight="1" x14ac:dyDescent="0.25">
      <c r="A71" s="262">
        <v>61</v>
      </c>
      <c r="B71" s="261">
        <v>45630</v>
      </c>
      <c r="C71" s="260" t="s">
        <v>1934</v>
      </c>
      <c r="D71" s="259">
        <v>19224000</v>
      </c>
      <c r="E71" s="259"/>
      <c r="F71" s="259"/>
      <c r="G71" s="242">
        <f t="shared" si="0"/>
        <v>-22345200</v>
      </c>
    </row>
    <row r="72" spans="1:7" ht="18.75" customHeight="1" x14ac:dyDescent="0.25">
      <c r="A72" s="262">
        <v>62</v>
      </c>
      <c r="B72" s="261">
        <v>45656</v>
      </c>
      <c r="C72" s="260" t="s">
        <v>1954</v>
      </c>
      <c r="D72" s="259"/>
      <c r="E72" s="259">
        <v>7236000</v>
      </c>
      <c r="F72" s="259"/>
      <c r="G72" s="242">
        <f t="shared" si="0"/>
        <v>-29581200</v>
      </c>
    </row>
    <row r="73" spans="1:7" ht="18.75" customHeight="1" x14ac:dyDescent="0.25">
      <c r="A73" s="262">
        <v>63</v>
      </c>
      <c r="B73" s="261">
        <v>45681</v>
      </c>
      <c r="C73" s="260" t="s">
        <v>1968</v>
      </c>
      <c r="D73" s="259">
        <v>14904000</v>
      </c>
      <c r="E73" s="259"/>
      <c r="F73" s="259"/>
      <c r="G73" s="242">
        <f t="shared" si="0"/>
        <v>-14677200</v>
      </c>
    </row>
    <row r="74" spans="1:7" ht="18.75" customHeight="1" x14ac:dyDescent="0.25">
      <c r="A74" s="262">
        <v>64</v>
      </c>
      <c r="B74" s="261">
        <v>45723</v>
      </c>
      <c r="C74" s="260" t="s">
        <v>1967</v>
      </c>
      <c r="D74" s="259">
        <v>7441200</v>
      </c>
      <c r="E74" s="259"/>
      <c r="F74" s="259"/>
      <c r="G74" s="242">
        <f t="shared" si="0"/>
        <v>-7236000</v>
      </c>
    </row>
    <row r="75" spans="1:7" ht="18.75" customHeight="1" x14ac:dyDescent="0.25">
      <c r="A75" s="262">
        <v>65</v>
      </c>
      <c r="B75" s="261">
        <v>45756</v>
      </c>
      <c r="C75" s="260" t="s">
        <v>1984</v>
      </c>
      <c r="D75" s="259">
        <v>7236000</v>
      </c>
      <c r="E75" s="259"/>
      <c r="F75" s="259"/>
      <c r="G75" s="242">
        <f t="shared" si="0"/>
        <v>0</v>
      </c>
    </row>
    <row r="76" spans="1:7" ht="18.75" customHeight="1" x14ac:dyDescent="0.25">
      <c r="A76" s="262">
        <v>66</v>
      </c>
      <c r="B76" s="261">
        <v>45776</v>
      </c>
      <c r="C76" s="260" t="s">
        <v>2023</v>
      </c>
      <c r="D76" s="259"/>
      <c r="E76" s="259">
        <v>5832000</v>
      </c>
      <c r="F76" s="259"/>
      <c r="G76" s="242">
        <f t="shared" si="0"/>
        <v>-5832000</v>
      </c>
    </row>
    <row r="77" spans="1:7" ht="18.75" customHeight="1" x14ac:dyDescent="0.25">
      <c r="A77" s="262">
        <v>67</v>
      </c>
      <c r="B77" s="261"/>
      <c r="C77" s="260"/>
      <c r="D77" s="259"/>
      <c r="E77" s="259"/>
      <c r="F77" s="259"/>
      <c r="G77" s="242">
        <f t="shared" ref="G77" si="1">G76+D77-E77</f>
        <v>-5832000</v>
      </c>
    </row>
    <row r="78" spans="1:7" ht="18.75" customHeight="1" x14ac:dyDescent="0.25">
      <c r="A78" s="262">
        <v>68</v>
      </c>
      <c r="B78" s="261"/>
      <c r="C78" s="260"/>
      <c r="D78" s="259"/>
      <c r="E78" s="259"/>
      <c r="F78" s="259"/>
    </row>
    <row r="79" spans="1:7" ht="18.75" customHeight="1" x14ac:dyDescent="0.25">
      <c r="A79" s="260"/>
      <c r="B79" s="261"/>
      <c r="C79" s="260"/>
      <c r="D79" s="259"/>
      <c r="E79" s="259"/>
      <c r="F79" s="259"/>
    </row>
    <row r="80" spans="1:7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1F979AA3-D206-4490-9F03-185465F1FFBF}"/>
  </hyperlinks>
  <pageMargins left="0.7" right="0.7" top="0.75" bottom="0.75" header="0.3" footer="0.3"/>
  <pageSetup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F6C3-DD27-4FDF-8591-64D13D35DCA2}">
  <dimension ref="A1:I628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  <col min="7" max="7" width="13.42578125" customWidth="1"/>
    <col min="9" max="9" width="12.5703125" bestFit="1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1082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SUM(D10:D200)</f>
        <v>2687837700</v>
      </c>
    </row>
    <row r="6" spans="1:7" x14ac:dyDescent="0.25">
      <c r="E6" s="2" t="s">
        <v>11</v>
      </c>
      <c r="F6" s="2">
        <f>SUM(E10:E200)</f>
        <v>2611756900</v>
      </c>
    </row>
    <row r="7" spans="1:7" x14ac:dyDescent="0.25">
      <c r="E7" s="2" t="s">
        <v>12</v>
      </c>
      <c r="F7" s="2">
        <f>+F4+F5-F6</f>
        <v>76080800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44650</v>
      </c>
      <c r="C11" s="260" t="s">
        <v>1115</v>
      </c>
      <c r="D11" s="279">
        <v>49434400</v>
      </c>
      <c r="E11" s="259"/>
      <c r="F11" s="259"/>
      <c r="G11" s="242">
        <f>D11-E11</f>
        <v>49434400</v>
      </c>
    </row>
    <row r="12" spans="1:7" ht="18.75" customHeight="1" x14ac:dyDescent="0.25">
      <c r="A12" s="262">
        <v>2</v>
      </c>
      <c r="B12" s="261">
        <v>44679</v>
      </c>
      <c r="C12" s="260" t="s">
        <v>1114</v>
      </c>
      <c r="D12" s="279"/>
      <c r="E12" s="259">
        <v>49434400</v>
      </c>
      <c r="F12" s="259"/>
      <c r="G12" s="242">
        <f>G11+D12-E12</f>
        <v>0</v>
      </c>
    </row>
    <row r="13" spans="1:7" ht="18.75" customHeight="1" x14ac:dyDescent="0.25">
      <c r="A13" s="262">
        <v>3</v>
      </c>
      <c r="B13" s="261">
        <v>44679</v>
      </c>
      <c r="C13" s="260" t="s">
        <v>1116</v>
      </c>
      <c r="D13" s="279">
        <v>10209200</v>
      </c>
      <c r="E13" s="259"/>
      <c r="F13" s="259"/>
      <c r="G13" s="242">
        <f t="shared" ref="G13:G60" si="0">G12+D13-E13</f>
        <v>10209200</v>
      </c>
    </row>
    <row r="14" spans="1:7" ht="18.75" customHeight="1" x14ac:dyDescent="0.25">
      <c r="A14" s="262">
        <v>4</v>
      </c>
      <c r="B14" s="261">
        <v>44708</v>
      </c>
      <c r="C14" s="260" t="s">
        <v>1131</v>
      </c>
      <c r="D14" s="279">
        <v>26250400</v>
      </c>
      <c r="E14" s="259"/>
      <c r="F14" s="259"/>
      <c r="G14" s="242">
        <f t="shared" si="0"/>
        <v>36459600</v>
      </c>
    </row>
    <row r="15" spans="1:7" ht="18.75" customHeight="1" x14ac:dyDescent="0.25">
      <c r="A15" s="262">
        <v>5</v>
      </c>
      <c r="B15" s="261">
        <v>44733</v>
      </c>
      <c r="C15" s="260" t="s">
        <v>1114</v>
      </c>
      <c r="D15" s="279"/>
      <c r="E15" s="259">
        <v>36459600</v>
      </c>
      <c r="F15" s="259"/>
      <c r="G15" s="242">
        <f t="shared" si="0"/>
        <v>0</v>
      </c>
    </row>
    <row r="16" spans="1:7" ht="18.75" customHeight="1" x14ac:dyDescent="0.25">
      <c r="A16" s="262">
        <v>6</v>
      </c>
      <c r="B16" s="261">
        <v>44742</v>
      </c>
      <c r="C16" s="260" t="s">
        <v>177</v>
      </c>
      <c r="D16" s="279">
        <v>41724000</v>
      </c>
      <c r="E16" s="259"/>
      <c r="F16" s="259"/>
      <c r="G16" s="242">
        <f t="shared" si="0"/>
        <v>41724000</v>
      </c>
    </row>
    <row r="17" spans="1:9" ht="18.75" customHeight="1" x14ac:dyDescent="0.25">
      <c r="A17" s="262">
        <v>7</v>
      </c>
      <c r="B17" s="261">
        <v>44783</v>
      </c>
      <c r="C17" s="260" t="s">
        <v>1114</v>
      </c>
      <c r="D17" s="279"/>
      <c r="E17" s="259">
        <v>41724000</v>
      </c>
      <c r="F17" s="259"/>
      <c r="G17" s="242">
        <f t="shared" si="0"/>
        <v>0</v>
      </c>
    </row>
    <row r="18" spans="1:9" ht="18.75" customHeight="1" x14ac:dyDescent="0.25">
      <c r="A18" s="262">
        <v>8</v>
      </c>
      <c r="B18" s="261">
        <v>44802</v>
      </c>
      <c r="C18" s="260" t="s">
        <v>259</v>
      </c>
      <c r="D18" s="279">
        <v>26860400</v>
      </c>
      <c r="E18" s="259"/>
      <c r="F18" s="259"/>
      <c r="G18" s="242">
        <f t="shared" si="0"/>
        <v>26860400</v>
      </c>
    </row>
    <row r="19" spans="1:9" ht="18.75" customHeight="1" x14ac:dyDescent="0.25">
      <c r="A19" s="262">
        <v>9</v>
      </c>
      <c r="B19" s="261">
        <v>44833</v>
      </c>
      <c r="C19" s="260" t="s">
        <v>299</v>
      </c>
      <c r="D19" s="259">
        <v>69645600</v>
      </c>
      <c r="E19" s="259"/>
      <c r="F19" s="259"/>
      <c r="G19" s="242">
        <f t="shared" si="0"/>
        <v>96506000</v>
      </c>
    </row>
    <row r="20" spans="1:9" ht="18.75" customHeight="1" x14ac:dyDescent="0.25">
      <c r="A20" s="262">
        <v>10</v>
      </c>
      <c r="B20" s="261">
        <v>44841</v>
      </c>
      <c r="C20" s="260" t="s">
        <v>1114</v>
      </c>
      <c r="D20" s="259"/>
      <c r="E20" s="259">
        <v>26860400</v>
      </c>
      <c r="F20" s="259"/>
      <c r="G20" s="242">
        <f t="shared" si="0"/>
        <v>69645600</v>
      </c>
    </row>
    <row r="21" spans="1:9" ht="18.75" customHeight="1" x14ac:dyDescent="0.25">
      <c r="A21" s="262">
        <v>11</v>
      </c>
      <c r="B21" s="261">
        <v>44865</v>
      </c>
      <c r="C21" s="260" t="s">
        <v>1259</v>
      </c>
      <c r="D21" s="259">
        <v>46332800</v>
      </c>
      <c r="E21" s="259"/>
      <c r="F21" s="259"/>
      <c r="G21" s="242">
        <f t="shared" si="0"/>
        <v>115978400</v>
      </c>
    </row>
    <row r="22" spans="1:9" ht="18.75" customHeight="1" x14ac:dyDescent="0.25">
      <c r="A22" s="262">
        <v>12</v>
      </c>
      <c r="B22" s="261">
        <v>44874</v>
      </c>
      <c r="C22" s="260" t="s">
        <v>1287</v>
      </c>
      <c r="D22" s="259">
        <v>50994720</v>
      </c>
      <c r="E22" s="259"/>
      <c r="F22" s="259"/>
      <c r="G22" s="242">
        <f t="shared" si="0"/>
        <v>166973120</v>
      </c>
    </row>
    <row r="23" spans="1:9" ht="18.75" customHeight="1" x14ac:dyDescent="0.25">
      <c r="A23" s="262">
        <v>13</v>
      </c>
      <c r="B23" s="261">
        <v>44883</v>
      </c>
      <c r="C23" s="260" t="s">
        <v>1327</v>
      </c>
      <c r="D23" s="259">
        <v>45426320</v>
      </c>
      <c r="E23" s="259"/>
      <c r="F23" s="259"/>
      <c r="G23" s="242">
        <f t="shared" si="0"/>
        <v>212399440</v>
      </c>
    </row>
    <row r="24" spans="1:9" ht="18.75" customHeight="1" x14ac:dyDescent="0.25">
      <c r="A24" s="262">
        <v>14</v>
      </c>
      <c r="B24" s="261">
        <v>44887</v>
      </c>
      <c r="C24" s="260" t="s">
        <v>1288</v>
      </c>
      <c r="D24" s="259">
        <v>101935440</v>
      </c>
      <c r="E24" s="259"/>
      <c r="F24" s="259"/>
      <c r="G24" s="242">
        <f t="shared" si="0"/>
        <v>314334880</v>
      </c>
    </row>
    <row r="25" spans="1:9" ht="18.75" customHeight="1" x14ac:dyDescent="0.25">
      <c r="A25" s="262">
        <v>15</v>
      </c>
      <c r="B25" s="261">
        <v>44887</v>
      </c>
      <c r="C25" s="260" t="s">
        <v>1296</v>
      </c>
      <c r="D25" s="259"/>
      <c r="E25" s="259">
        <v>45426320</v>
      </c>
      <c r="F25" s="259"/>
      <c r="G25" s="242">
        <f t="shared" si="0"/>
        <v>268908560</v>
      </c>
    </row>
    <row r="26" spans="1:9" ht="18.75" customHeight="1" x14ac:dyDescent="0.25">
      <c r="A26" s="262">
        <v>16</v>
      </c>
      <c r="B26" s="261">
        <v>44895</v>
      </c>
      <c r="C26" s="260" t="s">
        <v>1297</v>
      </c>
      <c r="D26" s="259"/>
      <c r="E26" s="259">
        <v>50994720</v>
      </c>
      <c r="F26" s="259"/>
      <c r="G26" s="242">
        <f t="shared" si="0"/>
        <v>217913840</v>
      </c>
    </row>
    <row r="27" spans="1:9" ht="18.75" customHeight="1" x14ac:dyDescent="0.25">
      <c r="A27" s="262">
        <v>17</v>
      </c>
      <c r="B27" s="261">
        <v>44895</v>
      </c>
      <c r="C27" s="260" t="s">
        <v>1298</v>
      </c>
      <c r="D27" s="259">
        <v>99370000</v>
      </c>
      <c r="E27" s="259"/>
      <c r="F27" s="259"/>
      <c r="G27" s="242">
        <f t="shared" si="0"/>
        <v>317283840</v>
      </c>
    </row>
    <row r="28" spans="1:9" ht="18.75" customHeight="1" x14ac:dyDescent="0.25">
      <c r="A28" s="262">
        <v>18</v>
      </c>
      <c r="B28" s="261">
        <v>44897</v>
      </c>
      <c r="C28" s="260" t="s">
        <v>1300</v>
      </c>
      <c r="D28" s="259">
        <v>45665120</v>
      </c>
      <c r="E28" s="259"/>
      <c r="F28" s="259"/>
      <c r="G28" s="242">
        <f t="shared" si="0"/>
        <v>362948960</v>
      </c>
    </row>
    <row r="29" spans="1:9" ht="18.75" customHeight="1" x14ac:dyDescent="0.25">
      <c r="A29" s="262">
        <v>19</v>
      </c>
      <c r="B29" s="261">
        <v>44909</v>
      </c>
      <c r="C29" s="260" t="s">
        <v>1326</v>
      </c>
      <c r="D29" s="259"/>
      <c r="E29" s="259">
        <v>101935440</v>
      </c>
      <c r="F29" s="259"/>
      <c r="G29" s="242">
        <f t="shared" si="0"/>
        <v>261013520</v>
      </c>
    </row>
    <row r="30" spans="1:9" ht="18.75" customHeight="1" x14ac:dyDescent="0.25">
      <c r="A30" s="262">
        <v>20</v>
      </c>
      <c r="B30" s="261">
        <v>44914</v>
      </c>
      <c r="C30" s="260" t="s">
        <v>1329</v>
      </c>
      <c r="D30" s="259"/>
      <c r="E30" s="259">
        <v>69645600</v>
      </c>
      <c r="F30" s="259"/>
      <c r="G30" s="242">
        <f t="shared" si="0"/>
        <v>191367920</v>
      </c>
    </row>
    <row r="31" spans="1:9" ht="18.75" customHeight="1" x14ac:dyDescent="0.25">
      <c r="A31" s="262">
        <v>21</v>
      </c>
      <c r="B31" s="261">
        <v>44915</v>
      </c>
      <c r="C31" s="260" t="s">
        <v>1332</v>
      </c>
      <c r="D31" s="259"/>
      <c r="E31" s="259">
        <v>45665120</v>
      </c>
      <c r="F31" s="259"/>
      <c r="G31" s="242">
        <f t="shared" si="0"/>
        <v>145702800</v>
      </c>
    </row>
    <row r="32" spans="1:9" ht="18.75" customHeight="1" x14ac:dyDescent="0.25">
      <c r="A32" s="262">
        <v>22</v>
      </c>
      <c r="B32" s="261">
        <v>44925</v>
      </c>
      <c r="C32" s="260" t="s">
        <v>1353</v>
      </c>
      <c r="D32" s="259">
        <v>123834400</v>
      </c>
      <c r="E32" s="259"/>
      <c r="F32" s="259"/>
      <c r="G32" s="242">
        <f t="shared" si="0"/>
        <v>269537200</v>
      </c>
      <c r="I32" s="242"/>
    </row>
    <row r="33" spans="1:9" ht="18.75" customHeight="1" x14ac:dyDescent="0.25">
      <c r="A33" s="262">
        <v>23</v>
      </c>
      <c r="B33" s="261">
        <v>44925</v>
      </c>
      <c r="C33" s="260" t="s">
        <v>1342</v>
      </c>
      <c r="D33" s="259"/>
      <c r="E33" s="259">
        <v>46332800</v>
      </c>
      <c r="F33" s="259"/>
      <c r="G33" s="242">
        <f t="shared" si="0"/>
        <v>223204400</v>
      </c>
      <c r="I33" s="242"/>
    </row>
    <row r="34" spans="1:9" ht="18.75" customHeight="1" x14ac:dyDescent="0.25">
      <c r="A34" s="262">
        <v>24</v>
      </c>
      <c r="B34" s="261">
        <v>44930</v>
      </c>
      <c r="C34" s="260" t="s">
        <v>1350</v>
      </c>
      <c r="D34" s="259">
        <v>38294900</v>
      </c>
      <c r="E34" s="259"/>
      <c r="F34" s="259"/>
      <c r="G34" s="242">
        <f t="shared" si="0"/>
        <v>261499300</v>
      </c>
    </row>
    <row r="35" spans="1:9" ht="18.75" customHeight="1" x14ac:dyDescent="0.25">
      <c r="A35" s="262">
        <v>25</v>
      </c>
      <c r="B35" s="261"/>
      <c r="C35" s="260" t="s">
        <v>1351</v>
      </c>
      <c r="D35" s="259">
        <v>38294900</v>
      </c>
      <c r="E35" s="259"/>
      <c r="F35" s="259"/>
      <c r="G35" s="242">
        <f t="shared" si="0"/>
        <v>299794200</v>
      </c>
    </row>
    <row r="36" spans="1:9" ht="18.75" customHeight="1" x14ac:dyDescent="0.25">
      <c r="A36" s="262">
        <v>26</v>
      </c>
      <c r="B36" s="261">
        <v>44938</v>
      </c>
      <c r="C36" s="260" t="s">
        <v>1354</v>
      </c>
      <c r="D36" s="287">
        <v>32886900</v>
      </c>
      <c r="E36" s="259"/>
      <c r="F36" s="259"/>
      <c r="G36" s="242">
        <f t="shared" si="0"/>
        <v>332681100</v>
      </c>
    </row>
    <row r="37" spans="1:9" ht="18.75" customHeight="1" x14ac:dyDescent="0.25">
      <c r="A37" s="262">
        <v>27</v>
      </c>
      <c r="B37" s="261">
        <v>44938</v>
      </c>
      <c r="C37" s="260" t="s">
        <v>1355</v>
      </c>
      <c r="D37" s="259"/>
      <c r="E37" s="259">
        <v>99370000</v>
      </c>
      <c r="F37" s="259"/>
      <c r="G37" s="242">
        <f t="shared" si="0"/>
        <v>233311100</v>
      </c>
    </row>
    <row r="38" spans="1:9" ht="18.75" customHeight="1" x14ac:dyDescent="0.25">
      <c r="A38" s="262">
        <v>28</v>
      </c>
      <c r="B38" s="261"/>
      <c r="C38" s="260" t="s">
        <v>1356</v>
      </c>
      <c r="D38" s="259"/>
      <c r="E38" s="259">
        <v>32886900</v>
      </c>
      <c r="F38" s="259"/>
      <c r="G38" s="242">
        <f t="shared" si="0"/>
        <v>200424200</v>
      </c>
    </row>
    <row r="39" spans="1:9" ht="18.75" customHeight="1" x14ac:dyDescent="0.25">
      <c r="A39" s="262">
        <v>29</v>
      </c>
      <c r="B39" s="261">
        <v>44942</v>
      </c>
      <c r="C39" s="260" t="s">
        <v>1358</v>
      </c>
      <c r="D39" s="259"/>
      <c r="E39" s="259">
        <v>76589800</v>
      </c>
      <c r="F39" s="259"/>
      <c r="G39" s="242">
        <f t="shared" si="0"/>
        <v>123834400</v>
      </c>
    </row>
    <row r="40" spans="1:9" ht="18.75" customHeight="1" x14ac:dyDescent="0.25">
      <c r="A40" s="262">
        <v>30</v>
      </c>
      <c r="B40" s="261">
        <v>44956</v>
      </c>
      <c r="C40" s="260" t="s">
        <v>1378</v>
      </c>
      <c r="D40" s="259">
        <v>11171000</v>
      </c>
      <c r="E40" s="259"/>
      <c r="F40" s="259"/>
      <c r="G40" s="242">
        <f t="shared" si="0"/>
        <v>135005400</v>
      </c>
    </row>
    <row r="41" spans="1:9" ht="18.75" customHeight="1" x14ac:dyDescent="0.25">
      <c r="A41" s="262">
        <v>31</v>
      </c>
      <c r="B41" s="261">
        <v>44972</v>
      </c>
      <c r="C41" s="260" t="s">
        <v>1380</v>
      </c>
      <c r="D41" s="259"/>
      <c r="E41" s="259">
        <v>93290000</v>
      </c>
      <c r="F41" s="259"/>
      <c r="G41" s="242">
        <f t="shared" si="0"/>
        <v>41715400</v>
      </c>
    </row>
    <row r="42" spans="1:9" ht="18.75" customHeight="1" x14ac:dyDescent="0.25">
      <c r="A42" s="262">
        <v>32</v>
      </c>
      <c r="B42" s="261">
        <v>44985</v>
      </c>
      <c r="C42" s="260" t="s">
        <v>1391</v>
      </c>
      <c r="D42" s="259">
        <v>11445000</v>
      </c>
      <c r="E42" s="259"/>
      <c r="F42" s="259"/>
      <c r="G42" s="242">
        <f t="shared" si="0"/>
        <v>53160400</v>
      </c>
    </row>
    <row r="43" spans="1:9" ht="18.75" customHeight="1" x14ac:dyDescent="0.25">
      <c r="A43" s="262">
        <v>33</v>
      </c>
      <c r="B43" s="261">
        <v>45007</v>
      </c>
      <c r="C43" s="260" t="s">
        <v>1412</v>
      </c>
      <c r="D43" s="259"/>
      <c r="E43" s="259">
        <v>41715400</v>
      </c>
      <c r="F43" s="259"/>
      <c r="G43" s="242">
        <f t="shared" si="0"/>
        <v>11445000</v>
      </c>
    </row>
    <row r="44" spans="1:9" ht="18.75" customHeight="1" x14ac:dyDescent="0.25">
      <c r="A44" s="262">
        <v>34</v>
      </c>
      <c r="B44" s="261">
        <v>45015</v>
      </c>
      <c r="C44" s="260" t="s">
        <v>1415</v>
      </c>
      <c r="D44" s="259">
        <v>10801000</v>
      </c>
      <c r="E44" s="259"/>
      <c r="F44" s="259"/>
      <c r="G44" s="242">
        <f t="shared" si="0"/>
        <v>22246000</v>
      </c>
    </row>
    <row r="45" spans="1:9" ht="18.75" customHeight="1" x14ac:dyDescent="0.25">
      <c r="A45" s="262">
        <v>35</v>
      </c>
      <c r="B45" s="261">
        <v>45045</v>
      </c>
      <c r="C45" s="260" t="s">
        <v>1437</v>
      </c>
      <c r="D45" s="259">
        <v>91715000</v>
      </c>
      <c r="E45" s="259"/>
      <c r="F45" s="259"/>
      <c r="G45" s="242">
        <f>G44+D45-E45</f>
        <v>113961000</v>
      </c>
    </row>
    <row r="46" spans="1:9" ht="18.75" customHeight="1" x14ac:dyDescent="0.25">
      <c r="A46" s="262">
        <v>36</v>
      </c>
      <c r="B46" s="261">
        <v>45068</v>
      </c>
      <c r="C46" s="260" t="s">
        <v>1477</v>
      </c>
      <c r="D46" s="259"/>
      <c r="E46" s="259">
        <v>40742000</v>
      </c>
      <c r="F46" s="259"/>
      <c r="G46" s="242">
        <f t="shared" si="0"/>
        <v>73219000</v>
      </c>
    </row>
    <row r="47" spans="1:9" ht="18.75" customHeight="1" x14ac:dyDescent="0.25">
      <c r="A47" s="262">
        <v>37</v>
      </c>
      <c r="B47" s="261">
        <v>45076</v>
      </c>
      <c r="C47" s="260" t="s">
        <v>1486</v>
      </c>
      <c r="D47" s="259">
        <v>53962000</v>
      </c>
      <c r="E47" s="259"/>
      <c r="F47" s="259"/>
      <c r="G47" s="242">
        <f t="shared" si="0"/>
        <v>127181000</v>
      </c>
    </row>
    <row r="48" spans="1:9" ht="18.75" customHeight="1" x14ac:dyDescent="0.25">
      <c r="A48" s="262">
        <v>38</v>
      </c>
      <c r="B48" s="261">
        <v>45100</v>
      </c>
      <c r="C48" s="260" t="s">
        <v>1527</v>
      </c>
      <c r="D48" s="259"/>
      <c r="E48" s="259">
        <v>73219000</v>
      </c>
      <c r="F48" s="259"/>
      <c r="G48" s="242">
        <f t="shared" si="0"/>
        <v>53962000</v>
      </c>
    </row>
    <row r="49" spans="1:7" ht="18.75" customHeight="1" x14ac:dyDescent="0.25">
      <c r="A49" s="262">
        <v>39</v>
      </c>
      <c r="B49" s="261">
        <v>45106</v>
      </c>
      <c r="C49" s="260" t="s">
        <v>1507</v>
      </c>
      <c r="D49" s="259">
        <v>28966000</v>
      </c>
      <c r="E49" s="259"/>
      <c r="F49" s="259"/>
      <c r="G49" s="242">
        <f t="shared" si="0"/>
        <v>82928000</v>
      </c>
    </row>
    <row r="50" spans="1:7" ht="18.75" customHeight="1" x14ac:dyDescent="0.25">
      <c r="A50" s="262">
        <v>40</v>
      </c>
      <c r="B50" s="261">
        <v>45113</v>
      </c>
      <c r="C50" s="260" t="s">
        <v>1526</v>
      </c>
      <c r="D50" s="259"/>
      <c r="E50" s="259">
        <v>53962000</v>
      </c>
      <c r="F50" s="259"/>
      <c r="G50" s="242">
        <f t="shared" si="0"/>
        <v>28966000</v>
      </c>
    </row>
    <row r="51" spans="1:7" ht="18.75" customHeight="1" x14ac:dyDescent="0.25">
      <c r="A51" s="262">
        <v>41</v>
      </c>
      <c r="B51" s="261">
        <v>45138</v>
      </c>
      <c r="C51" s="260" t="s">
        <v>1544</v>
      </c>
      <c r="D51" s="259">
        <v>82472000</v>
      </c>
      <c r="E51" s="259"/>
      <c r="F51" s="259"/>
      <c r="G51" s="242">
        <f t="shared" si="0"/>
        <v>111438000</v>
      </c>
    </row>
    <row r="52" spans="1:7" ht="18.75" customHeight="1" x14ac:dyDescent="0.25">
      <c r="A52" s="262">
        <v>42</v>
      </c>
      <c r="B52" s="261">
        <v>45142</v>
      </c>
      <c r="C52" s="260" t="s">
        <v>1553</v>
      </c>
      <c r="D52" s="259"/>
      <c r="E52" s="259">
        <v>28966000</v>
      </c>
      <c r="F52" s="259"/>
      <c r="G52" s="242">
        <f t="shared" si="0"/>
        <v>82472000</v>
      </c>
    </row>
    <row r="53" spans="1:7" ht="18.75" customHeight="1" x14ac:dyDescent="0.25">
      <c r="A53" s="262">
        <v>43</v>
      </c>
      <c r="B53" s="261">
        <v>45163</v>
      </c>
      <c r="C53" s="260" t="s">
        <v>1566</v>
      </c>
      <c r="D53" s="259"/>
      <c r="E53" s="259">
        <v>82472000</v>
      </c>
      <c r="F53" s="259"/>
      <c r="G53" s="242">
        <f t="shared" si="0"/>
        <v>0</v>
      </c>
    </row>
    <row r="54" spans="1:7" ht="18.75" customHeight="1" x14ac:dyDescent="0.25">
      <c r="A54" s="262">
        <v>44</v>
      </c>
      <c r="B54" s="261">
        <v>45169</v>
      </c>
      <c r="C54" s="260" t="s">
        <v>1572</v>
      </c>
      <c r="D54" s="259">
        <v>67315240</v>
      </c>
      <c r="E54" s="259"/>
      <c r="F54" s="259"/>
      <c r="G54" s="242">
        <f t="shared" si="0"/>
        <v>67315240</v>
      </c>
    </row>
    <row r="55" spans="1:7" ht="18.75" customHeight="1" x14ac:dyDescent="0.25">
      <c r="A55" s="262">
        <v>45</v>
      </c>
      <c r="B55" s="261">
        <v>45199</v>
      </c>
      <c r="C55" s="260" t="s">
        <v>1603</v>
      </c>
      <c r="D55" s="259">
        <v>89876800</v>
      </c>
      <c r="E55" s="259"/>
      <c r="F55" s="259"/>
      <c r="G55" s="242">
        <f t="shared" si="0"/>
        <v>157192040</v>
      </c>
    </row>
    <row r="56" spans="1:7" ht="18.75" customHeight="1" x14ac:dyDescent="0.25">
      <c r="A56" s="262">
        <v>46</v>
      </c>
      <c r="B56" s="261">
        <v>45202</v>
      </c>
      <c r="C56" s="260" t="s">
        <v>1608</v>
      </c>
      <c r="D56" s="259"/>
      <c r="E56" s="259">
        <v>67315240</v>
      </c>
      <c r="F56" s="259"/>
      <c r="G56" s="242">
        <f t="shared" si="0"/>
        <v>89876800</v>
      </c>
    </row>
    <row r="57" spans="1:7" ht="18.75" customHeight="1" x14ac:dyDescent="0.25">
      <c r="A57" s="262">
        <v>47</v>
      </c>
      <c r="B57" s="261">
        <v>45227</v>
      </c>
      <c r="C57" s="260" t="s">
        <v>1329</v>
      </c>
      <c r="D57" s="259"/>
      <c r="E57" s="259">
        <v>89876800</v>
      </c>
      <c r="F57" s="259"/>
      <c r="G57" s="242">
        <f t="shared" si="0"/>
        <v>0</v>
      </c>
    </row>
    <row r="58" spans="1:7" ht="18.75" customHeight="1" x14ac:dyDescent="0.25">
      <c r="A58" s="262">
        <v>48</v>
      </c>
      <c r="B58" s="261">
        <v>45230</v>
      </c>
      <c r="C58" s="260" t="s">
        <v>1259</v>
      </c>
      <c r="D58" s="259">
        <v>99436000</v>
      </c>
      <c r="E58" s="259"/>
      <c r="F58" s="259"/>
      <c r="G58" s="242">
        <f t="shared" si="0"/>
        <v>99436000</v>
      </c>
    </row>
    <row r="59" spans="1:7" ht="18.75" customHeight="1" x14ac:dyDescent="0.25">
      <c r="A59" s="262">
        <v>49</v>
      </c>
      <c r="B59" s="261">
        <v>45259</v>
      </c>
      <c r="C59" s="260" t="s">
        <v>1659</v>
      </c>
      <c r="D59" s="259"/>
      <c r="E59" s="259">
        <v>80304000</v>
      </c>
      <c r="F59" s="259"/>
      <c r="G59" s="242">
        <f t="shared" si="0"/>
        <v>19132000</v>
      </c>
    </row>
    <row r="60" spans="1:7" ht="18.75" customHeight="1" x14ac:dyDescent="0.25">
      <c r="A60" s="262">
        <v>50</v>
      </c>
      <c r="B60" s="261">
        <v>45260</v>
      </c>
      <c r="C60" s="260" t="s">
        <v>1298</v>
      </c>
      <c r="D60" s="259">
        <v>107402000</v>
      </c>
      <c r="E60" s="259"/>
      <c r="F60" s="259"/>
      <c r="G60" s="242">
        <f t="shared" si="0"/>
        <v>126534000</v>
      </c>
    </row>
    <row r="61" spans="1:7" ht="18.75" customHeight="1" x14ac:dyDescent="0.25">
      <c r="A61" s="262">
        <v>51</v>
      </c>
      <c r="B61" s="261">
        <v>45291</v>
      </c>
      <c r="C61" s="260" t="s">
        <v>1353</v>
      </c>
      <c r="D61" s="259">
        <v>80422800</v>
      </c>
      <c r="E61" s="259"/>
      <c r="F61" s="259"/>
      <c r="G61" s="242">
        <f>G60+D61-E61</f>
        <v>206956800</v>
      </c>
    </row>
    <row r="62" spans="1:7" ht="18.75" customHeight="1" x14ac:dyDescent="0.25">
      <c r="A62" s="262">
        <v>52</v>
      </c>
      <c r="B62" s="261">
        <v>45293</v>
      </c>
      <c r="C62" s="260" t="s">
        <v>1684</v>
      </c>
      <c r="D62" s="259"/>
      <c r="E62" s="259">
        <v>126534000</v>
      </c>
      <c r="F62" s="259"/>
      <c r="G62" s="242">
        <f>G61+D62-E62</f>
        <v>80422800</v>
      </c>
    </row>
    <row r="63" spans="1:7" ht="18.75" customHeight="1" x14ac:dyDescent="0.25">
      <c r="A63" s="262">
        <v>53</v>
      </c>
      <c r="B63" s="261">
        <v>45322</v>
      </c>
      <c r="C63" s="260" t="s">
        <v>1378</v>
      </c>
      <c r="D63" s="287">
        <v>244854400</v>
      </c>
      <c r="F63" s="259"/>
      <c r="G63" s="242">
        <f>G62+D63-E63</f>
        <v>325277200</v>
      </c>
    </row>
    <row r="64" spans="1:7" ht="18.75" customHeight="1" x14ac:dyDescent="0.25">
      <c r="A64" s="262">
        <v>54</v>
      </c>
      <c r="B64" s="261">
        <v>45324</v>
      </c>
      <c r="C64" s="260" t="s">
        <v>1715</v>
      </c>
      <c r="D64" s="255"/>
      <c r="E64" s="259">
        <v>79972800</v>
      </c>
      <c r="F64" s="259"/>
      <c r="G64" s="242">
        <f t="shared" ref="G64:G88" si="1">G63+D64-E64</f>
        <v>245304400</v>
      </c>
    </row>
    <row r="65" spans="1:9" ht="18.75" customHeight="1" x14ac:dyDescent="0.25">
      <c r="A65" s="262">
        <v>55</v>
      </c>
      <c r="B65" s="261">
        <v>45351</v>
      </c>
      <c r="C65" s="260" t="s">
        <v>1727</v>
      </c>
      <c r="D65" s="259"/>
      <c r="E65" s="259">
        <v>110511600</v>
      </c>
      <c r="F65" s="259"/>
      <c r="G65" s="242">
        <f t="shared" si="1"/>
        <v>134792800</v>
      </c>
    </row>
    <row r="66" spans="1:9" ht="18.75" customHeight="1" x14ac:dyDescent="0.25">
      <c r="A66" s="262">
        <v>56</v>
      </c>
      <c r="B66" s="261">
        <v>45351</v>
      </c>
      <c r="C66" s="260" t="s">
        <v>1391</v>
      </c>
      <c r="D66" s="287">
        <v>26830800</v>
      </c>
      <c r="E66" s="259"/>
      <c r="F66" s="259"/>
      <c r="G66" s="242">
        <f t="shared" si="1"/>
        <v>161623600</v>
      </c>
    </row>
    <row r="67" spans="1:9" ht="18.75" customHeight="1" x14ac:dyDescent="0.25">
      <c r="A67" s="262">
        <v>57</v>
      </c>
      <c r="B67" s="261">
        <v>45365</v>
      </c>
      <c r="C67" s="260" t="s">
        <v>1727</v>
      </c>
      <c r="D67" s="259"/>
      <c r="E67" s="259">
        <v>51284400</v>
      </c>
      <c r="F67" s="259"/>
      <c r="G67" s="242">
        <f t="shared" si="1"/>
        <v>110339200</v>
      </c>
    </row>
    <row r="68" spans="1:9" ht="18.75" customHeight="1" x14ac:dyDescent="0.25">
      <c r="A68" s="262">
        <v>58</v>
      </c>
      <c r="B68" s="261">
        <v>45378</v>
      </c>
      <c r="C68" s="260" t="s">
        <v>1727</v>
      </c>
      <c r="D68" s="259"/>
      <c r="E68" s="259">
        <v>83508400</v>
      </c>
      <c r="F68" s="259"/>
      <c r="G68" s="242">
        <f t="shared" si="1"/>
        <v>26830800</v>
      </c>
    </row>
    <row r="69" spans="1:9" ht="18.75" customHeight="1" x14ac:dyDescent="0.25">
      <c r="A69" s="262">
        <v>59</v>
      </c>
      <c r="B69" s="261">
        <v>45380</v>
      </c>
      <c r="C69" s="260" t="s">
        <v>1415</v>
      </c>
      <c r="D69" s="287">
        <v>21389200</v>
      </c>
      <c r="E69" s="259"/>
      <c r="F69" s="259"/>
      <c r="G69" s="242">
        <f t="shared" si="1"/>
        <v>48220000</v>
      </c>
    </row>
    <row r="70" spans="1:9" ht="18.75" customHeight="1" x14ac:dyDescent="0.25">
      <c r="A70" s="262">
        <v>60</v>
      </c>
      <c r="B70" s="261">
        <v>45407</v>
      </c>
      <c r="C70" s="260" t="s">
        <v>1754</v>
      </c>
      <c r="D70" s="259"/>
      <c r="E70" s="259">
        <v>26830800</v>
      </c>
      <c r="F70" s="259"/>
      <c r="G70" s="242">
        <f t="shared" si="1"/>
        <v>21389200</v>
      </c>
      <c r="I70" s="242">
        <f>E72-D69</f>
        <v>11152800</v>
      </c>
    </row>
    <row r="71" spans="1:9" ht="18.75" customHeight="1" x14ac:dyDescent="0.25">
      <c r="A71" s="262">
        <v>61</v>
      </c>
      <c r="B71" s="261">
        <v>45412</v>
      </c>
      <c r="C71" s="260" t="s">
        <v>1437</v>
      </c>
      <c r="D71" s="287">
        <v>54765200</v>
      </c>
      <c r="E71" s="259"/>
      <c r="F71" s="259"/>
      <c r="G71" s="242">
        <f t="shared" si="1"/>
        <v>76154400</v>
      </c>
    </row>
    <row r="72" spans="1:9" ht="18.75" customHeight="1" x14ac:dyDescent="0.25">
      <c r="A72" s="262">
        <v>62</v>
      </c>
      <c r="B72" s="261">
        <v>45421</v>
      </c>
      <c r="C72" s="260" t="s">
        <v>1769</v>
      </c>
      <c r="D72" s="259"/>
      <c r="E72" s="259">
        <v>32542000</v>
      </c>
      <c r="F72" s="259"/>
      <c r="G72" s="242">
        <f t="shared" si="1"/>
        <v>43612400</v>
      </c>
    </row>
    <row r="73" spans="1:9" ht="18.75" customHeight="1" x14ac:dyDescent="0.25">
      <c r="A73" s="262">
        <v>63</v>
      </c>
      <c r="B73" s="261">
        <v>45440</v>
      </c>
      <c r="C73" s="260" t="s">
        <v>1787</v>
      </c>
      <c r="D73" s="259"/>
      <c r="E73" s="259">
        <v>32358400</v>
      </c>
      <c r="F73" s="259"/>
      <c r="G73" s="242">
        <f t="shared" si="1"/>
        <v>11254000</v>
      </c>
    </row>
    <row r="74" spans="1:9" ht="18.75" customHeight="1" x14ac:dyDescent="0.25">
      <c r="A74" s="262">
        <v>64</v>
      </c>
      <c r="B74" s="261">
        <v>45443</v>
      </c>
      <c r="C74" s="260" t="s">
        <v>1486</v>
      </c>
      <c r="D74" s="287">
        <v>99286800</v>
      </c>
      <c r="E74" s="259"/>
      <c r="F74" s="259"/>
      <c r="G74" s="242">
        <f t="shared" si="1"/>
        <v>110540800</v>
      </c>
    </row>
    <row r="75" spans="1:9" ht="18.75" customHeight="1" x14ac:dyDescent="0.25">
      <c r="A75" s="262">
        <v>65</v>
      </c>
      <c r="B75" s="261">
        <v>45450</v>
      </c>
      <c r="C75" s="260" t="s">
        <v>1114</v>
      </c>
      <c r="D75" s="259"/>
      <c r="E75" s="259">
        <v>11254000</v>
      </c>
      <c r="F75" s="259"/>
      <c r="G75" s="242">
        <f t="shared" si="1"/>
        <v>99286800</v>
      </c>
    </row>
    <row r="76" spans="1:9" ht="18.75" customHeight="1" x14ac:dyDescent="0.25">
      <c r="A76" s="262">
        <v>66</v>
      </c>
      <c r="B76" s="261">
        <v>45473</v>
      </c>
      <c r="C76" s="260" t="s">
        <v>1507</v>
      </c>
      <c r="D76" s="287">
        <v>161715600</v>
      </c>
      <c r="E76" s="259"/>
      <c r="F76" s="259"/>
      <c r="G76" s="242">
        <f t="shared" si="1"/>
        <v>261002400</v>
      </c>
    </row>
    <row r="77" spans="1:9" ht="18.75" customHeight="1" x14ac:dyDescent="0.25">
      <c r="A77" s="262">
        <v>67</v>
      </c>
      <c r="B77" s="261">
        <v>45477</v>
      </c>
      <c r="C77" s="260" t="s">
        <v>1114</v>
      </c>
      <c r="D77" s="259"/>
      <c r="E77" s="259">
        <v>61374800</v>
      </c>
      <c r="F77" s="259"/>
      <c r="G77" s="242">
        <f t="shared" si="1"/>
        <v>199627600</v>
      </c>
    </row>
    <row r="78" spans="1:9" ht="18.75" customHeight="1" x14ac:dyDescent="0.25">
      <c r="A78" s="262">
        <v>68</v>
      </c>
      <c r="B78" s="261">
        <v>45489</v>
      </c>
      <c r="C78" s="260" t="s">
        <v>1114</v>
      </c>
      <c r="D78" s="259"/>
      <c r="E78" s="259">
        <v>37912000</v>
      </c>
      <c r="F78" s="259"/>
      <c r="G78" s="242">
        <f t="shared" si="1"/>
        <v>161715600</v>
      </c>
    </row>
    <row r="79" spans="1:9" ht="18.75" customHeight="1" x14ac:dyDescent="0.25">
      <c r="A79" s="262">
        <v>69</v>
      </c>
      <c r="B79" s="261">
        <v>45481</v>
      </c>
      <c r="C79" s="260" t="s">
        <v>1844</v>
      </c>
      <c r="D79" s="287">
        <v>108701760</v>
      </c>
      <c r="E79" s="259"/>
      <c r="F79" s="259"/>
      <c r="G79" s="242">
        <f t="shared" si="1"/>
        <v>270417360</v>
      </c>
    </row>
    <row r="80" spans="1:9" ht="18.75" customHeight="1" x14ac:dyDescent="0.25">
      <c r="A80" s="262">
        <v>70</v>
      </c>
      <c r="B80" s="261">
        <v>45503</v>
      </c>
      <c r="C80" s="260" t="s">
        <v>1544</v>
      </c>
      <c r="D80" s="287">
        <v>97572400</v>
      </c>
      <c r="E80" s="259"/>
      <c r="F80" s="259"/>
      <c r="G80" s="242">
        <f t="shared" si="1"/>
        <v>367989760</v>
      </c>
    </row>
    <row r="81" spans="1:9" ht="18.75" customHeight="1" x14ac:dyDescent="0.25">
      <c r="A81" s="262">
        <v>71</v>
      </c>
      <c r="B81" s="261">
        <v>45505</v>
      </c>
      <c r="C81" s="260" t="s">
        <v>1114</v>
      </c>
      <c r="D81" s="259"/>
      <c r="E81" s="259">
        <v>75198000</v>
      </c>
      <c r="F81" s="259"/>
      <c r="G81" s="242">
        <f t="shared" si="1"/>
        <v>292791760</v>
      </c>
    </row>
    <row r="82" spans="1:9" ht="20.25" customHeight="1" x14ac:dyDescent="0.25">
      <c r="A82" s="262">
        <v>72</v>
      </c>
      <c r="B82" s="261">
        <v>45511</v>
      </c>
      <c r="C82" s="260" t="s">
        <v>1845</v>
      </c>
      <c r="D82" s="259"/>
      <c r="E82" s="259">
        <v>108701760</v>
      </c>
      <c r="F82" s="259"/>
      <c r="G82" s="242">
        <f t="shared" si="1"/>
        <v>184090000</v>
      </c>
    </row>
    <row r="83" spans="1:9" ht="20.25" customHeight="1" x14ac:dyDescent="0.25">
      <c r="A83" s="262">
        <v>73</v>
      </c>
      <c r="B83" s="261">
        <v>45520</v>
      </c>
      <c r="C83" s="260" t="s">
        <v>1847</v>
      </c>
      <c r="D83" s="259"/>
      <c r="E83" s="259">
        <v>56041200</v>
      </c>
      <c r="F83" s="259"/>
      <c r="G83" s="242">
        <f t="shared" si="1"/>
        <v>128048800</v>
      </c>
    </row>
    <row r="84" spans="1:9" ht="20.25" customHeight="1" x14ac:dyDescent="0.25">
      <c r="A84" s="262">
        <v>74</v>
      </c>
      <c r="B84" s="261">
        <v>45532</v>
      </c>
      <c r="C84" s="260" t="s">
        <v>1845</v>
      </c>
      <c r="D84" s="259"/>
      <c r="E84" s="259">
        <v>30476400</v>
      </c>
      <c r="F84" s="259"/>
      <c r="G84" s="242">
        <f t="shared" si="1"/>
        <v>97572400</v>
      </c>
      <c r="I84" s="242">
        <f>E84+E83+E81</f>
        <v>161715600</v>
      </c>
    </row>
    <row r="85" spans="1:9" ht="20.25" customHeight="1" x14ac:dyDescent="0.25">
      <c r="A85" s="262">
        <v>75</v>
      </c>
      <c r="B85" s="261">
        <v>45534</v>
      </c>
      <c r="C85" s="260" t="s">
        <v>1572</v>
      </c>
      <c r="D85" s="287">
        <v>30518800</v>
      </c>
      <c r="E85" s="259"/>
      <c r="F85" s="259"/>
      <c r="G85" s="242">
        <f t="shared" si="1"/>
        <v>128091200</v>
      </c>
    </row>
    <row r="86" spans="1:9" ht="20.25" customHeight="1" x14ac:dyDescent="0.25">
      <c r="A86" s="262">
        <v>76</v>
      </c>
      <c r="B86" s="261">
        <v>45547</v>
      </c>
      <c r="C86" s="260" t="s">
        <v>1865</v>
      </c>
      <c r="D86" s="259"/>
      <c r="E86" s="259">
        <v>40000000</v>
      </c>
      <c r="F86" s="259">
        <f>D80-E86</f>
        <v>57572400</v>
      </c>
      <c r="G86" s="242">
        <f t="shared" si="1"/>
        <v>88091200</v>
      </c>
    </row>
    <row r="87" spans="1:9" ht="20.25" customHeight="1" x14ac:dyDescent="0.25">
      <c r="A87" s="262">
        <v>77</v>
      </c>
      <c r="B87" s="261">
        <v>45560</v>
      </c>
      <c r="C87" s="260" t="s">
        <v>1880</v>
      </c>
      <c r="D87" s="259"/>
      <c r="E87" s="259">
        <v>57572400</v>
      </c>
      <c r="F87" s="259"/>
      <c r="G87" s="242">
        <f t="shared" si="1"/>
        <v>30518800</v>
      </c>
    </row>
    <row r="88" spans="1:9" ht="20.25" customHeight="1" x14ac:dyDescent="0.25">
      <c r="A88" s="262">
        <v>78</v>
      </c>
      <c r="B88" s="261">
        <v>45565</v>
      </c>
      <c r="C88" s="260" t="s">
        <v>1603</v>
      </c>
      <c r="D88" s="287">
        <v>32348400</v>
      </c>
      <c r="E88" s="259"/>
      <c r="F88" s="259"/>
      <c r="G88" s="242">
        <f t="shared" si="1"/>
        <v>62867200</v>
      </c>
    </row>
    <row r="89" spans="1:9" ht="20.25" customHeight="1" x14ac:dyDescent="0.25">
      <c r="A89" s="262">
        <v>79</v>
      </c>
      <c r="B89" s="261">
        <v>45574</v>
      </c>
      <c r="C89" s="260" t="s">
        <v>1890</v>
      </c>
      <c r="D89" s="259"/>
      <c r="E89" s="259">
        <v>30518800</v>
      </c>
      <c r="F89" s="259"/>
      <c r="G89" s="242">
        <f>G88+D89-E89</f>
        <v>32348400</v>
      </c>
    </row>
    <row r="90" spans="1:9" ht="20.25" customHeight="1" x14ac:dyDescent="0.25">
      <c r="A90" s="262">
        <v>80</v>
      </c>
      <c r="B90" s="261">
        <v>45596</v>
      </c>
      <c r="C90" s="260" t="s">
        <v>1259</v>
      </c>
      <c r="D90" s="287">
        <v>9840000</v>
      </c>
      <c r="E90" s="259"/>
      <c r="F90" s="259"/>
      <c r="G90" s="242">
        <f t="shared" ref="G90:G109" si="2">G89+D90-E90</f>
        <v>42188400</v>
      </c>
    </row>
    <row r="91" spans="1:9" ht="20.25" customHeight="1" x14ac:dyDescent="0.25">
      <c r="A91" s="262">
        <v>81</v>
      </c>
      <c r="B91" s="261">
        <v>45616</v>
      </c>
      <c r="C91" s="260" t="s">
        <v>1912</v>
      </c>
      <c r="D91" s="259"/>
      <c r="E91" s="259">
        <v>32348400</v>
      </c>
      <c r="F91" s="259"/>
      <c r="G91" s="242">
        <f t="shared" si="2"/>
        <v>9840000</v>
      </c>
    </row>
    <row r="92" spans="1:9" ht="20.25" customHeight="1" x14ac:dyDescent="0.25">
      <c r="A92" s="262">
        <v>82</v>
      </c>
      <c r="B92" s="261">
        <v>45624</v>
      </c>
      <c r="C92" s="260" t="s">
        <v>1298</v>
      </c>
      <c r="D92" s="287">
        <v>42116800</v>
      </c>
      <c r="E92" s="259"/>
      <c r="F92" s="259"/>
      <c r="G92" s="242">
        <f t="shared" si="2"/>
        <v>51956800</v>
      </c>
    </row>
    <row r="93" spans="1:9" ht="20.25" customHeight="1" x14ac:dyDescent="0.25">
      <c r="A93" s="262">
        <v>83</v>
      </c>
      <c r="B93" s="261">
        <v>45656</v>
      </c>
      <c r="C93" s="260" t="s">
        <v>1353</v>
      </c>
      <c r="D93" s="287">
        <v>44800400</v>
      </c>
      <c r="E93" s="259"/>
      <c r="F93" s="259"/>
      <c r="G93" s="242">
        <f t="shared" si="2"/>
        <v>96757200</v>
      </c>
    </row>
    <row r="94" spans="1:9" ht="20.25" customHeight="1" x14ac:dyDescent="0.25">
      <c r="A94" s="262">
        <v>84</v>
      </c>
      <c r="B94" s="261">
        <v>45656</v>
      </c>
      <c r="C94" s="260" t="s">
        <v>1948</v>
      </c>
      <c r="D94" s="259"/>
      <c r="E94" s="259">
        <v>9840000</v>
      </c>
      <c r="F94" s="259"/>
      <c r="G94" s="242">
        <f t="shared" si="2"/>
        <v>86917200</v>
      </c>
    </row>
    <row r="95" spans="1:9" ht="20.25" customHeight="1" x14ac:dyDescent="0.25">
      <c r="A95" s="262">
        <v>85</v>
      </c>
      <c r="B95" s="261">
        <v>45675</v>
      </c>
      <c r="C95" s="260" t="s">
        <v>1378</v>
      </c>
      <c r="D95" s="259">
        <v>32236800</v>
      </c>
      <c r="E95" s="259"/>
      <c r="F95" s="259"/>
      <c r="G95" s="242">
        <f t="shared" si="2"/>
        <v>119154000</v>
      </c>
    </row>
    <row r="96" spans="1:9" ht="20.25" customHeight="1" x14ac:dyDescent="0.25">
      <c r="A96" s="262">
        <v>86</v>
      </c>
      <c r="B96" s="261">
        <v>45678</v>
      </c>
      <c r="C96" s="260" t="s">
        <v>1684</v>
      </c>
      <c r="D96" s="259"/>
      <c r="E96" s="259">
        <v>42116800</v>
      </c>
      <c r="F96" s="259"/>
      <c r="G96" s="242">
        <f t="shared" si="2"/>
        <v>77037200</v>
      </c>
    </row>
    <row r="97" spans="1:7" ht="21.75" customHeight="1" x14ac:dyDescent="0.25">
      <c r="A97" s="262">
        <v>87</v>
      </c>
      <c r="B97" s="261">
        <v>45715</v>
      </c>
      <c r="C97" s="260" t="s">
        <v>1391</v>
      </c>
      <c r="D97" s="259">
        <v>22635200</v>
      </c>
      <c r="E97" s="259"/>
      <c r="F97" s="259"/>
      <c r="G97" s="242">
        <f t="shared" si="2"/>
        <v>99672400</v>
      </c>
    </row>
    <row r="98" spans="1:7" ht="21.75" customHeight="1" x14ac:dyDescent="0.25">
      <c r="A98" s="262">
        <v>88</v>
      </c>
      <c r="B98" s="261">
        <v>45722</v>
      </c>
      <c r="C98" s="260" t="s">
        <v>1715</v>
      </c>
      <c r="D98" s="259"/>
      <c r="E98" s="259">
        <v>44800400</v>
      </c>
      <c r="F98" s="259"/>
      <c r="G98" s="242">
        <f t="shared" si="2"/>
        <v>54872000</v>
      </c>
    </row>
    <row r="99" spans="1:7" ht="21.75" customHeight="1" x14ac:dyDescent="0.25">
      <c r="A99" s="262">
        <v>89</v>
      </c>
      <c r="B99" s="261">
        <v>45735</v>
      </c>
      <c r="C99" s="260" t="s">
        <v>1727</v>
      </c>
      <c r="D99" s="259"/>
      <c r="E99" s="259">
        <v>32236800</v>
      </c>
      <c r="F99" s="259"/>
      <c r="G99" s="242">
        <f t="shared" si="2"/>
        <v>22635200</v>
      </c>
    </row>
    <row r="100" spans="1:7" ht="21.75" customHeight="1" x14ac:dyDescent="0.25">
      <c r="A100" s="262">
        <v>90</v>
      </c>
      <c r="B100" s="261">
        <v>45744</v>
      </c>
      <c r="C100" s="260" t="s">
        <v>1415</v>
      </c>
      <c r="D100" s="259">
        <v>53384800</v>
      </c>
      <c r="E100" s="259"/>
      <c r="F100" s="259"/>
      <c r="G100" s="242">
        <f t="shared" si="2"/>
        <v>76020000</v>
      </c>
    </row>
    <row r="101" spans="1:7" ht="21.75" customHeight="1" x14ac:dyDescent="0.25">
      <c r="A101" s="262">
        <v>91</v>
      </c>
      <c r="B101" s="261">
        <v>45769</v>
      </c>
      <c r="C101" s="260" t="s">
        <v>1754</v>
      </c>
      <c r="D101" s="259"/>
      <c r="E101" s="259">
        <v>22635200</v>
      </c>
      <c r="F101" s="259"/>
      <c r="G101" s="242">
        <f t="shared" si="2"/>
        <v>53384800</v>
      </c>
    </row>
    <row r="102" spans="1:7" ht="21.75" customHeight="1" x14ac:dyDescent="0.25">
      <c r="A102" s="262">
        <v>92</v>
      </c>
      <c r="B102" s="261">
        <v>45776</v>
      </c>
      <c r="C102" s="260" t="s">
        <v>1437</v>
      </c>
      <c r="D102" s="259">
        <v>22696000</v>
      </c>
      <c r="E102" s="259"/>
      <c r="F102" s="259"/>
      <c r="G102" s="242">
        <f t="shared" si="2"/>
        <v>76080800</v>
      </c>
    </row>
    <row r="103" spans="1:7" ht="21.75" customHeight="1" x14ac:dyDescent="0.25">
      <c r="A103" s="262"/>
      <c r="B103" s="262"/>
      <c r="C103" s="260"/>
      <c r="D103" s="259"/>
      <c r="E103" s="259"/>
      <c r="F103" s="259"/>
      <c r="G103" s="242">
        <f t="shared" si="2"/>
        <v>76080800</v>
      </c>
    </row>
    <row r="104" spans="1:7" ht="21.75" customHeight="1" x14ac:dyDescent="0.25">
      <c r="A104" s="262"/>
      <c r="B104" s="262"/>
      <c r="C104" s="260"/>
      <c r="D104" s="259"/>
      <c r="E104" s="259"/>
      <c r="F104" s="259"/>
      <c r="G104" s="242">
        <f t="shared" si="2"/>
        <v>76080800</v>
      </c>
    </row>
    <row r="105" spans="1:7" ht="21.75" customHeight="1" x14ac:dyDescent="0.25">
      <c r="A105" s="260"/>
      <c r="B105" s="262"/>
      <c r="C105" s="260"/>
      <c r="D105" s="259"/>
      <c r="E105" s="259"/>
      <c r="F105" s="259"/>
      <c r="G105" s="242">
        <f t="shared" si="2"/>
        <v>76080800</v>
      </c>
    </row>
    <row r="106" spans="1:7" ht="21.75" customHeight="1" x14ac:dyDescent="0.25">
      <c r="A106" s="260"/>
      <c r="B106" s="262"/>
      <c r="C106" s="260"/>
      <c r="D106" s="259"/>
      <c r="E106" s="259"/>
      <c r="F106" s="259"/>
      <c r="G106" s="242">
        <f t="shared" si="2"/>
        <v>76080800</v>
      </c>
    </row>
    <row r="107" spans="1:7" ht="21.75" customHeight="1" x14ac:dyDescent="0.25">
      <c r="A107" s="260"/>
      <c r="B107" s="262"/>
      <c r="C107" s="260"/>
      <c r="D107" s="259"/>
      <c r="E107" s="259"/>
      <c r="F107" s="259"/>
      <c r="G107" s="242">
        <f t="shared" si="2"/>
        <v>76080800</v>
      </c>
    </row>
    <row r="108" spans="1:7" ht="21.75" customHeight="1" x14ac:dyDescent="0.25">
      <c r="A108" s="260"/>
      <c r="B108" s="262"/>
      <c r="C108" s="260"/>
      <c r="D108" s="259"/>
      <c r="E108" s="259"/>
      <c r="F108" s="259"/>
      <c r="G108" s="242">
        <f t="shared" si="2"/>
        <v>76080800</v>
      </c>
    </row>
    <row r="109" spans="1:7" ht="21.75" customHeight="1" x14ac:dyDescent="0.25">
      <c r="A109" s="260"/>
      <c r="B109" s="262"/>
      <c r="C109" s="260"/>
      <c r="D109" s="259"/>
      <c r="E109" s="259"/>
      <c r="F109" s="259"/>
      <c r="G109" s="242">
        <f t="shared" si="2"/>
        <v>76080800</v>
      </c>
    </row>
    <row r="110" spans="1:7" ht="21.75" customHeight="1" x14ac:dyDescent="0.25">
      <c r="A110" s="260"/>
      <c r="B110" s="262"/>
      <c r="C110" s="260"/>
      <c r="D110" s="259"/>
      <c r="E110" s="259"/>
      <c r="F110" s="259"/>
    </row>
    <row r="111" spans="1:7" ht="21.75" customHeight="1" x14ac:dyDescent="0.25">
      <c r="A111" s="260"/>
      <c r="B111" s="262"/>
      <c r="C111" s="260"/>
      <c r="D111" s="259"/>
      <c r="E111" s="259"/>
      <c r="F111" s="259"/>
    </row>
    <row r="112" spans="1:7" ht="21.75" customHeight="1" x14ac:dyDescent="0.25">
      <c r="A112" s="260"/>
      <c r="B112" s="262"/>
      <c r="C112" s="260"/>
      <c r="D112" s="259"/>
      <c r="E112" s="259"/>
      <c r="F112" s="259"/>
    </row>
    <row r="113" spans="1:6" ht="21.75" customHeight="1" x14ac:dyDescent="0.25">
      <c r="A113" s="260"/>
      <c r="B113" s="262"/>
      <c r="C113" s="260"/>
      <c r="D113" s="259"/>
      <c r="E113" s="259"/>
      <c r="F113" s="259"/>
    </row>
    <row r="114" spans="1:6" ht="21.75" customHeight="1" x14ac:dyDescent="0.25">
      <c r="A114" s="260"/>
      <c r="B114" s="262"/>
      <c r="C114" s="260"/>
      <c r="D114" s="259"/>
      <c r="E114" s="259"/>
      <c r="F114" s="259"/>
    </row>
    <row r="115" spans="1:6" ht="21.75" customHeight="1" x14ac:dyDescent="0.25">
      <c r="A115" s="260"/>
      <c r="B115" s="262"/>
      <c r="C115" s="260"/>
      <c r="D115" s="259"/>
      <c r="E115" s="259"/>
      <c r="F115" s="259"/>
    </row>
    <row r="116" spans="1:6" ht="21.75" customHeight="1" x14ac:dyDescent="0.25">
      <c r="A116" s="260"/>
      <c r="B116" s="262"/>
      <c r="C116" s="260"/>
      <c r="D116" s="259"/>
      <c r="E116" s="259"/>
      <c r="F116" s="259"/>
    </row>
    <row r="117" spans="1:6" ht="21.75" customHeight="1" x14ac:dyDescent="0.25">
      <c r="A117" s="260"/>
      <c r="B117" s="262"/>
      <c r="C117" s="260"/>
      <c r="D117" s="259"/>
      <c r="E117" s="259"/>
      <c r="F117" s="259"/>
    </row>
    <row r="118" spans="1:6" ht="21.75" customHeight="1" x14ac:dyDescent="0.25">
      <c r="A118" s="260"/>
      <c r="B118" s="262"/>
      <c r="C118" s="260"/>
      <c r="D118" s="259"/>
      <c r="E118" s="259"/>
      <c r="F118" s="259"/>
    </row>
    <row r="119" spans="1:6" ht="18" customHeight="1" x14ac:dyDescent="0.25">
      <c r="A119" s="260"/>
      <c r="B119" s="262"/>
      <c r="C119" s="260"/>
      <c r="D119" s="259"/>
      <c r="E119" s="259"/>
      <c r="F119" s="259"/>
    </row>
    <row r="120" spans="1:6" ht="18" customHeight="1" x14ac:dyDescent="0.25">
      <c r="A120" s="260"/>
      <c r="B120" s="262"/>
      <c r="C120" s="260"/>
      <c r="D120" s="259"/>
      <c r="E120" s="259"/>
      <c r="F120" s="259"/>
    </row>
    <row r="121" spans="1:6" ht="18" customHeight="1" x14ac:dyDescent="0.25">
      <c r="A121" s="260"/>
      <c r="B121" s="262"/>
      <c r="C121" s="260"/>
      <c r="D121" s="259"/>
      <c r="E121" s="259"/>
      <c r="F121" s="259"/>
    </row>
    <row r="122" spans="1:6" ht="18" customHeight="1" x14ac:dyDescent="0.25">
      <c r="A122" s="260"/>
      <c r="B122" s="262"/>
      <c r="C122" s="260"/>
      <c r="D122" s="259"/>
      <c r="E122" s="259"/>
      <c r="F122" s="259"/>
    </row>
    <row r="123" spans="1:6" ht="18" customHeight="1" x14ac:dyDescent="0.25">
      <c r="A123" s="260"/>
      <c r="B123" s="262"/>
      <c r="C123" s="260"/>
      <c r="D123" s="259"/>
      <c r="E123" s="259"/>
      <c r="F123" s="259"/>
    </row>
    <row r="124" spans="1:6" ht="18" customHeight="1" x14ac:dyDescent="0.25">
      <c r="A124" s="260"/>
      <c r="B124" s="262"/>
      <c r="C124" s="260"/>
      <c r="D124" s="259"/>
      <c r="E124" s="259"/>
      <c r="F124" s="259"/>
    </row>
    <row r="125" spans="1:6" ht="18" customHeight="1" x14ac:dyDescent="0.25">
      <c r="A125" s="260"/>
      <c r="B125" s="262"/>
      <c r="C125" s="260"/>
      <c r="D125" s="259"/>
      <c r="E125" s="259"/>
      <c r="F125" s="259"/>
    </row>
    <row r="126" spans="1:6" ht="18" customHeight="1" x14ac:dyDescent="0.25">
      <c r="A126" s="260"/>
      <c r="B126" s="262"/>
      <c r="C126" s="260"/>
      <c r="D126" s="259"/>
      <c r="E126" s="259"/>
      <c r="F126" s="259"/>
    </row>
    <row r="127" spans="1:6" ht="18" customHeight="1" x14ac:dyDescent="0.25">
      <c r="A127" s="260"/>
      <c r="B127" s="262"/>
      <c r="C127" s="260"/>
      <c r="D127" s="259"/>
      <c r="E127" s="259"/>
      <c r="F127" s="259"/>
    </row>
    <row r="128" spans="1:6" x14ac:dyDescent="0.25">
      <c r="A128" s="260"/>
      <c r="B128" s="262"/>
      <c r="C128" s="260"/>
      <c r="D128" s="259"/>
      <c r="E128" s="259"/>
      <c r="F128" s="259"/>
    </row>
    <row r="129" spans="1:6" x14ac:dyDescent="0.25">
      <c r="A129" s="260"/>
      <c r="B129" s="262"/>
      <c r="C129" s="260"/>
      <c r="D129" s="259"/>
      <c r="E129" s="259"/>
      <c r="F129" s="259"/>
    </row>
    <row r="130" spans="1:6" x14ac:dyDescent="0.25">
      <c r="A130" s="260"/>
      <c r="B130" s="262"/>
      <c r="C130" s="260"/>
      <c r="D130" s="259"/>
      <c r="E130" s="259"/>
      <c r="F130" s="259"/>
    </row>
    <row r="131" spans="1:6" x14ac:dyDescent="0.25">
      <c r="A131" s="260"/>
      <c r="B131" s="262"/>
      <c r="C131" s="260"/>
      <c r="D131" s="259"/>
      <c r="E131" s="259"/>
      <c r="F131" s="259"/>
    </row>
    <row r="132" spans="1:6" x14ac:dyDescent="0.25">
      <c r="A132" s="260"/>
      <c r="B132" s="262"/>
      <c r="C132" s="260"/>
      <c r="D132" s="259"/>
      <c r="E132" s="259"/>
      <c r="F132" s="259"/>
    </row>
    <row r="133" spans="1:6" x14ac:dyDescent="0.25">
      <c r="A133" s="260"/>
      <c r="B133" s="262"/>
      <c r="C133" s="260"/>
      <c r="D133" s="259"/>
      <c r="E133" s="259"/>
      <c r="F133" s="259"/>
    </row>
    <row r="134" spans="1:6" x14ac:dyDescent="0.25">
      <c r="A134" s="260"/>
      <c r="B134" s="262"/>
      <c r="C134" s="260"/>
      <c r="D134" s="259"/>
      <c r="E134" s="259"/>
      <c r="F134" s="259"/>
    </row>
    <row r="135" spans="1:6" x14ac:dyDescent="0.25">
      <c r="A135" s="260"/>
      <c r="B135" s="262"/>
      <c r="C135" s="260"/>
      <c r="D135" s="259"/>
      <c r="E135" s="259"/>
      <c r="F135" s="259"/>
    </row>
    <row r="136" spans="1:6" x14ac:dyDescent="0.25">
      <c r="A136" s="260"/>
      <c r="B136" s="262"/>
      <c r="C136" s="260"/>
      <c r="D136" s="259"/>
      <c r="E136" s="259"/>
      <c r="F136" s="259"/>
    </row>
    <row r="137" spans="1:6" x14ac:dyDescent="0.25">
      <c r="A137" s="260"/>
      <c r="B137" s="262"/>
      <c r="C137" s="260"/>
      <c r="D137" s="259"/>
      <c r="E137" s="259"/>
      <c r="F137" s="259"/>
    </row>
    <row r="138" spans="1:6" x14ac:dyDescent="0.25">
      <c r="A138" s="260"/>
      <c r="B138" s="262"/>
      <c r="C138" s="260"/>
      <c r="D138" s="259"/>
      <c r="E138" s="259"/>
      <c r="F138" s="259"/>
    </row>
    <row r="139" spans="1:6" x14ac:dyDescent="0.25">
      <c r="A139" s="260"/>
      <c r="B139" s="262"/>
      <c r="C139" s="260"/>
      <c r="D139" s="259"/>
      <c r="E139" s="259"/>
      <c r="F139" s="259"/>
    </row>
    <row r="140" spans="1:6" x14ac:dyDescent="0.25">
      <c r="A140" s="260"/>
      <c r="B140" s="262"/>
      <c r="C140" s="260"/>
      <c r="D140" s="259"/>
      <c r="E140" s="259"/>
      <c r="F140" s="259"/>
    </row>
    <row r="141" spans="1:6" x14ac:dyDescent="0.25">
      <c r="A141" s="260"/>
      <c r="B141" s="262"/>
      <c r="C141" s="260"/>
      <c r="D141" s="259"/>
      <c r="E141" s="259"/>
      <c r="F141" s="259"/>
    </row>
    <row r="142" spans="1:6" x14ac:dyDescent="0.25">
      <c r="A142" s="260"/>
      <c r="B142" s="262"/>
      <c r="C142" s="260"/>
      <c r="D142" s="259"/>
      <c r="E142" s="259"/>
      <c r="F142" s="259"/>
    </row>
    <row r="143" spans="1:6" x14ac:dyDescent="0.25">
      <c r="A143" s="260"/>
      <c r="B143" s="262"/>
      <c r="C143" s="260"/>
      <c r="D143" s="259"/>
      <c r="E143" s="259"/>
      <c r="F143" s="259"/>
    </row>
    <row r="144" spans="1:6" x14ac:dyDescent="0.25">
      <c r="A144" s="260"/>
      <c r="B144" s="262"/>
      <c r="C144" s="260"/>
      <c r="D144" s="259"/>
      <c r="E144" s="259"/>
      <c r="F144" s="259"/>
    </row>
    <row r="145" spans="1:6" x14ac:dyDescent="0.25">
      <c r="A145" s="260"/>
      <c r="B145" s="262"/>
      <c r="C145" s="260"/>
      <c r="D145" s="259"/>
      <c r="E145" s="259"/>
      <c r="F145" s="259"/>
    </row>
    <row r="146" spans="1:6" x14ac:dyDescent="0.25">
      <c r="A146" s="260"/>
      <c r="B146" s="262"/>
      <c r="C146" s="260"/>
      <c r="D146" s="259"/>
      <c r="E146" s="259"/>
      <c r="F146" s="259"/>
    </row>
    <row r="147" spans="1:6" x14ac:dyDescent="0.25">
      <c r="A147" s="260"/>
      <c r="B147" s="262"/>
      <c r="C147" s="260"/>
      <c r="D147" s="259"/>
      <c r="E147" s="259"/>
      <c r="F147" s="259"/>
    </row>
    <row r="148" spans="1:6" x14ac:dyDescent="0.25">
      <c r="A148" s="260"/>
      <c r="B148" s="262"/>
      <c r="C148" s="260"/>
      <c r="D148" s="259"/>
      <c r="E148" s="259"/>
      <c r="F148" s="259"/>
    </row>
    <row r="149" spans="1:6" x14ac:dyDescent="0.25">
      <c r="A149" s="260"/>
      <c r="B149" s="262"/>
      <c r="C149" s="260"/>
      <c r="D149" s="259"/>
      <c r="E149" s="259"/>
      <c r="F149" s="259"/>
    </row>
    <row r="150" spans="1:6" x14ac:dyDescent="0.25">
      <c r="A150" s="260"/>
      <c r="B150" s="262"/>
      <c r="C150" s="260"/>
      <c r="D150" s="259"/>
      <c r="E150" s="259"/>
      <c r="F150" s="259"/>
    </row>
    <row r="151" spans="1:6" x14ac:dyDescent="0.25">
      <c r="A151" s="260"/>
      <c r="B151" s="262"/>
      <c r="C151" s="260"/>
      <c r="D151" s="259"/>
      <c r="E151" s="259"/>
      <c r="F151" s="259"/>
    </row>
    <row r="152" spans="1:6" x14ac:dyDescent="0.25">
      <c r="A152" s="260"/>
      <c r="B152" s="262"/>
      <c r="C152" s="260"/>
      <c r="D152" s="259"/>
      <c r="E152" s="259"/>
      <c r="F152" s="259"/>
    </row>
    <row r="153" spans="1:6" x14ac:dyDescent="0.25">
      <c r="A153" s="260"/>
      <c r="B153" s="262"/>
      <c r="C153" s="260"/>
      <c r="D153" s="259"/>
      <c r="E153" s="259"/>
      <c r="F153" s="259"/>
    </row>
    <row r="154" spans="1:6" x14ac:dyDescent="0.25">
      <c r="A154" s="260"/>
      <c r="B154" s="262"/>
      <c r="C154" s="260"/>
      <c r="D154" s="259"/>
      <c r="E154" s="259"/>
      <c r="F154" s="259"/>
    </row>
    <row r="155" spans="1:6" x14ac:dyDescent="0.25">
      <c r="A155" s="260"/>
      <c r="B155" s="262"/>
      <c r="C155" s="260"/>
      <c r="D155" s="259"/>
      <c r="E155" s="259"/>
      <c r="F155" s="259"/>
    </row>
    <row r="156" spans="1:6" x14ac:dyDescent="0.25">
      <c r="A156" s="260"/>
      <c r="B156" s="262"/>
      <c r="C156" s="260"/>
      <c r="D156" s="259"/>
      <c r="E156" s="259"/>
      <c r="F156" s="259"/>
    </row>
    <row r="157" spans="1:6" x14ac:dyDescent="0.25">
      <c r="A157" s="260"/>
      <c r="B157" s="262"/>
      <c r="C157" s="260"/>
      <c r="D157" s="259"/>
      <c r="E157" s="259"/>
      <c r="F157" s="259"/>
    </row>
    <row r="158" spans="1:6" x14ac:dyDescent="0.25">
      <c r="A158" s="260"/>
      <c r="B158" s="262"/>
      <c r="C158" s="260"/>
      <c r="D158" s="259"/>
      <c r="E158" s="259"/>
      <c r="F158" s="259"/>
    </row>
    <row r="159" spans="1:6" x14ac:dyDescent="0.25">
      <c r="A159" s="260"/>
      <c r="B159" s="262"/>
      <c r="C159" s="260"/>
      <c r="D159" s="259"/>
      <c r="E159" s="259"/>
      <c r="F159" s="259"/>
    </row>
    <row r="160" spans="1:6" x14ac:dyDescent="0.25">
      <c r="A160" s="260"/>
      <c r="B160" s="262"/>
      <c r="C160" s="260"/>
      <c r="D160" s="259"/>
      <c r="E160" s="259"/>
      <c r="F160" s="259"/>
    </row>
    <row r="161" spans="1:6" x14ac:dyDescent="0.25">
      <c r="A161" s="260"/>
      <c r="B161" s="262"/>
      <c r="C161" s="260"/>
      <c r="D161" s="259"/>
      <c r="E161" s="259"/>
      <c r="F161" s="259"/>
    </row>
    <row r="162" spans="1:6" x14ac:dyDescent="0.25">
      <c r="A162" s="260"/>
      <c r="B162" s="262"/>
      <c r="C162" s="260"/>
      <c r="D162" s="259"/>
      <c r="E162" s="259"/>
      <c r="F162" s="259"/>
    </row>
    <row r="163" spans="1:6" x14ac:dyDescent="0.25">
      <c r="A163" s="260"/>
      <c r="B163" s="262"/>
      <c r="C163" s="260"/>
      <c r="D163" s="259"/>
      <c r="E163" s="259"/>
      <c r="F163" s="259"/>
    </row>
    <row r="164" spans="1:6" x14ac:dyDescent="0.25">
      <c r="A164" s="260"/>
      <c r="B164" s="262"/>
      <c r="C164" s="260"/>
      <c r="D164" s="259"/>
      <c r="E164" s="259"/>
      <c r="F164" s="259"/>
    </row>
    <row r="165" spans="1:6" x14ac:dyDescent="0.25">
      <c r="A165" s="260"/>
      <c r="B165" s="262"/>
      <c r="C165" s="260"/>
      <c r="D165" s="259"/>
      <c r="E165" s="259"/>
      <c r="F165" s="259"/>
    </row>
    <row r="166" spans="1:6" x14ac:dyDescent="0.25">
      <c r="A166" s="260"/>
      <c r="B166" s="262"/>
      <c r="C166" s="260"/>
      <c r="D166" s="259"/>
      <c r="E166" s="259"/>
      <c r="F166" s="259"/>
    </row>
    <row r="167" spans="1:6" x14ac:dyDescent="0.25">
      <c r="A167" s="260"/>
      <c r="B167" s="262"/>
      <c r="C167" s="260"/>
      <c r="D167" s="259"/>
      <c r="E167" s="259"/>
      <c r="F167" s="259"/>
    </row>
    <row r="168" spans="1:6" x14ac:dyDescent="0.25">
      <c r="A168" s="260"/>
      <c r="B168" s="262"/>
      <c r="C168" s="260"/>
      <c r="D168" s="259"/>
      <c r="E168" s="259"/>
      <c r="F168" s="259"/>
    </row>
    <row r="169" spans="1:6" x14ac:dyDescent="0.25">
      <c r="A169" s="260"/>
      <c r="B169" s="262"/>
      <c r="C169" s="260"/>
      <c r="D169" s="259"/>
      <c r="E169" s="259"/>
      <c r="F169" s="259"/>
    </row>
    <row r="170" spans="1:6" x14ac:dyDescent="0.25">
      <c r="A170" s="260"/>
      <c r="B170" s="262"/>
      <c r="C170" s="260"/>
      <c r="D170" s="259"/>
      <c r="E170" s="259"/>
      <c r="F170" s="259"/>
    </row>
    <row r="171" spans="1:6" x14ac:dyDescent="0.25">
      <c r="A171" s="260"/>
      <c r="B171" s="262"/>
      <c r="C171" s="260"/>
      <c r="D171" s="259"/>
      <c r="E171" s="259"/>
      <c r="F171" s="259"/>
    </row>
    <row r="172" spans="1:6" x14ac:dyDescent="0.25">
      <c r="A172" s="260"/>
      <c r="B172" s="262"/>
      <c r="C172" s="260"/>
      <c r="D172" s="259"/>
      <c r="E172" s="259"/>
      <c r="F172" s="259"/>
    </row>
    <row r="173" spans="1:6" x14ac:dyDescent="0.25">
      <c r="A173" s="260"/>
      <c r="B173" s="262"/>
      <c r="C173" s="260"/>
      <c r="D173" s="259"/>
      <c r="E173" s="259"/>
      <c r="F173" s="259"/>
    </row>
    <row r="174" spans="1:6" x14ac:dyDescent="0.25">
      <c r="A174" s="260"/>
      <c r="B174" s="262"/>
      <c r="C174" s="260"/>
      <c r="D174" s="259"/>
      <c r="E174" s="259"/>
      <c r="F174" s="259"/>
    </row>
    <row r="175" spans="1:6" x14ac:dyDescent="0.25">
      <c r="A175" s="260"/>
      <c r="B175" s="262"/>
      <c r="C175" s="260"/>
      <c r="D175" s="259"/>
      <c r="E175" s="259"/>
      <c r="F175" s="259"/>
    </row>
    <row r="176" spans="1:6" x14ac:dyDescent="0.25">
      <c r="A176" s="260"/>
      <c r="B176" s="262"/>
      <c r="C176" s="260"/>
      <c r="D176" s="259"/>
      <c r="E176" s="259"/>
      <c r="F176" s="259"/>
    </row>
    <row r="177" spans="1:6" x14ac:dyDescent="0.25">
      <c r="A177" s="260"/>
      <c r="B177" s="262"/>
      <c r="C177" s="260"/>
      <c r="D177" s="259"/>
      <c r="E177" s="259"/>
      <c r="F177" s="259"/>
    </row>
    <row r="178" spans="1:6" x14ac:dyDescent="0.25">
      <c r="A178" s="260"/>
      <c r="B178" s="262"/>
      <c r="C178" s="260"/>
      <c r="D178" s="259"/>
      <c r="E178" s="259"/>
      <c r="F178" s="259"/>
    </row>
    <row r="179" spans="1:6" x14ac:dyDescent="0.25">
      <c r="A179" s="260"/>
      <c r="B179" s="262"/>
      <c r="C179" s="260"/>
      <c r="D179" s="259"/>
      <c r="E179" s="259"/>
      <c r="F179" s="259"/>
    </row>
    <row r="180" spans="1:6" x14ac:dyDescent="0.25">
      <c r="A180" s="260"/>
      <c r="B180" s="262"/>
      <c r="C180" s="260"/>
      <c r="D180" s="259"/>
      <c r="E180" s="259"/>
      <c r="F180" s="259"/>
    </row>
    <row r="181" spans="1:6" x14ac:dyDescent="0.25">
      <c r="A181" s="260"/>
      <c r="B181" s="262"/>
      <c r="C181" s="260"/>
      <c r="D181" s="259"/>
      <c r="E181" s="259"/>
      <c r="F181" s="259"/>
    </row>
    <row r="182" spans="1:6" x14ac:dyDescent="0.25">
      <c r="A182" s="260"/>
      <c r="B182" s="262"/>
      <c r="C182" s="260"/>
      <c r="D182" s="259"/>
      <c r="E182" s="259"/>
      <c r="F182" s="259"/>
    </row>
    <row r="183" spans="1:6" x14ac:dyDescent="0.25">
      <c r="A183" s="260"/>
      <c r="B183" s="262"/>
      <c r="C183" s="260"/>
      <c r="D183" s="259"/>
      <c r="E183" s="259"/>
      <c r="F183" s="259"/>
    </row>
    <row r="184" spans="1:6" x14ac:dyDescent="0.25">
      <c r="A184" s="260"/>
      <c r="B184" s="262"/>
      <c r="C184" s="260"/>
      <c r="D184" s="259"/>
      <c r="E184" s="259"/>
      <c r="F184" s="259"/>
    </row>
    <row r="185" spans="1:6" x14ac:dyDescent="0.25">
      <c r="A185" s="260"/>
      <c r="B185" s="262"/>
      <c r="C185" s="260"/>
      <c r="D185" s="259"/>
      <c r="E185" s="259"/>
      <c r="F185" s="259"/>
    </row>
    <row r="186" spans="1:6" x14ac:dyDescent="0.25">
      <c r="A186" s="260"/>
      <c r="B186" s="262"/>
      <c r="C186" s="260"/>
      <c r="D186" s="259"/>
      <c r="E186" s="259"/>
      <c r="F186" s="259"/>
    </row>
    <row r="187" spans="1:6" x14ac:dyDescent="0.25">
      <c r="A187" s="260"/>
      <c r="B187" s="262"/>
      <c r="C187" s="260"/>
      <c r="D187" s="259"/>
      <c r="E187" s="259"/>
      <c r="F187" s="259"/>
    </row>
    <row r="188" spans="1:6" x14ac:dyDescent="0.25">
      <c r="A188" s="260"/>
      <c r="B188" s="262"/>
      <c r="C188" s="260"/>
      <c r="D188" s="259"/>
      <c r="E188" s="259"/>
      <c r="F188" s="259"/>
    </row>
    <row r="189" spans="1:6" x14ac:dyDescent="0.25">
      <c r="A189" s="260"/>
      <c r="B189" s="262"/>
      <c r="C189" s="260"/>
      <c r="D189" s="259"/>
      <c r="E189" s="259"/>
      <c r="F189" s="259"/>
    </row>
    <row r="190" spans="1:6" x14ac:dyDescent="0.25">
      <c r="A190" s="260"/>
      <c r="B190" s="262"/>
      <c r="C190" s="260"/>
      <c r="D190" s="259"/>
      <c r="E190" s="259"/>
      <c r="F190" s="259"/>
    </row>
    <row r="191" spans="1:6" x14ac:dyDescent="0.25">
      <c r="A191" s="260"/>
      <c r="B191" s="262"/>
      <c r="C191" s="260"/>
      <c r="D191" s="259"/>
      <c r="E191" s="259"/>
      <c r="F191" s="259"/>
    </row>
    <row r="192" spans="1:6" x14ac:dyDescent="0.25">
      <c r="A192" s="260"/>
      <c r="B192" s="262"/>
      <c r="C192" s="260"/>
      <c r="D192" s="259"/>
      <c r="E192" s="259"/>
      <c r="F192" s="259"/>
    </row>
    <row r="193" spans="1:6" x14ac:dyDescent="0.25">
      <c r="A193" s="260"/>
      <c r="B193" s="262"/>
      <c r="C193" s="260"/>
      <c r="D193" s="259"/>
      <c r="E193" s="259"/>
      <c r="F193" s="259"/>
    </row>
    <row r="194" spans="1:6" x14ac:dyDescent="0.25">
      <c r="A194" s="260"/>
      <c r="B194" s="262"/>
      <c r="C194" s="260"/>
      <c r="D194" s="259"/>
      <c r="E194" s="259"/>
      <c r="F194" s="259"/>
    </row>
    <row r="195" spans="1:6" x14ac:dyDescent="0.25">
      <c r="A195" s="260"/>
      <c r="B195" s="262"/>
      <c r="C195" s="260"/>
      <c r="D195" s="259"/>
      <c r="E195" s="259"/>
      <c r="F195" s="259"/>
    </row>
    <row r="196" spans="1:6" x14ac:dyDescent="0.25">
      <c r="A196" s="260"/>
      <c r="B196" s="262"/>
      <c r="C196" s="260"/>
      <c r="D196" s="259"/>
      <c r="E196" s="259"/>
      <c r="F196" s="259"/>
    </row>
    <row r="197" spans="1:6" x14ac:dyDescent="0.25">
      <c r="A197" s="260"/>
      <c r="B197" s="262"/>
      <c r="C197" s="260"/>
      <c r="D197" s="259"/>
      <c r="E197" s="259"/>
      <c r="F197" s="259"/>
    </row>
    <row r="198" spans="1:6" x14ac:dyDescent="0.25">
      <c r="A198" s="260"/>
      <c r="B198" s="262"/>
      <c r="C198" s="260"/>
      <c r="D198" s="259"/>
      <c r="E198" s="259"/>
      <c r="F198" s="259"/>
    </row>
    <row r="199" spans="1:6" x14ac:dyDescent="0.25">
      <c r="A199" s="260"/>
      <c r="B199" s="262"/>
      <c r="C199" s="260"/>
      <c r="D199" s="259"/>
      <c r="E199" s="259"/>
      <c r="F199" s="259"/>
    </row>
    <row r="200" spans="1:6" x14ac:dyDescent="0.25">
      <c r="A200" s="260"/>
      <c r="B200" s="262"/>
      <c r="C200" s="260"/>
      <c r="D200" s="259"/>
      <c r="E200" s="259"/>
      <c r="F200" s="259"/>
    </row>
    <row r="201" spans="1:6" x14ac:dyDescent="0.25">
      <c r="A201" s="260"/>
      <c r="B201" s="262"/>
      <c r="C201" s="260"/>
      <c r="D201" s="259"/>
      <c r="E201" s="259"/>
      <c r="F201" s="259"/>
    </row>
    <row r="202" spans="1:6" x14ac:dyDescent="0.25">
      <c r="A202" s="260"/>
      <c r="B202" s="262"/>
      <c r="C202" s="260"/>
      <c r="D202" s="259"/>
      <c r="E202" s="259"/>
      <c r="F202" s="259"/>
    </row>
    <row r="203" spans="1:6" x14ac:dyDescent="0.25">
      <c r="A203" s="260"/>
      <c r="B203" s="262"/>
      <c r="C203" s="260"/>
      <c r="D203" s="259"/>
      <c r="E203" s="259"/>
      <c r="F203" s="259"/>
    </row>
    <row r="204" spans="1:6" x14ac:dyDescent="0.25">
      <c r="A204" s="260"/>
      <c r="B204" s="262"/>
      <c r="C204" s="260"/>
      <c r="D204" s="259"/>
      <c r="E204" s="259"/>
      <c r="F204" s="259"/>
    </row>
    <row r="205" spans="1:6" x14ac:dyDescent="0.25">
      <c r="A205" s="260"/>
      <c r="B205" s="262"/>
      <c r="C205" s="260"/>
      <c r="D205" s="259"/>
      <c r="E205" s="259"/>
      <c r="F205" s="259"/>
    </row>
    <row r="206" spans="1:6" x14ac:dyDescent="0.25">
      <c r="A206" s="260"/>
      <c r="B206" s="262"/>
      <c r="C206" s="260"/>
      <c r="D206" s="259"/>
      <c r="E206" s="259"/>
      <c r="F206" s="259"/>
    </row>
    <row r="207" spans="1:6" x14ac:dyDescent="0.25">
      <c r="A207" s="260"/>
      <c r="B207" s="262"/>
      <c r="C207" s="260"/>
      <c r="D207" s="259"/>
      <c r="E207" s="259"/>
      <c r="F207" s="259"/>
    </row>
    <row r="208" spans="1:6" x14ac:dyDescent="0.25">
      <c r="A208" s="260"/>
      <c r="B208" s="262"/>
      <c r="C208" s="260"/>
      <c r="D208" s="259"/>
      <c r="E208" s="259"/>
      <c r="F208" s="259"/>
    </row>
    <row r="209" spans="1:6" x14ac:dyDescent="0.25">
      <c r="A209" s="260"/>
      <c r="B209" s="262"/>
      <c r="C209" s="260"/>
      <c r="D209" s="259"/>
      <c r="E209" s="259"/>
      <c r="F209" s="259"/>
    </row>
    <row r="210" spans="1:6" x14ac:dyDescent="0.25">
      <c r="A210" s="260"/>
      <c r="B210" s="262"/>
      <c r="C210" s="260"/>
      <c r="D210" s="259"/>
      <c r="E210" s="259"/>
      <c r="F210" s="259"/>
    </row>
    <row r="211" spans="1:6" x14ac:dyDescent="0.25">
      <c r="A211" s="260"/>
      <c r="B211" s="262"/>
      <c r="C211" s="260"/>
      <c r="D211" s="259"/>
      <c r="E211" s="259"/>
      <c r="F211" s="259"/>
    </row>
    <row r="212" spans="1:6" x14ac:dyDescent="0.25">
      <c r="A212" s="260"/>
      <c r="B212" s="262"/>
      <c r="C212" s="260"/>
      <c r="D212" s="259"/>
      <c r="E212" s="259"/>
      <c r="F212" s="259"/>
    </row>
    <row r="213" spans="1:6" x14ac:dyDescent="0.25">
      <c r="A213" s="260"/>
      <c r="B213" s="262"/>
      <c r="C213" s="260"/>
      <c r="D213" s="259"/>
      <c r="E213" s="259"/>
      <c r="F213" s="259"/>
    </row>
    <row r="214" spans="1:6" x14ac:dyDescent="0.25">
      <c r="A214" s="260"/>
      <c r="B214" s="262"/>
      <c r="C214" s="260"/>
      <c r="D214" s="259"/>
      <c r="E214" s="259"/>
      <c r="F214" s="259"/>
    </row>
    <row r="215" spans="1:6" x14ac:dyDescent="0.25">
      <c r="A215" s="260"/>
      <c r="B215" s="262"/>
      <c r="C215" s="260"/>
      <c r="D215" s="259"/>
      <c r="E215" s="259"/>
      <c r="F215" s="259"/>
    </row>
    <row r="216" spans="1:6" x14ac:dyDescent="0.25">
      <c r="A216" s="260"/>
      <c r="B216" s="262"/>
      <c r="C216" s="260"/>
      <c r="D216" s="259"/>
      <c r="E216" s="259"/>
      <c r="F216" s="259"/>
    </row>
    <row r="217" spans="1:6" x14ac:dyDescent="0.25">
      <c r="A217" s="260"/>
      <c r="B217" s="262"/>
      <c r="C217" s="260"/>
      <c r="D217" s="259"/>
      <c r="E217" s="259"/>
      <c r="F217" s="259"/>
    </row>
    <row r="218" spans="1:6" x14ac:dyDescent="0.25">
      <c r="A218" s="260"/>
      <c r="B218" s="262"/>
      <c r="C218" s="260"/>
      <c r="D218" s="259"/>
      <c r="E218" s="259"/>
      <c r="F218" s="259"/>
    </row>
    <row r="219" spans="1:6" x14ac:dyDescent="0.25">
      <c r="A219" s="260"/>
      <c r="B219" s="262"/>
      <c r="C219" s="260"/>
      <c r="D219" s="259"/>
      <c r="E219" s="259"/>
      <c r="F219" s="259"/>
    </row>
    <row r="220" spans="1:6" x14ac:dyDescent="0.25">
      <c r="A220" s="260"/>
      <c r="B220" s="262"/>
      <c r="C220" s="260"/>
      <c r="D220" s="259"/>
      <c r="E220" s="259"/>
      <c r="F220" s="259"/>
    </row>
    <row r="221" spans="1:6" x14ac:dyDescent="0.25">
      <c r="A221" s="260"/>
      <c r="B221" s="262"/>
      <c r="C221" s="260"/>
      <c r="D221" s="259"/>
      <c r="E221" s="259"/>
      <c r="F221" s="259"/>
    </row>
    <row r="222" spans="1:6" x14ac:dyDescent="0.25">
      <c r="A222" s="260"/>
      <c r="B222" s="262"/>
      <c r="C222" s="260"/>
      <c r="D222" s="259"/>
      <c r="E222" s="259"/>
      <c r="F222" s="259"/>
    </row>
    <row r="223" spans="1:6" x14ac:dyDescent="0.25">
      <c r="A223" s="260"/>
      <c r="B223" s="262"/>
      <c r="C223" s="260"/>
      <c r="D223" s="259"/>
      <c r="E223" s="259"/>
      <c r="F223" s="259"/>
    </row>
    <row r="224" spans="1:6" x14ac:dyDescent="0.25">
      <c r="A224" s="260"/>
      <c r="B224" s="262"/>
      <c r="C224" s="260"/>
      <c r="D224" s="259"/>
      <c r="E224" s="259"/>
      <c r="F224" s="259"/>
    </row>
    <row r="225" spans="1:6" x14ac:dyDescent="0.25">
      <c r="A225" s="260"/>
      <c r="B225" s="262"/>
      <c r="C225" s="260"/>
      <c r="D225" s="259"/>
      <c r="E225" s="259"/>
      <c r="F225" s="259"/>
    </row>
    <row r="226" spans="1:6" x14ac:dyDescent="0.25">
      <c r="A226" s="260"/>
      <c r="B226" s="262"/>
      <c r="C226" s="260"/>
      <c r="D226" s="259"/>
      <c r="E226" s="259"/>
      <c r="F226" s="259"/>
    </row>
    <row r="227" spans="1:6" x14ac:dyDescent="0.25">
      <c r="A227" s="260"/>
      <c r="B227" s="262"/>
      <c r="C227" s="260"/>
      <c r="D227" s="259"/>
      <c r="E227" s="259"/>
      <c r="F227" s="259"/>
    </row>
    <row r="228" spans="1:6" x14ac:dyDescent="0.25">
      <c r="A228" s="260"/>
      <c r="B228" s="262"/>
      <c r="C228" s="260"/>
      <c r="D228" s="259"/>
      <c r="E228" s="259"/>
      <c r="F228" s="259"/>
    </row>
    <row r="229" spans="1:6" x14ac:dyDescent="0.25">
      <c r="A229" s="260"/>
      <c r="B229" s="262"/>
      <c r="C229" s="260"/>
      <c r="D229" s="259"/>
      <c r="E229" s="259"/>
      <c r="F229" s="259"/>
    </row>
    <row r="230" spans="1:6" x14ac:dyDescent="0.25">
      <c r="A230" s="260"/>
      <c r="B230" s="262"/>
      <c r="C230" s="260"/>
      <c r="D230" s="259"/>
      <c r="E230" s="259"/>
      <c r="F230" s="259"/>
    </row>
    <row r="231" spans="1:6" x14ac:dyDescent="0.25">
      <c r="A231" s="260"/>
      <c r="B231" s="262"/>
      <c r="C231" s="260"/>
      <c r="D231" s="259"/>
      <c r="E231" s="259"/>
      <c r="F231" s="259"/>
    </row>
    <row r="232" spans="1:6" x14ac:dyDescent="0.25">
      <c r="A232" s="260"/>
      <c r="B232" s="262"/>
      <c r="C232" s="260"/>
      <c r="D232" s="259"/>
      <c r="E232" s="259"/>
      <c r="F232" s="259"/>
    </row>
    <row r="233" spans="1:6" x14ac:dyDescent="0.25">
      <c r="A233" s="260"/>
      <c r="B233" s="262"/>
      <c r="C233" s="260"/>
      <c r="D233" s="259"/>
      <c r="E233" s="259"/>
      <c r="F233" s="259"/>
    </row>
    <row r="234" spans="1:6" x14ac:dyDescent="0.25">
      <c r="A234" s="260"/>
      <c r="B234" s="262"/>
      <c r="C234" s="260"/>
      <c r="D234" s="259"/>
      <c r="E234" s="259"/>
      <c r="F234" s="259"/>
    </row>
    <row r="235" spans="1:6" x14ac:dyDescent="0.25">
      <c r="A235" s="260"/>
      <c r="B235" s="262"/>
      <c r="C235" s="260"/>
      <c r="D235" s="259"/>
      <c r="E235" s="259"/>
      <c r="F235" s="259"/>
    </row>
    <row r="236" spans="1:6" x14ac:dyDescent="0.25">
      <c r="A236" s="260"/>
      <c r="B236" s="262"/>
      <c r="C236" s="260"/>
      <c r="D236" s="259"/>
      <c r="E236" s="259"/>
      <c r="F236" s="259"/>
    </row>
    <row r="237" spans="1:6" x14ac:dyDescent="0.25">
      <c r="A237" s="260"/>
      <c r="B237" s="262"/>
      <c r="C237" s="260"/>
      <c r="D237" s="259"/>
      <c r="E237" s="259"/>
      <c r="F237" s="259"/>
    </row>
    <row r="238" spans="1:6" x14ac:dyDescent="0.25">
      <c r="A238" s="260"/>
      <c r="B238" s="262"/>
      <c r="C238" s="260"/>
      <c r="D238" s="259"/>
      <c r="E238" s="259"/>
      <c r="F238" s="259"/>
    </row>
    <row r="239" spans="1:6" x14ac:dyDescent="0.25">
      <c r="A239" s="260"/>
      <c r="B239" s="262"/>
      <c r="C239" s="260"/>
      <c r="D239" s="259"/>
      <c r="E239" s="259"/>
      <c r="F239" s="259"/>
    </row>
    <row r="240" spans="1:6" x14ac:dyDescent="0.25">
      <c r="A240" s="260"/>
      <c r="B240" s="262"/>
      <c r="C240" s="260"/>
      <c r="D240" s="259"/>
      <c r="E240" s="259"/>
      <c r="F240" s="259"/>
    </row>
    <row r="241" spans="1:6" x14ac:dyDescent="0.25">
      <c r="A241" s="260"/>
      <c r="B241" s="262"/>
      <c r="C241" s="260"/>
      <c r="D241" s="259"/>
      <c r="E241" s="259"/>
      <c r="F241" s="259"/>
    </row>
    <row r="242" spans="1:6" x14ac:dyDescent="0.25">
      <c r="A242" s="260"/>
      <c r="B242" s="262"/>
      <c r="C242" s="260"/>
      <c r="D242" s="259"/>
      <c r="E242" s="259"/>
      <c r="F242" s="259"/>
    </row>
    <row r="243" spans="1:6" x14ac:dyDescent="0.25">
      <c r="A243" s="260"/>
      <c r="B243" s="262"/>
      <c r="C243" s="260"/>
      <c r="D243" s="259"/>
      <c r="E243" s="259"/>
      <c r="F243" s="259"/>
    </row>
    <row r="244" spans="1:6" x14ac:dyDescent="0.25">
      <c r="A244" s="260"/>
      <c r="B244" s="262"/>
      <c r="C244" s="260"/>
      <c r="D244" s="259"/>
      <c r="E244" s="259"/>
      <c r="F244" s="259"/>
    </row>
    <row r="245" spans="1:6" x14ac:dyDescent="0.25">
      <c r="A245" s="260"/>
      <c r="B245" s="262"/>
      <c r="C245" s="260"/>
      <c r="D245" s="259"/>
      <c r="E245" s="259"/>
      <c r="F245" s="259"/>
    </row>
    <row r="246" spans="1:6" x14ac:dyDescent="0.25">
      <c r="A246" s="260"/>
      <c r="B246" s="262"/>
      <c r="C246" s="260"/>
      <c r="D246" s="259"/>
      <c r="E246" s="259"/>
      <c r="F246" s="259"/>
    </row>
    <row r="247" spans="1:6" x14ac:dyDescent="0.25">
      <c r="A247" s="260"/>
      <c r="B247" s="262"/>
      <c r="C247" s="260"/>
      <c r="D247" s="259"/>
      <c r="E247" s="259"/>
      <c r="F247" s="259"/>
    </row>
    <row r="248" spans="1:6" x14ac:dyDescent="0.25">
      <c r="A248" s="260"/>
      <c r="B248" s="262"/>
      <c r="C248" s="260"/>
      <c r="D248" s="259"/>
      <c r="E248" s="259"/>
      <c r="F248" s="259"/>
    </row>
    <row r="249" spans="1:6" x14ac:dyDescent="0.25">
      <c r="A249" s="260"/>
      <c r="B249" s="262"/>
      <c r="C249" s="260"/>
      <c r="D249" s="259"/>
      <c r="E249" s="259"/>
      <c r="F249" s="259"/>
    </row>
    <row r="250" spans="1:6" x14ac:dyDescent="0.25">
      <c r="A250" s="260"/>
      <c r="B250" s="262"/>
      <c r="C250" s="260"/>
      <c r="D250" s="259"/>
      <c r="E250" s="259"/>
      <c r="F250" s="259"/>
    </row>
    <row r="251" spans="1:6" x14ac:dyDescent="0.25">
      <c r="A251" s="260"/>
      <c r="B251" s="262"/>
      <c r="C251" s="260"/>
      <c r="D251" s="259"/>
      <c r="E251" s="259"/>
      <c r="F251" s="259"/>
    </row>
    <row r="252" spans="1:6" x14ac:dyDescent="0.25">
      <c r="A252" s="260"/>
      <c r="B252" s="262"/>
      <c r="C252" s="260"/>
      <c r="D252" s="259"/>
      <c r="E252" s="259"/>
      <c r="F252" s="259"/>
    </row>
    <row r="253" spans="1:6" x14ac:dyDescent="0.25">
      <c r="A253" s="260"/>
      <c r="B253" s="262"/>
      <c r="C253" s="260"/>
      <c r="D253" s="259"/>
      <c r="E253" s="259"/>
      <c r="F253" s="259"/>
    </row>
    <row r="254" spans="1:6" x14ac:dyDescent="0.25">
      <c r="A254" s="260"/>
      <c r="B254" s="262"/>
      <c r="C254" s="260"/>
      <c r="D254" s="259"/>
      <c r="E254" s="259"/>
      <c r="F254" s="259"/>
    </row>
    <row r="255" spans="1:6" x14ac:dyDescent="0.25">
      <c r="A255" s="260"/>
      <c r="B255" s="262"/>
      <c r="C255" s="260"/>
      <c r="D255" s="259"/>
      <c r="E255" s="259"/>
      <c r="F255" s="259"/>
    </row>
    <row r="256" spans="1:6" x14ac:dyDescent="0.25">
      <c r="A256" s="260"/>
      <c r="B256" s="262"/>
      <c r="C256" s="260"/>
      <c r="D256" s="259"/>
      <c r="E256" s="259"/>
      <c r="F256" s="259"/>
    </row>
    <row r="257" spans="1:6" x14ac:dyDescent="0.25">
      <c r="A257" s="260"/>
      <c r="B257" s="262"/>
      <c r="C257" s="260"/>
      <c r="D257" s="259"/>
      <c r="E257" s="259"/>
      <c r="F257" s="259"/>
    </row>
    <row r="258" spans="1:6" x14ac:dyDescent="0.25">
      <c r="A258" s="260"/>
      <c r="B258" s="262"/>
      <c r="C258" s="260"/>
      <c r="D258" s="259"/>
      <c r="E258" s="259"/>
      <c r="F258" s="259"/>
    </row>
    <row r="259" spans="1:6" x14ac:dyDescent="0.25">
      <c r="A259" s="260"/>
      <c r="B259" s="262"/>
      <c r="C259" s="260"/>
      <c r="D259" s="259"/>
      <c r="E259" s="259"/>
      <c r="F259" s="259"/>
    </row>
    <row r="260" spans="1:6" x14ac:dyDescent="0.25">
      <c r="A260" s="260"/>
      <c r="B260" s="262"/>
      <c r="C260" s="260"/>
      <c r="D260" s="259"/>
      <c r="E260" s="259"/>
      <c r="F260" s="259"/>
    </row>
    <row r="261" spans="1:6" x14ac:dyDescent="0.25">
      <c r="A261" s="260"/>
      <c r="B261" s="262"/>
      <c r="C261" s="260"/>
      <c r="D261" s="259"/>
      <c r="E261" s="259"/>
      <c r="F261" s="259"/>
    </row>
    <row r="262" spans="1:6" x14ac:dyDescent="0.25">
      <c r="A262" s="260"/>
      <c r="B262" s="262"/>
      <c r="C262" s="260"/>
      <c r="D262" s="259"/>
      <c r="E262" s="259"/>
      <c r="F262" s="259"/>
    </row>
    <row r="263" spans="1:6" x14ac:dyDescent="0.25">
      <c r="A263" s="260"/>
      <c r="B263" s="262"/>
      <c r="C263" s="260"/>
      <c r="D263" s="259"/>
      <c r="E263" s="259"/>
      <c r="F263" s="259"/>
    </row>
    <row r="264" spans="1:6" x14ac:dyDescent="0.25">
      <c r="A264" s="260"/>
      <c r="B264" s="262"/>
      <c r="C264" s="260"/>
      <c r="D264" s="259"/>
      <c r="E264" s="259"/>
      <c r="F264" s="259"/>
    </row>
    <row r="265" spans="1:6" x14ac:dyDescent="0.25">
      <c r="A265" s="260"/>
      <c r="B265" s="262"/>
      <c r="C265" s="260"/>
      <c r="D265" s="259"/>
      <c r="E265" s="259"/>
      <c r="F265" s="259"/>
    </row>
    <row r="266" spans="1:6" x14ac:dyDescent="0.25">
      <c r="A266" s="260"/>
      <c r="B266" s="262"/>
      <c r="C266" s="260"/>
      <c r="D266" s="259"/>
      <c r="E266" s="259"/>
      <c r="F266" s="259"/>
    </row>
    <row r="267" spans="1:6" x14ac:dyDescent="0.25">
      <c r="A267" s="260"/>
      <c r="B267" s="262"/>
      <c r="C267" s="260"/>
      <c r="D267" s="259"/>
      <c r="E267" s="259"/>
      <c r="F267" s="259"/>
    </row>
    <row r="268" spans="1:6" x14ac:dyDescent="0.25">
      <c r="A268" s="260"/>
      <c r="B268" s="262"/>
      <c r="C268" s="260"/>
      <c r="D268" s="259"/>
      <c r="E268" s="259"/>
      <c r="F268" s="259"/>
    </row>
    <row r="269" spans="1:6" x14ac:dyDescent="0.25">
      <c r="A269" s="260"/>
      <c r="B269" s="262"/>
      <c r="C269" s="260"/>
      <c r="D269" s="259"/>
      <c r="E269" s="259"/>
      <c r="F269" s="259"/>
    </row>
    <row r="270" spans="1:6" x14ac:dyDescent="0.25">
      <c r="A270" s="260"/>
      <c r="B270" s="262"/>
      <c r="C270" s="260"/>
      <c r="D270" s="259"/>
      <c r="E270" s="259"/>
      <c r="F270" s="259"/>
    </row>
    <row r="271" spans="1:6" x14ac:dyDescent="0.25">
      <c r="A271" s="260"/>
      <c r="B271" s="262"/>
      <c r="C271" s="260"/>
      <c r="D271" s="259"/>
      <c r="E271" s="259"/>
      <c r="F271" s="259"/>
    </row>
    <row r="272" spans="1:6" x14ac:dyDescent="0.25">
      <c r="A272" s="260"/>
      <c r="B272" s="262"/>
      <c r="C272" s="260"/>
      <c r="D272" s="259"/>
      <c r="E272" s="259"/>
      <c r="F272" s="259"/>
    </row>
    <row r="273" spans="1:6" x14ac:dyDescent="0.25">
      <c r="A273" s="260"/>
      <c r="B273" s="262"/>
      <c r="C273" s="260"/>
      <c r="D273" s="259"/>
      <c r="E273" s="259"/>
      <c r="F273" s="259"/>
    </row>
    <row r="274" spans="1:6" x14ac:dyDescent="0.25">
      <c r="A274" s="260"/>
      <c r="B274" s="262"/>
      <c r="C274" s="260"/>
      <c r="D274" s="259"/>
      <c r="E274" s="259"/>
      <c r="F274" s="259"/>
    </row>
    <row r="275" spans="1:6" x14ac:dyDescent="0.25">
      <c r="A275" s="260"/>
      <c r="B275" s="262"/>
      <c r="C275" s="260"/>
      <c r="D275" s="259"/>
      <c r="E275" s="259"/>
      <c r="F275" s="259"/>
    </row>
    <row r="276" spans="1:6" x14ac:dyDescent="0.25">
      <c r="A276" s="260"/>
      <c r="B276" s="262"/>
      <c r="C276" s="260"/>
      <c r="D276" s="259"/>
      <c r="E276" s="259"/>
      <c r="F276" s="259"/>
    </row>
    <row r="277" spans="1:6" x14ac:dyDescent="0.25">
      <c r="A277" s="260"/>
      <c r="B277" s="262"/>
      <c r="C277" s="260"/>
      <c r="D277" s="259"/>
      <c r="E277" s="259"/>
      <c r="F277" s="259"/>
    </row>
    <row r="278" spans="1:6" x14ac:dyDescent="0.25">
      <c r="A278" s="260"/>
      <c r="B278" s="262"/>
      <c r="C278" s="260"/>
      <c r="D278" s="259"/>
      <c r="E278" s="259"/>
      <c r="F278" s="259"/>
    </row>
    <row r="279" spans="1:6" x14ac:dyDescent="0.25">
      <c r="A279" s="260"/>
      <c r="B279" s="262"/>
      <c r="C279" s="260"/>
      <c r="D279" s="259"/>
      <c r="E279" s="259"/>
      <c r="F279" s="259"/>
    </row>
    <row r="280" spans="1:6" x14ac:dyDescent="0.25">
      <c r="A280" s="260"/>
      <c r="B280" s="262"/>
      <c r="C280" s="260"/>
      <c r="D280" s="259"/>
      <c r="E280" s="259"/>
      <c r="F280" s="259"/>
    </row>
    <row r="281" spans="1:6" x14ac:dyDescent="0.25">
      <c r="A281" s="260"/>
      <c r="B281" s="262"/>
      <c r="C281" s="260"/>
      <c r="D281" s="259"/>
      <c r="E281" s="259"/>
      <c r="F281" s="259"/>
    </row>
    <row r="282" spans="1:6" x14ac:dyDescent="0.25">
      <c r="A282" s="260"/>
      <c r="B282" s="262"/>
      <c r="C282" s="260"/>
      <c r="D282" s="259"/>
      <c r="E282" s="259"/>
      <c r="F282" s="259"/>
    </row>
    <row r="283" spans="1:6" x14ac:dyDescent="0.25">
      <c r="A283" s="260"/>
      <c r="B283" s="262"/>
      <c r="C283" s="260"/>
      <c r="D283" s="259"/>
      <c r="E283" s="259"/>
      <c r="F283" s="259"/>
    </row>
    <row r="284" spans="1:6" x14ac:dyDescent="0.25">
      <c r="A284" s="260"/>
      <c r="B284" s="262"/>
      <c r="C284" s="260"/>
      <c r="D284" s="259"/>
      <c r="E284" s="259"/>
      <c r="F284" s="259"/>
    </row>
    <row r="285" spans="1:6" x14ac:dyDescent="0.25">
      <c r="A285" s="260"/>
      <c r="B285" s="262"/>
      <c r="C285" s="260"/>
      <c r="D285" s="259"/>
      <c r="E285" s="259"/>
      <c r="F285" s="259"/>
    </row>
    <row r="286" spans="1:6" x14ac:dyDescent="0.25">
      <c r="A286" s="260"/>
      <c r="B286" s="262"/>
      <c r="C286" s="260"/>
      <c r="D286" s="259"/>
      <c r="E286" s="259"/>
      <c r="F286" s="259"/>
    </row>
    <row r="287" spans="1:6" x14ac:dyDescent="0.25">
      <c r="A287" s="260"/>
      <c r="B287" s="262"/>
      <c r="C287" s="260"/>
      <c r="D287" s="259"/>
      <c r="E287" s="259"/>
      <c r="F287" s="259"/>
    </row>
    <row r="288" spans="1:6" x14ac:dyDescent="0.25">
      <c r="A288" s="260"/>
      <c r="B288" s="262"/>
      <c r="C288" s="260"/>
      <c r="D288" s="259"/>
      <c r="E288" s="259"/>
      <c r="F288" s="259"/>
    </row>
    <row r="289" spans="1:6" x14ac:dyDescent="0.25">
      <c r="A289" s="260"/>
      <c r="B289" s="262"/>
      <c r="C289" s="260"/>
      <c r="D289" s="259"/>
      <c r="E289" s="259"/>
      <c r="F289" s="259"/>
    </row>
    <row r="290" spans="1:6" x14ac:dyDescent="0.25">
      <c r="A290" s="260"/>
      <c r="B290" s="262"/>
      <c r="C290" s="260"/>
      <c r="D290" s="259"/>
      <c r="E290" s="259"/>
      <c r="F290" s="259"/>
    </row>
    <row r="291" spans="1:6" x14ac:dyDescent="0.25">
      <c r="A291" s="260"/>
      <c r="B291" s="262"/>
      <c r="C291" s="260"/>
      <c r="D291" s="259"/>
      <c r="E291" s="259"/>
      <c r="F291" s="259"/>
    </row>
    <row r="292" spans="1:6" x14ac:dyDescent="0.25">
      <c r="A292" s="260"/>
      <c r="B292" s="262"/>
      <c r="C292" s="260"/>
      <c r="D292" s="259"/>
      <c r="E292" s="259"/>
      <c r="F292" s="259"/>
    </row>
    <row r="293" spans="1:6" x14ac:dyDescent="0.25">
      <c r="A293" s="260"/>
      <c r="B293" s="262"/>
      <c r="C293" s="260"/>
      <c r="D293" s="259"/>
      <c r="E293" s="259"/>
      <c r="F293" s="259"/>
    </row>
    <row r="294" spans="1:6" x14ac:dyDescent="0.25">
      <c r="A294" s="260"/>
      <c r="B294" s="262"/>
      <c r="C294" s="260"/>
      <c r="D294" s="259"/>
      <c r="E294" s="259"/>
      <c r="F294" s="259"/>
    </row>
    <row r="295" spans="1:6" x14ac:dyDescent="0.25">
      <c r="A295" s="260"/>
      <c r="B295" s="262"/>
      <c r="C295" s="260"/>
      <c r="D295" s="259"/>
      <c r="E295" s="259"/>
      <c r="F295" s="259"/>
    </row>
    <row r="296" spans="1:6" x14ac:dyDescent="0.25">
      <c r="A296" s="260"/>
      <c r="B296" s="262"/>
      <c r="C296" s="260"/>
      <c r="D296" s="259"/>
      <c r="E296" s="259"/>
      <c r="F296" s="259"/>
    </row>
    <row r="297" spans="1:6" x14ac:dyDescent="0.25">
      <c r="A297" s="260"/>
      <c r="B297" s="262"/>
      <c r="C297" s="260"/>
      <c r="D297" s="259"/>
      <c r="E297" s="259"/>
      <c r="F297" s="259"/>
    </row>
    <row r="298" spans="1:6" x14ac:dyDescent="0.25">
      <c r="A298" s="260"/>
      <c r="B298" s="262"/>
      <c r="C298" s="260"/>
      <c r="D298" s="259"/>
      <c r="E298" s="259"/>
      <c r="F298" s="259"/>
    </row>
    <row r="299" spans="1:6" x14ac:dyDescent="0.25">
      <c r="A299" s="260"/>
      <c r="B299" s="262"/>
      <c r="C299" s="260"/>
      <c r="D299" s="259"/>
      <c r="E299" s="259"/>
      <c r="F299" s="259"/>
    </row>
    <row r="300" spans="1:6" x14ac:dyDescent="0.25">
      <c r="A300" s="260"/>
      <c r="B300" s="262"/>
      <c r="C300" s="260"/>
      <c r="D300" s="259"/>
      <c r="E300" s="259"/>
      <c r="F300" s="259"/>
    </row>
    <row r="301" spans="1:6" x14ac:dyDescent="0.25">
      <c r="A301" s="260"/>
      <c r="B301" s="262"/>
      <c r="C301" s="260"/>
      <c r="D301" s="259"/>
      <c r="E301" s="259"/>
      <c r="F301" s="259"/>
    </row>
    <row r="302" spans="1:6" x14ac:dyDescent="0.25">
      <c r="A302" s="260"/>
      <c r="B302" s="262"/>
      <c r="C302" s="260"/>
      <c r="D302" s="259"/>
      <c r="E302" s="259"/>
      <c r="F302" s="259"/>
    </row>
    <row r="303" spans="1:6" x14ac:dyDescent="0.25">
      <c r="A303" s="260"/>
      <c r="B303" s="262"/>
      <c r="C303" s="260"/>
      <c r="D303" s="259"/>
      <c r="E303" s="259"/>
      <c r="F303" s="259"/>
    </row>
    <row r="304" spans="1:6" x14ac:dyDescent="0.25">
      <c r="A304" s="260"/>
      <c r="B304" s="262"/>
      <c r="C304" s="260"/>
      <c r="D304" s="259"/>
      <c r="E304" s="259"/>
      <c r="F304" s="259"/>
    </row>
    <row r="305" spans="1:6" x14ac:dyDescent="0.25">
      <c r="A305" s="260"/>
      <c r="B305" s="262"/>
      <c r="C305" s="260"/>
      <c r="D305" s="259"/>
      <c r="E305" s="259"/>
      <c r="F305" s="259"/>
    </row>
    <row r="306" spans="1:6" x14ac:dyDescent="0.25">
      <c r="A306" s="260"/>
      <c r="B306" s="262"/>
      <c r="C306" s="260"/>
      <c r="D306" s="259"/>
      <c r="E306" s="259"/>
      <c r="F306" s="259"/>
    </row>
    <row r="307" spans="1:6" x14ac:dyDescent="0.25">
      <c r="A307" s="260"/>
      <c r="B307" s="262"/>
      <c r="C307" s="260"/>
      <c r="D307" s="259"/>
      <c r="E307" s="259"/>
      <c r="F307" s="259"/>
    </row>
    <row r="308" spans="1:6" x14ac:dyDescent="0.25">
      <c r="A308" s="260"/>
      <c r="B308" s="262"/>
      <c r="C308" s="260"/>
      <c r="D308" s="259"/>
      <c r="E308" s="259"/>
      <c r="F308" s="259"/>
    </row>
    <row r="309" spans="1:6" x14ac:dyDescent="0.25">
      <c r="A309" s="260"/>
      <c r="B309" s="262"/>
      <c r="C309" s="260"/>
      <c r="D309" s="259"/>
      <c r="E309" s="259"/>
      <c r="F309" s="259"/>
    </row>
    <row r="310" spans="1:6" x14ac:dyDescent="0.25">
      <c r="A310" s="260"/>
      <c r="B310" s="262"/>
      <c r="C310" s="260"/>
      <c r="D310" s="259"/>
      <c r="E310" s="259"/>
      <c r="F310" s="259"/>
    </row>
    <row r="311" spans="1:6" x14ac:dyDescent="0.25">
      <c r="A311" s="260"/>
      <c r="B311" s="262"/>
      <c r="C311" s="260"/>
      <c r="D311" s="259"/>
      <c r="E311" s="259"/>
      <c r="F311" s="259"/>
    </row>
    <row r="312" spans="1:6" x14ac:dyDescent="0.25">
      <c r="A312" s="260"/>
      <c r="B312" s="262"/>
      <c r="C312" s="260"/>
      <c r="D312" s="259"/>
      <c r="E312" s="259"/>
      <c r="F312" s="259"/>
    </row>
    <row r="313" spans="1:6" x14ac:dyDescent="0.25">
      <c r="A313" s="260"/>
      <c r="B313" s="262"/>
      <c r="C313" s="260"/>
      <c r="D313" s="259"/>
      <c r="E313" s="259"/>
      <c r="F313" s="259"/>
    </row>
    <row r="314" spans="1:6" x14ac:dyDescent="0.25">
      <c r="A314" s="260"/>
      <c r="B314" s="262"/>
      <c r="C314" s="260"/>
      <c r="D314" s="259"/>
      <c r="E314" s="259"/>
      <c r="F314" s="259"/>
    </row>
    <row r="315" spans="1:6" x14ac:dyDescent="0.25">
      <c r="A315" s="260"/>
      <c r="B315" s="262"/>
      <c r="C315" s="260"/>
      <c r="D315" s="259"/>
      <c r="E315" s="259"/>
      <c r="F315" s="259"/>
    </row>
    <row r="316" spans="1:6" x14ac:dyDescent="0.25">
      <c r="A316" s="260"/>
      <c r="B316" s="262"/>
      <c r="C316" s="260"/>
      <c r="D316" s="259"/>
      <c r="E316" s="259"/>
      <c r="F316" s="259"/>
    </row>
    <row r="317" spans="1:6" x14ac:dyDescent="0.25">
      <c r="A317" s="260"/>
      <c r="B317" s="262"/>
      <c r="C317" s="260"/>
      <c r="D317" s="259"/>
      <c r="E317" s="259"/>
      <c r="F317" s="259"/>
    </row>
    <row r="318" spans="1:6" x14ac:dyDescent="0.25">
      <c r="A318" s="260"/>
      <c r="B318" s="262"/>
      <c r="C318" s="260"/>
      <c r="D318" s="259"/>
      <c r="E318" s="259"/>
      <c r="F318" s="259"/>
    </row>
    <row r="319" spans="1:6" x14ac:dyDescent="0.25">
      <c r="A319" s="260"/>
      <c r="B319" s="262"/>
      <c r="C319" s="260"/>
      <c r="D319" s="259"/>
      <c r="E319" s="259"/>
      <c r="F319" s="259"/>
    </row>
    <row r="320" spans="1:6" x14ac:dyDescent="0.25">
      <c r="A320" s="260"/>
      <c r="B320" s="262"/>
      <c r="C320" s="260"/>
      <c r="D320" s="259"/>
      <c r="E320" s="259"/>
      <c r="F320" s="259"/>
    </row>
    <row r="321" spans="1:6" x14ac:dyDescent="0.25">
      <c r="A321" s="260"/>
      <c r="B321" s="262"/>
      <c r="C321" s="260"/>
      <c r="D321" s="259"/>
      <c r="E321" s="259"/>
      <c r="F321" s="259"/>
    </row>
    <row r="322" spans="1:6" x14ac:dyDescent="0.25">
      <c r="A322" s="260"/>
      <c r="B322" s="262"/>
      <c r="C322" s="260"/>
      <c r="D322" s="259"/>
      <c r="E322" s="259"/>
      <c r="F322" s="259"/>
    </row>
    <row r="323" spans="1:6" x14ac:dyDescent="0.25">
      <c r="A323" s="260"/>
      <c r="B323" s="262"/>
      <c r="C323" s="260"/>
      <c r="D323" s="259"/>
      <c r="E323" s="259"/>
      <c r="F323" s="259"/>
    </row>
    <row r="324" spans="1:6" x14ac:dyDescent="0.25">
      <c r="A324" s="260"/>
      <c r="B324" s="262"/>
      <c r="C324" s="260"/>
      <c r="D324" s="259"/>
      <c r="E324" s="259"/>
      <c r="F324" s="259"/>
    </row>
    <row r="325" spans="1:6" x14ac:dyDescent="0.25">
      <c r="A325" s="260"/>
      <c r="B325" s="262"/>
      <c r="C325" s="260"/>
      <c r="D325" s="259"/>
      <c r="E325" s="259"/>
      <c r="F325" s="259"/>
    </row>
    <row r="326" spans="1:6" x14ac:dyDescent="0.25">
      <c r="A326" s="260"/>
      <c r="B326" s="262"/>
      <c r="C326" s="260"/>
      <c r="D326" s="259"/>
      <c r="E326" s="259"/>
      <c r="F326" s="259"/>
    </row>
    <row r="327" spans="1:6" x14ac:dyDescent="0.25">
      <c r="A327" s="260"/>
      <c r="B327" s="262"/>
      <c r="C327" s="260"/>
      <c r="D327" s="259"/>
      <c r="E327" s="259"/>
      <c r="F327" s="259"/>
    </row>
    <row r="328" spans="1:6" x14ac:dyDescent="0.25">
      <c r="A328" s="260"/>
      <c r="B328" s="262"/>
      <c r="C328" s="260"/>
      <c r="D328" s="259"/>
      <c r="E328" s="259"/>
      <c r="F328" s="259"/>
    </row>
    <row r="329" spans="1:6" x14ac:dyDescent="0.25">
      <c r="A329" s="260"/>
      <c r="B329" s="262"/>
      <c r="C329" s="260"/>
      <c r="D329" s="259"/>
      <c r="E329" s="259"/>
      <c r="F329" s="259"/>
    </row>
    <row r="330" spans="1:6" x14ac:dyDescent="0.25">
      <c r="A330" s="260"/>
      <c r="B330" s="262"/>
      <c r="C330" s="260"/>
      <c r="D330" s="259"/>
      <c r="E330" s="259"/>
      <c r="F330" s="259"/>
    </row>
    <row r="331" spans="1:6" x14ac:dyDescent="0.25">
      <c r="A331" s="260"/>
      <c r="B331" s="262"/>
      <c r="C331" s="260"/>
      <c r="D331" s="259"/>
      <c r="E331" s="259"/>
      <c r="F331" s="259"/>
    </row>
    <row r="332" spans="1:6" x14ac:dyDescent="0.25">
      <c r="A332" s="260"/>
      <c r="B332" s="262"/>
      <c r="C332" s="260"/>
      <c r="D332" s="259"/>
      <c r="E332" s="259"/>
      <c r="F332" s="259"/>
    </row>
    <row r="333" spans="1:6" x14ac:dyDescent="0.25">
      <c r="A333" s="260"/>
      <c r="B333" s="262"/>
      <c r="C333" s="260"/>
      <c r="D333" s="259"/>
      <c r="E333" s="259"/>
      <c r="F333" s="259"/>
    </row>
    <row r="334" spans="1:6" x14ac:dyDescent="0.25">
      <c r="A334" s="260"/>
      <c r="B334" s="262"/>
      <c r="C334" s="260"/>
      <c r="D334" s="259"/>
      <c r="E334" s="259"/>
      <c r="F334" s="259"/>
    </row>
    <row r="335" spans="1:6" x14ac:dyDescent="0.25">
      <c r="A335" s="260"/>
      <c r="B335" s="262"/>
      <c r="C335" s="260"/>
      <c r="D335" s="259"/>
      <c r="E335" s="259"/>
      <c r="F335" s="259"/>
    </row>
    <row r="336" spans="1:6" x14ac:dyDescent="0.25">
      <c r="A336" s="260"/>
      <c r="B336" s="262"/>
      <c r="C336" s="260"/>
      <c r="D336" s="259"/>
      <c r="E336" s="259"/>
      <c r="F336" s="259"/>
    </row>
    <row r="337" spans="1:6" x14ac:dyDescent="0.25">
      <c r="A337" s="260"/>
      <c r="B337" s="262"/>
      <c r="C337" s="260"/>
      <c r="D337" s="259"/>
      <c r="E337" s="259"/>
      <c r="F337" s="259"/>
    </row>
    <row r="338" spans="1:6" x14ac:dyDescent="0.25">
      <c r="A338" s="260"/>
      <c r="B338" s="262"/>
      <c r="C338" s="260"/>
      <c r="D338" s="259"/>
      <c r="E338" s="259"/>
      <c r="F338" s="259"/>
    </row>
    <row r="339" spans="1:6" x14ac:dyDescent="0.25">
      <c r="A339" s="260"/>
      <c r="B339" s="262"/>
      <c r="C339" s="260"/>
      <c r="D339" s="259"/>
      <c r="E339" s="259"/>
      <c r="F339" s="259"/>
    </row>
    <row r="340" spans="1:6" x14ac:dyDescent="0.25">
      <c r="A340" s="260"/>
      <c r="B340" s="262"/>
      <c r="C340" s="260"/>
      <c r="D340" s="259"/>
      <c r="E340" s="259"/>
      <c r="F340" s="259"/>
    </row>
    <row r="341" spans="1:6" x14ac:dyDescent="0.25">
      <c r="A341" s="260"/>
      <c r="B341" s="262"/>
      <c r="C341" s="260"/>
      <c r="D341" s="259"/>
      <c r="E341" s="259"/>
      <c r="F341" s="259"/>
    </row>
    <row r="342" spans="1:6" x14ac:dyDescent="0.25">
      <c r="A342" s="260"/>
      <c r="B342" s="262"/>
      <c r="C342" s="260"/>
      <c r="D342" s="259"/>
      <c r="E342" s="259"/>
      <c r="F342" s="259"/>
    </row>
    <row r="343" spans="1:6" x14ac:dyDescent="0.25">
      <c r="A343" s="260"/>
      <c r="B343" s="262"/>
      <c r="C343" s="260"/>
      <c r="D343" s="259"/>
      <c r="E343" s="259"/>
      <c r="F343" s="259"/>
    </row>
    <row r="344" spans="1:6" x14ac:dyDescent="0.25">
      <c r="A344" s="260"/>
      <c r="B344" s="262"/>
      <c r="C344" s="260"/>
      <c r="D344" s="259"/>
      <c r="E344" s="259"/>
      <c r="F344" s="259"/>
    </row>
    <row r="345" spans="1:6" x14ac:dyDescent="0.25">
      <c r="A345" s="260"/>
      <c r="B345" s="262"/>
      <c r="C345" s="260"/>
      <c r="D345" s="259"/>
      <c r="E345" s="259"/>
      <c r="F345" s="259"/>
    </row>
    <row r="346" spans="1:6" x14ac:dyDescent="0.25">
      <c r="A346" s="260"/>
      <c r="B346" s="262"/>
      <c r="C346" s="260"/>
      <c r="D346" s="259"/>
      <c r="E346" s="259"/>
      <c r="F346" s="259"/>
    </row>
    <row r="347" spans="1:6" x14ac:dyDescent="0.25">
      <c r="A347" s="260"/>
      <c r="B347" s="262"/>
      <c r="C347" s="260"/>
      <c r="D347" s="259"/>
      <c r="E347" s="259"/>
      <c r="F347" s="259"/>
    </row>
    <row r="348" spans="1:6" x14ac:dyDescent="0.25">
      <c r="A348" s="260"/>
      <c r="B348" s="262"/>
      <c r="C348" s="260"/>
      <c r="D348" s="259"/>
      <c r="E348" s="259"/>
      <c r="F348" s="259"/>
    </row>
    <row r="349" spans="1:6" x14ac:dyDescent="0.25">
      <c r="A349" s="260"/>
      <c r="B349" s="262"/>
      <c r="C349" s="260"/>
      <c r="D349" s="259"/>
      <c r="E349" s="259"/>
      <c r="F349" s="259"/>
    </row>
    <row r="350" spans="1:6" x14ac:dyDescent="0.25">
      <c r="A350" s="260"/>
      <c r="B350" s="262"/>
      <c r="C350" s="260"/>
      <c r="D350" s="259"/>
      <c r="E350" s="259"/>
      <c r="F350" s="259"/>
    </row>
    <row r="351" spans="1:6" x14ac:dyDescent="0.25">
      <c r="A351" s="260"/>
      <c r="B351" s="262"/>
      <c r="C351" s="260"/>
      <c r="D351" s="259"/>
      <c r="E351" s="259"/>
      <c r="F351" s="259"/>
    </row>
    <row r="352" spans="1:6" x14ac:dyDescent="0.25">
      <c r="A352" s="260"/>
      <c r="B352" s="262"/>
      <c r="C352" s="260"/>
      <c r="D352" s="259"/>
      <c r="E352" s="259"/>
      <c r="F352" s="259"/>
    </row>
    <row r="353" spans="1:6" x14ac:dyDescent="0.25">
      <c r="A353" s="260"/>
      <c r="B353" s="262"/>
      <c r="C353" s="260"/>
      <c r="D353" s="259"/>
      <c r="E353" s="259"/>
      <c r="F353" s="259"/>
    </row>
    <row r="354" spans="1:6" x14ac:dyDescent="0.25">
      <c r="A354" s="260"/>
      <c r="B354" s="262"/>
      <c r="C354" s="260"/>
      <c r="D354" s="259"/>
      <c r="E354" s="259"/>
      <c r="F354" s="259"/>
    </row>
    <row r="355" spans="1:6" x14ac:dyDescent="0.25">
      <c r="A355" s="260"/>
      <c r="B355" s="262"/>
      <c r="C355" s="260"/>
      <c r="D355" s="259"/>
      <c r="E355" s="259"/>
      <c r="F355" s="259"/>
    </row>
    <row r="356" spans="1:6" x14ac:dyDescent="0.25">
      <c r="A356" s="260"/>
      <c r="B356" s="262"/>
      <c r="C356" s="260"/>
      <c r="D356" s="259"/>
      <c r="E356" s="259"/>
      <c r="F356" s="259"/>
    </row>
    <row r="357" spans="1:6" x14ac:dyDescent="0.25">
      <c r="A357" s="260"/>
      <c r="B357" s="262"/>
      <c r="C357" s="260"/>
      <c r="D357" s="259"/>
      <c r="E357" s="259"/>
      <c r="F357" s="259"/>
    </row>
    <row r="358" spans="1:6" x14ac:dyDescent="0.25">
      <c r="A358" s="260"/>
      <c r="B358" s="262"/>
      <c r="C358" s="260"/>
      <c r="D358" s="259"/>
      <c r="E358" s="259"/>
      <c r="F358" s="259"/>
    </row>
    <row r="359" spans="1:6" x14ac:dyDescent="0.25">
      <c r="A359" s="260"/>
      <c r="B359" s="262"/>
      <c r="C359" s="260"/>
      <c r="D359" s="259"/>
      <c r="E359" s="259"/>
      <c r="F359" s="259"/>
    </row>
    <row r="360" spans="1:6" x14ac:dyDescent="0.25">
      <c r="A360" s="260"/>
      <c r="B360" s="262"/>
      <c r="C360" s="260"/>
      <c r="D360" s="259"/>
      <c r="E360" s="259"/>
      <c r="F360" s="259"/>
    </row>
    <row r="361" spans="1:6" x14ac:dyDescent="0.25">
      <c r="A361" s="260"/>
      <c r="B361" s="262"/>
      <c r="C361" s="260"/>
      <c r="D361" s="259"/>
      <c r="E361" s="259"/>
      <c r="F361" s="259"/>
    </row>
    <row r="362" spans="1:6" x14ac:dyDescent="0.25">
      <c r="A362" s="260"/>
      <c r="B362" s="262"/>
      <c r="C362" s="260"/>
      <c r="D362" s="259"/>
      <c r="E362" s="259"/>
      <c r="F362" s="259"/>
    </row>
    <row r="363" spans="1:6" x14ac:dyDescent="0.25">
      <c r="A363" s="260"/>
      <c r="B363" s="262"/>
      <c r="C363" s="260"/>
      <c r="D363" s="259"/>
      <c r="E363" s="259"/>
      <c r="F363" s="259"/>
    </row>
    <row r="364" spans="1:6" x14ac:dyDescent="0.25">
      <c r="A364" s="260"/>
      <c r="B364" s="262"/>
      <c r="C364" s="260"/>
      <c r="D364" s="259"/>
      <c r="E364" s="259"/>
      <c r="F364" s="259"/>
    </row>
    <row r="365" spans="1:6" x14ac:dyDescent="0.25">
      <c r="A365" s="260"/>
      <c r="B365" s="262"/>
      <c r="C365" s="260"/>
      <c r="D365" s="259"/>
      <c r="E365" s="259"/>
      <c r="F365" s="259"/>
    </row>
    <row r="366" spans="1:6" x14ac:dyDescent="0.25">
      <c r="A366" s="260"/>
      <c r="B366" s="262"/>
      <c r="C366" s="260"/>
      <c r="D366" s="259"/>
      <c r="E366" s="259"/>
      <c r="F366" s="259"/>
    </row>
    <row r="367" spans="1:6" x14ac:dyDescent="0.25">
      <c r="A367" s="260"/>
      <c r="B367" s="262"/>
      <c r="C367" s="260"/>
      <c r="D367" s="259"/>
      <c r="E367" s="259"/>
      <c r="F367" s="259"/>
    </row>
    <row r="368" spans="1:6" x14ac:dyDescent="0.25">
      <c r="A368" s="260"/>
      <c r="B368" s="262"/>
      <c r="C368" s="260"/>
      <c r="D368" s="259"/>
      <c r="E368" s="259"/>
      <c r="F368" s="259"/>
    </row>
    <row r="369" spans="1:6" x14ac:dyDescent="0.25">
      <c r="A369" s="260"/>
      <c r="B369" s="262"/>
      <c r="C369" s="260"/>
      <c r="D369" s="259"/>
      <c r="E369" s="259"/>
      <c r="F369" s="259"/>
    </row>
    <row r="370" spans="1:6" x14ac:dyDescent="0.25">
      <c r="A370" s="260"/>
      <c r="B370" s="262"/>
      <c r="C370" s="260"/>
      <c r="D370" s="259"/>
      <c r="E370" s="259"/>
      <c r="F370" s="259"/>
    </row>
    <row r="371" spans="1:6" x14ac:dyDescent="0.25">
      <c r="A371" s="260"/>
      <c r="B371" s="262"/>
      <c r="C371" s="260"/>
      <c r="D371" s="259"/>
      <c r="E371" s="259"/>
      <c r="F371" s="259"/>
    </row>
    <row r="372" spans="1:6" x14ac:dyDescent="0.25">
      <c r="A372" s="260"/>
      <c r="B372" s="262"/>
      <c r="C372" s="260"/>
      <c r="D372" s="259"/>
      <c r="E372" s="259"/>
      <c r="F372" s="259"/>
    </row>
    <row r="373" spans="1:6" x14ac:dyDescent="0.25">
      <c r="A373" s="260"/>
      <c r="B373" s="262"/>
      <c r="C373" s="260"/>
      <c r="D373" s="259"/>
      <c r="E373" s="259"/>
      <c r="F373" s="259"/>
    </row>
    <row r="374" spans="1:6" x14ac:dyDescent="0.25">
      <c r="A374" s="260"/>
      <c r="B374" s="262"/>
      <c r="C374" s="260"/>
      <c r="D374" s="259"/>
      <c r="E374" s="259"/>
      <c r="F374" s="259"/>
    </row>
    <row r="375" spans="1:6" x14ac:dyDescent="0.25">
      <c r="A375" s="260"/>
      <c r="B375" s="262"/>
      <c r="C375" s="260"/>
      <c r="D375" s="259"/>
      <c r="E375" s="259"/>
      <c r="F375" s="259"/>
    </row>
    <row r="376" spans="1:6" x14ac:dyDescent="0.25">
      <c r="A376" s="260"/>
      <c r="B376" s="262"/>
      <c r="C376" s="260"/>
      <c r="D376" s="259"/>
      <c r="E376" s="259"/>
      <c r="F376" s="259"/>
    </row>
    <row r="377" spans="1:6" x14ac:dyDescent="0.25">
      <c r="A377" s="260"/>
      <c r="B377" s="262"/>
      <c r="C377" s="260"/>
      <c r="D377" s="259"/>
      <c r="E377" s="259"/>
      <c r="F377" s="259"/>
    </row>
    <row r="378" spans="1:6" x14ac:dyDescent="0.25">
      <c r="A378" s="260"/>
      <c r="B378" s="262"/>
      <c r="C378" s="260"/>
      <c r="D378" s="259"/>
      <c r="E378" s="259"/>
      <c r="F378" s="259"/>
    </row>
    <row r="379" spans="1:6" x14ac:dyDescent="0.25">
      <c r="A379" s="260"/>
      <c r="B379" s="262"/>
      <c r="C379" s="260"/>
      <c r="D379" s="259"/>
      <c r="E379" s="259"/>
      <c r="F379" s="259"/>
    </row>
    <row r="380" spans="1:6" x14ac:dyDescent="0.25">
      <c r="A380" s="260"/>
      <c r="B380" s="262"/>
      <c r="C380" s="260"/>
      <c r="D380" s="259"/>
      <c r="E380" s="259"/>
      <c r="F380" s="259"/>
    </row>
    <row r="381" spans="1:6" x14ac:dyDescent="0.25">
      <c r="A381" s="260"/>
      <c r="B381" s="262"/>
      <c r="C381" s="260"/>
      <c r="D381" s="259"/>
      <c r="E381" s="259"/>
      <c r="F381" s="259"/>
    </row>
    <row r="382" spans="1:6" x14ac:dyDescent="0.25">
      <c r="A382" s="260"/>
      <c r="B382" s="262"/>
      <c r="C382" s="260"/>
      <c r="D382" s="259"/>
      <c r="E382" s="259"/>
      <c r="F382" s="259"/>
    </row>
    <row r="383" spans="1:6" x14ac:dyDescent="0.25">
      <c r="A383" s="260"/>
      <c r="B383" s="262"/>
      <c r="C383" s="260"/>
      <c r="D383" s="259"/>
      <c r="E383" s="259"/>
      <c r="F383" s="259"/>
    </row>
    <row r="384" spans="1:6" x14ac:dyDescent="0.25">
      <c r="A384" s="260"/>
      <c r="B384" s="262"/>
      <c r="C384" s="260"/>
      <c r="D384" s="259"/>
      <c r="E384" s="259"/>
      <c r="F384" s="259"/>
    </row>
    <row r="385" spans="1:6" x14ac:dyDescent="0.25">
      <c r="A385" s="260"/>
      <c r="B385" s="262"/>
      <c r="C385" s="260"/>
      <c r="D385" s="259"/>
      <c r="E385" s="259"/>
      <c r="F385" s="259"/>
    </row>
    <row r="386" spans="1:6" x14ac:dyDescent="0.25">
      <c r="A386" s="260"/>
      <c r="B386" s="262"/>
      <c r="C386" s="260"/>
      <c r="D386" s="259"/>
      <c r="E386" s="259"/>
      <c r="F386" s="259"/>
    </row>
    <row r="387" spans="1:6" x14ac:dyDescent="0.25">
      <c r="A387" s="260"/>
      <c r="B387" s="262"/>
      <c r="C387" s="260"/>
      <c r="D387" s="259"/>
      <c r="E387" s="259"/>
      <c r="F387" s="259"/>
    </row>
    <row r="388" spans="1:6" x14ac:dyDescent="0.25">
      <c r="A388" s="260"/>
      <c r="B388" s="262"/>
      <c r="C388" s="260"/>
      <c r="D388" s="259"/>
      <c r="E388" s="259"/>
      <c r="F388" s="259"/>
    </row>
    <row r="389" spans="1:6" x14ac:dyDescent="0.25">
      <c r="A389" s="260"/>
      <c r="B389" s="262"/>
      <c r="C389" s="260"/>
      <c r="D389" s="259"/>
      <c r="E389" s="259"/>
      <c r="F389" s="259"/>
    </row>
    <row r="390" spans="1:6" x14ac:dyDescent="0.25">
      <c r="A390" s="260"/>
      <c r="B390" s="262"/>
      <c r="C390" s="260"/>
      <c r="D390" s="259"/>
      <c r="E390" s="259"/>
      <c r="F390" s="259"/>
    </row>
    <row r="391" spans="1:6" x14ac:dyDescent="0.25">
      <c r="A391" s="260"/>
      <c r="B391" s="262"/>
      <c r="C391" s="260"/>
      <c r="D391" s="259"/>
      <c r="E391" s="259"/>
      <c r="F391" s="259"/>
    </row>
    <row r="392" spans="1:6" x14ac:dyDescent="0.25">
      <c r="A392" s="260"/>
      <c r="B392" s="262"/>
      <c r="C392" s="260"/>
      <c r="D392" s="259"/>
      <c r="E392" s="259"/>
      <c r="F392" s="259"/>
    </row>
    <row r="393" spans="1:6" x14ac:dyDescent="0.25">
      <c r="A393" s="260"/>
      <c r="B393" s="262"/>
      <c r="C393" s="260"/>
      <c r="D393" s="259"/>
      <c r="E393" s="259"/>
      <c r="F393" s="259"/>
    </row>
    <row r="394" spans="1:6" x14ac:dyDescent="0.25">
      <c r="A394" s="260"/>
      <c r="B394" s="262"/>
      <c r="C394" s="260"/>
      <c r="D394" s="259"/>
      <c r="E394" s="259"/>
      <c r="F394" s="259"/>
    </row>
    <row r="395" spans="1:6" x14ac:dyDescent="0.25">
      <c r="A395" s="260"/>
      <c r="B395" s="262"/>
      <c r="C395" s="260"/>
      <c r="D395" s="259"/>
      <c r="E395" s="259"/>
      <c r="F395" s="259"/>
    </row>
    <row r="396" spans="1:6" x14ac:dyDescent="0.25">
      <c r="A396" s="260"/>
      <c r="B396" s="262"/>
      <c r="C396" s="260"/>
      <c r="D396" s="259"/>
      <c r="E396" s="259"/>
      <c r="F396" s="259"/>
    </row>
    <row r="397" spans="1:6" x14ac:dyDescent="0.25">
      <c r="A397" s="260"/>
      <c r="B397" s="262"/>
      <c r="C397" s="260"/>
      <c r="D397" s="259"/>
      <c r="E397" s="259"/>
      <c r="F397" s="259"/>
    </row>
    <row r="398" spans="1:6" x14ac:dyDescent="0.25">
      <c r="A398" s="260"/>
      <c r="B398" s="262"/>
      <c r="C398" s="260"/>
      <c r="D398" s="259"/>
      <c r="E398" s="259"/>
      <c r="F398" s="259"/>
    </row>
    <row r="399" spans="1:6" x14ac:dyDescent="0.25">
      <c r="A399" s="260"/>
      <c r="B399" s="262"/>
      <c r="C399" s="260"/>
      <c r="D399" s="259"/>
      <c r="E399" s="259"/>
      <c r="F399" s="259"/>
    </row>
    <row r="400" spans="1:6" x14ac:dyDescent="0.25">
      <c r="A400" s="260"/>
      <c r="B400" s="262"/>
      <c r="C400" s="260"/>
      <c r="D400" s="259"/>
      <c r="E400" s="259"/>
      <c r="F400" s="259"/>
    </row>
    <row r="401" spans="1:6" x14ac:dyDescent="0.25">
      <c r="A401" s="260"/>
      <c r="B401" s="262"/>
      <c r="C401" s="260"/>
      <c r="D401" s="259"/>
      <c r="E401" s="259"/>
      <c r="F401" s="259"/>
    </row>
    <row r="402" spans="1:6" x14ac:dyDescent="0.25">
      <c r="A402" s="260"/>
      <c r="B402" s="262"/>
      <c r="C402" s="260"/>
      <c r="D402" s="259"/>
      <c r="E402" s="259"/>
      <c r="F402" s="259"/>
    </row>
    <row r="403" spans="1:6" x14ac:dyDescent="0.25">
      <c r="A403" s="260"/>
      <c r="B403" s="262"/>
      <c r="C403" s="260"/>
      <c r="D403" s="259"/>
      <c r="E403" s="259"/>
      <c r="F403" s="259"/>
    </row>
    <row r="404" spans="1:6" x14ac:dyDescent="0.25">
      <c r="A404" s="260"/>
      <c r="B404" s="262"/>
      <c r="C404" s="260"/>
      <c r="D404" s="259"/>
      <c r="E404" s="259"/>
      <c r="F404" s="259"/>
    </row>
    <row r="405" spans="1:6" x14ac:dyDescent="0.25">
      <c r="A405" s="260"/>
      <c r="B405" s="262"/>
      <c r="C405" s="260"/>
      <c r="D405" s="259"/>
      <c r="E405" s="259"/>
      <c r="F405" s="259"/>
    </row>
    <row r="406" spans="1:6" x14ac:dyDescent="0.25">
      <c r="A406" s="260"/>
      <c r="B406" s="262"/>
      <c r="C406" s="260"/>
      <c r="D406" s="259"/>
      <c r="E406" s="259"/>
      <c r="F406" s="259"/>
    </row>
    <row r="407" spans="1:6" x14ac:dyDescent="0.25">
      <c r="A407" s="260"/>
      <c r="B407" s="262"/>
      <c r="C407" s="260"/>
      <c r="D407" s="259"/>
      <c r="E407" s="259"/>
      <c r="F407" s="259"/>
    </row>
    <row r="408" spans="1:6" x14ac:dyDescent="0.25">
      <c r="A408" s="260"/>
      <c r="B408" s="262"/>
      <c r="C408" s="260"/>
      <c r="D408" s="259"/>
      <c r="E408" s="259"/>
      <c r="F408" s="259"/>
    </row>
    <row r="409" spans="1:6" x14ac:dyDescent="0.25">
      <c r="A409" s="260"/>
      <c r="B409" s="262"/>
      <c r="C409" s="260"/>
      <c r="D409" s="259"/>
      <c r="E409" s="259"/>
      <c r="F409" s="259"/>
    </row>
    <row r="410" spans="1:6" x14ac:dyDescent="0.25">
      <c r="A410" s="260"/>
      <c r="B410" s="262"/>
      <c r="C410" s="260"/>
      <c r="D410" s="259"/>
      <c r="E410" s="259"/>
      <c r="F410" s="259"/>
    </row>
    <row r="411" spans="1:6" x14ac:dyDescent="0.25">
      <c r="A411" s="260"/>
      <c r="B411" s="262"/>
      <c r="C411" s="260"/>
      <c r="D411" s="259"/>
      <c r="E411" s="259"/>
      <c r="F411" s="259"/>
    </row>
    <row r="412" spans="1:6" x14ac:dyDescent="0.25">
      <c r="A412" s="260"/>
      <c r="B412" s="262"/>
      <c r="C412" s="260"/>
      <c r="D412" s="259"/>
      <c r="E412" s="259"/>
      <c r="F412" s="259"/>
    </row>
    <row r="413" spans="1:6" x14ac:dyDescent="0.25">
      <c r="A413" s="260"/>
      <c r="B413" s="262"/>
      <c r="C413" s="260"/>
      <c r="D413" s="259"/>
      <c r="E413" s="259"/>
      <c r="F413" s="259"/>
    </row>
    <row r="414" spans="1:6" x14ac:dyDescent="0.25">
      <c r="A414" s="260"/>
      <c r="B414" s="262"/>
      <c r="C414" s="260"/>
      <c r="D414" s="259"/>
      <c r="E414" s="259"/>
      <c r="F414" s="259"/>
    </row>
    <row r="415" spans="1:6" x14ac:dyDescent="0.25">
      <c r="A415" s="260"/>
      <c r="B415" s="262"/>
      <c r="C415" s="260"/>
      <c r="D415" s="259"/>
      <c r="E415" s="259"/>
      <c r="F415" s="259"/>
    </row>
    <row r="416" spans="1:6" x14ac:dyDescent="0.25">
      <c r="A416" s="260"/>
      <c r="B416" s="262"/>
      <c r="C416" s="260"/>
      <c r="D416" s="259"/>
      <c r="E416" s="259"/>
      <c r="F416" s="259"/>
    </row>
    <row r="417" spans="1:6" x14ac:dyDescent="0.25">
      <c r="A417" s="260"/>
      <c r="B417" s="262"/>
      <c r="C417" s="260"/>
      <c r="D417" s="259"/>
      <c r="E417" s="259"/>
      <c r="F417" s="259"/>
    </row>
    <row r="418" spans="1:6" x14ac:dyDescent="0.25">
      <c r="A418" s="260"/>
      <c r="B418" s="262"/>
      <c r="C418" s="260"/>
      <c r="D418" s="259"/>
      <c r="E418" s="259"/>
      <c r="F418" s="259"/>
    </row>
    <row r="419" spans="1:6" x14ac:dyDescent="0.25">
      <c r="A419" s="260"/>
      <c r="B419" s="262"/>
      <c r="C419" s="260"/>
      <c r="D419" s="259"/>
      <c r="E419" s="259"/>
      <c r="F419" s="259"/>
    </row>
    <row r="420" spans="1:6" x14ac:dyDescent="0.25">
      <c r="A420" s="260"/>
      <c r="B420" s="262"/>
      <c r="C420" s="260"/>
      <c r="D420" s="259"/>
      <c r="E420" s="259"/>
      <c r="F420" s="259"/>
    </row>
    <row r="421" spans="1:6" x14ac:dyDescent="0.25">
      <c r="A421" s="260"/>
      <c r="B421" s="262"/>
      <c r="C421" s="260"/>
      <c r="D421" s="259"/>
      <c r="E421" s="259"/>
      <c r="F421" s="259"/>
    </row>
    <row r="422" spans="1:6" x14ac:dyDescent="0.25">
      <c r="A422" s="260"/>
      <c r="B422" s="262"/>
      <c r="C422" s="260"/>
      <c r="D422" s="259"/>
      <c r="E422" s="259"/>
      <c r="F422" s="259"/>
    </row>
    <row r="423" spans="1:6" x14ac:dyDescent="0.25">
      <c r="A423" s="260"/>
      <c r="B423" s="262"/>
      <c r="C423" s="260"/>
      <c r="D423" s="259"/>
      <c r="E423" s="259"/>
      <c r="F423" s="259"/>
    </row>
    <row r="424" spans="1:6" x14ac:dyDescent="0.25">
      <c r="A424" s="260"/>
      <c r="B424" s="262"/>
      <c r="C424" s="260"/>
      <c r="D424" s="259"/>
      <c r="E424" s="259"/>
      <c r="F424" s="259"/>
    </row>
    <row r="425" spans="1:6" x14ac:dyDescent="0.25">
      <c r="A425" s="260"/>
      <c r="B425" s="262"/>
      <c r="C425" s="260"/>
      <c r="D425" s="259"/>
      <c r="E425" s="259"/>
      <c r="F425" s="259"/>
    </row>
    <row r="426" spans="1:6" x14ac:dyDescent="0.25">
      <c r="A426" s="260"/>
      <c r="B426" s="262"/>
      <c r="C426" s="260"/>
      <c r="D426" s="259"/>
      <c r="E426" s="259"/>
      <c r="F426" s="259"/>
    </row>
    <row r="427" spans="1:6" x14ac:dyDescent="0.25">
      <c r="A427" s="260"/>
      <c r="B427" s="262"/>
      <c r="C427" s="260"/>
      <c r="D427" s="259"/>
      <c r="E427" s="259"/>
      <c r="F427" s="259"/>
    </row>
    <row r="428" spans="1:6" x14ac:dyDescent="0.25">
      <c r="A428" s="260"/>
      <c r="B428" s="262"/>
      <c r="C428" s="260"/>
      <c r="D428" s="259"/>
      <c r="E428" s="259"/>
      <c r="F428" s="259"/>
    </row>
    <row r="429" spans="1:6" x14ac:dyDescent="0.25">
      <c r="A429" s="260"/>
      <c r="B429" s="262"/>
      <c r="C429" s="260"/>
      <c r="D429" s="259"/>
      <c r="E429" s="259"/>
      <c r="F429" s="259"/>
    </row>
    <row r="430" spans="1:6" x14ac:dyDescent="0.25">
      <c r="A430" s="260"/>
      <c r="B430" s="262"/>
      <c r="C430" s="260"/>
      <c r="D430" s="259"/>
      <c r="E430" s="259"/>
      <c r="F430" s="259"/>
    </row>
    <row r="431" spans="1:6" x14ac:dyDescent="0.25">
      <c r="A431" s="260"/>
      <c r="B431" s="262"/>
      <c r="C431" s="260"/>
      <c r="D431" s="259"/>
      <c r="E431" s="259"/>
      <c r="F431" s="259"/>
    </row>
    <row r="432" spans="1:6" x14ac:dyDescent="0.25">
      <c r="A432" s="260"/>
      <c r="B432" s="262"/>
      <c r="C432" s="260"/>
      <c r="D432" s="259"/>
      <c r="E432" s="259"/>
      <c r="F432" s="259"/>
    </row>
    <row r="433" spans="1:6" x14ac:dyDescent="0.25">
      <c r="A433" s="260"/>
      <c r="B433" s="262"/>
      <c r="C433" s="260"/>
      <c r="D433" s="259"/>
      <c r="E433" s="259"/>
      <c r="F433" s="259"/>
    </row>
    <row r="434" spans="1:6" x14ac:dyDescent="0.25">
      <c r="A434" s="260"/>
      <c r="B434" s="262"/>
      <c r="C434" s="260"/>
      <c r="D434" s="259"/>
      <c r="E434" s="259"/>
      <c r="F434" s="259"/>
    </row>
    <row r="435" spans="1:6" x14ac:dyDescent="0.25">
      <c r="A435" s="260"/>
      <c r="B435" s="262"/>
      <c r="C435" s="260"/>
      <c r="D435" s="259"/>
      <c r="E435" s="259"/>
      <c r="F435" s="259"/>
    </row>
    <row r="436" spans="1:6" x14ac:dyDescent="0.25">
      <c r="A436" s="260"/>
      <c r="B436" s="262"/>
      <c r="C436" s="260"/>
      <c r="D436" s="259"/>
      <c r="E436" s="259"/>
      <c r="F436" s="259"/>
    </row>
    <row r="437" spans="1:6" x14ac:dyDescent="0.25">
      <c r="A437" s="260"/>
      <c r="B437" s="262"/>
      <c r="C437" s="260"/>
      <c r="D437" s="259"/>
      <c r="E437" s="259"/>
      <c r="F437" s="259"/>
    </row>
    <row r="438" spans="1:6" x14ac:dyDescent="0.25">
      <c r="A438" s="260"/>
      <c r="B438" s="262"/>
      <c r="C438" s="260"/>
      <c r="D438" s="259"/>
      <c r="E438" s="259"/>
      <c r="F438" s="259"/>
    </row>
    <row r="439" spans="1:6" x14ac:dyDescent="0.25">
      <c r="A439" s="260"/>
      <c r="B439" s="262"/>
      <c r="C439" s="260"/>
      <c r="D439" s="259"/>
      <c r="E439" s="259"/>
      <c r="F439" s="259"/>
    </row>
    <row r="440" spans="1:6" x14ac:dyDescent="0.25">
      <c r="A440" s="260"/>
      <c r="B440" s="262"/>
      <c r="C440" s="260"/>
      <c r="D440" s="259"/>
      <c r="E440" s="259"/>
      <c r="F440" s="259"/>
    </row>
    <row r="441" spans="1:6" x14ac:dyDescent="0.25">
      <c r="A441" s="260"/>
      <c r="B441" s="262"/>
      <c r="C441" s="260"/>
      <c r="D441" s="259"/>
      <c r="E441" s="259"/>
      <c r="F441" s="259"/>
    </row>
    <row r="442" spans="1:6" x14ac:dyDescent="0.25">
      <c r="A442" s="260"/>
      <c r="B442" s="262"/>
      <c r="C442" s="260"/>
      <c r="D442" s="259"/>
      <c r="E442" s="259"/>
      <c r="F442" s="259"/>
    </row>
    <row r="443" spans="1:6" x14ac:dyDescent="0.25">
      <c r="A443" s="260"/>
      <c r="B443" s="262"/>
      <c r="C443" s="260"/>
      <c r="D443" s="259"/>
      <c r="E443" s="259"/>
      <c r="F443" s="259"/>
    </row>
    <row r="444" spans="1:6" x14ac:dyDescent="0.25">
      <c r="A444" s="260"/>
      <c r="B444" s="262"/>
      <c r="C444" s="260"/>
      <c r="D444" s="259"/>
      <c r="E444" s="259"/>
      <c r="F444" s="259"/>
    </row>
    <row r="445" spans="1:6" x14ac:dyDescent="0.25">
      <c r="A445" s="260"/>
      <c r="B445" s="262"/>
      <c r="C445" s="260"/>
      <c r="D445" s="259"/>
      <c r="E445" s="259"/>
      <c r="F445" s="259"/>
    </row>
    <row r="446" spans="1:6" x14ac:dyDescent="0.25">
      <c r="A446" s="260"/>
      <c r="B446" s="262"/>
      <c r="C446" s="260"/>
      <c r="D446" s="259"/>
      <c r="E446" s="259"/>
      <c r="F446" s="259"/>
    </row>
    <row r="447" spans="1:6" x14ac:dyDescent="0.25">
      <c r="A447" s="260"/>
      <c r="B447" s="262"/>
      <c r="C447" s="260"/>
      <c r="D447" s="259"/>
      <c r="E447" s="259"/>
      <c r="F447" s="259"/>
    </row>
    <row r="448" spans="1:6" x14ac:dyDescent="0.25">
      <c r="A448" s="260"/>
      <c r="B448" s="262"/>
      <c r="C448" s="260"/>
      <c r="D448" s="259"/>
      <c r="E448" s="259"/>
      <c r="F448" s="259"/>
    </row>
    <row r="449" spans="1:6" x14ac:dyDescent="0.25">
      <c r="A449" s="260"/>
      <c r="B449" s="262"/>
      <c r="C449" s="260"/>
      <c r="D449" s="259"/>
      <c r="E449" s="259"/>
      <c r="F449" s="259"/>
    </row>
    <row r="450" spans="1:6" x14ac:dyDescent="0.25">
      <c r="A450" s="260"/>
      <c r="B450" s="262"/>
      <c r="C450" s="260"/>
      <c r="D450" s="259"/>
      <c r="E450" s="259"/>
      <c r="F450" s="259"/>
    </row>
    <row r="451" spans="1:6" x14ac:dyDescent="0.25">
      <c r="A451" s="260"/>
      <c r="B451" s="262"/>
      <c r="C451" s="260"/>
      <c r="D451" s="259"/>
      <c r="E451" s="259"/>
      <c r="F451" s="259"/>
    </row>
    <row r="452" spans="1:6" x14ac:dyDescent="0.25">
      <c r="A452" s="260"/>
      <c r="B452" s="262"/>
      <c r="C452" s="260"/>
      <c r="D452" s="259"/>
      <c r="E452" s="259"/>
      <c r="F452" s="259"/>
    </row>
    <row r="453" spans="1:6" x14ac:dyDescent="0.25">
      <c r="A453" s="260"/>
      <c r="B453" s="262"/>
      <c r="C453" s="260"/>
      <c r="D453" s="259"/>
      <c r="E453" s="259"/>
      <c r="F453" s="259"/>
    </row>
    <row r="454" spans="1:6" x14ac:dyDescent="0.25">
      <c r="A454" s="260"/>
      <c r="B454" s="262"/>
      <c r="C454" s="260"/>
      <c r="D454" s="259"/>
      <c r="E454" s="259"/>
      <c r="F454" s="259"/>
    </row>
    <row r="455" spans="1:6" x14ac:dyDescent="0.25">
      <c r="A455" s="260"/>
      <c r="B455" s="262"/>
      <c r="C455" s="260"/>
      <c r="D455" s="259"/>
      <c r="E455" s="259"/>
      <c r="F455" s="259"/>
    </row>
    <row r="456" spans="1:6" x14ac:dyDescent="0.25">
      <c r="A456" s="260"/>
      <c r="B456" s="262"/>
      <c r="C456" s="260"/>
      <c r="D456" s="259"/>
      <c r="E456" s="259"/>
      <c r="F456" s="259"/>
    </row>
    <row r="457" spans="1:6" x14ac:dyDescent="0.25">
      <c r="A457" s="260"/>
      <c r="B457" s="262"/>
      <c r="C457" s="260"/>
      <c r="D457" s="259"/>
      <c r="E457" s="259"/>
      <c r="F457" s="259"/>
    </row>
    <row r="458" spans="1:6" x14ac:dyDescent="0.25">
      <c r="A458" s="260"/>
      <c r="B458" s="262"/>
      <c r="C458" s="260"/>
      <c r="D458" s="259"/>
      <c r="E458" s="259"/>
      <c r="F458" s="259"/>
    </row>
    <row r="459" spans="1:6" x14ac:dyDescent="0.25">
      <c r="A459" s="260"/>
      <c r="B459" s="262"/>
      <c r="C459" s="260"/>
      <c r="D459" s="259"/>
      <c r="E459" s="259"/>
      <c r="F459" s="259"/>
    </row>
    <row r="460" spans="1:6" x14ac:dyDescent="0.25">
      <c r="A460" s="260"/>
      <c r="B460" s="262"/>
      <c r="C460" s="260"/>
      <c r="D460" s="259"/>
      <c r="E460" s="259"/>
      <c r="F460" s="259"/>
    </row>
    <row r="461" spans="1:6" x14ac:dyDescent="0.25">
      <c r="A461" s="260"/>
      <c r="B461" s="262"/>
      <c r="C461" s="260"/>
      <c r="D461" s="259"/>
      <c r="E461" s="259"/>
      <c r="F461" s="259"/>
    </row>
    <row r="462" spans="1:6" x14ac:dyDescent="0.25">
      <c r="A462" s="260"/>
      <c r="B462" s="262"/>
      <c r="C462" s="260"/>
      <c r="D462" s="259"/>
      <c r="E462" s="259"/>
      <c r="F462" s="259"/>
    </row>
    <row r="463" spans="1:6" x14ac:dyDescent="0.25">
      <c r="A463" s="260"/>
      <c r="B463" s="262"/>
      <c r="C463" s="260"/>
      <c r="D463" s="259"/>
      <c r="E463" s="259"/>
      <c r="F463" s="259"/>
    </row>
    <row r="464" spans="1:6" x14ac:dyDescent="0.25">
      <c r="A464" s="260"/>
      <c r="B464" s="262"/>
      <c r="C464" s="260"/>
      <c r="D464" s="259"/>
      <c r="E464" s="259"/>
      <c r="F464" s="259"/>
    </row>
    <row r="465" spans="1:6" x14ac:dyDescent="0.25">
      <c r="A465" s="260"/>
      <c r="B465" s="262"/>
      <c r="C465" s="260"/>
      <c r="D465" s="259"/>
      <c r="E465" s="259"/>
      <c r="F465" s="259"/>
    </row>
    <row r="466" spans="1:6" x14ac:dyDescent="0.25">
      <c r="A466" s="260"/>
      <c r="B466" s="262"/>
      <c r="C466" s="260"/>
      <c r="D466" s="259"/>
      <c r="E466" s="259"/>
      <c r="F466" s="259"/>
    </row>
    <row r="467" spans="1:6" x14ac:dyDescent="0.25">
      <c r="A467" s="260"/>
      <c r="B467" s="262"/>
      <c r="C467" s="260"/>
      <c r="D467" s="259"/>
      <c r="E467" s="259"/>
      <c r="F467" s="259"/>
    </row>
    <row r="468" spans="1:6" x14ac:dyDescent="0.25">
      <c r="A468" s="260"/>
      <c r="B468" s="262"/>
      <c r="C468" s="260"/>
      <c r="D468" s="259"/>
      <c r="E468" s="259"/>
      <c r="F468" s="259"/>
    </row>
    <row r="469" spans="1:6" x14ac:dyDescent="0.25">
      <c r="A469" s="260"/>
      <c r="B469" s="262"/>
      <c r="C469" s="260"/>
      <c r="D469" s="259"/>
      <c r="E469" s="259"/>
      <c r="F469" s="259"/>
    </row>
    <row r="470" spans="1:6" x14ac:dyDescent="0.25">
      <c r="A470" s="260"/>
      <c r="B470" s="262"/>
      <c r="C470" s="260"/>
      <c r="D470" s="259"/>
      <c r="E470" s="259"/>
      <c r="F470" s="259"/>
    </row>
    <row r="471" spans="1:6" x14ac:dyDescent="0.25">
      <c r="A471" s="260"/>
      <c r="B471" s="262"/>
      <c r="C471" s="260"/>
      <c r="D471" s="259"/>
      <c r="E471" s="259"/>
      <c r="F471" s="259"/>
    </row>
    <row r="472" spans="1:6" x14ac:dyDescent="0.25">
      <c r="A472" s="260"/>
      <c r="B472" s="262"/>
      <c r="C472" s="260"/>
      <c r="D472" s="259"/>
      <c r="E472" s="259"/>
      <c r="F472" s="259"/>
    </row>
    <row r="473" spans="1:6" x14ac:dyDescent="0.25">
      <c r="A473" s="260"/>
      <c r="B473" s="262"/>
      <c r="C473" s="260"/>
      <c r="D473" s="259"/>
      <c r="E473" s="259"/>
      <c r="F473" s="259"/>
    </row>
    <row r="474" spans="1:6" x14ac:dyDescent="0.25">
      <c r="A474" s="260"/>
      <c r="B474" s="262"/>
      <c r="C474" s="260"/>
      <c r="D474" s="259"/>
      <c r="E474" s="259"/>
      <c r="F474" s="259"/>
    </row>
    <row r="475" spans="1:6" x14ac:dyDescent="0.25">
      <c r="A475" s="260"/>
      <c r="B475" s="262"/>
      <c r="C475" s="260"/>
      <c r="D475" s="259"/>
      <c r="E475" s="259"/>
      <c r="F475" s="259"/>
    </row>
    <row r="476" spans="1:6" x14ac:dyDescent="0.25">
      <c r="A476" s="260"/>
      <c r="B476" s="262"/>
      <c r="C476" s="260"/>
      <c r="D476" s="259"/>
      <c r="E476" s="259"/>
      <c r="F476" s="259"/>
    </row>
    <row r="477" spans="1:6" x14ac:dyDescent="0.25">
      <c r="A477" s="260"/>
      <c r="B477" s="262"/>
      <c r="C477" s="260"/>
      <c r="D477" s="259"/>
      <c r="E477" s="259"/>
      <c r="F477" s="259"/>
    </row>
    <row r="478" spans="1:6" x14ac:dyDescent="0.25">
      <c r="A478" s="260"/>
      <c r="B478" s="262"/>
      <c r="C478" s="260"/>
      <c r="D478" s="259"/>
      <c r="E478" s="259"/>
      <c r="F478" s="259"/>
    </row>
    <row r="479" spans="1:6" x14ac:dyDescent="0.25">
      <c r="A479" s="260"/>
      <c r="B479" s="262"/>
      <c r="C479" s="260"/>
      <c r="D479" s="259"/>
      <c r="E479" s="259"/>
      <c r="F479" s="259"/>
    </row>
    <row r="480" spans="1:6" x14ac:dyDescent="0.25">
      <c r="A480" s="260"/>
      <c r="B480" s="262"/>
      <c r="C480" s="260"/>
      <c r="D480" s="259"/>
      <c r="E480" s="259"/>
      <c r="F480" s="259"/>
    </row>
    <row r="481" spans="1:6" x14ac:dyDescent="0.25">
      <c r="A481" s="260"/>
      <c r="B481" s="262"/>
      <c r="C481" s="260"/>
      <c r="D481" s="259"/>
      <c r="E481" s="259"/>
      <c r="F481" s="259"/>
    </row>
    <row r="482" spans="1:6" x14ac:dyDescent="0.25">
      <c r="A482" s="260"/>
      <c r="B482" s="262"/>
      <c r="C482" s="260"/>
      <c r="D482" s="259"/>
      <c r="E482" s="259"/>
      <c r="F482" s="259"/>
    </row>
    <row r="483" spans="1:6" x14ac:dyDescent="0.25">
      <c r="A483" s="260"/>
      <c r="B483" s="262"/>
      <c r="C483" s="260"/>
      <c r="D483" s="259"/>
      <c r="E483" s="259"/>
      <c r="F483" s="259"/>
    </row>
    <row r="484" spans="1:6" x14ac:dyDescent="0.25">
      <c r="A484" s="260"/>
      <c r="B484" s="262"/>
      <c r="C484" s="260"/>
      <c r="D484" s="259"/>
      <c r="E484" s="259"/>
      <c r="F484" s="259"/>
    </row>
    <row r="485" spans="1:6" x14ac:dyDescent="0.25">
      <c r="A485" s="260"/>
      <c r="B485" s="262"/>
      <c r="C485" s="260"/>
      <c r="D485" s="259"/>
      <c r="E485" s="259"/>
      <c r="F485" s="259"/>
    </row>
    <row r="486" spans="1:6" x14ac:dyDescent="0.25">
      <c r="A486" s="260"/>
      <c r="B486" s="262"/>
      <c r="C486" s="260"/>
      <c r="D486" s="259"/>
      <c r="E486" s="259"/>
      <c r="F486" s="259"/>
    </row>
    <row r="487" spans="1:6" x14ac:dyDescent="0.25">
      <c r="A487" s="260"/>
      <c r="B487" s="262"/>
      <c r="C487" s="260"/>
      <c r="D487" s="259"/>
      <c r="E487" s="259"/>
      <c r="F487" s="259"/>
    </row>
    <row r="488" spans="1:6" x14ac:dyDescent="0.25">
      <c r="A488" s="260"/>
      <c r="B488" s="262"/>
      <c r="C488" s="260"/>
      <c r="D488" s="259"/>
      <c r="E488" s="259"/>
      <c r="F488" s="259"/>
    </row>
    <row r="489" spans="1:6" x14ac:dyDescent="0.25">
      <c r="A489" s="260"/>
      <c r="B489" s="262"/>
      <c r="C489" s="260"/>
      <c r="D489" s="259"/>
      <c r="E489" s="259"/>
      <c r="F489" s="259"/>
    </row>
    <row r="490" spans="1:6" x14ac:dyDescent="0.25">
      <c r="A490" s="260"/>
      <c r="B490" s="262"/>
      <c r="C490" s="260"/>
      <c r="D490" s="259"/>
      <c r="E490" s="259"/>
      <c r="F490" s="259"/>
    </row>
    <row r="491" spans="1:6" x14ac:dyDescent="0.25">
      <c r="A491" s="260"/>
      <c r="B491" s="262"/>
      <c r="C491" s="260"/>
      <c r="D491" s="259"/>
      <c r="E491" s="259"/>
      <c r="F491" s="259"/>
    </row>
    <row r="492" spans="1:6" x14ac:dyDescent="0.25">
      <c r="A492" s="260"/>
      <c r="B492" s="262"/>
      <c r="C492" s="260"/>
      <c r="D492" s="259"/>
      <c r="E492" s="259"/>
      <c r="F492" s="259"/>
    </row>
    <row r="493" spans="1:6" x14ac:dyDescent="0.25">
      <c r="A493" s="260"/>
      <c r="B493" s="262"/>
      <c r="C493" s="260"/>
      <c r="D493" s="259"/>
      <c r="E493" s="259"/>
      <c r="F493" s="259"/>
    </row>
    <row r="494" spans="1:6" x14ac:dyDescent="0.25">
      <c r="A494" s="260"/>
      <c r="B494" s="262"/>
      <c r="C494" s="260"/>
      <c r="D494" s="259"/>
      <c r="E494" s="259"/>
      <c r="F494" s="259"/>
    </row>
    <row r="495" spans="1:6" x14ac:dyDescent="0.25">
      <c r="A495" s="260"/>
      <c r="B495" s="262"/>
      <c r="C495" s="260"/>
      <c r="D495" s="259"/>
      <c r="E495" s="259"/>
      <c r="F495" s="259"/>
    </row>
    <row r="496" spans="1:6" x14ac:dyDescent="0.25">
      <c r="A496" s="260"/>
      <c r="B496" s="262"/>
      <c r="C496" s="260"/>
      <c r="D496" s="259"/>
      <c r="E496" s="259"/>
      <c r="F496" s="259"/>
    </row>
    <row r="497" spans="1:6" x14ac:dyDescent="0.25">
      <c r="A497" s="260"/>
      <c r="B497" s="262"/>
      <c r="C497" s="260"/>
      <c r="D497" s="259"/>
      <c r="E497" s="259"/>
      <c r="F497" s="259"/>
    </row>
    <row r="498" spans="1:6" x14ac:dyDescent="0.25">
      <c r="A498" s="260"/>
      <c r="B498" s="262"/>
      <c r="C498" s="260"/>
      <c r="D498" s="259"/>
      <c r="E498" s="259"/>
      <c r="F498" s="259"/>
    </row>
    <row r="499" spans="1:6" x14ac:dyDescent="0.25">
      <c r="A499" s="260"/>
      <c r="B499" s="262"/>
      <c r="C499" s="260"/>
      <c r="D499" s="259"/>
      <c r="E499" s="259"/>
      <c r="F499" s="259"/>
    </row>
    <row r="500" spans="1:6" x14ac:dyDescent="0.25">
      <c r="A500" s="260"/>
      <c r="B500" s="262"/>
      <c r="C500" s="260"/>
      <c r="D500" s="259"/>
      <c r="E500" s="259"/>
      <c r="F500" s="259"/>
    </row>
    <row r="501" spans="1:6" x14ac:dyDescent="0.25">
      <c r="A501" s="260"/>
      <c r="B501" s="262"/>
      <c r="C501" s="260"/>
      <c r="D501" s="259"/>
      <c r="E501" s="259"/>
      <c r="F501" s="259"/>
    </row>
    <row r="502" spans="1:6" x14ac:dyDescent="0.25">
      <c r="A502" s="260"/>
      <c r="B502" s="262"/>
      <c r="C502" s="260"/>
      <c r="D502" s="259"/>
      <c r="E502" s="259"/>
      <c r="F502" s="259"/>
    </row>
    <row r="503" spans="1:6" x14ac:dyDescent="0.25">
      <c r="A503" s="260"/>
      <c r="B503" s="262"/>
      <c r="C503" s="260"/>
      <c r="D503" s="259"/>
      <c r="E503" s="259"/>
      <c r="F503" s="259"/>
    </row>
    <row r="504" spans="1:6" x14ac:dyDescent="0.25">
      <c r="A504" s="260"/>
      <c r="B504" s="262"/>
      <c r="C504" s="260"/>
      <c r="D504" s="259"/>
      <c r="E504" s="259"/>
      <c r="F504" s="259"/>
    </row>
    <row r="505" spans="1:6" x14ac:dyDescent="0.25">
      <c r="A505" s="260"/>
      <c r="B505" s="262"/>
      <c r="C505" s="260"/>
      <c r="D505" s="259"/>
      <c r="E505" s="259"/>
      <c r="F505" s="259"/>
    </row>
    <row r="506" spans="1:6" x14ac:dyDescent="0.25">
      <c r="A506" s="260"/>
      <c r="B506" s="262"/>
      <c r="C506" s="260"/>
      <c r="D506" s="259"/>
      <c r="E506" s="259"/>
      <c r="F506" s="259"/>
    </row>
    <row r="507" spans="1:6" x14ac:dyDescent="0.25">
      <c r="A507" s="260"/>
      <c r="B507" s="262"/>
      <c r="C507" s="260"/>
      <c r="D507" s="259"/>
      <c r="E507" s="259"/>
      <c r="F507" s="259"/>
    </row>
    <row r="508" spans="1:6" x14ac:dyDescent="0.25">
      <c r="A508" s="260"/>
      <c r="B508" s="262"/>
      <c r="C508" s="260"/>
      <c r="D508" s="259"/>
      <c r="E508" s="259"/>
      <c r="F508" s="259"/>
    </row>
    <row r="509" spans="1:6" x14ac:dyDescent="0.25">
      <c r="A509" s="260"/>
      <c r="B509" s="262"/>
      <c r="C509" s="260"/>
      <c r="D509" s="259"/>
      <c r="E509" s="259"/>
      <c r="F509" s="259"/>
    </row>
    <row r="510" spans="1:6" x14ac:dyDescent="0.25">
      <c r="A510" s="260"/>
      <c r="B510" s="262"/>
      <c r="C510" s="260"/>
      <c r="D510" s="259"/>
      <c r="E510" s="259"/>
      <c r="F510" s="259"/>
    </row>
    <row r="511" spans="1:6" x14ac:dyDescent="0.25">
      <c r="A511" s="260"/>
      <c r="B511" s="262"/>
      <c r="C511" s="260"/>
      <c r="D511" s="259"/>
      <c r="E511" s="259"/>
      <c r="F511" s="259"/>
    </row>
    <row r="512" spans="1:6" x14ac:dyDescent="0.25">
      <c r="A512" s="260"/>
      <c r="B512" s="262"/>
      <c r="C512" s="260"/>
      <c r="D512" s="259"/>
      <c r="E512" s="259"/>
      <c r="F512" s="259"/>
    </row>
    <row r="513" spans="1:6" x14ac:dyDescent="0.25">
      <c r="A513" s="260"/>
      <c r="B513" s="262"/>
      <c r="C513" s="260"/>
      <c r="D513" s="259"/>
      <c r="E513" s="259"/>
      <c r="F513" s="259"/>
    </row>
    <row r="514" spans="1:6" x14ac:dyDescent="0.25">
      <c r="A514" s="260"/>
      <c r="B514" s="262"/>
      <c r="C514" s="260"/>
      <c r="D514" s="259"/>
      <c r="E514" s="259"/>
      <c r="F514" s="259"/>
    </row>
    <row r="515" spans="1:6" x14ac:dyDescent="0.25">
      <c r="A515" s="260"/>
      <c r="B515" s="262"/>
      <c r="C515" s="260"/>
      <c r="D515" s="259"/>
      <c r="E515" s="259"/>
      <c r="F515" s="259"/>
    </row>
    <row r="516" spans="1:6" x14ac:dyDescent="0.25">
      <c r="A516" s="260"/>
      <c r="B516" s="262"/>
      <c r="C516" s="260"/>
      <c r="D516" s="259"/>
      <c r="E516" s="259"/>
      <c r="F516" s="259"/>
    </row>
    <row r="517" spans="1:6" x14ac:dyDescent="0.25">
      <c r="A517" s="260"/>
      <c r="B517" s="262"/>
      <c r="C517" s="260"/>
      <c r="D517" s="259"/>
      <c r="E517" s="259"/>
      <c r="F517" s="259"/>
    </row>
    <row r="518" spans="1:6" x14ac:dyDescent="0.25">
      <c r="A518" s="260"/>
      <c r="B518" s="262"/>
      <c r="C518" s="260"/>
      <c r="D518" s="259"/>
      <c r="E518" s="259"/>
      <c r="F518" s="259"/>
    </row>
    <row r="519" spans="1:6" x14ac:dyDescent="0.25">
      <c r="A519" s="260"/>
      <c r="B519" s="262"/>
      <c r="C519" s="260"/>
      <c r="D519" s="259"/>
      <c r="E519" s="259"/>
      <c r="F519" s="259"/>
    </row>
    <row r="520" spans="1:6" x14ac:dyDescent="0.25">
      <c r="A520" s="260"/>
      <c r="B520" s="262"/>
      <c r="C520" s="260"/>
      <c r="D520" s="259"/>
      <c r="E520" s="259"/>
      <c r="F520" s="259"/>
    </row>
    <row r="521" spans="1:6" x14ac:dyDescent="0.25">
      <c r="A521" s="260"/>
      <c r="B521" s="262"/>
      <c r="C521" s="260"/>
      <c r="D521" s="259"/>
      <c r="E521" s="259"/>
      <c r="F521" s="259"/>
    </row>
    <row r="522" spans="1:6" x14ac:dyDescent="0.25">
      <c r="A522" s="260"/>
      <c r="B522" s="262"/>
      <c r="C522" s="260"/>
      <c r="D522" s="259"/>
      <c r="E522" s="259"/>
      <c r="F522" s="259"/>
    </row>
    <row r="523" spans="1:6" x14ac:dyDescent="0.25">
      <c r="A523" s="260"/>
      <c r="B523" s="262"/>
      <c r="C523" s="260"/>
      <c r="D523" s="259"/>
      <c r="E523" s="259"/>
      <c r="F523" s="259"/>
    </row>
    <row r="524" spans="1:6" x14ac:dyDescent="0.25">
      <c r="A524" s="260"/>
      <c r="B524" s="262"/>
      <c r="C524" s="260"/>
      <c r="D524" s="259"/>
      <c r="E524" s="259"/>
      <c r="F524" s="259"/>
    </row>
    <row r="525" spans="1:6" x14ac:dyDescent="0.25">
      <c r="A525" s="260"/>
      <c r="B525" s="262"/>
      <c r="C525" s="260"/>
      <c r="D525" s="259"/>
      <c r="E525" s="259"/>
      <c r="F525" s="259"/>
    </row>
    <row r="526" spans="1:6" x14ac:dyDescent="0.25">
      <c r="A526" s="260"/>
      <c r="B526" s="262"/>
      <c r="C526" s="260"/>
      <c r="D526" s="259"/>
      <c r="E526" s="259"/>
      <c r="F526" s="259"/>
    </row>
    <row r="527" spans="1:6" x14ac:dyDescent="0.25">
      <c r="A527" s="260"/>
      <c r="B527" s="262"/>
      <c r="C527" s="260"/>
      <c r="D527" s="259"/>
      <c r="E527" s="259"/>
      <c r="F527" s="259"/>
    </row>
    <row r="528" spans="1:6" x14ac:dyDescent="0.25">
      <c r="A528" s="260"/>
      <c r="B528" s="262"/>
      <c r="C528" s="260"/>
      <c r="D528" s="259"/>
      <c r="E528" s="259"/>
      <c r="F528" s="259"/>
    </row>
    <row r="529" spans="1:6" x14ac:dyDescent="0.25">
      <c r="A529" s="260"/>
      <c r="B529" s="262"/>
      <c r="C529" s="260"/>
      <c r="D529" s="259"/>
      <c r="E529" s="259"/>
      <c r="F529" s="259"/>
    </row>
    <row r="530" spans="1:6" x14ac:dyDescent="0.25">
      <c r="A530" s="260"/>
      <c r="B530" s="262"/>
      <c r="C530" s="260"/>
      <c r="D530" s="259"/>
      <c r="E530" s="259"/>
      <c r="F530" s="259"/>
    </row>
    <row r="531" spans="1:6" x14ac:dyDescent="0.25">
      <c r="A531" s="260"/>
      <c r="B531" s="262"/>
      <c r="C531" s="260"/>
      <c r="D531" s="259"/>
      <c r="E531" s="259"/>
      <c r="F531" s="259"/>
    </row>
    <row r="532" spans="1:6" x14ac:dyDescent="0.25">
      <c r="A532" s="260"/>
      <c r="B532" s="262"/>
      <c r="C532" s="260"/>
      <c r="D532" s="259"/>
      <c r="E532" s="259"/>
      <c r="F532" s="259"/>
    </row>
    <row r="533" spans="1:6" x14ac:dyDescent="0.25">
      <c r="A533" s="260"/>
      <c r="B533" s="262"/>
      <c r="C533" s="260"/>
      <c r="D533" s="259"/>
      <c r="E533" s="259"/>
      <c r="F533" s="259"/>
    </row>
    <row r="534" spans="1:6" x14ac:dyDescent="0.25">
      <c r="A534" s="260"/>
      <c r="B534" s="262"/>
      <c r="C534" s="260"/>
      <c r="D534" s="259"/>
      <c r="E534" s="259"/>
      <c r="F534" s="259"/>
    </row>
    <row r="535" spans="1:6" x14ac:dyDescent="0.25">
      <c r="A535" s="260"/>
      <c r="B535" s="262"/>
      <c r="C535" s="260"/>
      <c r="D535" s="259"/>
      <c r="E535" s="259"/>
      <c r="F535" s="259"/>
    </row>
    <row r="536" spans="1:6" x14ac:dyDescent="0.25">
      <c r="A536" s="260"/>
      <c r="B536" s="262"/>
      <c r="C536" s="260"/>
      <c r="D536" s="259"/>
      <c r="E536" s="259"/>
      <c r="F536" s="259"/>
    </row>
    <row r="537" spans="1:6" x14ac:dyDescent="0.25">
      <c r="A537" s="260"/>
      <c r="B537" s="262"/>
      <c r="C537" s="260"/>
      <c r="D537" s="259"/>
      <c r="E537" s="259"/>
      <c r="F537" s="259"/>
    </row>
    <row r="538" spans="1:6" x14ac:dyDescent="0.25">
      <c r="A538" s="260"/>
      <c r="B538" s="262"/>
      <c r="C538" s="260"/>
      <c r="D538" s="259"/>
      <c r="E538" s="259"/>
      <c r="F538" s="259"/>
    </row>
    <row r="539" spans="1:6" x14ac:dyDescent="0.25">
      <c r="A539" s="260"/>
      <c r="B539" s="262"/>
      <c r="C539" s="260"/>
      <c r="D539" s="259"/>
      <c r="E539" s="259"/>
      <c r="F539" s="259"/>
    </row>
    <row r="540" spans="1:6" x14ac:dyDescent="0.25">
      <c r="A540" s="260"/>
      <c r="B540" s="262"/>
      <c r="C540" s="260"/>
      <c r="D540" s="259"/>
      <c r="E540" s="259"/>
      <c r="F540" s="259"/>
    </row>
    <row r="541" spans="1:6" x14ac:dyDescent="0.25">
      <c r="A541" s="260"/>
      <c r="B541" s="262"/>
      <c r="C541" s="260"/>
      <c r="D541" s="259"/>
      <c r="E541" s="259"/>
      <c r="F541" s="259"/>
    </row>
    <row r="542" spans="1:6" x14ac:dyDescent="0.25">
      <c r="A542" s="260"/>
      <c r="B542" s="262"/>
      <c r="C542" s="260"/>
      <c r="D542" s="259"/>
      <c r="E542" s="259"/>
      <c r="F542" s="259"/>
    </row>
    <row r="543" spans="1:6" x14ac:dyDescent="0.25">
      <c r="A543" s="260"/>
      <c r="B543" s="262"/>
      <c r="C543" s="260"/>
      <c r="D543" s="259"/>
      <c r="E543" s="259"/>
      <c r="F543" s="259"/>
    </row>
    <row r="544" spans="1:6" x14ac:dyDescent="0.25">
      <c r="A544" s="260"/>
      <c r="B544" s="262"/>
      <c r="C544" s="260"/>
      <c r="D544" s="259"/>
      <c r="E544" s="259"/>
      <c r="F544" s="259"/>
    </row>
    <row r="545" spans="1:6" x14ac:dyDescent="0.25">
      <c r="A545" s="260"/>
      <c r="B545" s="262"/>
      <c r="C545" s="260"/>
      <c r="D545" s="259"/>
      <c r="E545" s="259"/>
      <c r="F545" s="259"/>
    </row>
    <row r="546" spans="1:6" x14ac:dyDescent="0.25">
      <c r="A546" s="260"/>
      <c r="B546" s="262"/>
      <c r="C546" s="260"/>
      <c r="D546" s="259"/>
      <c r="E546" s="259"/>
      <c r="F546" s="259"/>
    </row>
    <row r="547" spans="1:6" x14ac:dyDescent="0.25">
      <c r="A547" s="260"/>
      <c r="B547" s="262"/>
      <c r="C547" s="260"/>
      <c r="D547" s="259"/>
      <c r="E547" s="259"/>
      <c r="F547" s="259"/>
    </row>
    <row r="548" spans="1:6" x14ac:dyDescent="0.25">
      <c r="A548" s="260"/>
      <c r="B548" s="262"/>
      <c r="C548" s="260"/>
      <c r="D548" s="259"/>
      <c r="E548" s="259"/>
      <c r="F548" s="259"/>
    </row>
    <row r="549" spans="1:6" x14ac:dyDescent="0.25">
      <c r="A549" s="260"/>
      <c r="B549" s="262"/>
      <c r="C549" s="260"/>
      <c r="D549" s="259"/>
      <c r="E549" s="259"/>
      <c r="F549" s="259"/>
    </row>
    <row r="550" spans="1:6" x14ac:dyDescent="0.25">
      <c r="A550" s="260"/>
      <c r="B550" s="262"/>
      <c r="C550" s="260"/>
      <c r="D550" s="259"/>
      <c r="E550" s="259"/>
      <c r="F550" s="259"/>
    </row>
    <row r="551" spans="1:6" x14ac:dyDescent="0.25">
      <c r="A551" s="260"/>
      <c r="B551" s="262"/>
      <c r="C551" s="260"/>
      <c r="D551" s="259"/>
      <c r="E551" s="259"/>
      <c r="F551" s="259"/>
    </row>
    <row r="552" spans="1:6" x14ac:dyDescent="0.25">
      <c r="A552" s="260"/>
      <c r="B552" s="262"/>
      <c r="C552" s="260"/>
      <c r="D552" s="259"/>
      <c r="E552" s="259"/>
      <c r="F552" s="259"/>
    </row>
    <row r="553" spans="1:6" x14ac:dyDescent="0.25">
      <c r="A553" s="260"/>
      <c r="B553" s="262"/>
      <c r="C553" s="260"/>
      <c r="D553" s="259"/>
      <c r="E553" s="259"/>
      <c r="F553" s="259"/>
    </row>
    <row r="554" spans="1:6" x14ac:dyDescent="0.25">
      <c r="A554" s="260"/>
      <c r="B554" s="262"/>
      <c r="C554" s="260"/>
      <c r="D554" s="259"/>
      <c r="E554" s="259"/>
      <c r="F554" s="259"/>
    </row>
    <row r="555" spans="1:6" x14ac:dyDescent="0.25">
      <c r="A555" s="260"/>
      <c r="B555" s="262"/>
      <c r="C555" s="260"/>
      <c r="D555" s="259"/>
      <c r="E555" s="259"/>
      <c r="F555" s="259"/>
    </row>
    <row r="556" spans="1:6" x14ac:dyDescent="0.25">
      <c r="A556" s="260"/>
      <c r="B556" s="262"/>
      <c r="C556" s="260"/>
      <c r="D556" s="259"/>
      <c r="E556" s="259"/>
      <c r="F556" s="259"/>
    </row>
    <row r="557" spans="1:6" x14ac:dyDescent="0.25">
      <c r="A557" s="260"/>
      <c r="B557" s="262"/>
      <c r="C557" s="260"/>
      <c r="D557" s="259"/>
      <c r="E557" s="259"/>
      <c r="F557" s="259"/>
    </row>
    <row r="558" spans="1:6" x14ac:dyDescent="0.25">
      <c r="A558" s="260"/>
      <c r="B558" s="262"/>
      <c r="C558" s="260"/>
      <c r="D558" s="259"/>
      <c r="E558" s="259"/>
      <c r="F558" s="259"/>
    </row>
    <row r="559" spans="1:6" x14ac:dyDescent="0.25">
      <c r="A559" s="260"/>
      <c r="B559" s="262"/>
      <c r="C559" s="260"/>
      <c r="D559" s="259"/>
      <c r="E559" s="259"/>
      <c r="F559" s="259"/>
    </row>
    <row r="560" spans="1:6" x14ac:dyDescent="0.25">
      <c r="A560" s="260"/>
      <c r="B560" s="262"/>
      <c r="C560" s="260"/>
      <c r="D560" s="259"/>
      <c r="E560" s="259"/>
      <c r="F560" s="259"/>
    </row>
    <row r="561" spans="1:6" x14ac:dyDescent="0.25">
      <c r="A561" s="260"/>
      <c r="B561" s="262"/>
      <c r="C561" s="260"/>
      <c r="D561" s="259"/>
      <c r="E561" s="259"/>
      <c r="F561" s="259"/>
    </row>
    <row r="562" spans="1:6" x14ac:dyDescent="0.25">
      <c r="A562" s="260"/>
      <c r="B562" s="262"/>
      <c r="C562" s="260"/>
      <c r="D562" s="259"/>
      <c r="E562" s="259"/>
      <c r="F562" s="259"/>
    </row>
    <row r="563" spans="1:6" x14ac:dyDescent="0.25">
      <c r="A563" s="260"/>
      <c r="B563" s="262"/>
      <c r="C563" s="260"/>
      <c r="D563" s="259"/>
      <c r="E563" s="259"/>
      <c r="F563" s="259"/>
    </row>
    <row r="564" spans="1:6" x14ac:dyDescent="0.25">
      <c r="A564" s="260"/>
      <c r="B564" s="262"/>
      <c r="C564" s="260"/>
      <c r="D564" s="259"/>
      <c r="E564" s="259"/>
      <c r="F564" s="259"/>
    </row>
    <row r="565" spans="1:6" x14ac:dyDescent="0.25">
      <c r="A565" s="260"/>
      <c r="B565" s="262"/>
      <c r="C565" s="260"/>
      <c r="D565" s="259"/>
      <c r="E565" s="259"/>
      <c r="F565" s="259"/>
    </row>
    <row r="566" spans="1:6" x14ac:dyDescent="0.25">
      <c r="A566" s="260"/>
      <c r="B566" s="262"/>
      <c r="C566" s="260"/>
      <c r="D566" s="259"/>
      <c r="E566" s="259"/>
      <c r="F566" s="259"/>
    </row>
    <row r="567" spans="1:6" x14ac:dyDescent="0.25">
      <c r="A567" s="260"/>
      <c r="B567" s="262"/>
      <c r="C567" s="260"/>
      <c r="D567" s="259"/>
      <c r="E567" s="259"/>
      <c r="F567" s="259"/>
    </row>
    <row r="568" spans="1:6" x14ac:dyDescent="0.25">
      <c r="A568" s="260"/>
      <c r="B568" s="262"/>
      <c r="C568" s="260"/>
      <c r="D568" s="259"/>
      <c r="E568" s="259"/>
      <c r="F568" s="259"/>
    </row>
    <row r="569" spans="1:6" x14ac:dyDescent="0.25">
      <c r="A569" s="260"/>
      <c r="B569" s="262"/>
      <c r="C569" s="260"/>
      <c r="D569" s="259"/>
      <c r="E569" s="259"/>
      <c r="F569" s="259"/>
    </row>
    <row r="570" spans="1:6" x14ac:dyDescent="0.25">
      <c r="A570" s="260"/>
      <c r="B570" s="262"/>
      <c r="C570" s="260"/>
      <c r="D570" s="259"/>
      <c r="E570" s="259"/>
      <c r="F570" s="259"/>
    </row>
    <row r="571" spans="1:6" x14ac:dyDescent="0.25">
      <c r="A571" s="260"/>
      <c r="B571" s="262"/>
      <c r="C571" s="260"/>
      <c r="D571" s="259"/>
      <c r="E571" s="259"/>
      <c r="F571" s="259"/>
    </row>
    <row r="572" spans="1:6" x14ac:dyDescent="0.25">
      <c r="A572" s="260"/>
      <c r="B572" s="262"/>
      <c r="C572" s="260"/>
      <c r="D572" s="259"/>
      <c r="E572" s="259"/>
      <c r="F572" s="259"/>
    </row>
    <row r="573" spans="1:6" x14ac:dyDescent="0.25">
      <c r="A573" s="260"/>
      <c r="B573" s="262"/>
      <c r="C573" s="260"/>
      <c r="D573" s="259"/>
      <c r="E573" s="259"/>
      <c r="F573" s="259"/>
    </row>
    <row r="574" spans="1:6" x14ac:dyDescent="0.25">
      <c r="A574" s="260"/>
      <c r="B574" s="262"/>
      <c r="C574" s="260"/>
      <c r="D574" s="259"/>
      <c r="E574" s="259"/>
      <c r="F574" s="259"/>
    </row>
    <row r="575" spans="1:6" x14ac:dyDescent="0.25">
      <c r="A575" s="260"/>
      <c r="B575" s="262"/>
      <c r="C575" s="260"/>
      <c r="D575" s="259"/>
      <c r="E575" s="259"/>
      <c r="F575" s="259"/>
    </row>
    <row r="576" spans="1:6" x14ac:dyDescent="0.25">
      <c r="A576" s="260"/>
      <c r="B576" s="262"/>
      <c r="C576" s="260"/>
      <c r="D576" s="259"/>
      <c r="E576" s="259"/>
      <c r="F576" s="259"/>
    </row>
    <row r="577" spans="1:6" x14ac:dyDescent="0.25">
      <c r="A577" s="260"/>
      <c r="B577" s="262"/>
      <c r="C577" s="260"/>
      <c r="D577" s="259"/>
      <c r="E577" s="259"/>
      <c r="F577" s="259"/>
    </row>
    <row r="578" spans="1:6" x14ac:dyDescent="0.25">
      <c r="A578" s="260"/>
      <c r="B578" s="262"/>
      <c r="C578" s="260"/>
      <c r="D578" s="259"/>
      <c r="E578" s="259"/>
      <c r="F578" s="259"/>
    </row>
    <row r="579" spans="1:6" x14ac:dyDescent="0.25">
      <c r="A579" s="260"/>
      <c r="B579" s="262"/>
      <c r="C579" s="260"/>
      <c r="D579" s="259"/>
      <c r="E579" s="259"/>
      <c r="F579" s="259"/>
    </row>
    <row r="580" spans="1:6" x14ac:dyDescent="0.25">
      <c r="A580" s="260"/>
      <c r="B580" s="262"/>
      <c r="C580" s="260"/>
      <c r="D580" s="259"/>
      <c r="E580" s="259"/>
      <c r="F580" s="259"/>
    </row>
    <row r="581" spans="1:6" x14ac:dyDescent="0.25">
      <c r="A581" s="260"/>
      <c r="B581" s="262"/>
      <c r="C581" s="260"/>
      <c r="D581" s="259"/>
      <c r="E581" s="259"/>
      <c r="F581" s="259"/>
    </row>
    <row r="582" spans="1:6" x14ac:dyDescent="0.25">
      <c r="A582" s="260"/>
      <c r="B582" s="262"/>
      <c r="C582" s="260"/>
      <c r="D582" s="259"/>
      <c r="E582" s="259"/>
      <c r="F582" s="259"/>
    </row>
    <row r="583" spans="1:6" x14ac:dyDescent="0.25">
      <c r="A583" s="260"/>
      <c r="B583" s="262"/>
      <c r="C583" s="260"/>
      <c r="D583" s="259"/>
      <c r="E583" s="259"/>
      <c r="F583" s="259"/>
    </row>
    <row r="584" spans="1:6" x14ac:dyDescent="0.25">
      <c r="A584" s="260"/>
      <c r="B584" s="262"/>
      <c r="C584" s="260"/>
      <c r="D584" s="259"/>
      <c r="E584" s="259"/>
      <c r="F584" s="259"/>
    </row>
    <row r="585" spans="1:6" x14ac:dyDescent="0.25">
      <c r="A585" s="260"/>
      <c r="B585" s="262"/>
      <c r="C585" s="260"/>
      <c r="D585" s="259"/>
      <c r="E585" s="259"/>
      <c r="F585" s="259"/>
    </row>
    <row r="586" spans="1:6" x14ac:dyDescent="0.25">
      <c r="A586" s="260"/>
      <c r="B586" s="262"/>
      <c r="C586" s="260"/>
      <c r="D586" s="259"/>
      <c r="E586" s="259"/>
      <c r="F586" s="259"/>
    </row>
    <row r="587" spans="1:6" x14ac:dyDescent="0.25">
      <c r="A587" s="260"/>
      <c r="B587" s="262"/>
      <c r="C587" s="260"/>
      <c r="D587" s="259"/>
      <c r="E587" s="259"/>
      <c r="F587" s="259"/>
    </row>
    <row r="588" spans="1:6" x14ac:dyDescent="0.25">
      <c r="A588" s="260"/>
      <c r="B588" s="262"/>
      <c r="C588" s="260"/>
      <c r="D588" s="259"/>
      <c r="E588" s="259"/>
      <c r="F588" s="259"/>
    </row>
    <row r="589" spans="1:6" x14ac:dyDescent="0.25">
      <c r="A589" s="260"/>
      <c r="B589" s="262"/>
      <c r="C589" s="260"/>
      <c r="D589" s="259"/>
      <c r="E589" s="259"/>
      <c r="F589" s="259"/>
    </row>
    <row r="590" spans="1:6" x14ac:dyDescent="0.25">
      <c r="A590" s="260"/>
      <c r="B590" s="262"/>
      <c r="C590" s="260"/>
      <c r="D590" s="259"/>
      <c r="E590" s="259"/>
      <c r="F590" s="259"/>
    </row>
    <row r="591" spans="1:6" x14ac:dyDescent="0.25">
      <c r="A591" s="260"/>
      <c r="B591" s="262"/>
      <c r="C591" s="260"/>
      <c r="D591" s="259"/>
      <c r="E591" s="259"/>
      <c r="F591" s="259"/>
    </row>
    <row r="592" spans="1:6" x14ac:dyDescent="0.25">
      <c r="A592" s="260"/>
      <c r="B592" s="262"/>
      <c r="C592" s="260"/>
      <c r="D592" s="259"/>
      <c r="E592" s="259"/>
      <c r="F592" s="259"/>
    </row>
    <row r="593" spans="1:6" x14ac:dyDescent="0.25">
      <c r="A593" s="260"/>
      <c r="B593" s="262"/>
      <c r="C593" s="260"/>
      <c r="D593" s="259"/>
      <c r="E593" s="259"/>
      <c r="F593" s="259"/>
    </row>
    <row r="594" spans="1:6" x14ac:dyDescent="0.25">
      <c r="A594" s="260"/>
      <c r="B594" s="262"/>
      <c r="C594" s="260"/>
      <c r="D594" s="259"/>
      <c r="E594" s="259"/>
      <c r="F594" s="259"/>
    </row>
    <row r="595" spans="1:6" x14ac:dyDescent="0.25">
      <c r="A595" s="260"/>
      <c r="B595" s="262"/>
      <c r="C595" s="260"/>
      <c r="D595" s="259"/>
      <c r="E595" s="259"/>
      <c r="F595" s="259"/>
    </row>
    <row r="596" spans="1:6" x14ac:dyDescent="0.25">
      <c r="A596" s="260"/>
      <c r="B596" s="262"/>
      <c r="C596" s="260"/>
      <c r="D596" s="259"/>
      <c r="E596" s="259"/>
      <c r="F596" s="259"/>
    </row>
    <row r="597" spans="1:6" x14ac:dyDescent="0.25">
      <c r="A597" s="260"/>
      <c r="B597" s="262"/>
      <c r="C597" s="260"/>
      <c r="D597" s="259"/>
      <c r="E597" s="259"/>
      <c r="F597" s="259"/>
    </row>
    <row r="598" spans="1:6" x14ac:dyDescent="0.25">
      <c r="A598" s="260"/>
      <c r="B598" s="262"/>
      <c r="C598" s="260"/>
      <c r="D598" s="259"/>
      <c r="E598" s="259"/>
      <c r="F598" s="259"/>
    </row>
    <row r="599" spans="1:6" x14ac:dyDescent="0.25">
      <c r="A599" s="260"/>
      <c r="B599" s="262"/>
      <c r="C599" s="260"/>
      <c r="D599" s="259"/>
      <c r="E599" s="259"/>
      <c r="F599" s="259"/>
    </row>
    <row r="600" spans="1:6" x14ac:dyDescent="0.25">
      <c r="A600" s="260"/>
      <c r="B600" s="262"/>
      <c r="C600" s="260"/>
      <c r="D600" s="259"/>
      <c r="E600" s="259"/>
      <c r="F600" s="259"/>
    </row>
    <row r="601" spans="1:6" x14ac:dyDescent="0.25">
      <c r="A601" s="260"/>
      <c r="B601" s="262"/>
      <c r="C601" s="260"/>
      <c r="D601" s="259"/>
      <c r="E601" s="259"/>
      <c r="F601" s="259"/>
    </row>
    <row r="602" spans="1:6" x14ac:dyDescent="0.25">
      <c r="A602" s="260"/>
      <c r="B602" s="262"/>
      <c r="C602" s="260"/>
      <c r="D602" s="259"/>
      <c r="E602" s="259"/>
      <c r="F602" s="259"/>
    </row>
    <row r="603" spans="1:6" x14ac:dyDescent="0.25">
      <c r="A603" s="260"/>
      <c r="B603" s="262"/>
      <c r="C603" s="260"/>
      <c r="D603" s="259"/>
      <c r="E603" s="259"/>
      <c r="F603" s="259"/>
    </row>
    <row r="604" spans="1:6" x14ac:dyDescent="0.25">
      <c r="A604" s="260"/>
      <c r="B604" s="262"/>
      <c r="C604" s="260"/>
      <c r="D604" s="259"/>
      <c r="E604" s="259"/>
      <c r="F604" s="259"/>
    </row>
    <row r="605" spans="1:6" x14ac:dyDescent="0.25">
      <c r="A605" s="260"/>
      <c r="B605" s="262"/>
      <c r="C605" s="260"/>
      <c r="D605" s="259"/>
      <c r="E605" s="259"/>
      <c r="F605" s="259"/>
    </row>
    <row r="606" spans="1:6" x14ac:dyDescent="0.25">
      <c r="A606" s="260"/>
      <c r="B606" s="262"/>
      <c r="C606" s="260"/>
      <c r="D606" s="259"/>
      <c r="E606" s="259"/>
      <c r="F606" s="259"/>
    </row>
    <row r="607" spans="1:6" x14ac:dyDescent="0.25">
      <c r="A607" s="260"/>
      <c r="B607" s="262"/>
      <c r="C607" s="260"/>
      <c r="D607" s="259"/>
      <c r="E607" s="259"/>
      <c r="F607" s="259"/>
    </row>
    <row r="608" spans="1:6" x14ac:dyDescent="0.25">
      <c r="A608" s="260"/>
      <c r="B608" s="262"/>
      <c r="C608" s="260"/>
      <c r="D608" s="259"/>
      <c r="E608" s="259"/>
      <c r="F608" s="259"/>
    </row>
    <row r="609" spans="1:6" x14ac:dyDescent="0.25">
      <c r="A609" s="260"/>
      <c r="B609" s="262"/>
      <c r="C609" s="260"/>
      <c r="D609" s="259"/>
      <c r="E609" s="259"/>
      <c r="F609" s="259"/>
    </row>
    <row r="610" spans="1:6" x14ac:dyDescent="0.25">
      <c r="A610" s="260"/>
      <c r="B610" s="262"/>
      <c r="C610" s="260"/>
      <c r="D610" s="259"/>
      <c r="E610" s="259"/>
      <c r="F610" s="259"/>
    </row>
    <row r="611" spans="1:6" x14ac:dyDescent="0.25">
      <c r="A611" s="260"/>
      <c r="B611" s="262"/>
      <c r="C611" s="260"/>
      <c r="D611" s="259"/>
      <c r="E611" s="259"/>
      <c r="F611" s="259"/>
    </row>
    <row r="612" spans="1:6" x14ac:dyDescent="0.25">
      <c r="A612" s="260"/>
      <c r="B612" s="262"/>
      <c r="C612" s="260"/>
      <c r="D612" s="259"/>
      <c r="E612" s="259"/>
      <c r="F612" s="259"/>
    </row>
    <row r="613" spans="1:6" x14ac:dyDescent="0.25">
      <c r="A613" s="260"/>
      <c r="B613" s="262"/>
      <c r="C613" s="260"/>
      <c r="D613" s="259"/>
      <c r="E613" s="259"/>
      <c r="F613" s="259"/>
    </row>
    <row r="614" spans="1:6" x14ac:dyDescent="0.25">
      <c r="A614" s="260"/>
      <c r="B614" s="262"/>
      <c r="C614" s="260"/>
      <c r="D614" s="259"/>
      <c r="E614" s="259"/>
      <c r="F614" s="259"/>
    </row>
    <row r="615" spans="1:6" x14ac:dyDescent="0.25">
      <c r="A615" s="260"/>
      <c r="B615" s="262"/>
      <c r="C615" s="260"/>
      <c r="D615" s="259"/>
      <c r="E615" s="259"/>
      <c r="F615" s="259"/>
    </row>
    <row r="616" spans="1:6" x14ac:dyDescent="0.25">
      <c r="A616" s="260"/>
      <c r="B616" s="262"/>
      <c r="C616" s="260"/>
      <c r="D616" s="259"/>
      <c r="E616" s="259"/>
      <c r="F616" s="259"/>
    </row>
    <row r="617" spans="1:6" x14ac:dyDescent="0.25">
      <c r="A617" s="260"/>
      <c r="B617" s="262"/>
      <c r="C617" s="260"/>
      <c r="D617" s="259"/>
      <c r="E617" s="259"/>
      <c r="F617" s="259"/>
    </row>
    <row r="618" spans="1:6" x14ac:dyDescent="0.25">
      <c r="A618" s="260"/>
      <c r="B618" s="262"/>
      <c r="C618" s="260"/>
      <c r="D618" s="259"/>
      <c r="E618" s="259"/>
      <c r="F618" s="259"/>
    </row>
    <row r="619" spans="1:6" x14ac:dyDescent="0.25">
      <c r="A619" s="260"/>
      <c r="B619" s="262"/>
      <c r="C619" s="260"/>
      <c r="D619" s="259"/>
      <c r="E619" s="259"/>
      <c r="F619" s="259"/>
    </row>
    <row r="620" spans="1:6" x14ac:dyDescent="0.25">
      <c r="A620" s="260"/>
      <c r="B620" s="262"/>
      <c r="C620" s="260"/>
      <c r="D620" s="259"/>
      <c r="E620" s="259"/>
      <c r="F620" s="259"/>
    </row>
    <row r="621" spans="1:6" x14ac:dyDescent="0.25">
      <c r="A621" s="260"/>
      <c r="B621" s="262"/>
      <c r="C621" s="260"/>
      <c r="D621" s="259"/>
      <c r="E621" s="259"/>
      <c r="F621" s="259"/>
    </row>
    <row r="622" spans="1:6" x14ac:dyDescent="0.25">
      <c r="A622" s="260"/>
      <c r="B622" s="262"/>
      <c r="C622" s="260"/>
      <c r="D622" s="259"/>
      <c r="E622" s="259"/>
      <c r="F622" s="259"/>
    </row>
    <row r="623" spans="1:6" x14ac:dyDescent="0.25">
      <c r="A623" s="260"/>
      <c r="B623" s="262"/>
      <c r="C623" s="260"/>
      <c r="D623" s="259"/>
      <c r="E623" s="259"/>
      <c r="F623" s="259"/>
    </row>
    <row r="624" spans="1:6" x14ac:dyDescent="0.25">
      <c r="A624" s="260"/>
      <c r="B624" s="262"/>
      <c r="C624" s="260"/>
      <c r="D624" s="259"/>
      <c r="E624" s="259"/>
      <c r="F624" s="259"/>
    </row>
    <row r="625" spans="1:6" x14ac:dyDescent="0.25">
      <c r="A625" s="260"/>
      <c r="B625" s="262"/>
      <c r="C625" s="260"/>
      <c r="D625" s="259"/>
      <c r="E625" s="259"/>
      <c r="F625" s="259"/>
    </row>
    <row r="626" spans="1:6" x14ac:dyDescent="0.25">
      <c r="A626" s="260"/>
      <c r="B626" s="262"/>
      <c r="C626" s="260"/>
      <c r="D626" s="259"/>
      <c r="E626" s="259"/>
      <c r="F626" s="259"/>
    </row>
    <row r="627" spans="1:6" x14ac:dyDescent="0.25">
      <c r="A627" s="260"/>
      <c r="B627" s="262"/>
      <c r="C627" s="260"/>
      <c r="D627" s="259"/>
      <c r="E627" s="259"/>
      <c r="F627" s="259"/>
    </row>
    <row r="628" spans="1:6" x14ac:dyDescent="0.25">
      <c r="A628" s="260"/>
      <c r="B628" s="262"/>
      <c r="C628" s="260"/>
      <c r="D628" s="259"/>
      <c r="E628" s="259"/>
      <c r="F628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1ECD33AB-BD9E-4C4B-AB0F-E8A3035500AD}"/>
  </hyperlinks>
  <pageMargins left="0.7" right="0.7" top="0.75" bottom="0.75" header="0.3" footer="0.3"/>
  <pageSetup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127F-1792-4000-B3EE-50853FF4361F}">
  <dimension ref="A1:J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  <col min="7" max="7" width="11.5703125" bestFit="1" customWidth="1"/>
    <col min="8" max="8" width="12.28515625" bestFit="1" customWidth="1"/>
  </cols>
  <sheetData>
    <row r="1" spans="1:10" x14ac:dyDescent="0.25">
      <c r="A1" s="1"/>
      <c r="B1" s="252"/>
      <c r="G1" s="1" t="s">
        <v>16</v>
      </c>
    </row>
    <row r="2" spans="1:10" x14ac:dyDescent="0.25">
      <c r="A2" s="411" t="s">
        <v>3</v>
      </c>
      <c r="B2" s="411"/>
      <c r="C2" s="411"/>
      <c r="D2" s="411"/>
      <c r="E2" s="411"/>
      <c r="F2" s="411"/>
    </row>
    <row r="3" spans="1:10" x14ac:dyDescent="0.25">
      <c r="A3" t="s">
        <v>4</v>
      </c>
      <c r="D3" s="292" t="s">
        <v>1158</v>
      </c>
    </row>
    <row r="4" spans="1:10" x14ac:dyDescent="0.25">
      <c r="E4" s="2" t="s">
        <v>9</v>
      </c>
      <c r="F4" s="2">
        <v>0</v>
      </c>
    </row>
    <row r="5" spans="1:10" x14ac:dyDescent="0.25">
      <c r="A5" t="s">
        <v>13</v>
      </c>
      <c r="D5" s="3">
        <f ca="1">+'Tổng hợp'!$G$2</f>
        <v>45784</v>
      </c>
      <c r="E5" s="2" t="s">
        <v>10</v>
      </c>
      <c r="F5" s="2">
        <f>SUM(D10:D200)</f>
        <v>858740200</v>
      </c>
    </row>
    <row r="6" spans="1:10" x14ac:dyDescent="0.25">
      <c r="E6" s="2" t="s">
        <v>11</v>
      </c>
      <c r="F6" s="2">
        <f>SUM(E10:E200)</f>
        <v>858740200</v>
      </c>
    </row>
    <row r="7" spans="1:10" x14ac:dyDescent="0.25">
      <c r="E7" s="2" t="s">
        <v>12</v>
      </c>
      <c r="F7" s="2">
        <f>+F4+F5-F6</f>
        <v>0</v>
      </c>
    </row>
    <row r="8" spans="1:10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10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10" ht="20.25" customHeight="1" x14ac:dyDescent="0.25">
      <c r="A10" s="260"/>
      <c r="B10" s="261"/>
      <c r="C10" s="260"/>
      <c r="D10" s="259"/>
      <c r="E10" s="259"/>
      <c r="F10" s="259"/>
    </row>
    <row r="11" spans="1:10" ht="18.75" customHeight="1" x14ac:dyDescent="0.25">
      <c r="A11" s="262">
        <v>1</v>
      </c>
      <c r="B11" s="261">
        <v>44742</v>
      </c>
      <c r="C11" s="260" t="s">
        <v>177</v>
      </c>
      <c r="D11" s="279">
        <v>35640800</v>
      </c>
      <c r="E11" s="259"/>
      <c r="F11" s="259"/>
      <c r="G11" s="242"/>
      <c r="J11" t="s">
        <v>1369</v>
      </c>
    </row>
    <row r="12" spans="1:10" ht="18.75" customHeight="1" x14ac:dyDescent="0.25">
      <c r="A12" s="262">
        <v>2</v>
      </c>
      <c r="B12" s="261"/>
      <c r="C12" s="260" t="s">
        <v>1159</v>
      </c>
      <c r="D12" s="279">
        <v>10469600</v>
      </c>
      <c r="E12" s="259"/>
      <c r="F12" s="259"/>
      <c r="G12" s="242"/>
    </row>
    <row r="13" spans="1:10" ht="18.75" customHeight="1" x14ac:dyDescent="0.25">
      <c r="A13" s="262">
        <v>3</v>
      </c>
      <c r="B13" s="261">
        <v>44767</v>
      </c>
      <c r="C13" s="260" t="s">
        <v>1195</v>
      </c>
      <c r="D13" s="279"/>
      <c r="E13" s="259">
        <v>31104000</v>
      </c>
      <c r="F13" s="259"/>
      <c r="G13" s="242"/>
      <c r="H13" s="242"/>
    </row>
    <row r="14" spans="1:10" ht="18.75" customHeight="1" x14ac:dyDescent="0.25">
      <c r="A14" s="262">
        <v>4</v>
      </c>
      <c r="B14" s="261">
        <v>44772</v>
      </c>
      <c r="C14" s="260" t="s">
        <v>1043</v>
      </c>
      <c r="D14" s="279">
        <v>26374800</v>
      </c>
      <c r="E14" s="259"/>
      <c r="F14" s="259"/>
      <c r="G14" s="242"/>
    </row>
    <row r="15" spans="1:10" ht="18.75" customHeight="1" x14ac:dyDescent="0.25">
      <c r="A15" s="262">
        <v>5</v>
      </c>
      <c r="B15" s="261">
        <v>44783</v>
      </c>
      <c r="C15" s="260" t="s">
        <v>1205</v>
      </c>
      <c r="D15" s="279"/>
      <c r="E15" s="259">
        <v>15006400</v>
      </c>
      <c r="F15" s="259"/>
      <c r="G15" s="242"/>
    </row>
    <row r="16" spans="1:10" ht="18.75" customHeight="1" x14ac:dyDescent="0.25">
      <c r="A16" s="262">
        <v>6</v>
      </c>
      <c r="B16" s="261">
        <v>44798</v>
      </c>
      <c r="C16" s="260" t="s">
        <v>1195</v>
      </c>
      <c r="D16" s="279"/>
      <c r="E16" s="259">
        <v>24030000</v>
      </c>
      <c r="F16" s="259"/>
      <c r="G16" s="242"/>
    </row>
    <row r="17" spans="1:7" ht="18.75" customHeight="1" x14ac:dyDescent="0.25">
      <c r="A17" s="262">
        <v>7</v>
      </c>
      <c r="B17" s="261">
        <v>44798</v>
      </c>
      <c r="C17" s="260" t="s">
        <v>1221</v>
      </c>
      <c r="D17" s="279"/>
      <c r="E17" s="259">
        <v>2344800</v>
      </c>
      <c r="F17" s="259"/>
      <c r="G17" s="242"/>
    </row>
    <row r="18" spans="1:7" ht="18.75" customHeight="1" x14ac:dyDescent="0.25">
      <c r="A18" s="262">
        <v>8</v>
      </c>
      <c r="B18" s="261">
        <v>44802</v>
      </c>
      <c r="C18" s="260" t="s">
        <v>1222</v>
      </c>
      <c r="D18" s="287">
        <v>33858000</v>
      </c>
      <c r="E18" s="259"/>
      <c r="F18" s="259"/>
    </row>
    <row r="19" spans="1:7" ht="18.75" customHeight="1" x14ac:dyDescent="0.25">
      <c r="A19" s="262">
        <v>9</v>
      </c>
      <c r="B19" s="261"/>
      <c r="C19" s="260" t="s">
        <v>1224</v>
      </c>
      <c r="D19" s="259">
        <f>41610000-D18</f>
        <v>7752000</v>
      </c>
      <c r="E19" s="259"/>
      <c r="F19" s="259"/>
    </row>
    <row r="20" spans="1:7" ht="18.75" customHeight="1" x14ac:dyDescent="0.25">
      <c r="A20" s="262">
        <v>10</v>
      </c>
      <c r="B20" s="261">
        <v>44802</v>
      </c>
      <c r="C20" s="260" t="s">
        <v>1223</v>
      </c>
      <c r="D20" s="259">
        <v>176688000</v>
      </c>
      <c r="E20" s="259"/>
      <c r="F20" s="259"/>
    </row>
    <row r="21" spans="1:7" ht="18.75" customHeight="1" x14ac:dyDescent="0.25">
      <c r="A21" s="262">
        <v>11</v>
      </c>
      <c r="B21" s="261"/>
      <c r="C21" s="260" t="s">
        <v>1224</v>
      </c>
      <c r="D21" s="259">
        <f>197625000-D20</f>
        <v>20937000</v>
      </c>
      <c r="E21" s="259"/>
      <c r="F21" s="259"/>
      <c r="G21" s="242"/>
    </row>
    <row r="22" spans="1:7" ht="18.75" customHeight="1" x14ac:dyDescent="0.25">
      <c r="A22" s="262">
        <v>12</v>
      </c>
      <c r="B22" s="261">
        <v>44830</v>
      </c>
      <c r="C22" s="260" t="s">
        <v>1195</v>
      </c>
      <c r="D22" s="259"/>
      <c r="E22" s="259">
        <v>176688000</v>
      </c>
      <c r="F22" s="259"/>
    </row>
    <row r="23" spans="1:7" ht="18.75" customHeight="1" x14ac:dyDescent="0.25">
      <c r="A23" s="262">
        <v>13</v>
      </c>
      <c r="B23" s="261"/>
      <c r="C23" s="260" t="s">
        <v>1205</v>
      </c>
      <c r="D23" s="259"/>
      <c r="E23" s="259">
        <v>33858000</v>
      </c>
      <c r="F23" s="259"/>
    </row>
    <row r="24" spans="1:7" ht="18.75" customHeight="1" x14ac:dyDescent="0.25">
      <c r="A24" s="262">
        <v>14</v>
      </c>
      <c r="B24" s="261"/>
      <c r="C24" s="260" t="s">
        <v>1246</v>
      </c>
      <c r="D24" s="259"/>
      <c r="E24" s="259">
        <v>28689000</v>
      </c>
      <c r="F24" s="259"/>
    </row>
    <row r="25" spans="1:7" ht="18.75" customHeight="1" x14ac:dyDescent="0.25">
      <c r="A25" s="262">
        <v>15</v>
      </c>
      <c r="B25" s="261">
        <v>44833</v>
      </c>
      <c r="C25" s="260" t="s">
        <v>1255</v>
      </c>
      <c r="D25" s="259">
        <v>23166000</v>
      </c>
      <c r="E25" s="259"/>
      <c r="F25" s="259"/>
    </row>
    <row r="26" spans="1:7" ht="18.75" customHeight="1" x14ac:dyDescent="0.25">
      <c r="A26" s="262">
        <v>16</v>
      </c>
      <c r="B26" s="261"/>
      <c r="C26" s="260" t="s">
        <v>1224</v>
      </c>
      <c r="D26" s="259">
        <v>4563600</v>
      </c>
      <c r="E26" s="259"/>
      <c r="F26" s="259"/>
    </row>
    <row r="27" spans="1:7" ht="18.75" customHeight="1" x14ac:dyDescent="0.25">
      <c r="A27" s="262">
        <v>17</v>
      </c>
      <c r="B27" s="261"/>
      <c r="C27" s="260" t="s">
        <v>1256</v>
      </c>
      <c r="D27" s="259">
        <v>7393600</v>
      </c>
      <c r="E27" s="259"/>
      <c r="F27" s="259"/>
    </row>
    <row r="28" spans="1:7" ht="18.75" customHeight="1" x14ac:dyDescent="0.25">
      <c r="A28" s="262">
        <v>18</v>
      </c>
      <c r="B28" s="261">
        <v>44859</v>
      </c>
      <c r="C28" s="260" t="s">
        <v>1195</v>
      </c>
      <c r="D28" s="259"/>
      <c r="E28" s="259">
        <v>23166000</v>
      </c>
      <c r="F28" s="259"/>
    </row>
    <row r="29" spans="1:7" ht="18.75" customHeight="1" x14ac:dyDescent="0.25">
      <c r="A29" s="262">
        <v>19</v>
      </c>
      <c r="B29" s="261"/>
      <c r="C29" s="260" t="s">
        <v>1221</v>
      </c>
      <c r="D29" s="259"/>
      <c r="E29" s="259">
        <v>4563600</v>
      </c>
      <c r="F29" s="259"/>
    </row>
    <row r="30" spans="1:7" ht="18.75" customHeight="1" x14ac:dyDescent="0.25">
      <c r="A30" s="262">
        <v>20</v>
      </c>
      <c r="B30" s="261">
        <v>44865</v>
      </c>
      <c r="C30" s="260" t="s">
        <v>1262</v>
      </c>
      <c r="D30" s="259">
        <v>97123200</v>
      </c>
      <c r="E30" s="259"/>
      <c r="F30" s="259"/>
    </row>
    <row r="31" spans="1:7" ht="18.75" customHeight="1" x14ac:dyDescent="0.25">
      <c r="A31" s="262">
        <v>21</v>
      </c>
      <c r="B31" s="261"/>
      <c r="C31" s="260" t="s">
        <v>1224</v>
      </c>
      <c r="D31" s="259">
        <v>13800400</v>
      </c>
      <c r="E31" s="259"/>
      <c r="F31" s="259"/>
    </row>
    <row r="32" spans="1:7" ht="18.75" customHeight="1" x14ac:dyDescent="0.25">
      <c r="A32" s="262">
        <v>22</v>
      </c>
      <c r="B32" s="261">
        <v>44890</v>
      </c>
      <c r="C32" s="260" t="s">
        <v>1221</v>
      </c>
      <c r="D32" s="259"/>
      <c r="E32" s="259">
        <v>97123200</v>
      </c>
      <c r="F32" s="259"/>
    </row>
    <row r="33" spans="1:6" ht="18.75" customHeight="1" x14ac:dyDescent="0.25">
      <c r="A33" s="262">
        <v>23</v>
      </c>
      <c r="B33" s="261"/>
      <c r="C33" s="260" t="s">
        <v>1205</v>
      </c>
      <c r="D33" s="259"/>
      <c r="E33" s="259">
        <v>5400000</v>
      </c>
      <c r="F33" s="259"/>
    </row>
    <row r="34" spans="1:6" ht="18.75" customHeight="1" x14ac:dyDescent="0.25">
      <c r="A34" s="262">
        <v>24</v>
      </c>
      <c r="B34" s="261"/>
      <c r="C34" s="260" t="s">
        <v>1224</v>
      </c>
      <c r="D34" s="259"/>
      <c r="E34" s="259">
        <v>15794000</v>
      </c>
      <c r="F34" s="259"/>
    </row>
    <row r="35" spans="1:6" ht="18.75" customHeight="1" x14ac:dyDescent="0.25">
      <c r="A35" s="262">
        <v>25</v>
      </c>
      <c r="B35" s="261">
        <v>44895</v>
      </c>
      <c r="C35" s="260" t="s">
        <v>1292</v>
      </c>
      <c r="D35" s="259">
        <v>73116000</v>
      </c>
      <c r="E35" s="259"/>
      <c r="F35" s="259"/>
    </row>
    <row r="36" spans="1:6" ht="18.75" customHeight="1" x14ac:dyDescent="0.25">
      <c r="A36" s="262">
        <v>26</v>
      </c>
      <c r="B36" s="261"/>
      <c r="C36" s="260" t="s">
        <v>1224</v>
      </c>
      <c r="D36" s="259">
        <v>7088000</v>
      </c>
      <c r="E36" s="259"/>
      <c r="F36" s="259"/>
    </row>
    <row r="37" spans="1:6" ht="18.75" customHeight="1" x14ac:dyDescent="0.25">
      <c r="A37" s="262">
        <v>27</v>
      </c>
      <c r="B37" s="261">
        <v>44921</v>
      </c>
      <c r="C37" s="260" t="s">
        <v>1338</v>
      </c>
      <c r="D37" s="259"/>
      <c r="E37" s="259">
        <v>73116000</v>
      </c>
      <c r="F37" s="259"/>
    </row>
    <row r="38" spans="1:6" ht="18.75" customHeight="1" x14ac:dyDescent="0.25">
      <c r="A38" s="262">
        <v>28</v>
      </c>
      <c r="B38" s="261"/>
      <c r="C38" s="260" t="s">
        <v>1224</v>
      </c>
      <c r="D38" s="259"/>
      <c r="E38" s="259">
        <v>7088000</v>
      </c>
      <c r="F38" s="259"/>
    </row>
    <row r="39" spans="1:6" ht="18.75" customHeight="1" x14ac:dyDescent="0.25">
      <c r="A39" s="262">
        <v>29</v>
      </c>
      <c r="B39" s="261">
        <v>44925</v>
      </c>
      <c r="C39" s="260" t="s">
        <v>1344</v>
      </c>
      <c r="D39" s="259">
        <v>94964400</v>
      </c>
      <c r="E39" s="259"/>
      <c r="F39" s="259"/>
    </row>
    <row r="40" spans="1:6" ht="18.75" customHeight="1" x14ac:dyDescent="0.25">
      <c r="A40" s="262">
        <v>30</v>
      </c>
      <c r="B40" s="261"/>
      <c r="C40" s="260" t="s">
        <v>1224</v>
      </c>
      <c r="D40" s="259">
        <v>9388800</v>
      </c>
      <c r="E40" s="259"/>
      <c r="F40" s="259"/>
    </row>
    <row r="41" spans="1:6" ht="18.75" customHeight="1" x14ac:dyDescent="0.25">
      <c r="A41" s="262">
        <v>31</v>
      </c>
      <c r="B41" s="261">
        <v>44956</v>
      </c>
      <c r="C41" s="260" t="s">
        <v>1363</v>
      </c>
      <c r="D41" s="259">
        <v>81771000</v>
      </c>
      <c r="E41" s="259"/>
      <c r="F41" s="259"/>
    </row>
    <row r="42" spans="1:6" ht="18.75" customHeight="1" x14ac:dyDescent="0.25">
      <c r="A42" s="262">
        <v>32</v>
      </c>
      <c r="B42" s="261"/>
      <c r="C42" s="260" t="s">
        <v>1224</v>
      </c>
      <c r="D42" s="259">
        <v>8842000</v>
      </c>
      <c r="E42" s="259"/>
      <c r="F42" s="259"/>
    </row>
    <row r="43" spans="1:6" ht="18.75" customHeight="1" x14ac:dyDescent="0.25">
      <c r="A43" s="262">
        <v>33</v>
      </c>
      <c r="B43" s="261">
        <v>44967</v>
      </c>
      <c r="C43" s="260" t="s">
        <v>1374</v>
      </c>
      <c r="D43" s="259"/>
      <c r="E43" s="259">
        <v>94964400</v>
      </c>
      <c r="F43" s="259"/>
    </row>
    <row r="44" spans="1:6" ht="18.75" customHeight="1" x14ac:dyDescent="0.25">
      <c r="A44" s="262">
        <v>34</v>
      </c>
      <c r="B44" s="261"/>
      <c r="C44" s="260" t="s">
        <v>1224</v>
      </c>
      <c r="D44" s="259"/>
      <c r="E44" s="259">
        <v>9388800</v>
      </c>
      <c r="F44" s="259"/>
    </row>
    <row r="45" spans="1:6" ht="18.75" customHeight="1" x14ac:dyDescent="0.25">
      <c r="A45" s="262">
        <v>35</v>
      </c>
      <c r="B45" s="261">
        <v>44985</v>
      </c>
      <c r="C45" s="260" t="s">
        <v>1392</v>
      </c>
      <c r="D45" s="259">
        <v>13970000</v>
      </c>
      <c r="E45" s="259"/>
      <c r="F45" s="259"/>
    </row>
    <row r="46" spans="1:6" ht="18.75" customHeight="1" x14ac:dyDescent="0.25">
      <c r="A46" s="262">
        <v>36</v>
      </c>
      <c r="B46" s="261"/>
      <c r="C46" s="260" t="s">
        <v>1224</v>
      </c>
      <c r="D46" s="259">
        <v>1680000</v>
      </c>
      <c r="E46" s="259"/>
      <c r="F46" s="259"/>
    </row>
    <row r="47" spans="1:6" ht="18.75" customHeight="1" x14ac:dyDescent="0.25">
      <c r="A47" s="262">
        <v>37</v>
      </c>
      <c r="B47" s="261">
        <v>44995</v>
      </c>
      <c r="C47" s="260" t="s">
        <v>1401</v>
      </c>
      <c r="D47" s="259"/>
      <c r="E47" s="259">
        <v>8842000</v>
      </c>
      <c r="F47" s="259"/>
    </row>
    <row r="48" spans="1:6" ht="18.75" customHeight="1" x14ac:dyDescent="0.25">
      <c r="A48" s="262">
        <v>38</v>
      </c>
      <c r="B48" s="261">
        <v>44998</v>
      </c>
      <c r="C48" s="260" t="s">
        <v>1400</v>
      </c>
      <c r="D48" s="259"/>
      <c r="E48" s="259">
        <v>81771000</v>
      </c>
      <c r="F48" s="259"/>
    </row>
    <row r="49" spans="1:6" ht="18.75" customHeight="1" x14ac:dyDescent="0.25">
      <c r="A49" s="262">
        <v>39</v>
      </c>
      <c r="B49" s="261">
        <v>45015</v>
      </c>
      <c r="C49" s="260" t="s">
        <v>1414</v>
      </c>
      <c r="D49" s="259">
        <v>7480000</v>
      </c>
      <c r="E49" s="259"/>
      <c r="F49" s="259"/>
    </row>
    <row r="50" spans="1:6" ht="18.75" customHeight="1" x14ac:dyDescent="0.25">
      <c r="A50" s="262">
        <v>40</v>
      </c>
      <c r="B50" s="261"/>
      <c r="C50" s="260" t="s">
        <v>1224</v>
      </c>
      <c r="D50" s="259">
        <v>2650000</v>
      </c>
      <c r="E50" s="259"/>
      <c r="F50" s="259"/>
    </row>
    <row r="51" spans="1:6" ht="18.75" customHeight="1" x14ac:dyDescent="0.25">
      <c r="A51" s="262">
        <v>41</v>
      </c>
      <c r="B51" s="261">
        <v>45028</v>
      </c>
      <c r="C51" s="260" t="s">
        <v>1426</v>
      </c>
      <c r="D51" s="259"/>
      <c r="E51" s="259">
        <v>13970000</v>
      </c>
      <c r="F51" s="259"/>
    </row>
    <row r="52" spans="1:6" ht="18.75" customHeight="1" x14ac:dyDescent="0.25">
      <c r="A52" s="262">
        <v>42</v>
      </c>
      <c r="B52" s="261"/>
      <c r="C52" s="260" t="s">
        <v>1224</v>
      </c>
      <c r="D52" s="259"/>
      <c r="E52" s="259">
        <v>1680000</v>
      </c>
      <c r="F52" s="259"/>
    </row>
    <row r="53" spans="1:6" ht="18.75" customHeight="1" x14ac:dyDescent="0.25">
      <c r="A53" s="262">
        <v>43</v>
      </c>
      <c r="B53" s="261">
        <v>45044</v>
      </c>
      <c r="C53" s="260" t="s">
        <v>1435</v>
      </c>
      <c r="D53" s="259">
        <v>4950000</v>
      </c>
      <c r="E53" s="259"/>
      <c r="F53" s="259"/>
    </row>
    <row r="54" spans="1:6" ht="18.75" customHeight="1" x14ac:dyDescent="0.25">
      <c r="A54" s="262">
        <v>44</v>
      </c>
      <c r="B54" s="261"/>
      <c r="C54" s="260" t="s">
        <v>1224</v>
      </c>
      <c r="D54" s="259">
        <f>1111000+1300000</f>
        <v>2411000</v>
      </c>
      <c r="E54" s="259"/>
      <c r="F54" s="259"/>
    </row>
    <row r="55" spans="1:6" ht="18.75" customHeight="1" x14ac:dyDescent="0.25">
      <c r="A55" s="262">
        <v>45</v>
      </c>
      <c r="B55" s="261">
        <v>45071</v>
      </c>
      <c r="C55" s="260" t="s">
        <v>1479</v>
      </c>
      <c r="D55" s="259"/>
      <c r="E55" s="259">
        <v>7480000</v>
      </c>
      <c r="F55" s="259"/>
    </row>
    <row r="56" spans="1:6" ht="18.75" customHeight="1" x14ac:dyDescent="0.25">
      <c r="A56" s="262">
        <v>46</v>
      </c>
      <c r="B56" s="261"/>
      <c r="C56" s="260" t="s">
        <v>1224</v>
      </c>
      <c r="D56" s="259"/>
      <c r="E56" s="259">
        <v>2650000</v>
      </c>
      <c r="F56" s="259"/>
    </row>
    <row r="57" spans="1:6" ht="18.75" customHeight="1" x14ac:dyDescent="0.25">
      <c r="A57" s="262">
        <v>47</v>
      </c>
      <c r="B57" s="261">
        <v>45077</v>
      </c>
      <c r="C57" s="260" t="s">
        <v>1481</v>
      </c>
      <c r="D57" s="259">
        <v>44550000</v>
      </c>
      <c r="E57" s="259"/>
      <c r="F57" s="259"/>
    </row>
    <row r="58" spans="1:6" ht="18.75" customHeight="1" x14ac:dyDescent="0.25">
      <c r="A58" s="262">
        <v>48</v>
      </c>
      <c r="B58" s="261"/>
      <c r="C58" s="260" t="s">
        <v>1224</v>
      </c>
      <c r="D58" s="259">
        <v>16702000</v>
      </c>
      <c r="E58" s="259"/>
      <c r="F58" s="259"/>
    </row>
    <row r="59" spans="1:6" ht="18.75" customHeight="1" x14ac:dyDescent="0.25">
      <c r="A59" s="262">
        <v>49</v>
      </c>
      <c r="B59" s="261">
        <v>45104</v>
      </c>
      <c r="C59" s="260" t="s">
        <v>1205</v>
      </c>
      <c r="D59" s="259"/>
      <c r="E59" s="259">
        <v>7361000</v>
      </c>
      <c r="F59" s="259"/>
    </row>
    <row r="60" spans="1:6" ht="18.75" customHeight="1" x14ac:dyDescent="0.25">
      <c r="A60" s="262">
        <v>50</v>
      </c>
      <c r="B60" s="261">
        <v>45106</v>
      </c>
      <c r="C60" s="260" t="s">
        <v>1505</v>
      </c>
      <c r="D60" s="259">
        <v>26455000</v>
      </c>
      <c r="E60" s="259"/>
      <c r="F60" s="259"/>
    </row>
    <row r="61" spans="1:6" ht="18.75" customHeight="1" x14ac:dyDescent="0.25">
      <c r="A61" s="262">
        <v>51</v>
      </c>
      <c r="B61" s="261"/>
      <c r="C61" s="260" t="s">
        <v>1506</v>
      </c>
      <c r="D61" s="259">
        <v>4955000</v>
      </c>
      <c r="E61" s="259"/>
      <c r="F61" s="259"/>
    </row>
    <row r="62" spans="1:6" ht="18.75" customHeight="1" x14ac:dyDescent="0.25">
      <c r="A62" s="262">
        <v>52</v>
      </c>
      <c r="B62" s="261">
        <v>45135</v>
      </c>
      <c r="C62" s="260" t="s">
        <v>1539</v>
      </c>
      <c r="D62" s="259"/>
      <c r="E62" s="259">
        <v>44550000</v>
      </c>
      <c r="F62" s="259"/>
    </row>
    <row r="63" spans="1:6" ht="18.75" customHeight="1" x14ac:dyDescent="0.25">
      <c r="A63" s="262">
        <v>53</v>
      </c>
      <c r="B63" s="261"/>
      <c r="C63" s="260" t="s">
        <v>1539</v>
      </c>
      <c r="D63" s="259"/>
      <c r="E63" s="259">
        <v>16702000</v>
      </c>
      <c r="F63" s="259"/>
    </row>
    <row r="64" spans="1:6" ht="18.75" customHeight="1" x14ac:dyDescent="0.25">
      <c r="A64" s="262">
        <v>54</v>
      </c>
      <c r="B64" s="261">
        <v>45163</v>
      </c>
      <c r="C64" s="260" t="s">
        <v>1567</v>
      </c>
      <c r="D64" s="259"/>
      <c r="E64" s="259">
        <v>4955000</v>
      </c>
      <c r="F64" s="259"/>
    </row>
    <row r="65" spans="1:6" ht="18.75" customHeight="1" x14ac:dyDescent="0.25">
      <c r="A65" s="262">
        <v>55</v>
      </c>
      <c r="B65" s="261"/>
      <c r="C65" s="260"/>
      <c r="D65" s="259"/>
      <c r="E65" s="259">
        <v>26455000</v>
      </c>
      <c r="F65" s="259"/>
    </row>
    <row r="66" spans="1:6" ht="18.75" customHeight="1" x14ac:dyDescent="0.25">
      <c r="A66" s="262">
        <v>56</v>
      </c>
      <c r="B66" s="261"/>
      <c r="C66" s="260"/>
      <c r="D66" s="259"/>
      <c r="E66" s="259"/>
      <c r="F66" s="259"/>
    </row>
    <row r="67" spans="1:6" ht="18.75" customHeight="1" x14ac:dyDescent="0.25">
      <c r="A67" s="260"/>
      <c r="B67" s="261"/>
      <c r="C67" s="260"/>
      <c r="D67" s="259"/>
      <c r="E67" s="259"/>
      <c r="F67" s="259"/>
    </row>
    <row r="68" spans="1:6" ht="18.75" customHeight="1" x14ac:dyDescent="0.25">
      <c r="A68" s="260"/>
      <c r="B68" s="261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2D6DD4B4-B65D-4386-9D32-D635A5367187}"/>
  </hyperlinks>
  <pageMargins left="0.7" right="0.7" top="0.75" bottom="0.75" header="0.3" footer="0.3"/>
  <pageSetup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A8F8-9CE4-4DE0-8E6D-22CBCADA1130}">
  <dimension ref="A1:K213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  <col min="7" max="7" width="11.28515625" bestFit="1" customWidth="1"/>
    <col min="8" max="8" width="15.28515625" bestFit="1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1182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SUM(D10:D302)</f>
        <v>9751667643.363636</v>
      </c>
    </row>
    <row r="6" spans="1:7" x14ac:dyDescent="0.25">
      <c r="E6" s="2" t="s">
        <v>11</v>
      </c>
      <c r="F6" s="2">
        <f>SUM(E10:E302)</f>
        <v>9073575643</v>
      </c>
    </row>
    <row r="7" spans="1:7" x14ac:dyDescent="0.25">
      <c r="E7" s="2" t="s">
        <v>12</v>
      </c>
      <c r="F7" s="2">
        <f>+F4+F5-F6</f>
        <v>678092000.36363602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44771</v>
      </c>
      <c r="C11" s="260" t="s">
        <v>1043</v>
      </c>
      <c r="D11" s="279">
        <v>40760000</v>
      </c>
      <c r="E11" s="259"/>
      <c r="F11" s="259"/>
      <c r="G11" s="242"/>
    </row>
    <row r="12" spans="1:7" ht="18.75" customHeight="1" x14ac:dyDescent="0.25">
      <c r="A12" s="262">
        <v>2</v>
      </c>
      <c r="B12" s="261">
        <v>44771</v>
      </c>
      <c r="C12" s="260" t="s">
        <v>1183</v>
      </c>
      <c r="D12" s="279">
        <v>5694800</v>
      </c>
      <c r="E12" s="259"/>
      <c r="F12" s="259"/>
      <c r="G12" s="242"/>
    </row>
    <row r="13" spans="1:7" ht="18.75" customHeight="1" x14ac:dyDescent="0.25">
      <c r="A13" s="262">
        <v>3</v>
      </c>
      <c r="B13" s="261">
        <v>44771</v>
      </c>
      <c r="C13" s="260" t="s">
        <v>1184</v>
      </c>
      <c r="D13" s="279">
        <v>192741</v>
      </c>
      <c r="E13" s="259"/>
      <c r="F13" s="259"/>
      <c r="G13" s="242"/>
    </row>
    <row r="14" spans="1:7" ht="18.75" customHeight="1" x14ac:dyDescent="0.25">
      <c r="A14" s="262">
        <v>4</v>
      </c>
      <c r="B14" s="261">
        <v>44777</v>
      </c>
      <c r="C14" s="260" t="s">
        <v>1187</v>
      </c>
      <c r="D14" s="279"/>
      <c r="E14" s="259">
        <v>5694800</v>
      </c>
      <c r="F14" s="259"/>
      <c r="G14" s="242"/>
    </row>
    <row r="15" spans="1:7" ht="18.75" customHeight="1" x14ac:dyDescent="0.25">
      <c r="A15" s="262">
        <v>5</v>
      </c>
      <c r="B15" s="261">
        <v>44784</v>
      </c>
      <c r="C15" s="260" t="s">
        <v>1204</v>
      </c>
      <c r="D15" s="279"/>
      <c r="E15" s="259">
        <v>43362000</v>
      </c>
      <c r="F15" s="259"/>
      <c r="G15" s="242"/>
    </row>
    <row r="16" spans="1:7" ht="18.75" customHeight="1" x14ac:dyDescent="0.25">
      <c r="A16" s="262">
        <v>6</v>
      </c>
      <c r="B16" s="261">
        <v>44804</v>
      </c>
      <c r="C16" s="260" t="s">
        <v>259</v>
      </c>
      <c r="D16" s="279">
        <v>121580000</v>
      </c>
      <c r="E16" s="259"/>
      <c r="F16" s="259"/>
      <c r="G16" s="242"/>
    </row>
    <row r="17" spans="1:8" ht="18.75" customHeight="1" x14ac:dyDescent="0.25">
      <c r="A17" s="262">
        <v>7</v>
      </c>
      <c r="B17" s="261"/>
      <c r="C17" s="260" t="s">
        <v>1183</v>
      </c>
      <c r="D17" s="279">
        <v>13167840</v>
      </c>
      <c r="E17" s="259"/>
      <c r="F17" s="259"/>
      <c r="G17" s="242"/>
    </row>
    <row r="18" spans="1:8" ht="18.75" customHeight="1" x14ac:dyDescent="0.25">
      <c r="A18" s="262">
        <v>8</v>
      </c>
      <c r="B18" s="261"/>
      <c r="C18" s="260" t="s">
        <v>1184</v>
      </c>
      <c r="D18" s="279">
        <v>1214074</v>
      </c>
      <c r="E18" s="259"/>
      <c r="F18" s="259"/>
    </row>
    <row r="19" spans="1:8" ht="18.75" customHeight="1" x14ac:dyDescent="0.25">
      <c r="A19" s="262">
        <v>9</v>
      </c>
      <c r="B19" s="261">
        <v>44825</v>
      </c>
      <c r="C19" s="260" t="s">
        <v>1236</v>
      </c>
      <c r="D19" s="259"/>
      <c r="E19" s="259">
        <v>137970000</v>
      </c>
      <c r="F19" s="259"/>
    </row>
    <row r="20" spans="1:8" ht="18.75" customHeight="1" x14ac:dyDescent="0.3">
      <c r="A20" s="262">
        <v>10</v>
      </c>
      <c r="B20" s="261"/>
      <c r="C20" s="260" t="s">
        <v>1237</v>
      </c>
      <c r="D20" s="259">
        <v>4417345</v>
      </c>
      <c r="E20" s="259"/>
      <c r="F20" s="259"/>
      <c r="H20" s="318" t="s">
        <v>1238</v>
      </c>
    </row>
    <row r="21" spans="1:8" ht="18.75" customHeight="1" x14ac:dyDescent="0.25">
      <c r="A21" s="262">
        <v>11</v>
      </c>
      <c r="B21" s="261">
        <v>44833</v>
      </c>
      <c r="C21" s="260" t="s">
        <v>299</v>
      </c>
      <c r="D21" s="259">
        <v>199016000</v>
      </c>
      <c r="E21" s="259"/>
      <c r="F21" s="259"/>
    </row>
    <row r="22" spans="1:8" ht="18.75" customHeight="1" x14ac:dyDescent="0.25">
      <c r="A22" s="262">
        <v>12</v>
      </c>
      <c r="B22" s="261"/>
      <c r="C22" s="260" t="s">
        <v>1241</v>
      </c>
      <c r="D22" s="259">
        <v>23712800</v>
      </c>
      <c r="E22" s="259"/>
      <c r="F22" s="259"/>
    </row>
    <row r="23" spans="1:8" ht="18.75" customHeight="1" x14ac:dyDescent="0.25">
      <c r="A23" s="262">
        <v>13</v>
      </c>
      <c r="B23" s="261"/>
      <c r="C23" s="260" t="s">
        <v>1184</v>
      </c>
      <c r="D23" s="259">
        <v>2114074</v>
      </c>
      <c r="E23" s="259"/>
      <c r="F23" s="259"/>
    </row>
    <row r="24" spans="1:8" ht="18.75" customHeight="1" x14ac:dyDescent="0.25">
      <c r="A24" s="262">
        <v>14</v>
      </c>
      <c r="B24" s="261">
        <v>44855</v>
      </c>
      <c r="C24" s="317" t="s">
        <v>1257</v>
      </c>
      <c r="D24" s="285"/>
      <c r="E24" s="259">
        <v>227556000</v>
      </c>
      <c r="F24" s="259"/>
    </row>
    <row r="25" spans="1:8" ht="18.75" customHeight="1" x14ac:dyDescent="0.25">
      <c r="A25" s="262">
        <v>15</v>
      </c>
      <c r="B25" s="261"/>
      <c r="C25" s="260" t="s">
        <v>1237</v>
      </c>
      <c r="D25" s="259">
        <v>2713126</v>
      </c>
      <c r="E25" s="259"/>
      <c r="F25" s="259"/>
    </row>
    <row r="26" spans="1:8" ht="18.75" customHeight="1" x14ac:dyDescent="0.25">
      <c r="A26" s="262">
        <v>16</v>
      </c>
      <c r="B26" s="261">
        <v>44865</v>
      </c>
      <c r="C26" s="260" t="s">
        <v>323</v>
      </c>
      <c r="D26" s="259">
        <v>210870000</v>
      </c>
      <c r="E26" s="259"/>
      <c r="F26" s="259"/>
    </row>
    <row r="27" spans="1:8" ht="18.75" customHeight="1" x14ac:dyDescent="0.25">
      <c r="A27" s="262">
        <v>17</v>
      </c>
      <c r="B27" s="261"/>
      <c r="C27" s="260" t="s">
        <v>1183</v>
      </c>
      <c r="D27" s="259">
        <v>24735200</v>
      </c>
      <c r="E27" s="259"/>
      <c r="F27" s="259"/>
    </row>
    <row r="28" spans="1:8" ht="18.75" customHeight="1" x14ac:dyDescent="0.25">
      <c r="A28" s="262">
        <v>18</v>
      </c>
      <c r="B28" s="261"/>
      <c r="C28" s="260" t="s">
        <v>1184</v>
      </c>
      <c r="D28" s="259">
        <v>2972000</v>
      </c>
      <c r="E28" s="259"/>
      <c r="F28" s="259"/>
    </row>
    <row r="29" spans="1:8" ht="18.75" customHeight="1" x14ac:dyDescent="0.25">
      <c r="A29" s="262">
        <v>19</v>
      </c>
      <c r="B29" s="261">
        <v>44889</v>
      </c>
      <c r="C29" s="260" t="s">
        <v>1257</v>
      </c>
      <c r="D29" s="259"/>
      <c r="E29" s="259">
        <v>250992000</v>
      </c>
      <c r="F29" s="259"/>
    </row>
    <row r="30" spans="1:8" ht="18.75" customHeight="1" x14ac:dyDescent="0.25">
      <c r="A30" s="262">
        <v>20</v>
      </c>
      <c r="B30" s="261"/>
      <c r="C30" s="260" t="s">
        <v>1293</v>
      </c>
      <c r="D30" s="259">
        <v>12414800</v>
      </c>
      <c r="E30" s="259"/>
      <c r="F30" s="259"/>
    </row>
    <row r="31" spans="1:8" ht="18.75" customHeight="1" x14ac:dyDescent="0.25">
      <c r="A31" s="262">
        <v>21</v>
      </c>
      <c r="B31" s="261">
        <v>44895</v>
      </c>
      <c r="C31" s="260" t="s">
        <v>350</v>
      </c>
      <c r="D31" s="259">
        <v>207220000</v>
      </c>
      <c r="E31" s="259"/>
      <c r="F31" s="259"/>
    </row>
    <row r="32" spans="1:8" ht="18.75" customHeight="1" x14ac:dyDescent="0.25">
      <c r="A32" s="262">
        <v>22</v>
      </c>
      <c r="B32" s="262"/>
      <c r="C32" s="260" t="s">
        <v>1183</v>
      </c>
      <c r="D32" s="259">
        <v>27477840</v>
      </c>
      <c r="E32" s="259"/>
      <c r="F32" s="259"/>
    </row>
    <row r="33" spans="1:6" ht="18.75" customHeight="1" x14ac:dyDescent="0.25">
      <c r="A33" s="262">
        <v>23</v>
      </c>
      <c r="B33" s="262"/>
      <c r="C33" s="260" t="s">
        <v>1184</v>
      </c>
      <c r="D33" s="259">
        <v>1898370</v>
      </c>
      <c r="E33" s="259"/>
    </row>
    <row r="34" spans="1:6" ht="18.75" customHeight="1" x14ac:dyDescent="0.25">
      <c r="A34" s="262">
        <v>24</v>
      </c>
      <c r="B34" s="261">
        <v>44903</v>
      </c>
      <c r="C34" s="260" t="s">
        <v>1257</v>
      </c>
      <c r="D34" s="259"/>
      <c r="E34" s="259">
        <v>232848000</v>
      </c>
      <c r="F34" s="259"/>
    </row>
    <row r="35" spans="1:6" ht="18.75" customHeight="1" x14ac:dyDescent="0.25">
      <c r="A35" s="262">
        <v>25</v>
      </c>
      <c r="B35" s="261"/>
      <c r="C35" s="260" t="s">
        <v>1301</v>
      </c>
      <c r="D35" s="259"/>
      <c r="E35" s="259">
        <v>3748210</v>
      </c>
      <c r="F35" s="259"/>
    </row>
    <row r="36" spans="1:6" ht="18.75" customHeight="1" x14ac:dyDescent="0.25">
      <c r="A36" s="262">
        <v>26</v>
      </c>
      <c r="B36" s="261">
        <v>44925</v>
      </c>
      <c r="C36" s="260" t="s">
        <v>365</v>
      </c>
      <c r="D36" s="259">
        <v>268358400</v>
      </c>
      <c r="E36" s="259"/>
      <c r="F36" s="259"/>
    </row>
    <row r="37" spans="1:6" ht="18.75" customHeight="1" x14ac:dyDescent="0.25">
      <c r="A37" s="262">
        <v>27</v>
      </c>
      <c r="B37" s="261"/>
      <c r="C37" s="260" t="s">
        <v>1183</v>
      </c>
      <c r="D37" s="259">
        <f>28516640+5710800</f>
        <v>34227440</v>
      </c>
      <c r="E37" s="259"/>
      <c r="F37" s="259"/>
    </row>
    <row r="38" spans="1:6" ht="18.75" customHeight="1" x14ac:dyDescent="0.25">
      <c r="A38" s="262">
        <v>28</v>
      </c>
      <c r="B38" s="261"/>
      <c r="C38" s="260" t="s">
        <v>1184</v>
      </c>
      <c r="D38" s="259">
        <v>3961600</v>
      </c>
      <c r="E38" s="259"/>
      <c r="F38" s="259"/>
    </row>
    <row r="39" spans="1:6" ht="18.75" customHeight="1" x14ac:dyDescent="0.25">
      <c r="A39" s="262">
        <v>29</v>
      </c>
      <c r="B39" s="261">
        <v>44938</v>
      </c>
      <c r="C39" s="260" t="s">
        <v>1257</v>
      </c>
      <c r="D39" s="259"/>
      <c r="E39" s="259">
        <v>321840000</v>
      </c>
      <c r="F39" s="259"/>
    </row>
    <row r="40" spans="1:6" ht="18.75" customHeight="1" x14ac:dyDescent="0.25">
      <c r="A40" s="262">
        <v>30</v>
      </c>
      <c r="B40" s="261"/>
      <c r="C40" s="260" t="s">
        <v>1293</v>
      </c>
      <c r="D40" s="259">
        <v>15292560</v>
      </c>
      <c r="E40" s="259"/>
      <c r="F40" s="259"/>
    </row>
    <row r="41" spans="1:6" ht="18.75" customHeight="1" x14ac:dyDescent="0.25">
      <c r="A41" s="262">
        <v>31</v>
      </c>
      <c r="B41" s="261">
        <v>44956</v>
      </c>
      <c r="C41" s="260" t="s">
        <v>1079</v>
      </c>
      <c r="D41" s="259">
        <v>146707000</v>
      </c>
      <c r="E41" s="259"/>
      <c r="F41" s="259"/>
    </row>
    <row r="42" spans="1:6" ht="18.75" customHeight="1" x14ac:dyDescent="0.25">
      <c r="A42" s="262">
        <v>32</v>
      </c>
      <c r="B42" s="261"/>
      <c r="C42" s="260" t="s">
        <v>1183</v>
      </c>
      <c r="D42" s="259">
        <v>16104600</v>
      </c>
      <c r="E42" s="259"/>
      <c r="F42" s="259"/>
    </row>
    <row r="43" spans="1:6" ht="18.75" customHeight="1" x14ac:dyDescent="0.25">
      <c r="A43" s="262">
        <v>33</v>
      </c>
      <c r="B43" s="261"/>
      <c r="C43" s="260" t="s">
        <v>1184</v>
      </c>
      <c r="D43" s="259">
        <v>2373000</v>
      </c>
      <c r="E43" s="259"/>
      <c r="F43" s="259"/>
    </row>
    <row r="44" spans="1:6" ht="18.75" customHeight="1" x14ac:dyDescent="0.25">
      <c r="A44" s="262">
        <v>34</v>
      </c>
      <c r="B44" s="261">
        <v>44976</v>
      </c>
      <c r="C44" s="260" t="s">
        <v>1257</v>
      </c>
      <c r="D44" s="259"/>
      <c r="E44" s="259">
        <v>172810000</v>
      </c>
      <c r="F44" s="259"/>
    </row>
    <row r="45" spans="1:6" ht="18.75" customHeight="1" x14ac:dyDescent="0.25">
      <c r="A45" s="262">
        <v>35</v>
      </c>
      <c r="B45" s="261"/>
      <c r="C45" s="260" t="s">
        <v>1293</v>
      </c>
      <c r="D45" s="259">
        <v>7625400</v>
      </c>
      <c r="E45" s="259"/>
      <c r="F45" s="259"/>
    </row>
    <row r="46" spans="1:6" ht="18.75" customHeight="1" x14ac:dyDescent="0.25">
      <c r="A46" s="262">
        <v>36</v>
      </c>
      <c r="B46" s="261">
        <v>44985</v>
      </c>
      <c r="C46" s="260" t="s">
        <v>1390</v>
      </c>
      <c r="D46" s="259">
        <v>41580000</v>
      </c>
      <c r="E46" s="259"/>
      <c r="F46" s="259"/>
    </row>
    <row r="47" spans="1:6" ht="18.75" customHeight="1" x14ac:dyDescent="0.25">
      <c r="A47" s="262">
        <v>37</v>
      </c>
      <c r="B47" s="262"/>
      <c r="C47" s="260" t="s">
        <v>1183</v>
      </c>
      <c r="D47" s="259">
        <v>8511000</v>
      </c>
      <c r="E47" s="259"/>
      <c r="F47" s="259"/>
    </row>
    <row r="48" spans="1:6" ht="18.75" customHeight="1" x14ac:dyDescent="0.25">
      <c r="A48" s="262">
        <v>38</v>
      </c>
      <c r="B48" s="262"/>
      <c r="C48" s="260" t="s">
        <v>1184</v>
      </c>
      <c r="D48" s="259">
        <v>1010000</v>
      </c>
      <c r="E48" s="259"/>
      <c r="F48" s="259"/>
    </row>
    <row r="49" spans="1:6" ht="18.75" customHeight="1" x14ac:dyDescent="0.25">
      <c r="A49" s="262">
        <v>39</v>
      </c>
      <c r="B49" s="261">
        <v>45006</v>
      </c>
      <c r="C49" s="260" t="s">
        <v>1409</v>
      </c>
      <c r="D49" s="259"/>
      <c r="E49" s="259">
        <v>52690000</v>
      </c>
      <c r="F49" s="259"/>
    </row>
    <row r="50" spans="1:6" ht="18.75" customHeight="1" x14ac:dyDescent="0.25">
      <c r="A50" s="262">
        <v>40</v>
      </c>
      <c r="B50" s="261"/>
      <c r="C50" s="260" t="s">
        <v>1293</v>
      </c>
      <c r="D50" s="259">
        <v>1589000</v>
      </c>
      <c r="E50" s="259"/>
      <c r="F50" s="259"/>
    </row>
    <row r="51" spans="1:6" ht="18.75" customHeight="1" x14ac:dyDescent="0.25">
      <c r="A51" s="262">
        <v>41</v>
      </c>
      <c r="B51" s="261">
        <v>45015</v>
      </c>
      <c r="C51" s="260" t="s">
        <v>1115</v>
      </c>
      <c r="D51" s="259">
        <v>46655000</v>
      </c>
      <c r="E51" s="259"/>
      <c r="F51" s="259"/>
    </row>
    <row r="52" spans="1:6" ht="18.75" customHeight="1" x14ac:dyDescent="0.25">
      <c r="A52" s="262">
        <v>42</v>
      </c>
      <c r="B52" s="261"/>
      <c r="C52" s="260" t="s">
        <v>1183</v>
      </c>
      <c r="D52" s="259">
        <v>5340600</v>
      </c>
      <c r="E52" s="259"/>
      <c r="F52" s="259"/>
    </row>
    <row r="53" spans="1:6" ht="18.75" customHeight="1" x14ac:dyDescent="0.25">
      <c r="A53" s="262">
        <v>43</v>
      </c>
      <c r="B53" s="261"/>
      <c r="C53" s="260" t="s">
        <v>1184</v>
      </c>
      <c r="D53" s="259">
        <v>328636</v>
      </c>
      <c r="E53" s="259"/>
      <c r="F53" s="259"/>
    </row>
    <row r="54" spans="1:6" ht="18.75" customHeight="1" x14ac:dyDescent="0.25">
      <c r="A54" s="262">
        <v>44</v>
      </c>
      <c r="B54" s="261">
        <v>45030</v>
      </c>
      <c r="C54" s="260" t="s">
        <v>1409</v>
      </c>
      <c r="D54" s="259"/>
      <c r="E54" s="259">
        <v>50270000</v>
      </c>
      <c r="F54" s="259"/>
    </row>
    <row r="55" spans="1:6" ht="18.75" customHeight="1" x14ac:dyDescent="0.25">
      <c r="A55" s="262">
        <v>45</v>
      </c>
      <c r="B55" s="261"/>
      <c r="C55" s="260" t="s">
        <v>1184</v>
      </c>
      <c r="D55" s="259"/>
      <c r="E55" s="259">
        <v>2014236</v>
      </c>
      <c r="F55" s="259"/>
    </row>
    <row r="56" spans="1:6" ht="18.75" customHeight="1" x14ac:dyDescent="0.25">
      <c r="A56" s="262">
        <v>46</v>
      </c>
      <c r="B56" s="261">
        <v>45046</v>
      </c>
      <c r="C56" s="260" t="s">
        <v>1116</v>
      </c>
      <c r="D56" s="259">
        <v>163985000</v>
      </c>
      <c r="E56" s="259"/>
      <c r="F56" s="259" t="s">
        <v>1471</v>
      </c>
    </row>
    <row r="57" spans="1:6" ht="18.75" customHeight="1" x14ac:dyDescent="0.25">
      <c r="A57" s="262">
        <v>47</v>
      </c>
      <c r="B57" s="261"/>
      <c r="C57" s="260" t="s">
        <v>1183</v>
      </c>
      <c r="D57" s="259">
        <v>26420900</v>
      </c>
      <c r="E57" s="259"/>
    </row>
    <row r="58" spans="1:6" ht="18.75" customHeight="1" x14ac:dyDescent="0.25">
      <c r="A58" s="262">
        <v>48</v>
      </c>
      <c r="B58" s="261"/>
      <c r="C58" s="260" t="s">
        <v>1184</v>
      </c>
      <c r="D58" s="259">
        <v>2162273</v>
      </c>
      <c r="E58" s="259"/>
      <c r="F58" s="259"/>
    </row>
    <row r="59" spans="1:6" ht="18.75" customHeight="1" x14ac:dyDescent="0.25">
      <c r="A59" s="262">
        <v>49</v>
      </c>
      <c r="B59" s="261">
        <v>45058</v>
      </c>
      <c r="C59" s="260" t="s">
        <v>1409</v>
      </c>
      <c r="D59" s="259"/>
      <c r="E59" s="259">
        <v>187770000</v>
      </c>
      <c r="F59" s="259" t="s">
        <v>1470</v>
      </c>
    </row>
    <row r="60" spans="1:6" ht="18.75" customHeight="1" x14ac:dyDescent="0.25">
      <c r="A60" s="262">
        <v>50</v>
      </c>
      <c r="B60" s="261">
        <v>45068</v>
      </c>
      <c r="C60" s="260"/>
      <c r="D60" s="259"/>
      <c r="E60" s="259">
        <v>4618173</v>
      </c>
      <c r="F60" s="259"/>
    </row>
    <row r="61" spans="1:6" ht="18.75" customHeight="1" x14ac:dyDescent="0.25">
      <c r="A61" s="262">
        <v>51</v>
      </c>
      <c r="B61" s="261">
        <v>45077</v>
      </c>
      <c r="C61" s="260" t="s">
        <v>1131</v>
      </c>
      <c r="D61" s="259">
        <v>273580000</v>
      </c>
      <c r="E61" s="259"/>
      <c r="F61" s="259" t="s">
        <v>1497</v>
      </c>
    </row>
    <row r="62" spans="1:6" ht="18.75" customHeight="1" x14ac:dyDescent="0.25">
      <c r="A62" s="262">
        <v>52</v>
      </c>
      <c r="B62" s="261"/>
      <c r="C62" s="260" t="s">
        <v>1183</v>
      </c>
      <c r="D62" s="329">
        <v>43607800</v>
      </c>
      <c r="E62" s="259"/>
      <c r="F62" s="259"/>
    </row>
    <row r="63" spans="1:6" ht="18.75" customHeight="1" x14ac:dyDescent="0.25">
      <c r="A63" s="262">
        <v>53</v>
      </c>
      <c r="B63" s="261"/>
      <c r="C63" s="260" t="s">
        <v>1184</v>
      </c>
      <c r="D63" s="329">
        <v>2363636.3636363633</v>
      </c>
      <c r="E63" s="259"/>
      <c r="F63" s="259"/>
    </row>
    <row r="64" spans="1:6" ht="18.75" customHeight="1" x14ac:dyDescent="0.25">
      <c r="A64" s="262">
        <v>54</v>
      </c>
      <c r="B64" s="261">
        <v>45096</v>
      </c>
      <c r="C64" s="260" t="s">
        <v>1236</v>
      </c>
      <c r="D64" s="259"/>
      <c r="E64" s="259">
        <f>237930000+81341436</f>
        <v>319271436</v>
      </c>
      <c r="F64" s="259"/>
    </row>
    <row r="65" spans="1:11" ht="18.75" customHeight="1" x14ac:dyDescent="0.25">
      <c r="A65" s="262">
        <v>55</v>
      </c>
      <c r="B65" s="261">
        <v>45107</v>
      </c>
      <c r="C65" s="260" t="s">
        <v>177</v>
      </c>
      <c r="D65" s="259">
        <v>208470000</v>
      </c>
      <c r="E65" s="259"/>
      <c r="F65" s="259"/>
    </row>
    <row r="66" spans="1:11" ht="18.75" customHeight="1" x14ac:dyDescent="0.25">
      <c r="A66" s="262">
        <v>56</v>
      </c>
      <c r="B66" s="261"/>
      <c r="C66" s="260" t="s">
        <v>1241</v>
      </c>
      <c r="D66" s="259">
        <v>35613500</v>
      </c>
      <c r="E66" s="259"/>
      <c r="F66" s="259"/>
    </row>
    <row r="67" spans="1:11" ht="18.75" customHeight="1" x14ac:dyDescent="0.25">
      <c r="A67" s="262">
        <v>57</v>
      </c>
      <c r="B67" s="261">
        <v>45127</v>
      </c>
      <c r="C67" s="260" t="s">
        <v>1236</v>
      </c>
      <c r="D67" s="259"/>
      <c r="E67" s="259">
        <v>186120000</v>
      </c>
      <c r="F67" s="259"/>
    </row>
    <row r="68" spans="1:11" ht="18.75" customHeight="1" x14ac:dyDescent="0.25">
      <c r="A68" s="262">
        <v>58</v>
      </c>
      <c r="B68" s="261">
        <v>45132</v>
      </c>
      <c r="C68" s="260" t="s">
        <v>1236</v>
      </c>
      <c r="D68" s="259"/>
      <c r="E68" s="259">
        <v>57723500</v>
      </c>
      <c r="F68" s="259" t="s">
        <v>1564</v>
      </c>
    </row>
    <row r="69" spans="1:11" ht="18.75" customHeight="1" x14ac:dyDescent="0.25">
      <c r="A69" s="262">
        <v>59</v>
      </c>
      <c r="B69" s="261">
        <v>45138</v>
      </c>
      <c r="C69" s="260" t="s">
        <v>1043</v>
      </c>
      <c r="D69" s="259">
        <v>224828000</v>
      </c>
      <c r="E69" s="259"/>
      <c r="F69" s="259"/>
    </row>
    <row r="70" spans="1:11" ht="18.75" customHeight="1" x14ac:dyDescent="0.25">
      <c r="A70" s="262">
        <v>60</v>
      </c>
      <c r="B70" s="261"/>
      <c r="C70" s="260" t="s">
        <v>1183</v>
      </c>
      <c r="D70" s="259">
        <v>43292840</v>
      </c>
      <c r="E70" s="259"/>
      <c r="F70" s="259" t="s">
        <v>1497</v>
      </c>
    </row>
    <row r="71" spans="1:11" ht="18.75" customHeight="1" x14ac:dyDescent="0.25">
      <c r="A71" s="262">
        <v>61</v>
      </c>
      <c r="B71" s="261">
        <v>45153</v>
      </c>
      <c r="C71" s="260" t="s">
        <v>1236</v>
      </c>
      <c r="D71" s="259"/>
      <c r="E71" s="259">
        <v>15768840</v>
      </c>
      <c r="F71" s="259"/>
    </row>
    <row r="72" spans="1:11" ht="18.75" customHeight="1" x14ac:dyDescent="0.25">
      <c r="A72" s="262">
        <v>62</v>
      </c>
      <c r="B72" s="261"/>
      <c r="C72" s="260"/>
      <c r="D72" s="259"/>
      <c r="E72" s="259">
        <v>252072000</v>
      </c>
      <c r="F72" s="259"/>
    </row>
    <row r="73" spans="1:11" ht="18.75" customHeight="1" x14ac:dyDescent="0.25">
      <c r="A73" s="262">
        <v>63</v>
      </c>
      <c r="B73" s="261">
        <v>45169</v>
      </c>
      <c r="C73" s="260" t="s">
        <v>259</v>
      </c>
      <c r="D73" s="259">
        <v>321816000</v>
      </c>
      <c r="E73" s="259"/>
      <c r="F73" s="259"/>
    </row>
    <row r="74" spans="1:11" ht="18.75" customHeight="1" x14ac:dyDescent="0.25">
      <c r="A74" s="262">
        <v>64</v>
      </c>
      <c r="B74" s="261"/>
      <c r="C74" s="260" t="s">
        <v>1570</v>
      </c>
      <c r="D74" s="259">
        <v>44276040</v>
      </c>
      <c r="E74" s="259"/>
      <c r="F74" s="259"/>
    </row>
    <row r="75" spans="1:11" ht="18.75" customHeight="1" x14ac:dyDescent="0.25">
      <c r="A75" s="262">
        <v>65</v>
      </c>
      <c r="B75" s="261"/>
      <c r="C75" s="260" t="s">
        <v>1184</v>
      </c>
      <c r="D75" s="259">
        <v>2684000</v>
      </c>
      <c r="E75" s="259"/>
      <c r="F75" s="259"/>
    </row>
    <row r="76" spans="1:11" ht="18.75" customHeight="1" x14ac:dyDescent="0.25">
      <c r="A76" s="262">
        <v>66</v>
      </c>
      <c r="B76" s="261">
        <v>45190</v>
      </c>
      <c r="C76" s="260" t="s">
        <v>1599</v>
      </c>
      <c r="D76" s="259"/>
      <c r="E76" s="259">
        <v>337500000</v>
      </c>
      <c r="F76" s="259"/>
      <c r="K76" s="242"/>
    </row>
    <row r="77" spans="1:11" ht="18.75" customHeight="1" x14ac:dyDescent="0.25">
      <c r="A77" s="262">
        <v>67</v>
      </c>
      <c r="B77" s="261"/>
      <c r="C77" s="260"/>
      <c r="D77" s="259"/>
      <c r="E77" s="259">
        <v>30976040</v>
      </c>
      <c r="F77" s="259"/>
    </row>
    <row r="78" spans="1:11" ht="18.75" customHeight="1" x14ac:dyDescent="0.25">
      <c r="A78" s="262">
        <v>68</v>
      </c>
      <c r="B78" s="261">
        <v>45199</v>
      </c>
      <c r="C78" s="260" t="s">
        <v>299</v>
      </c>
      <c r="D78" s="259">
        <v>171504000</v>
      </c>
      <c r="E78" s="259"/>
      <c r="F78" s="259"/>
    </row>
    <row r="79" spans="1:11" ht="18.75" customHeight="1" x14ac:dyDescent="0.25">
      <c r="A79" s="262">
        <v>69</v>
      </c>
      <c r="B79" s="261"/>
      <c r="C79" s="260" t="s">
        <v>1570</v>
      </c>
      <c r="D79" s="259">
        <v>30760400</v>
      </c>
      <c r="E79" s="259"/>
      <c r="F79" s="259"/>
    </row>
    <row r="80" spans="1:11" ht="18.75" customHeight="1" x14ac:dyDescent="0.25">
      <c r="A80" s="262">
        <v>70</v>
      </c>
      <c r="B80" s="261"/>
      <c r="C80" s="260" t="s">
        <v>1184</v>
      </c>
      <c r="D80" s="259">
        <v>4200000</v>
      </c>
      <c r="E80" s="259"/>
      <c r="F80" s="259"/>
    </row>
    <row r="81" spans="1:6" ht="18.75" customHeight="1" x14ac:dyDescent="0.25">
      <c r="A81" s="262">
        <v>71</v>
      </c>
      <c r="B81" s="261">
        <v>45221</v>
      </c>
      <c r="C81" s="260" t="s">
        <v>1236</v>
      </c>
      <c r="D81" s="259"/>
      <c r="E81" s="259">
        <v>80000000</v>
      </c>
      <c r="F81" s="259"/>
    </row>
    <row r="82" spans="1:6" x14ac:dyDescent="0.25">
      <c r="A82" s="262">
        <v>72</v>
      </c>
      <c r="B82" s="261">
        <v>45224</v>
      </c>
      <c r="C82" s="260" t="s">
        <v>1236</v>
      </c>
      <c r="D82" s="259"/>
      <c r="E82" s="259">
        <v>126264400</v>
      </c>
      <c r="F82" s="259"/>
    </row>
    <row r="83" spans="1:6" x14ac:dyDescent="0.25">
      <c r="A83" s="262">
        <v>73</v>
      </c>
      <c r="B83" s="261">
        <v>45230</v>
      </c>
      <c r="C83" s="260" t="s">
        <v>323</v>
      </c>
      <c r="D83" s="259">
        <v>319781259</v>
      </c>
      <c r="E83" s="259"/>
      <c r="F83" s="259"/>
    </row>
    <row r="84" spans="1:6" x14ac:dyDescent="0.25">
      <c r="A84" s="262">
        <v>74</v>
      </c>
      <c r="B84" s="261">
        <v>45258</v>
      </c>
      <c r="C84" s="260" t="s">
        <v>1236</v>
      </c>
      <c r="D84" s="259"/>
      <c r="E84" s="259">
        <v>180000000</v>
      </c>
      <c r="F84" s="259"/>
    </row>
    <row r="85" spans="1:6" x14ac:dyDescent="0.25">
      <c r="A85" s="262">
        <v>75</v>
      </c>
      <c r="B85" s="261">
        <v>45261</v>
      </c>
      <c r="C85" s="260" t="s">
        <v>1236</v>
      </c>
      <c r="D85" s="259"/>
      <c r="E85" s="259">
        <v>139781259</v>
      </c>
      <c r="F85" s="259"/>
    </row>
    <row r="86" spans="1:6" x14ac:dyDescent="0.25">
      <c r="A86" s="262">
        <v>76</v>
      </c>
      <c r="B86" s="261" t="s">
        <v>1672</v>
      </c>
      <c r="C86" s="260" t="s">
        <v>350</v>
      </c>
      <c r="D86" s="259">
        <v>268060010</v>
      </c>
      <c r="E86" s="259"/>
      <c r="F86" s="259"/>
    </row>
    <row r="87" spans="1:6" x14ac:dyDescent="0.25">
      <c r="A87" s="262">
        <v>77</v>
      </c>
      <c r="B87" s="261">
        <v>45289</v>
      </c>
      <c r="C87" s="260" t="s">
        <v>1236</v>
      </c>
      <c r="D87" s="259"/>
      <c r="E87" s="259">
        <v>266004000</v>
      </c>
      <c r="F87" s="259"/>
    </row>
    <row r="88" spans="1:6" x14ac:dyDescent="0.25">
      <c r="A88" s="262"/>
      <c r="B88" s="261"/>
      <c r="C88" s="260" t="s">
        <v>1236</v>
      </c>
      <c r="D88" s="259"/>
      <c r="E88" s="259">
        <v>2056010</v>
      </c>
      <c r="F88" s="259"/>
    </row>
    <row r="89" spans="1:6" x14ac:dyDescent="0.25">
      <c r="A89" s="262"/>
      <c r="B89" s="261"/>
      <c r="C89" s="260"/>
      <c r="D89" s="259"/>
      <c r="E89" s="259">
        <v>1520000</v>
      </c>
      <c r="F89" s="259"/>
    </row>
    <row r="90" spans="1:6" x14ac:dyDescent="0.25">
      <c r="A90" s="262">
        <v>78</v>
      </c>
      <c r="B90" s="261">
        <v>45657</v>
      </c>
      <c r="C90" s="260" t="s">
        <v>1353</v>
      </c>
      <c r="D90" s="259">
        <v>361260000</v>
      </c>
      <c r="E90" s="259"/>
      <c r="F90" s="259"/>
    </row>
    <row r="91" spans="1:6" x14ac:dyDescent="0.25">
      <c r="A91" s="262">
        <v>79</v>
      </c>
      <c r="B91" s="261"/>
      <c r="C91" s="260" t="s">
        <v>1353</v>
      </c>
      <c r="D91" s="259">
        <v>38380020</v>
      </c>
      <c r="E91" s="259"/>
      <c r="F91" s="259"/>
    </row>
    <row r="92" spans="1:6" x14ac:dyDescent="0.25">
      <c r="A92" s="262">
        <v>80</v>
      </c>
      <c r="B92" s="261">
        <v>45317</v>
      </c>
      <c r="C92" s="260" t="s">
        <v>1236</v>
      </c>
      <c r="D92" s="259"/>
      <c r="E92" s="259">
        <v>361260000</v>
      </c>
      <c r="F92" s="259"/>
    </row>
    <row r="93" spans="1:6" x14ac:dyDescent="0.25">
      <c r="A93" s="262">
        <v>81</v>
      </c>
      <c r="B93" s="261">
        <v>45322</v>
      </c>
      <c r="C93" s="260" t="s">
        <v>1378</v>
      </c>
      <c r="D93" s="259">
        <v>354780000</v>
      </c>
      <c r="E93" s="259"/>
      <c r="F93" s="259"/>
    </row>
    <row r="94" spans="1:6" x14ac:dyDescent="0.25">
      <c r="A94" s="262">
        <v>82</v>
      </c>
      <c r="B94" s="261"/>
      <c r="C94" s="260"/>
      <c r="D94" s="259">
        <v>684930</v>
      </c>
      <c r="E94" s="259"/>
      <c r="F94" s="259"/>
    </row>
    <row r="95" spans="1:6" x14ac:dyDescent="0.25">
      <c r="A95" s="262">
        <v>83</v>
      </c>
      <c r="B95" s="261">
        <v>45329</v>
      </c>
      <c r="C95" s="260" t="s">
        <v>1717</v>
      </c>
      <c r="D95" s="259"/>
      <c r="E95" s="259">
        <v>38380020</v>
      </c>
      <c r="F95" s="259"/>
    </row>
    <row r="96" spans="1:6" x14ac:dyDescent="0.25">
      <c r="A96" s="262">
        <v>84</v>
      </c>
      <c r="B96" s="261">
        <v>45345</v>
      </c>
      <c r="C96" s="260" t="s">
        <v>1236</v>
      </c>
      <c r="D96" s="259"/>
      <c r="E96" s="259">
        <v>354780000</v>
      </c>
      <c r="F96" s="259"/>
    </row>
    <row r="97" spans="1:8" x14ac:dyDescent="0.25">
      <c r="A97" s="262">
        <v>85</v>
      </c>
      <c r="B97" s="261"/>
      <c r="C97" s="260"/>
      <c r="D97" s="259"/>
      <c r="E97" s="259">
        <v>684930</v>
      </c>
      <c r="F97" s="259"/>
    </row>
    <row r="98" spans="1:8" x14ac:dyDescent="0.25">
      <c r="A98" s="262">
        <v>86</v>
      </c>
      <c r="B98" s="261">
        <v>45350</v>
      </c>
      <c r="C98" s="260" t="s">
        <v>1391</v>
      </c>
      <c r="D98" s="259">
        <v>30412600</v>
      </c>
      <c r="E98" s="259"/>
      <c r="F98" s="259"/>
    </row>
    <row r="99" spans="1:8" x14ac:dyDescent="0.25">
      <c r="A99" s="262">
        <v>87</v>
      </c>
      <c r="B99" s="261">
        <v>45369</v>
      </c>
      <c r="C99" s="260" t="s">
        <v>1236</v>
      </c>
      <c r="D99" s="259"/>
      <c r="E99" s="259">
        <v>30412600</v>
      </c>
      <c r="F99" s="259"/>
    </row>
    <row r="100" spans="1:8" x14ac:dyDescent="0.25">
      <c r="A100" s="262">
        <v>88</v>
      </c>
      <c r="B100" s="261">
        <v>45380</v>
      </c>
      <c r="C100" s="260" t="s">
        <v>1415</v>
      </c>
      <c r="D100" s="259">
        <v>23015600</v>
      </c>
      <c r="E100" s="259"/>
      <c r="F100" s="259"/>
    </row>
    <row r="101" spans="1:8" x14ac:dyDescent="0.25">
      <c r="A101" s="262">
        <v>89</v>
      </c>
      <c r="B101" s="261">
        <v>45412</v>
      </c>
      <c r="C101" s="260" t="s">
        <v>1437</v>
      </c>
      <c r="D101" s="259">
        <v>77500000</v>
      </c>
      <c r="E101" s="259"/>
      <c r="F101" s="259"/>
    </row>
    <row r="102" spans="1:8" x14ac:dyDescent="0.25">
      <c r="A102" s="262">
        <v>90</v>
      </c>
      <c r="B102" s="261">
        <v>45406</v>
      </c>
      <c r="C102" s="260" t="s">
        <v>1236</v>
      </c>
      <c r="D102" s="259"/>
      <c r="E102" s="259">
        <v>23015600</v>
      </c>
      <c r="F102" s="259"/>
    </row>
    <row r="103" spans="1:8" x14ac:dyDescent="0.25">
      <c r="A103" s="262">
        <v>91</v>
      </c>
      <c r="B103" s="261">
        <v>45435</v>
      </c>
      <c r="C103" s="260" t="s">
        <v>1236</v>
      </c>
      <c r="D103" s="259"/>
      <c r="E103" s="259">
        <v>75600000</v>
      </c>
      <c r="F103" s="259"/>
    </row>
    <row r="104" spans="1:8" x14ac:dyDescent="0.25">
      <c r="A104" s="262">
        <v>92</v>
      </c>
      <c r="B104" s="261">
        <v>45415</v>
      </c>
      <c r="C104" s="260" t="s">
        <v>1236</v>
      </c>
      <c r="D104" s="259"/>
      <c r="E104" s="259">
        <v>1900000</v>
      </c>
      <c r="F104" s="259"/>
    </row>
    <row r="105" spans="1:8" x14ac:dyDescent="0.25">
      <c r="A105" s="262">
        <v>93</v>
      </c>
      <c r="B105" s="261">
        <v>45443</v>
      </c>
      <c r="C105" s="260" t="s">
        <v>1486</v>
      </c>
      <c r="D105" s="259">
        <v>481706560</v>
      </c>
      <c r="E105" s="259"/>
      <c r="F105" s="259"/>
    </row>
    <row r="106" spans="1:8" x14ac:dyDescent="0.25">
      <c r="A106" s="262">
        <v>94</v>
      </c>
      <c r="B106" s="261">
        <v>45465</v>
      </c>
      <c r="C106" s="260" t="s">
        <v>1236</v>
      </c>
      <c r="D106" s="259"/>
      <c r="E106" s="259">
        <v>200000000</v>
      </c>
      <c r="F106" s="259"/>
    </row>
    <row r="107" spans="1:8" x14ac:dyDescent="0.25">
      <c r="A107" s="262">
        <v>95</v>
      </c>
      <c r="B107" s="261">
        <v>45473</v>
      </c>
      <c r="C107" s="260" t="s">
        <v>1507</v>
      </c>
      <c r="D107" s="259">
        <v>611720951</v>
      </c>
      <c r="E107" s="259"/>
      <c r="F107" s="259"/>
    </row>
    <row r="108" spans="1:8" x14ac:dyDescent="0.25">
      <c r="A108" s="262">
        <v>96</v>
      </c>
      <c r="B108" s="261">
        <v>45478</v>
      </c>
      <c r="C108" s="260" t="s">
        <v>1236</v>
      </c>
      <c r="D108" s="259"/>
      <c r="E108" s="259">
        <v>47856000</v>
      </c>
      <c r="F108" s="259"/>
      <c r="H108" s="242">
        <f>F108-233850560</f>
        <v>-233850560</v>
      </c>
    </row>
    <row r="109" spans="1:8" x14ac:dyDescent="0.25">
      <c r="A109" s="262">
        <v>97</v>
      </c>
      <c r="B109" s="261">
        <v>45483</v>
      </c>
      <c r="C109" s="260" t="s">
        <v>1236</v>
      </c>
      <c r="D109" s="259"/>
      <c r="E109" s="259">
        <v>233850560</v>
      </c>
      <c r="F109" s="259"/>
    </row>
    <row r="110" spans="1:8" x14ac:dyDescent="0.25">
      <c r="A110" s="262">
        <v>98</v>
      </c>
      <c r="B110" s="261">
        <v>45500</v>
      </c>
      <c r="C110" s="260" t="s">
        <v>1848</v>
      </c>
      <c r="D110" s="259"/>
      <c r="E110" s="259">
        <v>200000000</v>
      </c>
      <c r="F110" s="259" t="s">
        <v>1832</v>
      </c>
    </row>
    <row r="111" spans="1:8" x14ac:dyDescent="0.25">
      <c r="A111" s="262">
        <v>99</v>
      </c>
      <c r="B111" s="261"/>
      <c r="C111" s="260" t="s">
        <v>1848</v>
      </c>
      <c r="D111" s="259"/>
      <c r="E111" s="259">
        <v>440951</v>
      </c>
      <c r="F111" s="259" t="s">
        <v>1833</v>
      </c>
    </row>
    <row r="112" spans="1:8" x14ac:dyDescent="0.25">
      <c r="A112" s="262">
        <v>100</v>
      </c>
      <c r="B112" s="261">
        <v>45504</v>
      </c>
      <c r="C112" s="260" t="s">
        <v>1544</v>
      </c>
      <c r="D112" s="259">
        <v>493479320</v>
      </c>
      <c r="E112" s="259"/>
      <c r="F112" s="259"/>
      <c r="H112" s="2">
        <v>475308000</v>
      </c>
    </row>
    <row r="113" spans="1:6" x14ac:dyDescent="0.25">
      <c r="A113" s="262">
        <v>101</v>
      </c>
      <c r="B113" s="261"/>
      <c r="C113" s="260" t="s">
        <v>1848</v>
      </c>
      <c r="D113" s="259"/>
      <c r="E113" s="259">
        <v>100000000</v>
      </c>
      <c r="F113" s="259"/>
    </row>
    <row r="114" spans="1:6" x14ac:dyDescent="0.25">
      <c r="A114" s="262">
        <v>102</v>
      </c>
      <c r="B114" s="261">
        <v>45521</v>
      </c>
      <c r="C114" s="260" t="s">
        <v>1848</v>
      </c>
      <c r="D114" s="259"/>
      <c r="E114" s="259">
        <v>100000000</v>
      </c>
      <c r="F114" s="259"/>
    </row>
    <row r="115" spans="1:6" x14ac:dyDescent="0.25">
      <c r="A115" s="262">
        <v>103</v>
      </c>
      <c r="B115" s="261">
        <v>45535</v>
      </c>
      <c r="C115" s="260" t="s">
        <v>1848</v>
      </c>
      <c r="D115" s="259"/>
      <c r="E115" s="259">
        <v>100000000</v>
      </c>
      <c r="F115" s="259"/>
    </row>
    <row r="116" spans="1:6" x14ac:dyDescent="0.25">
      <c r="A116" s="262">
        <v>104</v>
      </c>
      <c r="B116" s="261">
        <v>45535</v>
      </c>
      <c r="C116" s="260" t="s">
        <v>1572</v>
      </c>
      <c r="D116" s="259">
        <v>507060000</v>
      </c>
      <c r="E116" s="259"/>
      <c r="F116" s="259"/>
    </row>
    <row r="117" spans="1:6" x14ac:dyDescent="0.25">
      <c r="A117" s="262">
        <v>105</v>
      </c>
      <c r="B117" s="261"/>
      <c r="C117" s="260" t="s">
        <v>1572</v>
      </c>
      <c r="D117" s="259">
        <v>15076788</v>
      </c>
      <c r="E117" s="259"/>
      <c r="F117" s="259"/>
    </row>
    <row r="118" spans="1:6" x14ac:dyDescent="0.25">
      <c r="A118" s="262">
        <v>106</v>
      </c>
      <c r="B118" s="261">
        <v>45540</v>
      </c>
      <c r="C118" s="260" t="s">
        <v>1848</v>
      </c>
      <c r="D118" s="259"/>
      <c r="E118" s="259">
        <v>111280000</v>
      </c>
      <c r="F118" s="259"/>
    </row>
    <row r="119" spans="1:6" x14ac:dyDescent="0.25">
      <c r="A119" s="262">
        <v>107</v>
      </c>
      <c r="B119" s="261">
        <v>45541</v>
      </c>
      <c r="C119" s="260" t="s">
        <v>1204</v>
      </c>
      <c r="D119" s="259"/>
      <c r="E119" s="259">
        <v>100000000</v>
      </c>
      <c r="F119" s="259"/>
    </row>
    <row r="120" spans="1:6" x14ac:dyDescent="0.25">
      <c r="A120" s="262">
        <v>108</v>
      </c>
      <c r="B120" s="261">
        <v>45553</v>
      </c>
      <c r="C120" s="260" t="s">
        <v>1204</v>
      </c>
      <c r="D120" s="259"/>
      <c r="E120" s="259">
        <v>100000000</v>
      </c>
      <c r="F120" s="259"/>
    </row>
    <row r="121" spans="1:6" x14ac:dyDescent="0.25">
      <c r="A121" s="262">
        <v>109</v>
      </c>
      <c r="B121" s="261">
        <v>45555</v>
      </c>
      <c r="C121" s="260" t="s">
        <v>1204</v>
      </c>
      <c r="D121" s="259"/>
      <c r="E121" s="259">
        <v>18171320</v>
      </c>
      <c r="F121" s="259" t="s">
        <v>1873</v>
      </c>
    </row>
    <row r="122" spans="1:6" x14ac:dyDescent="0.25">
      <c r="A122" s="262">
        <v>110</v>
      </c>
      <c r="B122" s="261"/>
      <c r="C122" s="260" t="s">
        <v>1204</v>
      </c>
      <c r="D122" s="259"/>
      <c r="E122" s="259">
        <v>140000000</v>
      </c>
      <c r="F122" s="259"/>
    </row>
    <row r="123" spans="1:6" x14ac:dyDescent="0.25">
      <c r="A123" s="262">
        <v>111</v>
      </c>
      <c r="B123" s="261">
        <v>45561</v>
      </c>
      <c r="C123" s="260" t="s">
        <v>1204</v>
      </c>
      <c r="D123" s="259"/>
      <c r="E123" s="259">
        <v>135308000</v>
      </c>
      <c r="F123" s="259"/>
    </row>
    <row r="124" spans="1:6" x14ac:dyDescent="0.25">
      <c r="A124" s="262">
        <v>112</v>
      </c>
      <c r="B124" s="261">
        <v>45568</v>
      </c>
      <c r="C124" s="260" t="s">
        <v>1876</v>
      </c>
      <c r="D124" s="259"/>
      <c r="E124" s="259">
        <v>15076788</v>
      </c>
      <c r="F124" s="259" t="s">
        <v>1873</v>
      </c>
    </row>
    <row r="125" spans="1:6" x14ac:dyDescent="0.25">
      <c r="A125" s="262">
        <v>113</v>
      </c>
      <c r="B125" s="261">
        <v>45568</v>
      </c>
      <c r="C125" s="260" t="s">
        <v>1876</v>
      </c>
      <c r="D125" s="259"/>
      <c r="E125" s="259">
        <v>200000000</v>
      </c>
      <c r="F125" s="259">
        <f>D116-E125</f>
        <v>307060000</v>
      </c>
    </row>
    <row r="126" spans="1:6" x14ac:dyDescent="0.25">
      <c r="A126" s="262">
        <v>114</v>
      </c>
      <c r="B126" s="261">
        <v>45565</v>
      </c>
      <c r="C126" s="260" t="s">
        <v>1603</v>
      </c>
      <c r="D126" s="259">
        <v>547128000</v>
      </c>
      <c r="E126" s="259"/>
      <c r="F126" s="259"/>
    </row>
    <row r="127" spans="1:6" x14ac:dyDescent="0.25">
      <c r="A127" s="262">
        <v>115</v>
      </c>
      <c r="B127" s="261"/>
      <c r="C127" s="260"/>
      <c r="D127" s="259">
        <v>27419600</v>
      </c>
      <c r="E127" s="259"/>
      <c r="F127" s="259"/>
    </row>
    <row r="128" spans="1:6" x14ac:dyDescent="0.25">
      <c r="A128" s="262">
        <v>116</v>
      </c>
      <c r="B128" s="261">
        <v>45580</v>
      </c>
      <c r="C128" s="260" t="s">
        <v>1876</v>
      </c>
      <c r="D128" s="259"/>
      <c r="E128" s="259">
        <v>307060000</v>
      </c>
      <c r="F128" s="259"/>
    </row>
    <row r="129" spans="1:7" x14ac:dyDescent="0.25">
      <c r="A129" s="262">
        <v>117</v>
      </c>
      <c r="B129" s="261">
        <v>45596</v>
      </c>
      <c r="C129" s="260" t="s">
        <v>1236</v>
      </c>
      <c r="D129" s="259"/>
      <c r="E129" s="259">
        <v>200000000</v>
      </c>
      <c r="F129" s="259" t="s">
        <v>1893</v>
      </c>
    </row>
    <row r="130" spans="1:7" x14ac:dyDescent="0.25">
      <c r="A130" s="262">
        <v>118</v>
      </c>
      <c r="B130" s="261">
        <v>45598</v>
      </c>
      <c r="C130" s="260" t="s">
        <v>1236</v>
      </c>
      <c r="D130" s="259"/>
      <c r="E130" s="259">
        <v>27419600</v>
      </c>
      <c r="F130" s="259"/>
    </row>
    <row r="131" spans="1:7" x14ac:dyDescent="0.25">
      <c r="A131" s="262">
        <v>119</v>
      </c>
      <c r="B131" s="261"/>
      <c r="C131" s="260" t="s">
        <v>1236</v>
      </c>
      <c r="D131" s="259"/>
      <c r="E131" s="259">
        <v>347128000</v>
      </c>
      <c r="F131" s="259"/>
    </row>
    <row r="132" spans="1:7" x14ac:dyDescent="0.25">
      <c r="A132" s="262">
        <v>120</v>
      </c>
      <c r="B132" s="261">
        <v>45596</v>
      </c>
      <c r="C132" s="260" t="s">
        <v>1259</v>
      </c>
      <c r="D132" s="259">
        <v>513432000</v>
      </c>
      <c r="E132" s="259"/>
      <c r="F132" s="259"/>
    </row>
    <row r="133" spans="1:7" x14ac:dyDescent="0.25">
      <c r="A133" s="262">
        <v>121</v>
      </c>
      <c r="B133" s="261"/>
      <c r="C133" s="260"/>
      <c r="D133" s="259">
        <v>21732800</v>
      </c>
      <c r="E133" s="259"/>
      <c r="F133" s="259"/>
    </row>
    <row r="134" spans="1:7" x14ac:dyDescent="0.25">
      <c r="A134" s="262">
        <v>122</v>
      </c>
      <c r="B134" s="261">
        <v>45624</v>
      </c>
      <c r="C134" s="260" t="s">
        <v>1599</v>
      </c>
      <c r="D134" s="259"/>
      <c r="E134" s="259">
        <v>21732800</v>
      </c>
      <c r="F134" s="259"/>
    </row>
    <row r="135" spans="1:7" x14ac:dyDescent="0.25">
      <c r="A135" s="262">
        <v>123</v>
      </c>
      <c r="B135" s="261"/>
      <c r="C135" s="260" t="s">
        <v>1236</v>
      </c>
      <c r="D135" s="259"/>
      <c r="E135" s="259">
        <v>250000000</v>
      </c>
      <c r="F135" s="259"/>
    </row>
    <row r="136" spans="1:7" x14ac:dyDescent="0.25">
      <c r="A136" s="262">
        <v>124</v>
      </c>
      <c r="B136" s="261">
        <v>45626</v>
      </c>
      <c r="C136" s="260" t="s">
        <v>1298</v>
      </c>
      <c r="D136" s="259">
        <v>246240000</v>
      </c>
      <c r="E136" s="259"/>
      <c r="F136" s="259"/>
    </row>
    <row r="137" spans="1:7" x14ac:dyDescent="0.25">
      <c r="A137" s="262">
        <v>125</v>
      </c>
      <c r="B137" s="261"/>
      <c r="C137" s="260"/>
      <c r="D137" s="259">
        <v>13307200</v>
      </c>
      <c r="E137" s="259"/>
      <c r="F137" s="259"/>
    </row>
    <row r="138" spans="1:7" x14ac:dyDescent="0.25">
      <c r="A138" s="262">
        <v>126</v>
      </c>
      <c r="B138" s="261">
        <v>45632</v>
      </c>
      <c r="C138" s="260" t="s">
        <v>1257</v>
      </c>
      <c r="D138" s="259"/>
      <c r="E138" s="259">
        <v>263432000</v>
      </c>
      <c r="F138" s="259"/>
    </row>
    <row r="139" spans="1:7" x14ac:dyDescent="0.25">
      <c r="A139" s="262">
        <v>127</v>
      </c>
      <c r="B139" s="261">
        <v>45656</v>
      </c>
      <c r="C139" s="260" t="s">
        <v>1353</v>
      </c>
      <c r="D139" s="259">
        <v>202710800</v>
      </c>
      <c r="E139" s="259"/>
      <c r="F139" s="259" t="s">
        <v>1952</v>
      </c>
      <c r="G139" t="s">
        <v>1953</v>
      </c>
    </row>
    <row r="140" spans="1:7" x14ac:dyDescent="0.25">
      <c r="A140" s="262">
        <v>128</v>
      </c>
      <c r="B140" s="261">
        <v>45666</v>
      </c>
      <c r="C140" s="260" t="s">
        <v>1236</v>
      </c>
      <c r="D140" s="259"/>
      <c r="E140" s="259">
        <v>246240000</v>
      </c>
      <c r="F140" s="259"/>
    </row>
    <row r="141" spans="1:7" x14ac:dyDescent="0.25">
      <c r="A141" s="262">
        <v>129</v>
      </c>
      <c r="B141" s="261">
        <v>45674</v>
      </c>
      <c r="C141" s="260" t="s">
        <v>1257</v>
      </c>
      <c r="D141" s="259"/>
      <c r="E141" s="259">
        <v>13307200</v>
      </c>
      <c r="F141" s="259"/>
    </row>
    <row r="142" spans="1:7" x14ac:dyDescent="0.25">
      <c r="A142" s="262">
        <v>130</v>
      </c>
      <c r="B142" s="261">
        <v>45679</v>
      </c>
      <c r="C142" s="260" t="s">
        <v>1257</v>
      </c>
      <c r="D142" s="259"/>
      <c r="E142" s="259">
        <v>100000000</v>
      </c>
      <c r="F142" s="259"/>
    </row>
    <row r="143" spans="1:7" x14ac:dyDescent="0.25">
      <c r="A143" s="262">
        <v>131</v>
      </c>
      <c r="B143" s="261">
        <v>45681</v>
      </c>
      <c r="C143" s="260" t="s">
        <v>1409</v>
      </c>
      <c r="D143" s="259"/>
      <c r="E143" s="259">
        <v>104984000</v>
      </c>
      <c r="F143" s="259"/>
    </row>
    <row r="144" spans="1:7" x14ac:dyDescent="0.25">
      <c r="A144" s="262">
        <v>132</v>
      </c>
      <c r="B144" s="262"/>
      <c r="C144" s="260" t="s">
        <v>1969</v>
      </c>
      <c r="D144" s="259"/>
      <c r="E144" s="259">
        <v>-2273200</v>
      </c>
      <c r="F144" s="259"/>
    </row>
    <row r="145" spans="1:6" x14ac:dyDescent="0.25">
      <c r="A145" s="262">
        <v>133</v>
      </c>
      <c r="B145" s="261">
        <v>45688</v>
      </c>
      <c r="C145" s="260" t="s">
        <v>1378</v>
      </c>
      <c r="D145" s="259">
        <v>409104000</v>
      </c>
      <c r="E145" s="259"/>
      <c r="F145" s="259"/>
    </row>
    <row r="146" spans="1:6" x14ac:dyDescent="0.25">
      <c r="A146" s="262">
        <v>134</v>
      </c>
      <c r="B146" s="261"/>
      <c r="C146" s="260"/>
      <c r="D146" s="259">
        <v>10150000</v>
      </c>
      <c r="E146" s="259"/>
      <c r="F146" s="259"/>
    </row>
    <row r="147" spans="1:6" x14ac:dyDescent="0.25">
      <c r="A147" s="262">
        <v>135</v>
      </c>
      <c r="B147" s="261">
        <v>45714</v>
      </c>
      <c r="C147" s="260" t="s">
        <v>1409</v>
      </c>
      <c r="D147" s="259"/>
      <c r="E147" s="259">
        <v>409104000</v>
      </c>
      <c r="F147" s="259"/>
    </row>
    <row r="148" spans="1:6" x14ac:dyDescent="0.25">
      <c r="A148" s="262">
        <v>136</v>
      </c>
      <c r="B148" s="261">
        <v>45717</v>
      </c>
      <c r="C148" s="260" t="s">
        <v>1257</v>
      </c>
      <c r="D148" s="259"/>
      <c r="E148" s="259">
        <v>10150000</v>
      </c>
      <c r="F148" s="259"/>
    </row>
    <row r="149" spans="1:6" x14ac:dyDescent="0.25">
      <c r="A149" s="262">
        <v>137</v>
      </c>
      <c r="B149" s="261">
        <v>45717</v>
      </c>
      <c r="C149" s="260" t="s">
        <v>1391</v>
      </c>
      <c r="D149" s="259">
        <v>200880000</v>
      </c>
      <c r="E149" s="259"/>
      <c r="F149" s="259"/>
    </row>
    <row r="150" spans="1:6" x14ac:dyDescent="0.25">
      <c r="A150" s="262">
        <v>138</v>
      </c>
      <c r="B150" s="261"/>
      <c r="C150" s="260"/>
      <c r="D150" s="259">
        <v>6381600</v>
      </c>
      <c r="E150" s="259"/>
      <c r="F150" s="259"/>
    </row>
    <row r="151" spans="1:6" x14ac:dyDescent="0.25">
      <c r="A151" s="315">
        <v>139</v>
      </c>
      <c r="B151" s="261">
        <v>45738</v>
      </c>
      <c r="C151" s="260" t="s">
        <v>1257</v>
      </c>
      <c r="D151" s="259"/>
      <c r="E151" s="259">
        <v>200880000</v>
      </c>
      <c r="F151" s="259"/>
    </row>
    <row r="152" spans="1:6" x14ac:dyDescent="0.25">
      <c r="A152" s="315">
        <v>140</v>
      </c>
      <c r="B152" s="261"/>
      <c r="C152" s="260" t="s">
        <v>1257</v>
      </c>
      <c r="D152" s="259"/>
      <c r="E152" s="259">
        <v>6381600</v>
      </c>
      <c r="F152" s="259"/>
    </row>
    <row r="153" spans="1:6" x14ac:dyDescent="0.25">
      <c r="A153" s="315">
        <v>141</v>
      </c>
      <c r="B153" s="261">
        <v>45747</v>
      </c>
      <c r="C153" s="260" t="s">
        <v>1415</v>
      </c>
      <c r="D153" s="259">
        <v>175284000</v>
      </c>
      <c r="E153" s="259"/>
      <c r="F153" s="259"/>
    </row>
    <row r="154" spans="1:6" x14ac:dyDescent="0.25">
      <c r="A154" s="315">
        <v>142</v>
      </c>
      <c r="B154" s="261"/>
      <c r="C154" s="260"/>
      <c r="D154" s="259">
        <v>12487970</v>
      </c>
      <c r="E154" s="259"/>
      <c r="F154" s="259"/>
    </row>
    <row r="155" spans="1:6" x14ac:dyDescent="0.25">
      <c r="A155" s="315">
        <v>143</v>
      </c>
      <c r="B155" s="261">
        <v>45777</v>
      </c>
      <c r="C155" s="260" t="s">
        <v>1257</v>
      </c>
      <c r="D155" s="259"/>
      <c r="E155" s="259">
        <v>178284000</v>
      </c>
      <c r="F155" s="259"/>
    </row>
    <row r="156" spans="1:6" x14ac:dyDescent="0.25">
      <c r="A156" s="315">
        <v>144</v>
      </c>
      <c r="B156" s="261"/>
      <c r="C156" s="260"/>
      <c r="D156" s="259"/>
      <c r="E156" s="259">
        <v>12487970</v>
      </c>
      <c r="F156" s="259"/>
    </row>
    <row r="157" spans="1:6" x14ac:dyDescent="0.25">
      <c r="A157" s="315">
        <v>145</v>
      </c>
      <c r="B157" s="261">
        <v>45777</v>
      </c>
      <c r="C157" s="260" t="s">
        <v>1437</v>
      </c>
      <c r="D157" s="259">
        <v>643140000</v>
      </c>
      <c r="E157" s="259"/>
      <c r="F157" s="259"/>
    </row>
    <row r="158" spans="1:6" x14ac:dyDescent="0.25">
      <c r="A158" s="315">
        <v>146</v>
      </c>
      <c r="B158" s="261"/>
      <c r="C158" s="260"/>
      <c r="D158" s="259">
        <v>37952000</v>
      </c>
      <c r="E158" s="259"/>
      <c r="F158" s="259"/>
    </row>
    <row r="159" spans="1:6" x14ac:dyDescent="0.25">
      <c r="A159" s="315">
        <v>147</v>
      </c>
      <c r="B159" s="262"/>
      <c r="C159" s="260"/>
      <c r="D159" s="259"/>
      <c r="E159" s="259"/>
      <c r="F159" s="259"/>
    </row>
    <row r="160" spans="1:6" x14ac:dyDescent="0.25">
      <c r="A160" s="315">
        <v>148</v>
      </c>
      <c r="B160" s="262"/>
      <c r="C160" s="260"/>
      <c r="D160" s="259"/>
      <c r="E160" s="259"/>
      <c r="F160" s="259"/>
    </row>
    <row r="161" spans="1:6" x14ac:dyDescent="0.25">
      <c r="A161" s="315">
        <v>149</v>
      </c>
      <c r="B161" s="262"/>
      <c r="C161" s="260"/>
      <c r="D161" s="259"/>
      <c r="E161" s="259"/>
      <c r="F161" s="259"/>
    </row>
    <row r="162" spans="1:6" x14ac:dyDescent="0.25">
      <c r="A162" s="315">
        <v>150</v>
      </c>
      <c r="B162" s="262"/>
      <c r="C162" s="260"/>
      <c r="D162" s="259"/>
      <c r="E162" s="259"/>
      <c r="F162" s="259"/>
    </row>
    <row r="163" spans="1:6" x14ac:dyDescent="0.25">
      <c r="A163" s="315">
        <v>151</v>
      </c>
      <c r="B163" s="262"/>
      <c r="C163" s="260"/>
      <c r="D163" s="259"/>
      <c r="E163" s="259"/>
      <c r="F163" s="259"/>
    </row>
    <row r="164" spans="1:6" x14ac:dyDescent="0.25">
      <c r="A164" s="315">
        <v>152</v>
      </c>
      <c r="B164" s="262"/>
      <c r="C164" s="260"/>
      <c r="D164" s="259"/>
      <c r="E164" s="259"/>
      <c r="F164" s="259"/>
    </row>
    <row r="165" spans="1:6" x14ac:dyDescent="0.25">
      <c r="A165" s="315">
        <v>153</v>
      </c>
      <c r="B165" s="262"/>
      <c r="C165" s="260"/>
      <c r="D165" s="259"/>
      <c r="E165" s="259"/>
      <c r="F165" s="259"/>
    </row>
    <row r="166" spans="1:6" x14ac:dyDescent="0.25">
      <c r="A166" s="315">
        <v>154</v>
      </c>
      <c r="B166" s="262"/>
      <c r="C166" s="260"/>
      <c r="D166" s="259"/>
      <c r="E166" s="259"/>
      <c r="F166" s="259"/>
    </row>
    <row r="167" spans="1:6" x14ac:dyDescent="0.25">
      <c r="A167" s="315">
        <v>155</v>
      </c>
      <c r="B167" s="262"/>
      <c r="C167" s="260"/>
      <c r="D167" s="259"/>
      <c r="E167" s="259"/>
      <c r="F167" s="259"/>
    </row>
    <row r="168" spans="1:6" x14ac:dyDescent="0.25">
      <c r="A168" s="315">
        <v>156</v>
      </c>
      <c r="B168" s="262"/>
      <c r="C168" s="260"/>
      <c r="D168" s="259"/>
      <c r="E168" s="259"/>
      <c r="F168" s="259"/>
    </row>
    <row r="169" spans="1:6" x14ac:dyDescent="0.25">
      <c r="A169" s="315">
        <v>157</v>
      </c>
      <c r="B169" s="262"/>
      <c r="C169" s="260"/>
      <c r="D169" s="259"/>
      <c r="E169" s="259"/>
      <c r="F169" s="259"/>
    </row>
    <row r="170" spans="1:6" x14ac:dyDescent="0.25">
      <c r="A170" s="315">
        <v>158</v>
      </c>
      <c r="B170" s="262"/>
      <c r="C170" s="260"/>
      <c r="D170" s="259"/>
      <c r="E170" s="259"/>
      <c r="F170" s="259"/>
    </row>
    <row r="171" spans="1:6" x14ac:dyDescent="0.25">
      <c r="A171" s="315">
        <v>159</v>
      </c>
      <c r="B171" s="262"/>
      <c r="C171" s="260"/>
      <c r="D171" s="259"/>
      <c r="E171" s="259"/>
      <c r="F171" s="259"/>
    </row>
    <row r="172" spans="1:6" x14ac:dyDescent="0.25">
      <c r="A172" s="315">
        <v>160</v>
      </c>
      <c r="B172" s="262"/>
      <c r="C172" s="260"/>
      <c r="D172" s="259"/>
      <c r="E172" s="259"/>
      <c r="F172" s="259"/>
    </row>
    <row r="173" spans="1:6" x14ac:dyDescent="0.25">
      <c r="A173" s="315">
        <v>161</v>
      </c>
      <c r="B173" s="262"/>
      <c r="C173" s="260"/>
      <c r="D173" s="259"/>
      <c r="E173" s="259"/>
      <c r="F173" s="259"/>
    </row>
    <row r="174" spans="1:6" x14ac:dyDescent="0.25">
      <c r="A174" s="315">
        <v>162</v>
      </c>
      <c r="B174" s="262"/>
      <c r="C174" s="260"/>
      <c r="D174" s="259"/>
      <c r="E174" s="259"/>
      <c r="F174" s="259"/>
    </row>
    <row r="175" spans="1:6" x14ac:dyDescent="0.25">
      <c r="A175" s="315">
        <v>163</v>
      </c>
      <c r="B175" s="262"/>
      <c r="C175" s="260"/>
      <c r="D175" s="259"/>
      <c r="E175" s="259"/>
      <c r="F175" s="259"/>
    </row>
    <row r="176" spans="1:6" x14ac:dyDescent="0.25">
      <c r="A176" s="315">
        <v>164</v>
      </c>
      <c r="B176" s="262"/>
      <c r="C176" s="260"/>
      <c r="D176" s="259"/>
      <c r="E176" s="259"/>
      <c r="F176" s="259"/>
    </row>
    <row r="177" spans="1:6" x14ac:dyDescent="0.25">
      <c r="A177" s="315">
        <v>165</v>
      </c>
      <c r="B177" s="262"/>
      <c r="C177" s="260"/>
      <c r="D177" s="259"/>
      <c r="E177" s="259"/>
      <c r="F177" s="259"/>
    </row>
    <row r="178" spans="1:6" x14ac:dyDescent="0.25">
      <c r="A178" s="315">
        <v>166</v>
      </c>
      <c r="B178" s="262"/>
      <c r="C178" s="260"/>
      <c r="D178" s="259"/>
      <c r="E178" s="259"/>
      <c r="F178" s="259"/>
    </row>
    <row r="179" spans="1:6" x14ac:dyDescent="0.25">
      <c r="A179" s="315">
        <v>167</v>
      </c>
      <c r="B179" s="262"/>
      <c r="C179" s="260"/>
      <c r="D179" s="259"/>
      <c r="E179" s="259"/>
      <c r="F179" s="259"/>
    </row>
    <row r="180" spans="1:6" x14ac:dyDescent="0.25">
      <c r="A180" s="315">
        <v>168</v>
      </c>
      <c r="B180" s="262"/>
      <c r="C180" s="260"/>
      <c r="D180" s="259"/>
      <c r="E180" s="259"/>
      <c r="F180" s="259"/>
    </row>
    <row r="181" spans="1:6" x14ac:dyDescent="0.25">
      <c r="A181" s="315">
        <v>169</v>
      </c>
      <c r="B181" s="262"/>
      <c r="C181" s="260"/>
      <c r="D181" s="259"/>
      <c r="E181" s="259"/>
      <c r="F181" s="259"/>
    </row>
    <row r="182" spans="1:6" x14ac:dyDescent="0.25">
      <c r="A182" s="315">
        <v>170</v>
      </c>
      <c r="B182" s="262"/>
      <c r="C182" s="260"/>
      <c r="D182" s="259"/>
      <c r="E182" s="259"/>
      <c r="F182" s="259"/>
    </row>
    <row r="183" spans="1:6" x14ac:dyDescent="0.25">
      <c r="A183" s="315">
        <v>171</v>
      </c>
      <c r="B183" s="262"/>
      <c r="C183" s="260"/>
      <c r="D183" s="259"/>
      <c r="E183" s="259"/>
      <c r="F183" s="259"/>
    </row>
    <row r="184" spans="1:6" x14ac:dyDescent="0.25">
      <c r="A184" s="315">
        <v>172</v>
      </c>
      <c r="B184" s="262"/>
      <c r="C184" s="260"/>
      <c r="D184" s="259"/>
      <c r="E184" s="259"/>
      <c r="F184" s="259"/>
    </row>
    <row r="185" spans="1:6" x14ac:dyDescent="0.25">
      <c r="A185" s="315">
        <v>173</v>
      </c>
      <c r="B185" s="262"/>
      <c r="C185" s="260"/>
      <c r="D185" s="259"/>
      <c r="E185" s="259"/>
      <c r="F185" s="259"/>
    </row>
    <row r="186" spans="1:6" x14ac:dyDescent="0.25">
      <c r="A186" s="315">
        <v>174</v>
      </c>
      <c r="B186" s="262"/>
      <c r="C186" s="260"/>
      <c r="D186" s="259"/>
      <c r="E186" s="259"/>
      <c r="F186" s="259"/>
    </row>
    <row r="187" spans="1:6" x14ac:dyDescent="0.25">
      <c r="A187" s="315">
        <v>175</v>
      </c>
      <c r="B187" s="262"/>
      <c r="C187" s="260"/>
      <c r="D187" s="259"/>
      <c r="E187" s="259"/>
      <c r="F187" s="259"/>
    </row>
    <row r="188" spans="1:6" x14ac:dyDescent="0.25">
      <c r="A188" s="315">
        <v>176</v>
      </c>
      <c r="B188" s="262"/>
      <c r="C188" s="260"/>
      <c r="D188" s="259"/>
      <c r="E188" s="259"/>
      <c r="F188" s="259"/>
    </row>
    <row r="189" spans="1:6" x14ac:dyDescent="0.25">
      <c r="A189" s="315">
        <v>177</v>
      </c>
      <c r="B189" s="262"/>
      <c r="C189" s="260"/>
      <c r="D189" s="259"/>
      <c r="E189" s="259"/>
      <c r="F189" s="259"/>
    </row>
    <row r="190" spans="1:6" x14ac:dyDescent="0.25">
      <c r="A190" s="315">
        <v>178</v>
      </c>
      <c r="B190" s="262"/>
      <c r="C190" s="260"/>
      <c r="D190" s="259"/>
      <c r="E190" s="259"/>
      <c r="F190" s="259"/>
    </row>
    <row r="191" spans="1:6" x14ac:dyDescent="0.25">
      <c r="A191" s="315">
        <v>179</v>
      </c>
      <c r="B191" s="262"/>
      <c r="C191" s="260"/>
      <c r="D191" s="259"/>
      <c r="E191" s="259"/>
      <c r="F191" s="259"/>
    </row>
    <row r="192" spans="1:6" x14ac:dyDescent="0.25">
      <c r="A192" s="315">
        <v>180</v>
      </c>
      <c r="B192" s="262"/>
      <c r="C192" s="260"/>
      <c r="D192" s="259"/>
      <c r="E192" s="259"/>
      <c r="F192" s="259"/>
    </row>
    <row r="193" spans="1:6" x14ac:dyDescent="0.25">
      <c r="A193" s="315">
        <v>181</v>
      </c>
      <c r="B193" s="262"/>
      <c r="C193" s="260"/>
      <c r="D193" s="259"/>
      <c r="E193" s="259"/>
      <c r="F193" s="259"/>
    </row>
    <row r="194" spans="1:6" x14ac:dyDescent="0.25">
      <c r="A194" s="315">
        <v>182</v>
      </c>
      <c r="B194" s="262"/>
      <c r="C194" s="260"/>
      <c r="D194" s="259"/>
      <c r="E194" s="259"/>
      <c r="F194" s="259"/>
    </row>
    <row r="195" spans="1:6" x14ac:dyDescent="0.25">
      <c r="A195" s="315">
        <v>183</v>
      </c>
      <c r="B195" s="262"/>
      <c r="C195" s="260"/>
      <c r="D195" s="259"/>
      <c r="E195" s="259"/>
      <c r="F195" s="259"/>
    </row>
    <row r="196" spans="1:6" x14ac:dyDescent="0.25">
      <c r="A196" s="315">
        <v>184</v>
      </c>
      <c r="B196" s="262"/>
      <c r="C196" s="260"/>
      <c r="D196" s="259"/>
      <c r="E196" s="259"/>
      <c r="F196" s="259"/>
    </row>
    <row r="197" spans="1:6" x14ac:dyDescent="0.25">
      <c r="A197" s="315">
        <v>185</v>
      </c>
      <c r="B197" s="262"/>
      <c r="C197" s="260"/>
      <c r="D197" s="259"/>
      <c r="E197" s="259"/>
      <c r="F197" s="259"/>
    </row>
    <row r="198" spans="1:6" x14ac:dyDescent="0.25">
      <c r="A198" s="315">
        <v>186</v>
      </c>
      <c r="B198" s="262"/>
      <c r="C198" s="260"/>
      <c r="D198" s="259"/>
      <c r="E198" s="259"/>
      <c r="F198" s="259"/>
    </row>
    <row r="199" spans="1:6" x14ac:dyDescent="0.25">
      <c r="A199" s="315">
        <v>187</v>
      </c>
      <c r="B199" s="262"/>
      <c r="C199" s="260"/>
      <c r="D199" s="259"/>
      <c r="E199" s="259"/>
      <c r="F199" s="259"/>
    </row>
    <row r="200" spans="1:6" x14ac:dyDescent="0.25">
      <c r="A200" s="315">
        <v>188</v>
      </c>
      <c r="B200" s="262"/>
      <c r="C200" s="260"/>
      <c r="D200" s="259"/>
      <c r="E200" s="259"/>
      <c r="F200" s="259"/>
    </row>
    <row r="201" spans="1:6" x14ac:dyDescent="0.25">
      <c r="A201" s="315">
        <v>189</v>
      </c>
      <c r="B201" s="262"/>
      <c r="C201" s="260"/>
      <c r="D201" s="259"/>
      <c r="E201" s="259"/>
      <c r="F201" s="259"/>
    </row>
    <row r="202" spans="1:6" x14ac:dyDescent="0.25">
      <c r="A202" s="315">
        <v>190</v>
      </c>
      <c r="B202" s="262"/>
      <c r="C202" s="260"/>
      <c r="D202" s="259"/>
      <c r="E202" s="259"/>
      <c r="F202" s="259"/>
    </row>
    <row r="203" spans="1:6" x14ac:dyDescent="0.25">
      <c r="A203" s="315">
        <v>191</v>
      </c>
      <c r="B203" s="262"/>
      <c r="C203" s="260"/>
      <c r="D203" s="259"/>
      <c r="E203" s="259"/>
      <c r="F203" s="259"/>
    </row>
    <row r="204" spans="1:6" x14ac:dyDescent="0.25">
      <c r="A204" s="315">
        <v>192</v>
      </c>
      <c r="B204" s="262"/>
      <c r="C204" s="260"/>
      <c r="D204" s="259"/>
      <c r="E204" s="259"/>
      <c r="F204" s="259"/>
    </row>
    <row r="205" spans="1:6" x14ac:dyDescent="0.25">
      <c r="A205" s="315">
        <v>193</v>
      </c>
      <c r="B205" s="262"/>
      <c r="C205" s="260"/>
      <c r="D205" s="259"/>
      <c r="E205" s="259"/>
      <c r="F205" s="259"/>
    </row>
    <row r="206" spans="1:6" x14ac:dyDescent="0.25">
      <c r="A206" s="315">
        <v>194</v>
      </c>
      <c r="B206" s="262"/>
      <c r="C206" s="260"/>
      <c r="D206" s="259"/>
      <c r="E206" s="259"/>
      <c r="F206" s="259"/>
    </row>
    <row r="207" spans="1:6" x14ac:dyDescent="0.25">
      <c r="A207" s="315">
        <v>195</v>
      </c>
      <c r="B207" s="262"/>
      <c r="C207" s="260"/>
      <c r="D207" s="259"/>
      <c r="E207" s="259"/>
      <c r="F207" s="259"/>
    </row>
    <row r="208" spans="1:6" x14ac:dyDescent="0.25">
      <c r="A208" s="315">
        <v>196</v>
      </c>
      <c r="B208" s="262"/>
      <c r="C208" s="260"/>
      <c r="D208" s="259"/>
      <c r="E208" s="259"/>
      <c r="F208" s="259"/>
    </row>
    <row r="209" spans="1:6" x14ac:dyDescent="0.25">
      <c r="A209" s="315">
        <v>197</v>
      </c>
      <c r="B209" s="262"/>
      <c r="C209" s="260"/>
      <c r="D209" s="259"/>
      <c r="E209" s="259"/>
      <c r="F209" s="259"/>
    </row>
    <row r="210" spans="1:6" x14ac:dyDescent="0.25">
      <c r="A210" s="315">
        <v>198</v>
      </c>
      <c r="B210" s="262"/>
      <c r="C210" s="260"/>
      <c r="D210" s="259"/>
      <c r="E210" s="259"/>
      <c r="F210" s="259"/>
    </row>
    <row r="211" spans="1:6" x14ac:dyDescent="0.25">
      <c r="A211" s="315">
        <v>199</v>
      </c>
      <c r="B211" s="262"/>
      <c r="C211" s="260"/>
      <c r="D211" s="259"/>
      <c r="E211" s="259"/>
      <c r="F211" s="259"/>
    </row>
    <row r="212" spans="1:6" x14ac:dyDescent="0.25">
      <c r="B212" s="262"/>
      <c r="C212" s="260"/>
      <c r="D212" s="259"/>
      <c r="E212" s="259"/>
      <c r="F212" s="259"/>
    </row>
    <row r="213" spans="1:6" x14ac:dyDescent="0.25">
      <c r="B213" s="262"/>
      <c r="C213" s="260"/>
      <c r="D213" s="259"/>
      <c r="E213" s="259"/>
      <c r="F213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6729CF06-07B5-4E26-B158-4544475D3031}"/>
  </hyperlink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1134-E112-4C63-9E97-0B5B3FC0C77C}">
  <dimension ref="A1:H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  <col min="7" max="7" width="11.28515625" bestFit="1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1281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1838972000</v>
      </c>
    </row>
    <row r="6" spans="1:7" x14ac:dyDescent="0.25">
      <c r="E6" s="2" t="s">
        <v>11</v>
      </c>
      <c r="F6" s="2">
        <f>SUM(E10:E68)</f>
        <v>1838972000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44879</v>
      </c>
      <c r="C11" s="260" t="s">
        <v>1282</v>
      </c>
      <c r="D11" s="279">
        <v>189486000</v>
      </c>
      <c r="E11" s="259"/>
      <c r="F11" s="259"/>
      <c r="G11" s="242"/>
    </row>
    <row r="12" spans="1:7" ht="18.75" customHeight="1" x14ac:dyDescent="0.25">
      <c r="A12" s="262">
        <v>2</v>
      </c>
      <c r="B12" s="261">
        <v>44880</v>
      </c>
      <c r="C12" s="260" t="s">
        <v>1283</v>
      </c>
      <c r="D12" s="279">
        <v>198450000</v>
      </c>
      <c r="E12" s="259"/>
      <c r="F12" s="259"/>
      <c r="G12" s="242"/>
    </row>
    <row r="13" spans="1:7" ht="18.75" customHeight="1" x14ac:dyDescent="0.25">
      <c r="A13" s="262">
        <v>3</v>
      </c>
      <c r="B13" s="261">
        <v>44889</v>
      </c>
      <c r="C13" s="260" t="s">
        <v>1284</v>
      </c>
      <c r="D13" s="279"/>
      <c r="E13" s="259">
        <v>189486000</v>
      </c>
      <c r="F13" s="259"/>
      <c r="G13" s="242"/>
    </row>
    <row r="14" spans="1:7" ht="18.75" customHeight="1" x14ac:dyDescent="0.25">
      <c r="A14" s="262">
        <v>4</v>
      </c>
      <c r="B14" s="261">
        <v>44890</v>
      </c>
      <c r="C14" s="260" t="s">
        <v>1285</v>
      </c>
      <c r="D14" s="279">
        <v>196614000</v>
      </c>
      <c r="E14" s="259"/>
      <c r="F14" s="259"/>
      <c r="G14" s="242"/>
    </row>
    <row r="15" spans="1:7" ht="18.75" customHeight="1" x14ac:dyDescent="0.25">
      <c r="A15" s="262">
        <v>5</v>
      </c>
      <c r="B15" s="261">
        <v>44902</v>
      </c>
      <c r="C15" s="260" t="s">
        <v>1284</v>
      </c>
      <c r="D15" s="279"/>
      <c r="E15" s="259">
        <v>198450000</v>
      </c>
      <c r="F15" s="259"/>
      <c r="G15" s="242"/>
    </row>
    <row r="16" spans="1:7" ht="18.75" customHeight="1" x14ac:dyDescent="0.25">
      <c r="A16" s="262">
        <v>6</v>
      </c>
      <c r="B16" s="261">
        <v>44924</v>
      </c>
      <c r="C16" s="260" t="s">
        <v>1284</v>
      </c>
      <c r="D16" s="279"/>
      <c r="E16" s="259">
        <v>196614000</v>
      </c>
      <c r="F16" s="259"/>
      <c r="G16" s="242"/>
    </row>
    <row r="17" spans="1:8" ht="18.75" customHeight="1" x14ac:dyDescent="0.25">
      <c r="A17" s="262">
        <v>7</v>
      </c>
      <c r="B17" s="261">
        <v>44968</v>
      </c>
      <c r="C17" s="260" t="s">
        <v>1379</v>
      </c>
      <c r="D17" s="279">
        <v>142050000</v>
      </c>
      <c r="E17" s="259"/>
      <c r="F17" s="259" t="s">
        <v>1407</v>
      </c>
      <c r="G17" s="242"/>
    </row>
    <row r="18" spans="1:8" ht="18.75" customHeight="1" x14ac:dyDescent="0.25">
      <c r="A18" s="262">
        <v>8</v>
      </c>
      <c r="B18" s="261">
        <v>44984</v>
      </c>
      <c r="C18" s="260" t="s">
        <v>1284</v>
      </c>
      <c r="D18" s="279"/>
      <c r="E18" s="259">
        <v>142050000</v>
      </c>
      <c r="F18" s="259"/>
    </row>
    <row r="19" spans="1:8" ht="18.75" customHeight="1" x14ac:dyDescent="0.25">
      <c r="A19" s="262">
        <v>9</v>
      </c>
      <c r="B19" s="261">
        <v>44987</v>
      </c>
      <c r="C19" s="260" t="s">
        <v>1406</v>
      </c>
      <c r="D19" s="259">
        <v>141515000</v>
      </c>
      <c r="E19" s="259"/>
      <c r="F19" s="259" t="s">
        <v>1408</v>
      </c>
    </row>
    <row r="20" spans="1:8" ht="18.75" customHeight="1" x14ac:dyDescent="0.3">
      <c r="A20" s="262">
        <v>10</v>
      </c>
      <c r="B20" s="261">
        <v>44995</v>
      </c>
      <c r="C20" s="260" t="s">
        <v>1284</v>
      </c>
      <c r="D20" s="259"/>
      <c r="E20" s="259">
        <v>141515000</v>
      </c>
      <c r="F20" s="259"/>
      <c r="H20" s="318"/>
    </row>
    <row r="21" spans="1:8" ht="18.75" customHeight="1" x14ac:dyDescent="0.25">
      <c r="A21" s="262">
        <v>11</v>
      </c>
      <c r="B21" s="261">
        <v>45001</v>
      </c>
      <c r="C21" s="260" t="s">
        <v>1379</v>
      </c>
      <c r="D21" s="259">
        <v>152625000</v>
      </c>
      <c r="E21" s="259"/>
      <c r="F21" s="259"/>
    </row>
    <row r="22" spans="1:8" ht="18.75" customHeight="1" x14ac:dyDescent="0.25">
      <c r="A22" s="262">
        <v>12</v>
      </c>
      <c r="B22" s="261">
        <v>45006</v>
      </c>
      <c r="C22" s="260" t="s">
        <v>1284</v>
      </c>
      <c r="D22" s="259"/>
      <c r="E22" s="259">
        <v>152625000</v>
      </c>
      <c r="F22" s="259"/>
    </row>
    <row r="23" spans="1:8" ht="18.75" customHeight="1" x14ac:dyDescent="0.25">
      <c r="A23" s="262">
        <v>13</v>
      </c>
      <c r="B23" s="261">
        <v>45015</v>
      </c>
      <c r="C23" s="260" t="s">
        <v>1406</v>
      </c>
      <c r="D23" s="259">
        <v>212190000</v>
      </c>
      <c r="E23" s="259"/>
      <c r="F23" s="259"/>
    </row>
    <row r="24" spans="1:8" ht="18.75" customHeight="1" x14ac:dyDescent="0.25">
      <c r="A24" s="262">
        <v>14</v>
      </c>
      <c r="B24" s="261">
        <v>45028</v>
      </c>
      <c r="C24" s="317" t="s">
        <v>1284</v>
      </c>
      <c r="D24" s="285"/>
      <c r="E24" s="259">
        <v>212190000</v>
      </c>
      <c r="F24" s="259"/>
    </row>
    <row r="25" spans="1:8" ht="18.75" customHeight="1" x14ac:dyDescent="0.25">
      <c r="A25" s="262">
        <v>15</v>
      </c>
      <c r="B25" s="261">
        <v>45033</v>
      </c>
      <c r="C25" s="260" t="s">
        <v>1428</v>
      </c>
      <c r="D25" s="259">
        <f>28*5550000*1.1+59302000</f>
        <v>230242000</v>
      </c>
      <c r="E25" s="259"/>
      <c r="F25" s="259"/>
    </row>
    <row r="26" spans="1:8" ht="18.75" customHeight="1" x14ac:dyDescent="0.25">
      <c r="A26" s="262">
        <v>16</v>
      </c>
      <c r="B26" s="261">
        <v>45062</v>
      </c>
      <c r="C26" s="260" t="s">
        <v>1284</v>
      </c>
      <c r="D26" s="259"/>
      <c r="E26" s="259">
        <v>158730000</v>
      </c>
      <c r="F26" s="259"/>
    </row>
    <row r="27" spans="1:8" ht="18.75" customHeight="1" x14ac:dyDescent="0.25">
      <c r="A27" s="262">
        <v>17</v>
      </c>
      <c r="B27" s="261">
        <v>45062</v>
      </c>
      <c r="C27" s="260" t="s">
        <v>1473</v>
      </c>
      <c r="D27" s="259"/>
      <c r="E27" s="259">
        <v>71512000</v>
      </c>
      <c r="F27" s="259"/>
    </row>
    <row r="28" spans="1:8" ht="18.75" customHeight="1" x14ac:dyDescent="0.25">
      <c r="A28" s="262">
        <v>18</v>
      </c>
      <c r="B28" s="261">
        <v>45162</v>
      </c>
      <c r="C28" s="260" t="s">
        <v>1605</v>
      </c>
      <c r="D28" s="259">
        <v>116550000</v>
      </c>
      <c r="E28" s="259"/>
      <c r="F28" s="259"/>
    </row>
    <row r="29" spans="1:8" ht="18.75" customHeight="1" x14ac:dyDescent="0.25">
      <c r="A29" s="262">
        <v>19</v>
      </c>
      <c r="B29" s="261">
        <v>45176</v>
      </c>
      <c r="C29" s="260" t="s">
        <v>1606</v>
      </c>
      <c r="D29" s="259">
        <v>107450000</v>
      </c>
      <c r="E29" s="259"/>
      <c r="F29" s="259" t="s">
        <v>1586</v>
      </c>
    </row>
    <row r="30" spans="1:8" ht="18.75" customHeight="1" x14ac:dyDescent="0.25">
      <c r="A30" s="262">
        <v>20</v>
      </c>
      <c r="B30" s="261">
        <v>45211</v>
      </c>
      <c r="C30" s="260" t="s">
        <v>1284</v>
      </c>
      <c r="D30" s="285"/>
      <c r="E30" s="259">
        <v>116550000</v>
      </c>
      <c r="F30" s="259"/>
    </row>
    <row r="31" spans="1:8" ht="18.75" customHeight="1" x14ac:dyDescent="0.25">
      <c r="A31" s="262">
        <v>21</v>
      </c>
      <c r="B31" s="261">
        <v>45217</v>
      </c>
      <c r="C31" s="260" t="s">
        <v>1630</v>
      </c>
      <c r="D31" s="259">
        <v>68100000</v>
      </c>
      <c r="E31" s="259"/>
      <c r="F31" s="259"/>
    </row>
    <row r="32" spans="1:8" ht="18.75" customHeight="1" x14ac:dyDescent="0.25">
      <c r="A32" s="262">
        <v>22</v>
      </c>
      <c r="B32" s="261">
        <v>45231</v>
      </c>
      <c r="C32" s="260" t="s">
        <v>1284</v>
      </c>
      <c r="D32" s="259"/>
      <c r="E32" s="259">
        <v>175550000</v>
      </c>
      <c r="F32" s="259"/>
    </row>
    <row r="33" spans="1:6" ht="18.75" customHeight="1" x14ac:dyDescent="0.25">
      <c r="A33" s="262">
        <v>23</v>
      </c>
      <c r="B33" s="261">
        <v>45294</v>
      </c>
      <c r="C33" s="260" t="s">
        <v>1703</v>
      </c>
      <c r="D33" s="259">
        <v>36000000</v>
      </c>
      <c r="E33" s="259"/>
      <c r="F33" s="259"/>
    </row>
    <row r="34" spans="1:6" ht="18.75" customHeight="1" x14ac:dyDescent="0.25">
      <c r="A34" s="262">
        <v>24</v>
      </c>
      <c r="B34" s="261">
        <v>45329</v>
      </c>
      <c r="C34" s="260" t="s">
        <v>1284</v>
      </c>
      <c r="D34" s="259"/>
      <c r="E34" s="259">
        <v>36000000</v>
      </c>
      <c r="F34" s="259"/>
    </row>
    <row r="35" spans="1:6" ht="18.75" customHeight="1" x14ac:dyDescent="0.25">
      <c r="A35" s="262">
        <v>25</v>
      </c>
      <c r="B35" s="261">
        <v>45429</v>
      </c>
      <c r="C35" s="260" t="s">
        <v>1784</v>
      </c>
      <c r="D35" s="259">
        <v>10600000</v>
      </c>
      <c r="E35" s="259"/>
      <c r="F35" s="259"/>
    </row>
    <row r="36" spans="1:6" ht="18.75" customHeight="1" x14ac:dyDescent="0.25">
      <c r="A36" s="262">
        <v>26</v>
      </c>
      <c r="B36" s="261">
        <v>45428</v>
      </c>
      <c r="C36" s="260" t="s">
        <v>1284</v>
      </c>
      <c r="D36" s="259"/>
      <c r="E36" s="259">
        <v>10600000</v>
      </c>
      <c r="F36" s="259"/>
    </row>
    <row r="37" spans="1:6" ht="18.75" customHeight="1" x14ac:dyDescent="0.25">
      <c r="A37" s="262">
        <v>27</v>
      </c>
      <c r="B37" s="261">
        <v>45470</v>
      </c>
      <c r="C37" s="260" t="s">
        <v>1784</v>
      </c>
      <c r="D37" s="259">
        <v>5300000</v>
      </c>
      <c r="E37" s="259"/>
      <c r="F37" s="259"/>
    </row>
    <row r="38" spans="1:6" ht="18.75" customHeight="1" x14ac:dyDescent="0.25">
      <c r="A38" s="262">
        <v>28</v>
      </c>
      <c r="B38" s="261">
        <v>45487</v>
      </c>
      <c r="C38" s="260" t="s">
        <v>1284</v>
      </c>
      <c r="D38" s="259"/>
      <c r="E38" s="259">
        <v>5300000</v>
      </c>
      <c r="F38" s="259"/>
    </row>
    <row r="39" spans="1:6" ht="18.75" customHeight="1" x14ac:dyDescent="0.25">
      <c r="A39" s="260">
        <v>29</v>
      </c>
      <c r="B39" s="261">
        <v>45530</v>
      </c>
      <c r="C39" s="260" t="s">
        <v>1784</v>
      </c>
      <c r="D39" s="259">
        <v>31800000</v>
      </c>
      <c r="E39" s="259"/>
      <c r="F39" s="259"/>
    </row>
    <row r="40" spans="1:6" ht="18.75" customHeight="1" x14ac:dyDescent="0.25">
      <c r="A40" s="260"/>
      <c r="B40" s="261">
        <v>45583</v>
      </c>
      <c r="C40" s="260" t="s">
        <v>1284</v>
      </c>
      <c r="D40" s="259"/>
      <c r="E40" s="259">
        <v>31800000</v>
      </c>
      <c r="F40" s="259"/>
    </row>
    <row r="41" spans="1:6" ht="18.75" customHeight="1" x14ac:dyDescent="0.25">
      <c r="A41" s="260"/>
      <c r="B41" s="261"/>
      <c r="C41" s="260"/>
      <c r="D41" s="259"/>
      <c r="E41" s="259"/>
      <c r="F41" s="259"/>
    </row>
    <row r="42" spans="1:6" ht="18.75" customHeight="1" x14ac:dyDescent="0.25">
      <c r="A42" s="260"/>
      <c r="B42" s="262"/>
      <c r="C42" s="260"/>
      <c r="D42" s="259"/>
      <c r="E42" s="259"/>
      <c r="F42" s="259"/>
    </row>
    <row r="43" spans="1:6" ht="18.75" customHeight="1" x14ac:dyDescent="0.25">
      <c r="A43" s="260"/>
      <c r="B43" s="262"/>
      <c r="C43" s="260"/>
      <c r="D43" s="259"/>
      <c r="E43" s="259"/>
      <c r="F43" s="259"/>
    </row>
    <row r="44" spans="1:6" ht="18.75" customHeight="1" x14ac:dyDescent="0.25">
      <c r="A44" s="260"/>
      <c r="B44" s="262"/>
      <c r="C44" s="260"/>
      <c r="D44" s="259"/>
      <c r="E44" s="259"/>
      <c r="F44" s="259"/>
    </row>
    <row r="45" spans="1:6" ht="18.75" customHeight="1" x14ac:dyDescent="0.25">
      <c r="A45" s="260"/>
      <c r="B45" s="262"/>
      <c r="C45" s="260"/>
      <c r="D45" s="259"/>
      <c r="E45" s="259"/>
      <c r="F45" s="259"/>
    </row>
    <row r="46" spans="1:6" ht="18.75" customHeight="1" x14ac:dyDescent="0.25">
      <c r="A46" s="260"/>
      <c r="B46" s="262"/>
      <c r="C46" s="260"/>
      <c r="D46" s="259"/>
      <c r="E46" s="259"/>
      <c r="F46" s="259"/>
    </row>
    <row r="47" spans="1:6" ht="18.75" customHeight="1" x14ac:dyDescent="0.25">
      <c r="A47" s="260"/>
      <c r="B47" s="262"/>
      <c r="C47" s="260"/>
      <c r="D47" s="259"/>
      <c r="E47" s="259"/>
      <c r="F47" s="259"/>
    </row>
    <row r="48" spans="1:6" ht="18.75" customHeight="1" x14ac:dyDescent="0.25">
      <c r="A48" s="260"/>
      <c r="B48" s="262"/>
      <c r="C48" s="260"/>
      <c r="D48" s="259"/>
      <c r="E48" s="259"/>
      <c r="F48" s="259"/>
    </row>
    <row r="49" spans="1:6" ht="18.75" customHeight="1" x14ac:dyDescent="0.25">
      <c r="A49" s="260"/>
      <c r="B49" s="262"/>
      <c r="C49" s="260"/>
      <c r="D49" s="259"/>
      <c r="E49" s="259"/>
      <c r="F49" s="259"/>
    </row>
    <row r="50" spans="1:6" ht="18.75" customHeight="1" x14ac:dyDescent="0.25">
      <c r="A50" s="260"/>
      <c r="B50" s="262"/>
      <c r="C50" s="260"/>
      <c r="D50" s="259"/>
      <c r="E50" s="259"/>
      <c r="F50" s="259"/>
    </row>
    <row r="51" spans="1:6" ht="18.75" customHeight="1" x14ac:dyDescent="0.25">
      <c r="A51" s="260"/>
      <c r="B51" s="262"/>
      <c r="C51" s="260"/>
      <c r="D51" s="259"/>
      <c r="E51" s="259"/>
      <c r="F51" s="259"/>
    </row>
    <row r="52" spans="1:6" ht="18.75" customHeight="1" x14ac:dyDescent="0.25">
      <c r="A52" s="260"/>
      <c r="B52" s="262"/>
      <c r="C52" s="260"/>
      <c r="D52" s="259"/>
      <c r="E52" s="259"/>
      <c r="F52" s="259"/>
    </row>
    <row r="53" spans="1:6" ht="18.75" customHeight="1" x14ac:dyDescent="0.25">
      <c r="A53" s="260"/>
      <c r="B53" s="262"/>
      <c r="C53" s="260"/>
      <c r="D53" s="259"/>
      <c r="E53" s="259"/>
      <c r="F53" s="259"/>
    </row>
    <row r="54" spans="1:6" ht="18.75" customHeight="1" x14ac:dyDescent="0.25">
      <c r="A54" s="260"/>
      <c r="B54" s="262"/>
      <c r="C54" s="260"/>
      <c r="D54" s="259"/>
      <c r="E54" s="259"/>
      <c r="F54" s="259"/>
    </row>
    <row r="55" spans="1:6" ht="18.75" customHeight="1" x14ac:dyDescent="0.25">
      <c r="A55" s="260"/>
      <c r="B55" s="262"/>
      <c r="C55" s="260"/>
      <c r="D55" s="259"/>
      <c r="E55" s="259"/>
      <c r="F55" s="259"/>
    </row>
    <row r="56" spans="1:6" ht="18.75" customHeight="1" x14ac:dyDescent="0.25">
      <c r="A56" s="260"/>
      <c r="B56" s="262"/>
      <c r="C56" s="260"/>
      <c r="D56" s="259"/>
      <c r="E56" s="259"/>
      <c r="F56" s="259"/>
    </row>
    <row r="57" spans="1:6" ht="18.75" customHeight="1" x14ac:dyDescent="0.25">
      <c r="A57" s="260"/>
      <c r="B57" s="262"/>
      <c r="C57" s="260"/>
      <c r="D57" s="259"/>
      <c r="E57" s="259"/>
      <c r="F57" s="259"/>
    </row>
    <row r="58" spans="1:6" ht="18.75" customHeight="1" x14ac:dyDescent="0.25">
      <c r="A58" s="260"/>
      <c r="B58" s="262"/>
      <c r="C58" s="260"/>
      <c r="D58" s="259"/>
      <c r="E58" s="259"/>
      <c r="F58" s="259"/>
    </row>
    <row r="59" spans="1:6" ht="18.75" customHeight="1" x14ac:dyDescent="0.25">
      <c r="A59" s="260"/>
      <c r="B59" s="262"/>
      <c r="C59" s="260"/>
      <c r="D59" s="259"/>
      <c r="E59" s="259"/>
      <c r="F59" s="259"/>
    </row>
    <row r="60" spans="1:6" ht="18.75" customHeight="1" x14ac:dyDescent="0.25">
      <c r="A60" s="260"/>
      <c r="B60" s="262"/>
      <c r="C60" s="260"/>
      <c r="D60" s="259"/>
      <c r="E60" s="259"/>
      <c r="F60" s="259"/>
    </row>
    <row r="61" spans="1:6" ht="18.75" customHeight="1" x14ac:dyDescent="0.25">
      <c r="A61" s="260"/>
      <c r="B61" s="262"/>
      <c r="C61" s="260"/>
      <c r="D61" s="259"/>
      <c r="E61" s="259"/>
      <c r="F61" s="259"/>
    </row>
    <row r="62" spans="1:6" ht="18.75" customHeight="1" x14ac:dyDescent="0.25">
      <c r="A62" s="260"/>
      <c r="B62" s="262"/>
      <c r="C62" s="260"/>
      <c r="D62" s="259"/>
      <c r="E62" s="259"/>
      <c r="F62" s="259"/>
    </row>
    <row r="63" spans="1:6" ht="18.75" customHeight="1" x14ac:dyDescent="0.25">
      <c r="A63" s="260"/>
      <c r="B63" s="262"/>
      <c r="C63" s="260"/>
      <c r="D63" s="259"/>
      <c r="E63" s="259"/>
      <c r="F63" s="259"/>
    </row>
    <row r="64" spans="1:6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7B8F031E-C8E1-45C2-B1E7-FCF511D51560}"/>
  </hyperlink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4442-4748-4E39-AC57-329AC8496948}">
  <dimension ref="A1:H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  <col min="7" max="7" width="11.28515625" bestFit="1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1516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336596000</v>
      </c>
    </row>
    <row r="6" spans="1:7" x14ac:dyDescent="0.25">
      <c r="E6" s="2" t="s">
        <v>11</v>
      </c>
      <c r="F6" s="2">
        <f>SUM(E10:E68)</f>
        <v>336596000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45077</v>
      </c>
      <c r="C11" s="260" t="s">
        <v>1131</v>
      </c>
      <c r="D11" s="279">
        <v>4200000</v>
      </c>
      <c r="E11" s="259"/>
      <c r="F11" s="259"/>
      <c r="G11" s="242"/>
    </row>
    <row r="12" spans="1:7" ht="18.75" customHeight="1" x14ac:dyDescent="0.25">
      <c r="A12" s="262">
        <v>2</v>
      </c>
      <c r="B12" s="261">
        <v>45107</v>
      </c>
      <c r="C12" s="260" t="s">
        <v>177</v>
      </c>
      <c r="D12" s="279">
        <v>18500000</v>
      </c>
      <c r="E12" s="259"/>
      <c r="F12" s="259"/>
      <c r="G12" s="242"/>
    </row>
    <row r="13" spans="1:7" ht="18.75" customHeight="1" x14ac:dyDescent="0.25">
      <c r="A13" s="262">
        <v>3</v>
      </c>
      <c r="B13" s="261">
        <v>45138</v>
      </c>
      <c r="C13" s="260" t="s">
        <v>1043</v>
      </c>
      <c r="D13" s="279">
        <v>29100000</v>
      </c>
      <c r="E13" s="259"/>
      <c r="F13" s="259"/>
      <c r="G13" s="242"/>
    </row>
    <row r="14" spans="1:7" ht="18.75" customHeight="1" x14ac:dyDescent="0.25">
      <c r="A14" s="262">
        <v>4</v>
      </c>
      <c r="B14" s="261">
        <v>45164</v>
      </c>
      <c r="C14" s="260" t="s">
        <v>1587</v>
      </c>
      <c r="D14" s="279"/>
      <c r="E14" s="259">
        <v>4200000</v>
      </c>
      <c r="F14" s="259"/>
      <c r="G14" s="242"/>
    </row>
    <row r="15" spans="1:7" ht="18.75" customHeight="1" x14ac:dyDescent="0.25">
      <c r="A15" s="262">
        <v>5</v>
      </c>
      <c r="B15" s="261">
        <v>45169</v>
      </c>
      <c r="C15" s="260" t="s">
        <v>259</v>
      </c>
      <c r="D15" s="279">
        <v>32100000</v>
      </c>
      <c r="E15" s="259"/>
      <c r="F15" s="259"/>
      <c r="G15" s="242"/>
    </row>
    <row r="16" spans="1:7" ht="18.75" customHeight="1" x14ac:dyDescent="0.25">
      <c r="A16" s="262">
        <v>6</v>
      </c>
      <c r="B16" s="261">
        <v>45199</v>
      </c>
      <c r="C16" s="260" t="s">
        <v>299</v>
      </c>
      <c r="D16" s="279">
        <v>43000000</v>
      </c>
      <c r="E16" s="259"/>
      <c r="F16" s="259"/>
      <c r="G16" s="242"/>
    </row>
    <row r="17" spans="1:8" ht="18.75" customHeight="1" x14ac:dyDescent="0.25">
      <c r="A17" s="262">
        <v>7</v>
      </c>
      <c r="B17" s="261">
        <v>45203</v>
      </c>
      <c r="C17" s="260" t="s">
        <v>1610</v>
      </c>
      <c r="D17" s="279"/>
      <c r="E17" s="259">
        <v>18500000</v>
      </c>
      <c r="F17" s="259"/>
      <c r="G17" s="242"/>
    </row>
    <row r="18" spans="1:8" ht="18.75" customHeight="1" x14ac:dyDescent="0.25">
      <c r="A18" s="262">
        <v>8</v>
      </c>
      <c r="B18" s="261">
        <v>45216</v>
      </c>
      <c r="C18" s="260" t="s">
        <v>1631</v>
      </c>
      <c r="D18" s="279"/>
      <c r="E18" s="259">
        <v>29100000</v>
      </c>
      <c r="F18" s="259"/>
    </row>
    <row r="19" spans="1:8" ht="18.75" customHeight="1" x14ac:dyDescent="0.25">
      <c r="A19" s="262">
        <v>9</v>
      </c>
      <c r="B19" s="261">
        <v>45230</v>
      </c>
      <c r="C19" s="260" t="s">
        <v>323</v>
      </c>
      <c r="D19" s="259">
        <v>157896000</v>
      </c>
      <c r="E19" s="259"/>
      <c r="F19" s="259"/>
    </row>
    <row r="20" spans="1:8" ht="18.75" customHeight="1" x14ac:dyDescent="0.3">
      <c r="A20" s="262">
        <v>10</v>
      </c>
      <c r="B20" s="261">
        <v>45260</v>
      </c>
      <c r="C20" s="260" t="s">
        <v>350</v>
      </c>
      <c r="D20" s="259">
        <v>10000000</v>
      </c>
      <c r="E20" s="259"/>
      <c r="F20" s="259"/>
      <c r="H20" s="318"/>
    </row>
    <row r="21" spans="1:8" ht="18.75" customHeight="1" x14ac:dyDescent="0.25">
      <c r="A21" s="262">
        <v>11</v>
      </c>
      <c r="B21" s="261">
        <v>45264</v>
      </c>
      <c r="C21" s="260" t="s">
        <v>1669</v>
      </c>
      <c r="D21" s="259"/>
      <c r="E21" s="259">
        <v>32100000</v>
      </c>
      <c r="F21" s="259"/>
    </row>
    <row r="22" spans="1:8" ht="18.75" customHeight="1" x14ac:dyDescent="0.25">
      <c r="A22" s="262">
        <v>12</v>
      </c>
      <c r="B22" s="261">
        <v>45289</v>
      </c>
      <c r="C22" s="260" t="s">
        <v>1680</v>
      </c>
      <c r="D22" s="259"/>
      <c r="E22" s="259">
        <v>43000000</v>
      </c>
      <c r="F22" s="259"/>
    </row>
    <row r="23" spans="1:8" ht="18.75" customHeight="1" x14ac:dyDescent="0.25">
      <c r="A23" s="262">
        <v>13</v>
      </c>
      <c r="B23" s="261">
        <v>45322</v>
      </c>
      <c r="C23" s="260" t="s">
        <v>1079</v>
      </c>
      <c r="D23" s="259">
        <v>5200000</v>
      </c>
      <c r="E23" s="259"/>
      <c r="F23" s="259"/>
    </row>
    <row r="24" spans="1:8" ht="18.75" customHeight="1" x14ac:dyDescent="0.25">
      <c r="A24" s="262">
        <v>14</v>
      </c>
      <c r="B24" s="261">
        <v>45321</v>
      </c>
      <c r="C24" s="317" t="s">
        <v>1705</v>
      </c>
      <c r="D24" s="285"/>
      <c r="E24" s="259">
        <f>120096000+37800000</f>
        <v>157896000</v>
      </c>
      <c r="F24" s="259"/>
    </row>
    <row r="25" spans="1:8" ht="18.75" customHeight="1" x14ac:dyDescent="0.25">
      <c r="A25" s="262">
        <v>15</v>
      </c>
      <c r="B25" s="261">
        <v>45351</v>
      </c>
      <c r="C25" s="260" t="s">
        <v>1725</v>
      </c>
      <c r="D25" s="259"/>
      <c r="E25" s="259">
        <v>10000000</v>
      </c>
      <c r="F25" s="259"/>
    </row>
    <row r="26" spans="1:8" ht="18.75" customHeight="1" x14ac:dyDescent="0.25">
      <c r="A26" s="262">
        <v>16</v>
      </c>
      <c r="B26" s="261">
        <v>45419</v>
      </c>
      <c r="C26" s="260" t="s">
        <v>1763</v>
      </c>
      <c r="D26" s="259"/>
      <c r="E26" s="259">
        <v>5200000</v>
      </c>
      <c r="F26" s="259"/>
    </row>
    <row r="27" spans="1:8" ht="18.75" customHeight="1" x14ac:dyDescent="0.25">
      <c r="A27" s="262">
        <v>17</v>
      </c>
      <c r="B27" s="261">
        <v>45503</v>
      </c>
      <c r="C27" s="260" t="s">
        <v>1043</v>
      </c>
      <c r="D27" s="259">
        <v>10000000</v>
      </c>
      <c r="E27" s="259"/>
      <c r="F27" s="259"/>
    </row>
    <row r="28" spans="1:8" ht="18.75" customHeight="1" x14ac:dyDescent="0.25">
      <c r="A28" s="262">
        <v>18</v>
      </c>
      <c r="B28" s="261">
        <v>45534</v>
      </c>
      <c r="C28" s="260" t="s">
        <v>259</v>
      </c>
      <c r="D28" s="259">
        <v>19300000</v>
      </c>
      <c r="E28" s="259"/>
      <c r="F28" s="259"/>
    </row>
    <row r="29" spans="1:8" ht="18.75" customHeight="1" x14ac:dyDescent="0.25">
      <c r="A29" s="262">
        <v>19</v>
      </c>
      <c r="B29" s="261">
        <v>45604</v>
      </c>
      <c r="C29" s="260" t="s">
        <v>1911</v>
      </c>
      <c r="D29" s="259"/>
      <c r="E29" s="259">
        <v>10000000</v>
      </c>
      <c r="F29" s="259"/>
    </row>
    <row r="30" spans="1:8" ht="18.75" customHeight="1" x14ac:dyDescent="0.25">
      <c r="A30" s="262">
        <v>20</v>
      </c>
      <c r="B30" s="261">
        <v>45626</v>
      </c>
      <c r="C30" s="260" t="s">
        <v>350</v>
      </c>
      <c r="D30" s="259">
        <v>7300000</v>
      </c>
      <c r="E30" s="259"/>
      <c r="F30" s="259"/>
    </row>
    <row r="31" spans="1:8" ht="18.75" customHeight="1" x14ac:dyDescent="0.25">
      <c r="A31" s="262">
        <v>21</v>
      </c>
      <c r="B31" s="261">
        <v>45639</v>
      </c>
      <c r="C31" s="260" t="s">
        <v>1911</v>
      </c>
      <c r="D31" s="259"/>
      <c r="E31" s="259">
        <v>19300000</v>
      </c>
      <c r="F31" s="259"/>
    </row>
    <row r="32" spans="1:8" ht="18.75" customHeight="1" x14ac:dyDescent="0.25">
      <c r="A32" s="262">
        <v>22</v>
      </c>
      <c r="B32" s="261">
        <v>45726</v>
      </c>
      <c r="C32" s="260" t="s">
        <v>1911</v>
      </c>
      <c r="D32" s="259"/>
      <c r="E32" s="259">
        <v>7300000</v>
      </c>
      <c r="F32" s="259"/>
    </row>
    <row r="33" spans="1:6" ht="18.75" customHeight="1" x14ac:dyDescent="0.25">
      <c r="A33" s="262">
        <v>23</v>
      </c>
      <c r="B33" s="261"/>
      <c r="C33" s="260"/>
      <c r="D33" s="259"/>
      <c r="E33" s="259"/>
      <c r="F33" s="259"/>
    </row>
    <row r="34" spans="1:6" ht="18.75" customHeight="1" x14ac:dyDescent="0.25">
      <c r="A34" s="262">
        <v>24</v>
      </c>
      <c r="B34" s="261"/>
      <c r="C34" s="260"/>
      <c r="D34" s="259"/>
      <c r="E34" s="259"/>
      <c r="F34" s="259"/>
    </row>
    <row r="35" spans="1:6" ht="18.75" customHeight="1" x14ac:dyDescent="0.25">
      <c r="A35" s="262">
        <v>25</v>
      </c>
      <c r="B35" s="261"/>
      <c r="C35" s="260"/>
      <c r="D35" s="259"/>
      <c r="E35" s="259"/>
      <c r="F35" s="259"/>
    </row>
    <row r="36" spans="1:6" ht="18.75" customHeight="1" x14ac:dyDescent="0.25">
      <c r="A36" s="262">
        <v>26</v>
      </c>
      <c r="B36" s="261"/>
      <c r="C36" s="260"/>
      <c r="D36" s="259"/>
      <c r="E36" s="259"/>
      <c r="F36" s="259"/>
    </row>
    <row r="37" spans="1:6" ht="18.75" customHeight="1" x14ac:dyDescent="0.25">
      <c r="A37" s="262">
        <v>27</v>
      </c>
      <c r="B37" s="261"/>
      <c r="C37" s="260"/>
      <c r="D37" s="259"/>
      <c r="E37" s="259"/>
      <c r="F37" s="259"/>
    </row>
    <row r="38" spans="1:6" ht="18.75" customHeight="1" x14ac:dyDescent="0.25">
      <c r="A38" s="262">
        <v>28</v>
      </c>
      <c r="B38" s="261"/>
      <c r="C38" s="260"/>
      <c r="D38" s="259"/>
      <c r="E38" s="259"/>
      <c r="F38" s="259"/>
    </row>
    <row r="39" spans="1:6" ht="18.75" customHeight="1" x14ac:dyDescent="0.25">
      <c r="A39" s="260"/>
      <c r="B39" s="261"/>
      <c r="C39" s="260"/>
      <c r="D39" s="259"/>
      <c r="E39" s="259"/>
      <c r="F39" s="259"/>
    </row>
    <row r="40" spans="1:6" ht="18.75" customHeight="1" x14ac:dyDescent="0.25">
      <c r="A40" s="260"/>
      <c r="B40" s="261"/>
      <c r="C40" s="260"/>
      <c r="D40" s="259"/>
      <c r="E40" s="259"/>
      <c r="F40" s="259"/>
    </row>
    <row r="41" spans="1:6" ht="18.75" customHeight="1" x14ac:dyDescent="0.25">
      <c r="A41" s="260"/>
      <c r="B41" s="261"/>
      <c r="C41" s="260"/>
      <c r="D41" s="259"/>
      <c r="E41" s="259"/>
      <c r="F41" s="259"/>
    </row>
    <row r="42" spans="1:6" ht="18.75" customHeight="1" x14ac:dyDescent="0.25">
      <c r="A42" s="260"/>
      <c r="B42" s="262"/>
      <c r="C42" s="260"/>
      <c r="D42" s="259"/>
      <c r="E42" s="259"/>
      <c r="F42" s="259"/>
    </row>
    <row r="43" spans="1:6" ht="18.75" customHeight="1" x14ac:dyDescent="0.25">
      <c r="A43" s="260"/>
      <c r="B43" s="262"/>
      <c r="C43" s="260"/>
      <c r="D43" s="259"/>
      <c r="E43" s="259"/>
      <c r="F43" s="259"/>
    </row>
    <row r="44" spans="1:6" ht="18.75" customHeight="1" x14ac:dyDescent="0.25">
      <c r="A44" s="260"/>
      <c r="B44" s="262"/>
      <c r="C44" s="260"/>
      <c r="D44" s="259"/>
      <c r="E44" s="259"/>
      <c r="F44" s="259"/>
    </row>
    <row r="45" spans="1:6" ht="18.75" customHeight="1" x14ac:dyDescent="0.25">
      <c r="A45" s="260"/>
      <c r="B45" s="262"/>
      <c r="C45" s="260"/>
      <c r="D45" s="259"/>
      <c r="E45" s="259"/>
      <c r="F45" s="259"/>
    </row>
    <row r="46" spans="1:6" ht="18.75" customHeight="1" x14ac:dyDescent="0.25">
      <c r="A46" s="260"/>
      <c r="B46" s="262"/>
      <c r="C46" s="260"/>
      <c r="D46" s="259"/>
      <c r="E46" s="259"/>
      <c r="F46" s="259"/>
    </row>
    <row r="47" spans="1:6" ht="18.75" customHeight="1" x14ac:dyDescent="0.25">
      <c r="A47" s="260"/>
      <c r="B47" s="262"/>
      <c r="C47" s="260"/>
      <c r="D47" s="259"/>
      <c r="E47" s="259"/>
      <c r="F47" s="259"/>
    </row>
    <row r="48" spans="1:6" ht="18.75" customHeight="1" x14ac:dyDescent="0.25">
      <c r="A48" s="260"/>
      <c r="B48" s="262"/>
      <c r="C48" s="260"/>
      <c r="D48" s="259"/>
      <c r="E48" s="259"/>
      <c r="F48" s="259"/>
    </row>
    <row r="49" spans="1:6" ht="18.75" customHeight="1" x14ac:dyDescent="0.25">
      <c r="A49" s="260"/>
      <c r="B49" s="262"/>
      <c r="C49" s="260"/>
      <c r="D49" s="259"/>
      <c r="E49" s="259"/>
      <c r="F49" s="259"/>
    </row>
    <row r="50" spans="1:6" ht="18.75" customHeight="1" x14ac:dyDescent="0.25">
      <c r="A50" s="260"/>
      <c r="B50" s="262"/>
      <c r="C50" s="260"/>
      <c r="D50" s="259"/>
      <c r="E50" s="259"/>
      <c r="F50" s="259"/>
    </row>
    <row r="51" spans="1:6" ht="18.75" customHeight="1" x14ac:dyDescent="0.25">
      <c r="A51" s="260"/>
      <c r="B51" s="262"/>
      <c r="C51" s="260"/>
      <c r="D51" s="259"/>
      <c r="E51" s="259"/>
      <c r="F51" s="259"/>
    </row>
    <row r="52" spans="1:6" ht="18.75" customHeight="1" x14ac:dyDescent="0.25">
      <c r="A52" s="260"/>
      <c r="B52" s="262"/>
      <c r="C52" s="260"/>
      <c r="D52" s="259"/>
      <c r="E52" s="259"/>
      <c r="F52" s="259"/>
    </row>
    <row r="53" spans="1:6" ht="18.75" customHeight="1" x14ac:dyDescent="0.25">
      <c r="A53" s="260"/>
      <c r="B53" s="262"/>
      <c r="C53" s="260"/>
      <c r="D53" s="259"/>
      <c r="E53" s="259"/>
      <c r="F53" s="259"/>
    </row>
    <row r="54" spans="1:6" ht="18.75" customHeight="1" x14ac:dyDescent="0.25">
      <c r="A54" s="260"/>
      <c r="B54" s="262"/>
      <c r="C54" s="260"/>
      <c r="D54" s="259"/>
      <c r="E54" s="259"/>
      <c r="F54" s="259"/>
    </row>
    <row r="55" spans="1:6" ht="18.75" customHeight="1" x14ac:dyDescent="0.25">
      <c r="A55" s="260"/>
      <c r="B55" s="262"/>
      <c r="C55" s="260"/>
      <c r="D55" s="259"/>
      <c r="E55" s="259"/>
      <c r="F55" s="259"/>
    </row>
    <row r="56" spans="1:6" ht="18.75" customHeight="1" x14ac:dyDescent="0.25">
      <c r="A56" s="260"/>
      <c r="B56" s="262"/>
      <c r="C56" s="260"/>
      <c r="D56" s="259"/>
      <c r="E56" s="259"/>
      <c r="F56" s="259"/>
    </row>
    <row r="57" spans="1:6" ht="18.75" customHeight="1" x14ac:dyDescent="0.25">
      <c r="A57" s="260"/>
      <c r="B57" s="262"/>
      <c r="C57" s="260"/>
      <c r="D57" s="259"/>
      <c r="E57" s="259"/>
      <c r="F57" s="259"/>
    </row>
    <row r="58" spans="1:6" ht="18.75" customHeight="1" x14ac:dyDescent="0.25">
      <c r="A58" s="260"/>
      <c r="B58" s="262"/>
      <c r="C58" s="260"/>
      <c r="D58" s="259"/>
      <c r="E58" s="259"/>
      <c r="F58" s="259"/>
    </row>
    <row r="59" spans="1:6" ht="18.75" customHeight="1" x14ac:dyDescent="0.25">
      <c r="A59" s="260"/>
      <c r="B59" s="262"/>
      <c r="C59" s="260"/>
      <c r="D59" s="259"/>
      <c r="E59" s="259"/>
      <c r="F59" s="259"/>
    </row>
    <row r="60" spans="1:6" ht="18.75" customHeight="1" x14ac:dyDescent="0.25">
      <c r="A60" s="260"/>
      <c r="B60" s="262"/>
      <c r="C60" s="260"/>
      <c r="D60" s="259"/>
      <c r="E60" s="259"/>
      <c r="F60" s="259"/>
    </row>
    <row r="61" spans="1:6" ht="18.75" customHeight="1" x14ac:dyDescent="0.25">
      <c r="A61" s="260"/>
      <c r="B61" s="262"/>
      <c r="C61" s="260"/>
      <c r="D61" s="259"/>
      <c r="E61" s="259"/>
      <c r="F61" s="259"/>
    </row>
    <row r="62" spans="1:6" ht="18.75" customHeight="1" x14ac:dyDescent="0.25">
      <c r="A62" s="260"/>
      <c r="B62" s="262"/>
      <c r="C62" s="260"/>
      <c r="D62" s="259"/>
      <c r="E62" s="259"/>
      <c r="F62" s="259"/>
    </row>
    <row r="63" spans="1:6" ht="18.75" customHeight="1" x14ac:dyDescent="0.25">
      <c r="A63" s="260"/>
      <c r="B63" s="262"/>
      <c r="C63" s="260"/>
      <c r="D63" s="259"/>
      <c r="E63" s="259"/>
      <c r="F63" s="259"/>
    </row>
    <row r="64" spans="1:6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9880740F-8F36-42A6-8DB9-D52C1681E7BF}"/>
  </hyperlink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D9FF-A9AA-4FAE-A9FF-1FB1DE741C2B}">
  <dimension ref="A1:H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9.42578125" customWidth="1"/>
    <col min="4" max="4" width="19.85546875" style="2" customWidth="1"/>
    <col min="5" max="5" width="13.85546875" style="2" customWidth="1"/>
    <col min="6" max="6" width="19" style="2" customWidth="1"/>
    <col min="7" max="7" width="12.28515625" bestFit="1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1521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213826000</v>
      </c>
    </row>
    <row r="6" spans="1:7" x14ac:dyDescent="0.25">
      <c r="E6" s="2" t="s">
        <v>11</v>
      </c>
      <c r="F6" s="2">
        <f>SUM(E10:E68)</f>
        <v>199516000</v>
      </c>
    </row>
    <row r="7" spans="1:7" x14ac:dyDescent="0.25">
      <c r="E7" s="2" t="s">
        <v>12</v>
      </c>
      <c r="F7" s="2">
        <f>+F4+F5-F6</f>
        <v>14310000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44895</v>
      </c>
      <c r="C11" s="260" t="s">
        <v>1522</v>
      </c>
      <c r="D11" s="279"/>
      <c r="E11" s="259">
        <v>21100000</v>
      </c>
      <c r="F11" s="259"/>
      <c r="G11" s="242">
        <f>D11-E11</f>
        <v>-21100000</v>
      </c>
    </row>
    <row r="12" spans="1:7" ht="18.75" customHeight="1" x14ac:dyDescent="0.25">
      <c r="A12" s="262">
        <v>2</v>
      </c>
      <c r="B12" s="261">
        <v>44942</v>
      </c>
      <c r="C12" s="260" t="s">
        <v>1523</v>
      </c>
      <c r="D12" s="279">
        <v>21100000</v>
      </c>
      <c r="E12" s="259"/>
      <c r="F12" s="259"/>
      <c r="G12" s="242">
        <f>G11+D12-E12</f>
        <v>0</v>
      </c>
    </row>
    <row r="13" spans="1:7" ht="18.75" customHeight="1" x14ac:dyDescent="0.25">
      <c r="A13" s="262">
        <v>3</v>
      </c>
      <c r="B13" s="261">
        <v>45107</v>
      </c>
      <c r="C13" s="260" t="s">
        <v>1524</v>
      </c>
      <c r="D13" s="279"/>
      <c r="E13" s="259">
        <v>3619000</v>
      </c>
      <c r="F13" s="259"/>
      <c r="G13" s="242">
        <f t="shared" ref="G13:G50" si="0">G12+D13-E13</f>
        <v>-3619000</v>
      </c>
    </row>
    <row r="14" spans="1:7" ht="18.75" customHeight="1" x14ac:dyDescent="0.25">
      <c r="A14" s="262">
        <v>4</v>
      </c>
      <c r="B14" s="261">
        <v>45138</v>
      </c>
      <c r="C14" s="260" t="s">
        <v>1541</v>
      </c>
      <c r="D14" s="279">
        <v>22032000</v>
      </c>
      <c r="E14" s="259"/>
      <c r="F14" s="259"/>
      <c r="G14" s="242">
        <f t="shared" si="0"/>
        <v>18413000</v>
      </c>
    </row>
    <row r="15" spans="1:7" ht="18.75" customHeight="1" x14ac:dyDescent="0.25">
      <c r="A15" s="262">
        <v>5</v>
      </c>
      <c r="B15" s="261">
        <v>45169</v>
      </c>
      <c r="C15" s="260" t="s">
        <v>1588</v>
      </c>
      <c r="D15" s="279">
        <v>2268000</v>
      </c>
      <c r="E15" s="259"/>
      <c r="F15" s="259"/>
      <c r="G15" s="242">
        <f t="shared" si="0"/>
        <v>20681000</v>
      </c>
    </row>
    <row r="16" spans="1:7" ht="18.75" customHeight="1" x14ac:dyDescent="0.25">
      <c r="A16" s="262">
        <v>6</v>
      </c>
      <c r="B16" s="261">
        <v>45199</v>
      </c>
      <c r="C16" s="260" t="s">
        <v>1604</v>
      </c>
      <c r="D16" s="279"/>
      <c r="E16" s="259">
        <v>15150000</v>
      </c>
      <c r="F16" s="259"/>
      <c r="G16" s="242">
        <f t="shared" si="0"/>
        <v>5531000</v>
      </c>
    </row>
    <row r="17" spans="1:8" ht="18.75" customHeight="1" x14ac:dyDescent="0.25">
      <c r="A17" s="262">
        <v>7</v>
      </c>
      <c r="B17" s="261">
        <v>45229</v>
      </c>
      <c r="C17" s="260" t="s">
        <v>1650</v>
      </c>
      <c r="D17" s="279">
        <v>12960000</v>
      </c>
      <c r="E17" s="259"/>
      <c r="F17" s="259"/>
      <c r="G17" s="242">
        <f t="shared" si="0"/>
        <v>18491000</v>
      </c>
    </row>
    <row r="18" spans="1:8" ht="18.75" customHeight="1" x14ac:dyDescent="0.25">
      <c r="A18" s="262">
        <v>8</v>
      </c>
      <c r="B18" s="261">
        <v>45260</v>
      </c>
      <c r="C18" s="260" t="s">
        <v>1661</v>
      </c>
      <c r="D18" s="279">
        <v>4536000</v>
      </c>
      <c r="E18" s="259"/>
      <c r="F18" s="259"/>
      <c r="G18" s="242">
        <f t="shared" si="0"/>
        <v>23027000</v>
      </c>
    </row>
    <row r="19" spans="1:8" ht="18.75" customHeight="1" x14ac:dyDescent="0.25">
      <c r="A19" s="262">
        <v>9</v>
      </c>
      <c r="B19" s="261">
        <v>45289</v>
      </c>
      <c r="C19" s="260" t="s">
        <v>1681</v>
      </c>
      <c r="D19" s="259"/>
      <c r="E19" s="259">
        <v>5531000</v>
      </c>
      <c r="F19" s="259"/>
      <c r="G19" s="242">
        <f t="shared" si="0"/>
        <v>17496000</v>
      </c>
    </row>
    <row r="20" spans="1:8" ht="18.75" customHeight="1" x14ac:dyDescent="0.3">
      <c r="A20" s="262">
        <v>10</v>
      </c>
      <c r="B20" s="261">
        <v>45322</v>
      </c>
      <c r="C20" s="260" t="s">
        <v>1708</v>
      </c>
      <c r="D20" s="259">
        <v>7884000</v>
      </c>
      <c r="E20" s="259"/>
      <c r="F20" s="259"/>
      <c r="G20" s="242">
        <f t="shared" si="0"/>
        <v>25380000</v>
      </c>
      <c r="H20" s="318"/>
    </row>
    <row r="21" spans="1:8" ht="18.75" customHeight="1" x14ac:dyDescent="0.25">
      <c r="A21" s="262">
        <v>11</v>
      </c>
      <c r="B21" s="261">
        <v>45328</v>
      </c>
      <c r="C21" s="260" t="s">
        <v>1716</v>
      </c>
      <c r="D21" s="259"/>
      <c r="E21" s="259">
        <v>12960000</v>
      </c>
      <c r="F21" s="259"/>
      <c r="G21" s="242">
        <f t="shared" si="0"/>
        <v>12420000</v>
      </c>
    </row>
    <row r="22" spans="1:8" ht="18.75" customHeight="1" x14ac:dyDescent="0.25">
      <c r="A22" s="262">
        <v>12</v>
      </c>
      <c r="B22" s="261">
        <v>45350</v>
      </c>
      <c r="C22" s="260" t="s">
        <v>1720</v>
      </c>
      <c r="D22" s="259">
        <v>14472000</v>
      </c>
      <c r="E22" s="259"/>
      <c r="F22" s="259"/>
      <c r="G22" s="242">
        <f t="shared" si="0"/>
        <v>26892000</v>
      </c>
    </row>
    <row r="23" spans="1:8" ht="18.75" customHeight="1" x14ac:dyDescent="0.25">
      <c r="A23" s="262">
        <v>13</v>
      </c>
      <c r="B23" s="261">
        <v>45376</v>
      </c>
      <c r="C23" s="260" t="s">
        <v>1736</v>
      </c>
      <c r="D23" s="259"/>
      <c r="E23" s="259">
        <v>4536000</v>
      </c>
      <c r="F23" s="259"/>
      <c r="G23" s="242">
        <f t="shared" si="0"/>
        <v>22356000</v>
      </c>
    </row>
    <row r="24" spans="1:8" ht="18.75" customHeight="1" x14ac:dyDescent="0.25">
      <c r="A24" s="262">
        <v>14</v>
      </c>
      <c r="B24" s="261">
        <v>45381</v>
      </c>
      <c r="C24" s="317" t="s">
        <v>1749</v>
      </c>
      <c r="D24" s="272">
        <v>11016000</v>
      </c>
      <c r="E24" s="259"/>
      <c r="F24" s="259"/>
      <c r="G24" s="242">
        <f t="shared" si="0"/>
        <v>33372000</v>
      </c>
    </row>
    <row r="25" spans="1:8" ht="18.75" customHeight="1" x14ac:dyDescent="0.25">
      <c r="A25" s="262">
        <v>15</v>
      </c>
      <c r="B25" s="261">
        <v>45408</v>
      </c>
      <c r="C25" s="260" t="s">
        <v>1755</v>
      </c>
      <c r="D25" s="259">
        <v>16632000</v>
      </c>
      <c r="E25" s="259"/>
      <c r="F25" s="259"/>
      <c r="G25" s="242">
        <f t="shared" si="0"/>
        <v>50004000</v>
      </c>
    </row>
    <row r="26" spans="1:8" ht="18.75" customHeight="1" x14ac:dyDescent="0.25">
      <c r="A26" s="262">
        <v>16</v>
      </c>
      <c r="B26" s="261">
        <v>45433</v>
      </c>
      <c r="C26" s="260" t="s">
        <v>1781</v>
      </c>
      <c r="D26" s="259"/>
      <c r="E26" s="259">
        <v>7884000</v>
      </c>
      <c r="F26" s="259"/>
      <c r="G26" s="242">
        <f t="shared" si="0"/>
        <v>42120000</v>
      </c>
    </row>
    <row r="27" spans="1:8" ht="18.75" customHeight="1" x14ac:dyDescent="0.25">
      <c r="A27" s="262">
        <v>17</v>
      </c>
      <c r="B27" s="261">
        <v>45443</v>
      </c>
      <c r="C27" s="260" t="s">
        <v>1791</v>
      </c>
      <c r="D27" s="259">
        <v>10044000</v>
      </c>
      <c r="E27" s="259"/>
      <c r="F27" s="259"/>
      <c r="G27" s="242">
        <f t="shared" si="0"/>
        <v>52164000</v>
      </c>
    </row>
    <row r="28" spans="1:8" ht="18.75" customHeight="1" x14ac:dyDescent="0.25">
      <c r="A28" s="262">
        <v>18</v>
      </c>
      <c r="B28" s="261">
        <v>45468</v>
      </c>
      <c r="C28" s="260" t="s">
        <v>1806</v>
      </c>
      <c r="D28" s="259"/>
      <c r="E28" s="259">
        <v>14472000</v>
      </c>
      <c r="F28" s="259"/>
      <c r="G28" s="242">
        <f t="shared" si="0"/>
        <v>37692000</v>
      </c>
    </row>
    <row r="29" spans="1:8" ht="18.75" customHeight="1" x14ac:dyDescent="0.25">
      <c r="A29" s="262">
        <v>19</v>
      </c>
      <c r="B29" s="261">
        <v>45472</v>
      </c>
      <c r="C29" s="260" t="s">
        <v>1808</v>
      </c>
      <c r="D29" s="259">
        <v>9612000</v>
      </c>
      <c r="E29" s="259"/>
      <c r="F29" s="259"/>
      <c r="G29" s="242">
        <f t="shared" si="0"/>
        <v>47304000</v>
      </c>
    </row>
    <row r="30" spans="1:8" ht="18.75" customHeight="1" x14ac:dyDescent="0.25">
      <c r="A30" s="262">
        <v>20</v>
      </c>
      <c r="B30" s="261">
        <v>45499</v>
      </c>
      <c r="C30" s="260" t="s">
        <v>1825</v>
      </c>
      <c r="D30" s="259"/>
      <c r="E30" s="259">
        <v>11016000</v>
      </c>
      <c r="F30" s="259"/>
      <c r="G30" s="242">
        <f t="shared" si="0"/>
        <v>36288000</v>
      </c>
    </row>
    <row r="31" spans="1:8" ht="18.75" customHeight="1" x14ac:dyDescent="0.25">
      <c r="A31" s="262">
        <v>21</v>
      </c>
      <c r="B31" s="261">
        <v>45503</v>
      </c>
      <c r="C31" s="260" t="s">
        <v>1830</v>
      </c>
      <c r="D31" s="259">
        <v>7452000</v>
      </c>
      <c r="E31" s="259"/>
      <c r="F31" s="259"/>
      <c r="G31" s="242">
        <f t="shared" si="0"/>
        <v>43740000</v>
      </c>
    </row>
    <row r="32" spans="1:8" ht="18.75" customHeight="1" x14ac:dyDescent="0.25">
      <c r="A32" s="262">
        <v>22</v>
      </c>
      <c r="B32" s="261">
        <v>45531</v>
      </c>
      <c r="C32" s="260" t="s">
        <v>1852</v>
      </c>
      <c r="D32" s="259"/>
      <c r="E32" s="259">
        <v>16632000</v>
      </c>
      <c r="F32" s="259"/>
      <c r="G32" s="242">
        <f t="shared" si="0"/>
        <v>27108000</v>
      </c>
    </row>
    <row r="33" spans="1:7" ht="18.75" customHeight="1" x14ac:dyDescent="0.25">
      <c r="A33" s="262">
        <v>23</v>
      </c>
      <c r="B33" s="261">
        <v>45534</v>
      </c>
      <c r="C33" s="260" t="s">
        <v>1858</v>
      </c>
      <c r="D33" s="259">
        <v>3780000</v>
      </c>
      <c r="E33" s="259"/>
      <c r="F33" s="259"/>
      <c r="G33" s="242">
        <f t="shared" si="0"/>
        <v>30888000</v>
      </c>
    </row>
    <row r="34" spans="1:7" ht="18.75" customHeight="1" x14ac:dyDescent="0.25">
      <c r="A34" s="262">
        <v>24</v>
      </c>
      <c r="B34" s="261">
        <v>45560</v>
      </c>
      <c r="C34" s="260" t="s">
        <v>1881</v>
      </c>
      <c r="D34" s="259"/>
      <c r="E34" s="259">
        <v>10044000</v>
      </c>
      <c r="F34" s="259"/>
      <c r="G34" s="242">
        <f t="shared" si="0"/>
        <v>20844000</v>
      </c>
    </row>
    <row r="35" spans="1:7" ht="18.75" customHeight="1" x14ac:dyDescent="0.25">
      <c r="A35" s="262">
        <v>25</v>
      </c>
      <c r="B35" s="261">
        <v>45565</v>
      </c>
      <c r="C35" s="260" t="s">
        <v>1887</v>
      </c>
      <c r="D35" s="259"/>
      <c r="E35" s="259">
        <v>11556000</v>
      </c>
      <c r="F35" s="259"/>
      <c r="G35" s="242">
        <f t="shared" si="0"/>
        <v>9288000</v>
      </c>
    </row>
    <row r="36" spans="1:7" ht="18.75" customHeight="1" x14ac:dyDescent="0.25">
      <c r="A36" s="262">
        <v>26</v>
      </c>
      <c r="B36" s="261">
        <v>45596</v>
      </c>
      <c r="C36" s="260" t="s">
        <v>1906</v>
      </c>
      <c r="D36" s="259"/>
      <c r="E36" s="259">
        <v>9612000</v>
      </c>
      <c r="F36" s="259"/>
      <c r="G36" s="242">
        <f t="shared" si="0"/>
        <v>-324000</v>
      </c>
    </row>
    <row r="37" spans="1:7" ht="18.75" customHeight="1" x14ac:dyDescent="0.25">
      <c r="A37" s="262">
        <v>27</v>
      </c>
      <c r="B37" s="261">
        <v>45626</v>
      </c>
      <c r="C37" s="260" t="s">
        <v>1923</v>
      </c>
      <c r="D37" s="259">
        <v>9720000</v>
      </c>
      <c r="E37" s="259"/>
      <c r="F37" s="259"/>
      <c r="G37" s="242">
        <f t="shared" si="0"/>
        <v>9396000</v>
      </c>
    </row>
    <row r="38" spans="1:7" ht="18.75" customHeight="1" x14ac:dyDescent="0.25">
      <c r="A38" s="262">
        <v>28</v>
      </c>
      <c r="B38" s="261">
        <v>45628</v>
      </c>
      <c r="C38" s="260" t="s">
        <v>1924</v>
      </c>
      <c r="D38" s="259"/>
      <c r="E38" s="259">
        <v>7452000</v>
      </c>
      <c r="F38" s="259"/>
      <c r="G38" s="242">
        <f t="shared" si="0"/>
        <v>1944000</v>
      </c>
    </row>
    <row r="39" spans="1:7" ht="18.75" customHeight="1" x14ac:dyDescent="0.25">
      <c r="A39" s="262">
        <v>29</v>
      </c>
      <c r="B39" s="261">
        <v>45657</v>
      </c>
      <c r="C39" s="260" t="s">
        <v>1955</v>
      </c>
      <c r="D39" s="259">
        <v>34452000</v>
      </c>
      <c r="E39" s="259"/>
      <c r="F39" s="259"/>
      <c r="G39" s="242">
        <f t="shared" si="0"/>
        <v>36396000</v>
      </c>
    </row>
    <row r="40" spans="1:7" ht="18.75" customHeight="1" x14ac:dyDescent="0.25">
      <c r="A40" s="262">
        <v>30</v>
      </c>
      <c r="B40" s="261">
        <v>45657</v>
      </c>
      <c r="C40" s="260" t="s">
        <v>1956</v>
      </c>
      <c r="D40" s="259"/>
      <c r="E40" s="259">
        <v>3780000</v>
      </c>
      <c r="F40" s="259"/>
      <c r="G40" s="242">
        <f t="shared" si="0"/>
        <v>32616000</v>
      </c>
    </row>
    <row r="41" spans="1:7" ht="18.75" customHeight="1" x14ac:dyDescent="0.25">
      <c r="A41" s="262">
        <v>31</v>
      </c>
      <c r="B41" s="261">
        <v>45666</v>
      </c>
      <c r="C41" s="260" t="s">
        <v>1523</v>
      </c>
      <c r="D41" s="259">
        <v>11556000</v>
      </c>
      <c r="E41" s="259"/>
      <c r="F41" s="259"/>
      <c r="G41" s="242">
        <f t="shared" si="0"/>
        <v>44172000</v>
      </c>
    </row>
    <row r="42" spans="1:7" ht="18.75" customHeight="1" x14ac:dyDescent="0.25">
      <c r="A42" s="262">
        <v>32</v>
      </c>
      <c r="B42" s="261">
        <v>45716</v>
      </c>
      <c r="C42" s="260" t="s">
        <v>1978</v>
      </c>
      <c r="D42" s="259">
        <v>14310000</v>
      </c>
      <c r="E42" s="259"/>
      <c r="F42" s="259"/>
      <c r="G42" s="242">
        <f t="shared" si="0"/>
        <v>58482000</v>
      </c>
    </row>
    <row r="43" spans="1:7" ht="18.75" customHeight="1" x14ac:dyDescent="0.25">
      <c r="A43" s="262">
        <v>33</v>
      </c>
      <c r="B43" s="261">
        <v>45742</v>
      </c>
      <c r="C43" s="260" t="s">
        <v>1523</v>
      </c>
      <c r="D43" s="259"/>
      <c r="E43" s="259">
        <v>9720000</v>
      </c>
      <c r="F43" s="259"/>
      <c r="G43" s="242">
        <f t="shared" si="0"/>
        <v>48762000</v>
      </c>
    </row>
    <row r="44" spans="1:7" ht="18.75" customHeight="1" x14ac:dyDescent="0.25">
      <c r="A44" s="262">
        <v>34</v>
      </c>
      <c r="B44" s="261">
        <v>45776</v>
      </c>
      <c r="C44" s="260" t="s">
        <v>2007</v>
      </c>
      <c r="D44" s="259"/>
      <c r="E44" s="259">
        <v>34452000</v>
      </c>
      <c r="F44" s="259"/>
      <c r="G44" s="242">
        <f t="shared" si="0"/>
        <v>14310000</v>
      </c>
    </row>
    <row r="45" spans="1:7" ht="18.75" customHeight="1" x14ac:dyDescent="0.25">
      <c r="A45" s="260"/>
      <c r="B45" s="261"/>
      <c r="C45" s="260"/>
      <c r="D45" s="259"/>
      <c r="E45" s="259"/>
      <c r="F45" s="259"/>
      <c r="G45" s="242">
        <f t="shared" si="0"/>
        <v>14310000</v>
      </c>
    </row>
    <row r="46" spans="1:7" ht="18.75" customHeight="1" x14ac:dyDescent="0.25">
      <c r="A46" s="260"/>
      <c r="B46" s="261"/>
      <c r="C46" s="260"/>
      <c r="D46" s="259"/>
      <c r="E46" s="259"/>
      <c r="F46" s="259"/>
      <c r="G46" s="242">
        <f t="shared" si="0"/>
        <v>14310000</v>
      </c>
    </row>
    <row r="47" spans="1:7" ht="18.75" customHeight="1" x14ac:dyDescent="0.25">
      <c r="A47" s="260"/>
      <c r="B47" s="261"/>
      <c r="C47" s="260"/>
      <c r="D47" s="259"/>
      <c r="E47" s="259"/>
      <c r="F47" s="259"/>
      <c r="G47" s="242">
        <f t="shared" si="0"/>
        <v>14310000</v>
      </c>
    </row>
    <row r="48" spans="1:7" ht="18.75" customHeight="1" x14ac:dyDescent="0.25">
      <c r="A48" s="260"/>
      <c r="B48" s="261"/>
      <c r="C48" s="260"/>
      <c r="D48" s="259"/>
      <c r="E48" s="259"/>
      <c r="F48" s="259"/>
      <c r="G48" s="242">
        <f t="shared" si="0"/>
        <v>14310000</v>
      </c>
    </row>
    <row r="49" spans="1:7" ht="18.75" customHeight="1" x14ac:dyDescent="0.25">
      <c r="A49" s="260"/>
      <c r="B49" s="261"/>
      <c r="C49" s="260"/>
      <c r="D49" s="259"/>
      <c r="E49" s="259"/>
      <c r="F49" s="259"/>
      <c r="G49" s="242">
        <f t="shared" si="0"/>
        <v>14310000</v>
      </c>
    </row>
    <row r="50" spans="1:7" ht="18.75" customHeight="1" x14ac:dyDescent="0.25">
      <c r="A50" s="260"/>
      <c r="B50" s="261"/>
      <c r="C50" s="260"/>
      <c r="D50" s="259"/>
      <c r="E50" s="259"/>
      <c r="F50" s="259"/>
      <c r="G50" s="242">
        <f t="shared" si="0"/>
        <v>14310000</v>
      </c>
    </row>
    <row r="51" spans="1:7" ht="18.75" customHeight="1" x14ac:dyDescent="0.25">
      <c r="A51" s="260"/>
      <c r="B51" s="261"/>
      <c r="C51" s="260"/>
      <c r="D51" s="259"/>
      <c r="E51" s="259"/>
      <c r="F51" s="259"/>
    </row>
    <row r="52" spans="1:7" ht="18.75" customHeight="1" x14ac:dyDescent="0.25">
      <c r="A52" s="260"/>
      <c r="B52" s="262"/>
      <c r="C52" s="260"/>
      <c r="D52" s="259"/>
      <c r="E52" s="259"/>
      <c r="F52" s="259"/>
    </row>
    <row r="53" spans="1:7" ht="18.75" customHeight="1" x14ac:dyDescent="0.25">
      <c r="A53" s="260"/>
      <c r="B53" s="262"/>
      <c r="C53" s="260"/>
      <c r="D53" s="259"/>
      <c r="E53" s="259"/>
      <c r="F53" s="259"/>
    </row>
    <row r="54" spans="1:7" ht="18.75" customHeight="1" x14ac:dyDescent="0.25">
      <c r="A54" s="260"/>
      <c r="B54" s="262"/>
      <c r="C54" s="260"/>
      <c r="D54" s="259"/>
      <c r="E54" s="259"/>
      <c r="F54" s="259"/>
    </row>
    <row r="55" spans="1:7" ht="18.75" customHeight="1" x14ac:dyDescent="0.25">
      <c r="A55" s="260"/>
      <c r="B55" s="262"/>
      <c r="C55" s="260"/>
      <c r="D55" s="259"/>
      <c r="E55" s="259"/>
      <c r="F55" s="259"/>
    </row>
    <row r="56" spans="1:7" ht="18.75" customHeight="1" x14ac:dyDescent="0.25">
      <c r="A56" s="260"/>
      <c r="B56" s="262"/>
      <c r="C56" s="260"/>
      <c r="D56" s="259"/>
      <c r="E56" s="259"/>
      <c r="F56" s="259"/>
    </row>
    <row r="57" spans="1:7" ht="18.75" customHeight="1" x14ac:dyDescent="0.25">
      <c r="A57" s="260"/>
      <c r="B57" s="262"/>
      <c r="C57" s="260"/>
      <c r="D57" s="259"/>
      <c r="E57" s="259"/>
      <c r="F57" s="259"/>
    </row>
    <row r="58" spans="1:7" ht="18.75" customHeight="1" x14ac:dyDescent="0.25">
      <c r="A58" s="260"/>
      <c r="B58" s="262"/>
      <c r="C58" s="260"/>
      <c r="D58" s="259"/>
      <c r="E58" s="259"/>
      <c r="F58" s="259"/>
    </row>
    <row r="59" spans="1:7" ht="18.75" customHeight="1" x14ac:dyDescent="0.25">
      <c r="A59" s="260"/>
      <c r="B59" s="262"/>
      <c r="C59" s="260"/>
      <c r="D59" s="259"/>
      <c r="E59" s="259"/>
      <c r="F59" s="259"/>
    </row>
    <row r="60" spans="1:7" ht="18.75" customHeight="1" x14ac:dyDescent="0.25">
      <c r="A60" s="260"/>
      <c r="B60" s="262"/>
      <c r="C60" s="260"/>
      <c r="D60" s="259"/>
      <c r="E60" s="259"/>
      <c r="F60" s="259"/>
    </row>
    <row r="61" spans="1:7" ht="18.75" customHeight="1" x14ac:dyDescent="0.25">
      <c r="A61" s="260"/>
      <c r="B61" s="262"/>
      <c r="C61" s="260"/>
      <c r="D61" s="259"/>
      <c r="E61" s="259"/>
      <c r="F61" s="259"/>
    </row>
    <row r="62" spans="1:7" ht="18.75" customHeight="1" x14ac:dyDescent="0.25">
      <c r="A62" s="260"/>
      <c r="B62" s="262"/>
      <c r="C62" s="260"/>
      <c r="D62" s="259"/>
      <c r="E62" s="259"/>
      <c r="F62" s="259"/>
    </row>
    <row r="63" spans="1:7" ht="18.75" customHeight="1" x14ac:dyDescent="0.25">
      <c r="A63" s="260"/>
      <c r="B63" s="262"/>
      <c r="C63" s="260"/>
      <c r="D63" s="259"/>
      <c r="E63" s="259"/>
      <c r="F63" s="259"/>
    </row>
    <row r="64" spans="1:7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D6F274CE-4508-4598-994C-3268713AF217}"/>
  </hyperlink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7672-6BDA-4A83-9A3B-B4DE5AA70DB6}">
  <dimension ref="A1:H81"/>
  <sheetViews>
    <sheetView workbookViewId="0">
      <selection activeCell="G1" sqref="G1"/>
    </sheetView>
  </sheetViews>
  <sheetFormatPr defaultRowHeight="15" x14ac:dyDescent="0.25"/>
  <cols>
    <col min="2" max="2" width="12.5703125" style="251" customWidth="1"/>
    <col min="3" max="3" width="32.42578125" customWidth="1"/>
    <col min="4" max="4" width="19.85546875" style="2" customWidth="1"/>
    <col min="5" max="5" width="13.85546875" style="2" customWidth="1"/>
    <col min="6" max="6" width="19" style="2" customWidth="1"/>
    <col min="7" max="7" width="12.28515625" bestFit="1" customWidth="1"/>
  </cols>
  <sheetData>
    <row r="1" spans="1:7" x14ac:dyDescent="0.25">
      <c r="A1" s="1"/>
      <c r="B1" s="252"/>
      <c r="G1" s="1" t="s">
        <v>16</v>
      </c>
    </row>
    <row r="2" spans="1:7" x14ac:dyDescent="0.25">
      <c r="A2" s="411" t="s">
        <v>3</v>
      </c>
      <c r="B2" s="411"/>
      <c r="C2" s="411"/>
      <c r="D2" s="411"/>
      <c r="E2" s="411"/>
      <c r="F2" s="411"/>
    </row>
    <row r="3" spans="1:7" x14ac:dyDescent="0.25">
      <c r="A3" t="s">
        <v>4</v>
      </c>
      <c r="D3" s="292" t="s">
        <v>1701</v>
      </c>
    </row>
    <row r="4" spans="1:7" x14ac:dyDescent="0.25">
      <c r="E4" s="2" t="s">
        <v>9</v>
      </c>
      <c r="F4" s="2">
        <v>0</v>
      </c>
    </row>
    <row r="5" spans="1:7" x14ac:dyDescent="0.25">
      <c r="A5" t="s">
        <v>13</v>
      </c>
      <c r="D5" s="3">
        <f ca="1">+'Tổng hợp'!$G$2</f>
        <v>45784</v>
      </c>
      <c r="E5" s="2" t="s">
        <v>10</v>
      </c>
      <c r="F5" s="2">
        <f>SUM(D10:D68)</f>
        <v>11555200</v>
      </c>
    </row>
    <row r="6" spans="1:7" x14ac:dyDescent="0.25">
      <c r="E6" s="2" t="s">
        <v>11</v>
      </c>
      <c r="F6" s="2">
        <f>SUM(E10:E68)</f>
        <v>11555200</v>
      </c>
    </row>
    <row r="7" spans="1:7" x14ac:dyDescent="0.25">
      <c r="E7" s="2" t="s">
        <v>12</v>
      </c>
      <c r="F7" s="2">
        <f>+F4+F5-F6</f>
        <v>0</v>
      </c>
    </row>
    <row r="8" spans="1:7" x14ac:dyDescent="0.25">
      <c r="A8" s="412" t="s">
        <v>0</v>
      </c>
      <c r="B8" s="412" t="s">
        <v>13</v>
      </c>
      <c r="C8" s="412" t="s">
        <v>5</v>
      </c>
      <c r="D8" s="415" t="s">
        <v>8</v>
      </c>
      <c r="E8" s="415"/>
      <c r="F8" s="415" t="s">
        <v>2</v>
      </c>
    </row>
    <row r="9" spans="1:7" x14ac:dyDescent="0.25">
      <c r="A9" s="412"/>
      <c r="B9" s="412"/>
      <c r="C9" s="412"/>
      <c r="D9" s="265" t="s">
        <v>6</v>
      </c>
      <c r="E9" s="265" t="s">
        <v>7</v>
      </c>
      <c r="F9" s="415"/>
    </row>
    <row r="10" spans="1:7" ht="20.25" customHeight="1" x14ac:dyDescent="0.25">
      <c r="A10" s="260"/>
      <c r="B10" s="261"/>
      <c r="C10" s="260"/>
      <c r="D10" s="259"/>
      <c r="E10" s="259"/>
      <c r="F10" s="259"/>
    </row>
    <row r="11" spans="1:7" ht="18.75" customHeight="1" x14ac:dyDescent="0.25">
      <c r="A11" s="262">
        <v>1</v>
      </c>
      <c r="B11" s="261">
        <v>45303</v>
      </c>
      <c r="C11" s="260" t="s">
        <v>1699</v>
      </c>
      <c r="D11" s="279">
        <v>11555200</v>
      </c>
      <c r="E11" s="259"/>
      <c r="F11" s="259"/>
      <c r="G11" s="242">
        <f>D11-E11</f>
        <v>11555200</v>
      </c>
    </row>
    <row r="12" spans="1:7" ht="18.75" customHeight="1" x14ac:dyDescent="0.25">
      <c r="A12" s="262">
        <v>2</v>
      </c>
      <c r="B12" s="261">
        <v>45309</v>
      </c>
      <c r="C12" s="260" t="s">
        <v>1700</v>
      </c>
      <c r="D12" s="279"/>
      <c r="E12" s="259">
        <v>11555200</v>
      </c>
      <c r="F12" s="259"/>
      <c r="G12" s="242">
        <f>G11+D12-E12</f>
        <v>0</v>
      </c>
    </row>
    <row r="13" spans="1:7" ht="18.75" customHeight="1" x14ac:dyDescent="0.25">
      <c r="A13" s="262">
        <v>3</v>
      </c>
      <c r="B13" s="261"/>
      <c r="C13" s="260"/>
      <c r="D13" s="279"/>
      <c r="E13" s="259"/>
      <c r="F13" s="259"/>
      <c r="G13" s="242">
        <f t="shared" ref="G13:G22" si="0">G12+D13-E13</f>
        <v>0</v>
      </c>
    </row>
    <row r="14" spans="1:7" ht="18.75" customHeight="1" x14ac:dyDescent="0.25">
      <c r="A14" s="262">
        <v>4</v>
      </c>
      <c r="B14" s="261"/>
      <c r="C14" s="260"/>
      <c r="D14" s="279"/>
      <c r="E14" s="259"/>
      <c r="F14" s="259"/>
      <c r="G14" s="242">
        <f t="shared" si="0"/>
        <v>0</v>
      </c>
    </row>
    <row r="15" spans="1:7" ht="18.75" customHeight="1" x14ac:dyDescent="0.25">
      <c r="A15" s="262">
        <v>5</v>
      </c>
      <c r="B15" s="261"/>
      <c r="C15" s="260"/>
      <c r="D15" s="279"/>
      <c r="E15" s="259"/>
      <c r="F15" s="259"/>
      <c r="G15" s="242">
        <f t="shared" si="0"/>
        <v>0</v>
      </c>
    </row>
    <row r="16" spans="1:7" ht="18.75" customHeight="1" x14ac:dyDescent="0.25">
      <c r="A16" s="262">
        <v>6</v>
      </c>
      <c r="B16" s="261"/>
      <c r="C16" s="260"/>
      <c r="D16" s="279"/>
      <c r="E16" s="259"/>
      <c r="F16" s="259"/>
      <c r="G16" s="242">
        <f t="shared" si="0"/>
        <v>0</v>
      </c>
    </row>
    <row r="17" spans="1:8" ht="18.75" customHeight="1" x14ac:dyDescent="0.25">
      <c r="A17" s="262">
        <v>7</v>
      </c>
      <c r="B17" s="261"/>
      <c r="C17" s="260"/>
      <c r="D17" s="279"/>
      <c r="E17" s="259"/>
      <c r="F17" s="259"/>
      <c r="G17" s="242">
        <f t="shared" si="0"/>
        <v>0</v>
      </c>
    </row>
    <row r="18" spans="1:8" ht="18.75" customHeight="1" x14ac:dyDescent="0.25">
      <c r="A18" s="262">
        <v>8</v>
      </c>
      <c r="B18" s="261"/>
      <c r="C18" s="260"/>
      <c r="D18" s="279"/>
      <c r="E18" s="259"/>
      <c r="F18" s="259"/>
      <c r="G18" s="242">
        <f t="shared" si="0"/>
        <v>0</v>
      </c>
    </row>
    <row r="19" spans="1:8" ht="18.75" customHeight="1" x14ac:dyDescent="0.25">
      <c r="A19" s="262">
        <v>9</v>
      </c>
      <c r="B19" s="261"/>
      <c r="C19" s="260"/>
      <c r="D19" s="259"/>
      <c r="E19" s="259"/>
      <c r="F19" s="259"/>
      <c r="G19" s="242">
        <f t="shared" si="0"/>
        <v>0</v>
      </c>
    </row>
    <row r="20" spans="1:8" ht="18.75" customHeight="1" x14ac:dyDescent="0.3">
      <c r="A20" s="262">
        <v>10</v>
      </c>
      <c r="B20" s="261"/>
      <c r="C20" s="260"/>
      <c r="D20" s="259"/>
      <c r="E20" s="259"/>
      <c r="F20" s="259"/>
      <c r="G20" s="242">
        <f t="shared" si="0"/>
        <v>0</v>
      </c>
      <c r="H20" s="318"/>
    </row>
    <row r="21" spans="1:8" ht="18.75" customHeight="1" x14ac:dyDescent="0.25">
      <c r="A21" s="262">
        <v>11</v>
      </c>
      <c r="B21" s="261"/>
      <c r="C21" s="260"/>
      <c r="D21" s="259"/>
      <c r="E21" s="259"/>
      <c r="F21" s="259"/>
      <c r="G21" s="242">
        <f t="shared" si="0"/>
        <v>0</v>
      </c>
    </row>
    <row r="22" spans="1:8" ht="18.75" customHeight="1" x14ac:dyDescent="0.25">
      <c r="A22" s="262">
        <v>12</v>
      </c>
      <c r="B22" s="261"/>
      <c r="C22" s="260"/>
      <c r="D22" s="259"/>
      <c r="E22" s="259"/>
      <c r="F22" s="259"/>
      <c r="G22" s="242">
        <f t="shared" si="0"/>
        <v>0</v>
      </c>
    </row>
    <row r="23" spans="1:8" ht="18.75" customHeight="1" x14ac:dyDescent="0.25">
      <c r="A23" s="262">
        <v>13</v>
      </c>
      <c r="B23" s="261"/>
      <c r="C23" s="260"/>
      <c r="D23" s="259"/>
      <c r="E23" s="259"/>
      <c r="F23" s="259"/>
    </row>
    <row r="24" spans="1:8" ht="18.75" customHeight="1" x14ac:dyDescent="0.25">
      <c r="A24" s="262">
        <v>14</v>
      </c>
      <c r="B24" s="261"/>
      <c r="C24" s="317"/>
      <c r="D24" s="285"/>
      <c r="E24" s="259"/>
      <c r="F24" s="259"/>
    </row>
    <row r="25" spans="1:8" ht="18.75" customHeight="1" x14ac:dyDescent="0.25">
      <c r="A25" s="262">
        <v>15</v>
      </c>
      <c r="B25" s="261"/>
      <c r="C25" s="260"/>
      <c r="D25" s="259"/>
      <c r="E25" s="259"/>
      <c r="F25" s="259"/>
    </row>
    <row r="26" spans="1:8" ht="18.75" customHeight="1" x14ac:dyDescent="0.25">
      <c r="A26" s="262">
        <v>16</v>
      </c>
      <c r="B26" s="261"/>
      <c r="C26" s="260"/>
      <c r="D26" s="259"/>
      <c r="E26" s="259"/>
      <c r="F26" s="259"/>
    </row>
    <row r="27" spans="1:8" ht="18.75" customHeight="1" x14ac:dyDescent="0.25">
      <c r="A27" s="262">
        <v>17</v>
      </c>
      <c r="B27" s="261"/>
      <c r="C27" s="260"/>
      <c r="D27" s="259"/>
      <c r="E27" s="259"/>
      <c r="F27" s="259"/>
    </row>
    <row r="28" spans="1:8" ht="18.75" customHeight="1" x14ac:dyDescent="0.25">
      <c r="A28" s="262">
        <v>18</v>
      </c>
      <c r="B28" s="261"/>
      <c r="C28" s="260"/>
      <c r="D28" s="259"/>
      <c r="E28" s="259"/>
      <c r="F28" s="259"/>
    </row>
    <row r="29" spans="1:8" ht="18.75" customHeight="1" x14ac:dyDescent="0.25">
      <c r="A29" s="262">
        <v>19</v>
      </c>
      <c r="B29" s="261"/>
      <c r="C29" s="260"/>
      <c r="D29" s="259"/>
      <c r="E29" s="259"/>
      <c r="F29" s="259"/>
    </row>
    <row r="30" spans="1:8" ht="18.75" customHeight="1" x14ac:dyDescent="0.25">
      <c r="A30" s="262">
        <v>20</v>
      </c>
      <c r="B30" s="261"/>
      <c r="C30" s="260"/>
      <c r="D30" s="259"/>
      <c r="E30" s="259"/>
      <c r="F30" s="259"/>
    </row>
    <row r="31" spans="1:8" ht="18.75" customHeight="1" x14ac:dyDescent="0.25">
      <c r="A31" s="262">
        <v>21</v>
      </c>
      <c r="B31" s="261"/>
      <c r="C31" s="260"/>
      <c r="D31" s="259"/>
      <c r="E31" s="259"/>
      <c r="F31" s="259"/>
    </row>
    <row r="32" spans="1:8" ht="18.75" customHeight="1" x14ac:dyDescent="0.25">
      <c r="A32" s="262">
        <v>22</v>
      </c>
      <c r="B32" s="262"/>
      <c r="C32" s="260"/>
      <c r="D32" s="259"/>
      <c r="E32" s="259"/>
      <c r="F32" s="259"/>
    </row>
    <row r="33" spans="1:6" ht="18.75" customHeight="1" x14ac:dyDescent="0.25">
      <c r="A33" s="262">
        <v>23</v>
      </c>
      <c r="B33" s="262"/>
      <c r="C33" s="260"/>
      <c r="D33" s="259"/>
      <c r="E33" s="259"/>
      <c r="F33" s="259"/>
    </row>
    <row r="34" spans="1:6" ht="18.75" customHeight="1" x14ac:dyDescent="0.25">
      <c r="A34" s="262">
        <v>24</v>
      </c>
      <c r="B34" s="262"/>
      <c r="C34" s="260"/>
      <c r="D34" s="259"/>
      <c r="E34" s="259"/>
      <c r="F34" s="259"/>
    </row>
    <row r="35" spans="1:6" ht="18.75" customHeight="1" x14ac:dyDescent="0.25">
      <c r="A35" s="262">
        <v>25</v>
      </c>
      <c r="B35" s="262"/>
      <c r="C35" s="260"/>
      <c r="D35" s="259"/>
      <c r="E35" s="259"/>
      <c r="F35" s="259"/>
    </row>
    <row r="36" spans="1:6" ht="18.75" customHeight="1" x14ac:dyDescent="0.25">
      <c r="A36" s="262">
        <v>26</v>
      </c>
      <c r="B36" s="262"/>
      <c r="C36" s="260"/>
      <c r="D36" s="259"/>
      <c r="E36" s="259"/>
      <c r="F36" s="259"/>
    </row>
    <row r="37" spans="1:6" ht="18.75" customHeight="1" x14ac:dyDescent="0.25">
      <c r="A37" s="262">
        <v>27</v>
      </c>
      <c r="B37" s="262"/>
      <c r="C37" s="260"/>
      <c r="D37" s="259"/>
      <c r="E37" s="259"/>
      <c r="F37" s="259"/>
    </row>
    <row r="38" spans="1:6" ht="18.75" customHeight="1" x14ac:dyDescent="0.25">
      <c r="A38" s="262">
        <v>28</v>
      </c>
      <c r="B38" s="262"/>
      <c r="C38" s="260"/>
      <c r="D38" s="259"/>
      <c r="E38" s="259"/>
      <c r="F38" s="259"/>
    </row>
    <row r="39" spans="1:6" ht="18.75" customHeight="1" x14ac:dyDescent="0.25">
      <c r="A39" s="260"/>
      <c r="B39" s="262"/>
      <c r="C39" s="260"/>
      <c r="D39" s="259"/>
      <c r="E39" s="259"/>
      <c r="F39" s="259"/>
    </row>
    <row r="40" spans="1:6" ht="18.75" customHeight="1" x14ac:dyDescent="0.25">
      <c r="A40" s="260"/>
      <c r="B40" s="262"/>
      <c r="C40" s="260"/>
      <c r="D40" s="259"/>
      <c r="E40" s="259"/>
      <c r="F40" s="259"/>
    </row>
    <row r="41" spans="1:6" ht="18.75" customHeight="1" x14ac:dyDescent="0.25">
      <c r="A41" s="260"/>
      <c r="B41" s="262"/>
      <c r="C41" s="260"/>
      <c r="D41" s="259"/>
      <c r="E41" s="259"/>
      <c r="F41" s="259"/>
    </row>
    <row r="42" spans="1:6" ht="18.75" customHeight="1" x14ac:dyDescent="0.25">
      <c r="A42" s="260"/>
      <c r="B42" s="262"/>
      <c r="C42" s="260"/>
      <c r="D42" s="259"/>
      <c r="E42" s="259"/>
      <c r="F42" s="259"/>
    </row>
    <row r="43" spans="1:6" ht="18.75" customHeight="1" x14ac:dyDescent="0.25">
      <c r="A43" s="260"/>
      <c r="B43" s="262"/>
      <c r="C43" s="260"/>
      <c r="D43" s="259"/>
      <c r="E43" s="259"/>
      <c r="F43" s="259"/>
    </row>
    <row r="44" spans="1:6" ht="18.75" customHeight="1" x14ac:dyDescent="0.25">
      <c r="A44" s="260"/>
      <c r="B44" s="262"/>
      <c r="C44" s="260"/>
      <c r="D44" s="259"/>
      <c r="E44" s="259"/>
      <c r="F44" s="259"/>
    </row>
    <row r="45" spans="1:6" ht="18.75" customHeight="1" x14ac:dyDescent="0.25">
      <c r="A45" s="260"/>
      <c r="B45" s="262"/>
      <c r="C45" s="260"/>
      <c r="D45" s="259"/>
      <c r="E45" s="259"/>
      <c r="F45" s="259"/>
    </row>
    <row r="46" spans="1:6" ht="18.75" customHeight="1" x14ac:dyDescent="0.25">
      <c r="A46" s="260"/>
      <c r="B46" s="262"/>
      <c r="C46" s="260"/>
      <c r="D46" s="259"/>
      <c r="E46" s="259"/>
      <c r="F46" s="259"/>
    </row>
    <row r="47" spans="1:6" ht="18.75" customHeight="1" x14ac:dyDescent="0.25">
      <c r="A47" s="260"/>
      <c r="B47" s="262"/>
      <c r="C47" s="260"/>
      <c r="D47" s="259"/>
      <c r="E47" s="259"/>
      <c r="F47" s="259"/>
    </row>
    <row r="48" spans="1:6" ht="18.75" customHeight="1" x14ac:dyDescent="0.25">
      <c r="A48" s="260"/>
      <c r="B48" s="262"/>
      <c r="C48" s="260"/>
      <c r="D48" s="259"/>
      <c r="E48" s="259"/>
      <c r="F48" s="259"/>
    </row>
    <row r="49" spans="1:6" ht="18.75" customHeight="1" x14ac:dyDescent="0.25">
      <c r="A49" s="260"/>
      <c r="B49" s="262"/>
      <c r="C49" s="260"/>
      <c r="D49" s="259"/>
      <c r="E49" s="259"/>
      <c r="F49" s="259"/>
    </row>
    <row r="50" spans="1:6" ht="18.75" customHeight="1" x14ac:dyDescent="0.25">
      <c r="A50" s="260"/>
      <c r="B50" s="262"/>
      <c r="C50" s="260"/>
      <c r="D50" s="259"/>
      <c r="E50" s="259"/>
      <c r="F50" s="259"/>
    </row>
    <row r="51" spans="1:6" ht="18.75" customHeight="1" x14ac:dyDescent="0.25">
      <c r="A51" s="260"/>
      <c r="B51" s="262"/>
      <c r="C51" s="260"/>
      <c r="D51" s="259"/>
      <c r="E51" s="259"/>
      <c r="F51" s="259"/>
    </row>
    <row r="52" spans="1:6" ht="18.75" customHeight="1" x14ac:dyDescent="0.25">
      <c r="A52" s="260"/>
      <c r="B52" s="262"/>
      <c r="C52" s="260"/>
      <c r="D52" s="259"/>
      <c r="E52" s="259"/>
      <c r="F52" s="259"/>
    </row>
    <row r="53" spans="1:6" ht="18.75" customHeight="1" x14ac:dyDescent="0.25">
      <c r="A53" s="260"/>
      <c r="B53" s="262"/>
      <c r="C53" s="260"/>
      <c r="D53" s="259"/>
      <c r="E53" s="259"/>
      <c r="F53" s="259"/>
    </row>
    <row r="54" spans="1:6" ht="18.75" customHeight="1" x14ac:dyDescent="0.25">
      <c r="A54" s="260"/>
      <c r="B54" s="262"/>
      <c r="C54" s="260"/>
      <c r="D54" s="259"/>
      <c r="E54" s="259"/>
      <c r="F54" s="259"/>
    </row>
    <row r="55" spans="1:6" ht="18.75" customHeight="1" x14ac:dyDescent="0.25">
      <c r="A55" s="260"/>
      <c r="B55" s="262"/>
      <c r="C55" s="260"/>
      <c r="D55" s="259"/>
      <c r="E55" s="259"/>
      <c r="F55" s="259"/>
    </row>
    <row r="56" spans="1:6" ht="18.75" customHeight="1" x14ac:dyDescent="0.25">
      <c r="A56" s="260"/>
      <c r="B56" s="262"/>
      <c r="C56" s="260"/>
      <c r="D56" s="259"/>
      <c r="E56" s="259"/>
      <c r="F56" s="259"/>
    </row>
    <row r="57" spans="1:6" ht="18.75" customHeight="1" x14ac:dyDescent="0.25">
      <c r="A57" s="260"/>
      <c r="B57" s="262"/>
      <c r="C57" s="260"/>
      <c r="D57" s="259"/>
      <c r="E57" s="259"/>
      <c r="F57" s="259"/>
    </row>
    <row r="58" spans="1:6" ht="18.75" customHeight="1" x14ac:dyDescent="0.25">
      <c r="A58" s="260"/>
      <c r="B58" s="262"/>
      <c r="C58" s="260"/>
      <c r="D58" s="259"/>
      <c r="E58" s="259"/>
      <c r="F58" s="259"/>
    </row>
    <row r="59" spans="1:6" ht="18.75" customHeight="1" x14ac:dyDescent="0.25">
      <c r="A59" s="260"/>
      <c r="B59" s="262"/>
      <c r="C59" s="260"/>
      <c r="D59" s="259"/>
      <c r="E59" s="259"/>
      <c r="F59" s="259"/>
    </row>
    <row r="60" spans="1:6" ht="18.75" customHeight="1" x14ac:dyDescent="0.25">
      <c r="A60" s="260"/>
      <c r="B60" s="262"/>
      <c r="C60" s="260"/>
      <c r="D60" s="259"/>
      <c r="E60" s="259"/>
      <c r="F60" s="259"/>
    </row>
    <row r="61" spans="1:6" ht="18.75" customHeight="1" x14ac:dyDescent="0.25">
      <c r="A61" s="260"/>
      <c r="B61" s="262"/>
      <c r="C61" s="260"/>
      <c r="D61" s="259"/>
      <c r="E61" s="259"/>
      <c r="F61" s="259"/>
    </row>
    <row r="62" spans="1:6" ht="18.75" customHeight="1" x14ac:dyDescent="0.25">
      <c r="A62" s="260"/>
      <c r="B62" s="262"/>
      <c r="C62" s="260"/>
      <c r="D62" s="259"/>
      <c r="E62" s="259"/>
      <c r="F62" s="259"/>
    </row>
    <row r="63" spans="1:6" ht="18.75" customHeight="1" x14ac:dyDescent="0.25">
      <c r="A63" s="260"/>
      <c r="B63" s="262"/>
      <c r="C63" s="260"/>
      <c r="D63" s="259"/>
      <c r="E63" s="259"/>
      <c r="F63" s="259"/>
    </row>
    <row r="64" spans="1:6" ht="18.75" customHeight="1" x14ac:dyDescent="0.25">
      <c r="A64" s="260"/>
      <c r="B64" s="262"/>
      <c r="C64" s="260"/>
      <c r="D64" s="259"/>
      <c r="E64" s="259"/>
      <c r="F64" s="259"/>
    </row>
    <row r="65" spans="1:6" ht="18.75" customHeight="1" x14ac:dyDescent="0.25">
      <c r="A65" s="260"/>
      <c r="B65" s="262"/>
      <c r="C65" s="260"/>
      <c r="D65" s="259"/>
      <c r="E65" s="259"/>
      <c r="F65" s="259"/>
    </row>
    <row r="66" spans="1:6" ht="18.75" customHeight="1" x14ac:dyDescent="0.25">
      <c r="A66" s="260"/>
      <c r="B66" s="262"/>
      <c r="C66" s="260"/>
      <c r="D66" s="259"/>
      <c r="E66" s="259"/>
      <c r="F66" s="259"/>
    </row>
    <row r="67" spans="1:6" ht="18.75" customHeight="1" x14ac:dyDescent="0.25">
      <c r="A67" s="260"/>
      <c r="B67" s="262"/>
      <c r="C67" s="260"/>
      <c r="D67" s="259"/>
      <c r="E67" s="259"/>
      <c r="F67" s="259"/>
    </row>
    <row r="68" spans="1:6" ht="18.75" customHeight="1" x14ac:dyDescent="0.25">
      <c r="A68" s="260"/>
      <c r="B68" s="262"/>
      <c r="C68" s="260"/>
      <c r="D68" s="259"/>
      <c r="E68" s="259"/>
      <c r="F68" s="259"/>
    </row>
    <row r="69" spans="1:6" ht="18.75" customHeight="1" x14ac:dyDescent="0.25">
      <c r="A69" s="260"/>
      <c r="B69" s="262"/>
      <c r="C69" s="260"/>
      <c r="D69" s="259"/>
      <c r="E69" s="259"/>
      <c r="F69" s="259"/>
    </row>
    <row r="70" spans="1:6" ht="18.75" customHeight="1" x14ac:dyDescent="0.25">
      <c r="A70" s="260"/>
      <c r="B70" s="262"/>
      <c r="C70" s="260"/>
      <c r="D70" s="259"/>
      <c r="E70" s="259"/>
      <c r="F70" s="259"/>
    </row>
    <row r="71" spans="1:6" ht="18.75" customHeight="1" x14ac:dyDescent="0.25">
      <c r="A71" s="260"/>
      <c r="B71" s="262"/>
      <c r="C71" s="260"/>
      <c r="D71" s="259"/>
      <c r="E71" s="259"/>
      <c r="F71" s="259"/>
    </row>
    <row r="72" spans="1:6" ht="18.75" customHeight="1" x14ac:dyDescent="0.25">
      <c r="A72" s="260"/>
      <c r="B72" s="262"/>
      <c r="C72" s="260"/>
      <c r="D72" s="259"/>
      <c r="E72" s="259"/>
      <c r="F72" s="259"/>
    </row>
    <row r="73" spans="1:6" ht="18.75" customHeight="1" x14ac:dyDescent="0.25">
      <c r="A73" s="260"/>
      <c r="B73" s="262"/>
      <c r="C73" s="260"/>
      <c r="D73" s="259"/>
      <c r="E73" s="259"/>
      <c r="F73" s="259"/>
    </row>
    <row r="74" spans="1:6" ht="18.75" customHeight="1" x14ac:dyDescent="0.25">
      <c r="A74" s="260"/>
      <c r="B74" s="262"/>
      <c r="C74" s="260"/>
      <c r="D74" s="259"/>
      <c r="E74" s="259"/>
      <c r="F74" s="259"/>
    </row>
    <row r="75" spans="1:6" ht="18.75" customHeight="1" x14ac:dyDescent="0.25">
      <c r="A75" s="260"/>
      <c r="B75" s="262"/>
      <c r="C75" s="260"/>
      <c r="D75" s="259"/>
      <c r="E75" s="259"/>
      <c r="F75" s="259"/>
    </row>
    <row r="76" spans="1:6" ht="18.75" customHeight="1" x14ac:dyDescent="0.25">
      <c r="A76" s="260"/>
      <c r="B76" s="262"/>
      <c r="C76" s="260"/>
      <c r="D76" s="259"/>
      <c r="E76" s="259"/>
      <c r="F76" s="259"/>
    </row>
    <row r="77" spans="1:6" ht="18.75" customHeight="1" x14ac:dyDescent="0.25">
      <c r="A77" s="260"/>
      <c r="B77" s="262"/>
      <c r="C77" s="260"/>
      <c r="D77" s="259"/>
      <c r="E77" s="259"/>
      <c r="F77" s="259"/>
    </row>
    <row r="78" spans="1:6" ht="18.75" customHeight="1" x14ac:dyDescent="0.25">
      <c r="A78" s="260"/>
      <c r="B78" s="262"/>
      <c r="C78" s="260"/>
      <c r="D78" s="259"/>
      <c r="E78" s="259"/>
      <c r="F78" s="259"/>
    </row>
    <row r="79" spans="1:6" ht="18.75" customHeight="1" x14ac:dyDescent="0.25">
      <c r="A79" s="260"/>
      <c r="B79" s="262"/>
      <c r="C79" s="260"/>
      <c r="D79" s="259"/>
      <c r="E79" s="259"/>
      <c r="F79" s="259"/>
    </row>
    <row r="80" spans="1:6" ht="18.75" customHeight="1" x14ac:dyDescent="0.25">
      <c r="A80" s="260"/>
      <c r="B80" s="262"/>
      <c r="C80" s="260"/>
      <c r="D80" s="259"/>
      <c r="E80" s="259"/>
      <c r="F80" s="259"/>
    </row>
    <row r="81" spans="1:6" ht="18.75" customHeight="1" x14ac:dyDescent="0.25">
      <c r="A81" s="260"/>
      <c r="B81" s="262"/>
      <c r="C81" s="260"/>
      <c r="D81" s="259"/>
      <c r="E81" s="259"/>
      <c r="F81" s="259"/>
    </row>
  </sheetData>
  <mergeCells count="6">
    <mergeCell ref="A2:F2"/>
    <mergeCell ref="A8:A9"/>
    <mergeCell ref="B8:B9"/>
    <mergeCell ref="C8:C9"/>
    <mergeCell ref="D8:E8"/>
    <mergeCell ref="F8:F9"/>
  </mergeCells>
  <hyperlinks>
    <hyperlink ref="G1" location="'Tổng hợp'!A1" display="TH" xr:uid="{64A98BB3-87D0-41C6-AAAF-1408A5B0057C}"/>
  </hyperlink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50</vt:i4>
      </vt:variant>
      <vt:variant>
        <vt:lpstr>Phạm vi Có tên</vt:lpstr>
      </vt:variant>
      <vt:variant>
        <vt:i4>1</vt:i4>
      </vt:variant>
    </vt:vector>
  </HeadingPairs>
  <TitlesOfParts>
    <vt:vector size="51" baseType="lpstr">
      <vt:lpstr>Dữ liệu nguồn</vt:lpstr>
      <vt:lpstr>Tổng hợp</vt:lpstr>
      <vt:lpstr>Mộc Sương</vt:lpstr>
      <vt:lpstr>Ligarden</vt:lpstr>
      <vt:lpstr>Tan Lap MC</vt:lpstr>
      <vt:lpstr>Vista</vt:lpstr>
      <vt:lpstr>Vinatea MC</vt:lpstr>
      <vt:lpstr>Tra Thu Dan</vt:lpstr>
      <vt:lpstr>Khi Vina</vt:lpstr>
      <vt:lpstr>Codo MC</vt:lpstr>
      <vt:lpstr>Hải Nam</vt:lpstr>
      <vt:lpstr>Vietsun</vt:lpstr>
      <vt:lpstr>Tan Viet Hung</vt:lpstr>
      <vt:lpstr>Che My Lam</vt:lpstr>
      <vt:lpstr>Phu Tai</vt:lpstr>
      <vt:lpstr>Hai Dang</vt:lpstr>
      <vt:lpstr>An Khanh</vt:lpstr>
      <vt:lpstr>Hong Anh Phat</vt:lpstr>
      <vt:lpstr>Anh Phương VS</vt:lpstr>
      <vt:lpstr>Vietimex</vt:lpstr>
      <vt:lpstr>Hùng Thuận</vt:lpstr>
      <vt:lpstr>Satoen</vt:lpstr>
      <vt:lpstr>KHÁCH LẺ</vt:lpstr>
      <vt:lpstr>Anh Hiệp</vt:lpstr>
      <vt:lpstr>Vượng Phát</vt:lpstr>
      <vt:lpstr>Chè Mường Hoa</vt:lpstr>
      <vt:lpstr>Chè Tô Múa</vt:lpstr>
      <vt:lpstr>Hân Trang</vt:lpstr>
      <vt:lpstr>TUÂN THÀNH PHÁT</vt:lpstr>
      <vt:lpstr>VIỆT VƯƠNG</vt:lpstr>
      <vt:lpstr>CTY AT-AT</vt:lpstr>
      <vt:lpstr>HHD MC</vt:lpstr>
      <vt:lpstr>TỔNG CTY CHÈ</vt:lpstr>
      <vt:lpstr>LÊ MINH</vt:lpstr>
      <vt:lpstr>Mr Huy VS</vt:lpstr>
      <vt:lpstr>Mr Huấn VS</vt:lpstr>
      <vt:lpstr>Chè Nà Tân</vt:lpstr>
      <vt:lpstr>Cty Thuận Vũ</vt:lpstr>
      <vt:lpstr>Cty Minh An</vt:lpstr>
      <vt:lpstr>Cty Dahua</vt:lpstr>
      <vt:lpstr>PAM Cargo</vt:lpstr>
      <vt:lpstr>Nam Tùng</vt:lpstr>
      <vt:lpstr>Indigo</vt:lpstr>
      <vt:lpstr>ARI+ SONATA</vt:lpstr>
      <vt:lpstr>Nitoda</vt:lpstr>
      <vt:lpstr>CN Cao HB</vt:lpstr>
      <vt:lpstr>Phúc An</vt:lpstr>
      <vt:lpstr>Bông sen vàng</vt:lpstr>
      <vt:lpstr>Vinatea F&amp;B</vt:lpstr>
      <vt:lpstr>Sheet1</vt:lpstr>
      <vt:lpstr>HHD_MC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</dc:creator>
  <cp:lastModifiedBy>Anh @ NePO</cp:lastModifiedBy>
  <cp:lastPrinted>2020-08-12T09:39:02Z</cp:lastPrinted>
  <dcterms:created xsi:type="dcterms:W3CDTF">2019-06-20T09:13:37Z</dcterms:created>
  <dcterms:modified xsi:type="dcterms:W3CDTF">2025-05-07T08:51:49Z</dcterms:modified>
</cp:coreProperties>
</file>