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HANH\THEO DOI DOANH THU CHI PHI TUNG XE\"/>
    </mc:Choice>
  </mc:AlternateContent>
  <xr:revisionPtr revIDLastSave="0" documentId="13_ncr:1_{1732DA90-D210-4A91-BB2A-ACE01D77F7B6}" xr6:coauthVersionLast="47" xr6:coauthVersionMax="47" xr10:uidLastSave="{00000000-0000-0000-0000-000000000000}"/>
  <bookViews>
    <workbookView xWindow="-60" yWindow="-60" windowWidth="28920" windowHeight="15720" firstSheet="65" activeTab="75" xr2:uid="{00000000-000D-0000-FFFF-FFFF00000000}"/>
  </bookViews>
  <sheets>
    <sheet name="CHI PHI BAN DAU" sheetId="42" r:id="rId1"/>
    <sheet name="07-2018" sheetId="41" r:id="rId2"/>
    <sheet name="08-2018" sheetId="43" r:id="rId3"/>
    <sheet name="09-2018" sheetId="44" r:id="rId4"/>
    <sheet name="10-2018" sheetId="45" r:id="rId5"/>
    <sheet name="11.2018" sheetId="46" r:id="rId6"/>
    <sheet name="12.2018" sheetId="47" r:id="rId7"/>
    <sheet name="1.2019" sheetId="48" r:id="rId8"/>
    <sheet name="2.2019" sheetId="49" r:id="rId9"/>
    <sheet name="3.2019" sheetId="50" r:id="rId10"/>
    <sheet name="4.2019" sheetId="51" r:id="rId11"/>
    <sheet name="5.2019" sheetId="52" r:id="rId12"/>
    <sheet name="6.2019" sheetId="53" r:id="rId13"/>
    <sheet name="7.2019" sheetId="54" r:id="rId14"/>
    <sheet name="8.2019" sheetId="55" r:id="rId15"/>
    <sheet name="9.2019" sheetId="56" r:id="rId16"/>
    <sheet name="10.2019" sheetId="57" r:id="rId17"/>
    <sheet name="11.2019" sheetId="58" r:id="rId18"/>
    <sheet name="12.2019" sheetId="59" r:id="rId19"/>
    <sheet name="01.2020" sheetId="60" r:id="rId20"/>
    <sheet name="02.2020" sheetId="61" r:id="rId21"/>
    <sheet name="03.2020" sheetId="62" r:id="rId22"/>
    <sheet name="04.2020" sheetId="63" r:id="rId23"/>
    <sheet name="05.2020" sheetId="64" r:id="rId24"/>
    <sheet name="06.2020" sheetId="65" r:id="rId25"/>
    <sheet name="07.2020" sheetId="66" r:id="rId26"/>
    <sheet name="08.2020" sheetId="68" r:id="rId27"/>
    <sheet name="09.2020" sheetId="69" r:id="rId28"/>
    <sheet name="10.2020" sheetId="70" r:id="rId29"/>
    <sheet name="11.2020" sheetId="71" r:id="rId30"/>
    <sheet name="12.2020" sheetId="72" r:id="rId31"/>
    <sheet name="01.2021" sheetId="73" r:id="rId32"/>
    <sheet name="02.2021" sheetId="74" r:id="rId33"/>
    <sheet name="03.2021" sheetId="75" r:id="rId34"/>
    <sheet name="04.2021" sheetId="76" r:id="rId35"/>
    <sheet name="05.2021" sheetId="77" r:id="rId36"/>
    <sheet name="06.2021" sheetId="78" r:id="rId37"/>
    <sheet name="07.2021" sheetId="79" r:id="rId38"/>
    <sheet name="08.2021" sheetId="80" r:id="rId39"/>
    <sheet name="09.2021" sheetId="81" r:id="rId40"/>
    <sheet name="10.2021" sheetId="82" r:id="rId41"/>
    <sheet name="11.2021" sheetId="83" r:id="rId42"/>
    <sheet name="12.2021" sheetId="84" r:id="rId43"/>
    <sheet name="01.2022" sheetId="85" r:id="rId44"/>
    <sheet name="02.2022" sheetId="86" r:id="rId45"/>
    <sheet name="03.2022" sheetId="87" r:id="rId46"/>
    <sheet name="04.2022" sheetId="88" r:id="rId47"/>
    <sheet name="05.2022" sheetId="89" r:id="rId48"/>
    <sheet name="06.2022" sheetId="91" r:id="rId49"/>
    <sheet name="07.2022" sheetId="94" r:id="rId50"/>
    <sheet name="10.2022" sheetId="95" r:id="rId51"/>
    <sheet name="11.2022" sheetId="96" r:id="rId52"/>
    <sheet name="12.2022" sheetId="97" r:id="rId53"/>
    <sheet name="01.2023" sheetId="99" r:id="rId54"/>
    <sheet name="02.2023" sheetId="101" r:id="rId55"/>
    <sheet name="03.2023" sheetId="102" r:id="rId56"/>
    <sheet name="04.2023" sheetId="100" r:id="rId57"/>
    <sheet name="05.2023" sheetId="103" r:id="rId58"/>
    <sheet name="06.2023" sheetId="104" r:id="rId59"/>
    <sheet name="07.2023" sheetId="105" r:id="rId60"/>
    <sheet name="08.2023" sheetId="106" r:id="rId61"/>
    <sheet name="09.2023" sheetId="108" r:id="rId62"/>
    <sheet name="10.2023" sheetId="109" r:id="rId63"/>
    <sheet name="11.2023" sheetId="110" r:id="rId64"/>
    <sheet name="12.2023" sheetId="111" r:id="rId65"/>
    <sheet name="01.2024" sheetId="114" r:id="rId66"/>
    <sheet name="02.2024" sheetId="115" r:id="rId67"/>
    <sheet name="03.2024" sheetId="116" r:id="rId68"/>
    <sheet name="04.2024" sheetId="117" r:id="rId69"/>
    <sheet name="05.2024" sheetId="118" r:id="rId70"/>
    <sheet name="06.2024" sheetId="119" r:id="rId71"/>
    <sheet name="07.2024" sheetId="120" r:id="rId72"/>
    <sheet name="08.2024" sheetId="121" r:id="rId73"/>
    <sheet name="09.2024" sheetId="122" r:id="rId74"/>
    <sheet name="10.2024" sheetId="123" r:id="rId75"/>
    <sheet name="11.2024" sheetId="125" r:id="rId76"/>
    <sheet name="12.2024" sheetId="126" r:id="rId77"/>
    <sheet name="Sheet2" sheetId="113" r:id="rId78"/>
    <sheet name="Sheet1" sheetId="112" r:id="rId79"/>
  </sheets>
  <externalReferences>
    <externalReference r:id="rId80"/>
    <externalReference r:id="rId81"/>
  </externalReferences>
  <definedNames>
    <definedName name="_xlnm._FilterDatabase" localSheetId="12" hidden="1">'6.2019'!$A$7:$T$29</definedName>
    <definedName name="_xlnm._FilterDatabase" localSheetId="13" hidden="1">'7.2019'!$A$7:$T$29</definedName>
  </definedNames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125" l="1"/>
  <c r="O39" i="125"/>
  <c r="O38" i="125"/>
  <c r="O49" i="126"/>
  <c r="O50" i="126"/>
  <c r="O47" i="126"/>
  <c r="O48" i="126"/>
  <c r="O41" i="123" l="1"/>
  <c r="H27" i="125"/>
  <c r="O27" i="125" s="1"/>
  <c r="Q27" i="125" s="1"/>
  <c r="H26" i="125"/>
  <c r="H23" i="125"/>
  <c r="H21" i="125"/>
  <c r="H22" i="125"/>
  <c r="H20" i="125"/>
  <c r="H17" i="125"/>
  <c r="H18" i="125"/>
  <c r="H19" i="125"/>
  <c r="H16" i="125"/>
  <c r="H12" i="125"/>
  <c r="H13" i="125"/>
  <c r="H14" i="125"/>
  <c r="H15" i="125"/>
  <c r="H11" i="125"/>
  <c r="H8" i="125"/>
  <c r="H9" i="125"/>
  <c r="H10" i="125"/>
  <c r="H7" i="125"/>
  <c r="H32" i="126"/>
  <c r="H33" i="126"/>
  <c r="H34" i="126"/>
  <c r="H35" i="126"/>
  <c r="H36" i="126"/>
  <c r="H37" i="126"/>
  <c r="H31" i="126"/>
  <c r="H24" i="126"/>
  <c r="H25" i="126"/>
  <c r="H26" i="126"/>
  <c r="H27" i="126"/>
  <c r="H28" i="126"/>
  <c r="H29" i="126"/>
  <c r="H30" i="126"/>
  <c r="H23" i="126"/>
  <c r="H20" i="126"/>
  <c r="H21" i="126"/>
  <c r="H22" i="126"/>
  <c r="H19" i="126"/>
  <c r="H12" i="126"/>
  <c r="H13" i="126"/>
  <c r="H14" i="126"/>
  <c r="H15" i="126"/>
  <c r="H16" i="126"/>
  <c r="H17" i="126"/>
  <c r="H11" i="126"/>
  <c r="H8" i="126"/>
  <c r="H9" i="126"/>
  <c r="H10" i="126"/>
  <c r="H7" i="126"/>
  <c r="O30" i="125"/>
  <c r="O31" i="125"/>
  <c r="O32" i="125"/>
  <c r="O33" i="125"/>
  <c r="O34" i="125"/>
  <c r="O35" i="125"/>
  <c r="O36" i="125"/>
  <c r="O37" i="125"/>
  <c r="O46" i="126"/>
  <c r="O40" i="126"/>
  <c r="O42" i="126"/>
  <c r="O43" i="126"/>
  <c r="O44" i="126"/>
  <c r="O45" i="126"/>
  <c r="N41" i="126"/>
  <c r="O41" i="126" s="1"/>
  <c r="G42" i="125"/>
  <c r="K52" i="126" l="1"/>
  <c r="O27" i="126"/>
  <c r="Q27" i="126" s="1"/>
  <c r="O28" i="126"/>
  <c r="Q28" i="126" s="1"/>
  <c r="O29" i="126"/>
  <c r="Q29" i="126" s="1"/>
  <c r="O30" i="126"/>
  <c r="Q30" i="126" s="1"/>
  <c r="O31" i="126"/>
  <c r="Q31" i="126" s="1"/>
  <c r="O32" i="126"/>
  <c r="Q32" i="126" s="1"/>
  <c r="O33" i="126"/>
  <c r="Q33" i="126" s="1"/>
  <c r="O34" i="126"/>
  <c r="Q34" i="126" s="1"/>
  <c r="O35" i="126"/>
  <c r="Q35" i="126" s="1"/>
  <c r="O36" i="126"/>
  <c r="Q36" i="126" s="1"/>
  <c r="O37" i="126"/>
  <c r="Q37" i="126" s="1"/>
  <c r="P52" i="126"/>
  <c r="N52" i="126"/>
  <c r="M52" i="126"/>
  <c r="L52" i="126"/>
  <c r="I52" i="126"/>
  <c r="H52" i="126"/>
  <c r="G52" i="126"/>
  <c r="O51" i="126"/>
  <c r="O39" i="126"/>
  <c r="O38" i="126"/>
  <c r="O26" i="126"/>
  <c r="Q26" i="126" s="1"/>
  <c r="O25" i="126"/>
  <c r="Q25" i="126" s="1"/>
  <c r="O24" i="126"/>
  <c r="Q24" i="126" s="1"/>
  <c r="O23" i="126"/>
  <c r="Q23" i="126" s="1"/>
  <c r="O22" i="126"/>
  <c r="Q22" i="126" s="1"/>
  <c r="O21" i="126"/>
  <c r="Q21" i="126" s="1"/>
  <c r="O20" i="126"/>
  <c r="Q20" i="126" s="1"/>
  <c r="O19" i="126"/>
  <c r="Q19" i="126" s="1"/>
  <c r="O18" i="126"/>
  <c r="Q18" i="126" s="1"/>
  <c r="O17" i="126"/>
  <c r="Q17" i="126" s="1"/>
  <c r="O16" i="126"/>
  <c r="Q16" i="126" s="1"/>
  <c r="O15" i="126"/>
  <c r="Q15" i="126" s="1"/>
  <c r="O14" i="126"/>
  <c r="Q14" i="126" s="1"/>
  <c r="O13" i="126"/>
  <c r="Q13" i="126" s="1"/>
  <c r="O11" i="126"/>
  <c r="Q11" i="126" s="1"/>
  <c r="O10" i="126"/>
  <c r="Q10" i="126" s="1"/>
  <c r="O9" i="126"/>
  <c r="Q9" i="126" s="1"/>
  <c r="O8" i="126"/>
  <c r="Q8" i="126" s="1"/>
  <c r="O7" i="126"/>
  <c r="Q7" i="126" s="1"/>
  <c r="P42" i="125"/>
  <c r="N42" i="125"/>
  <c r="M42" i="125"/>
  <c r="L42" i="125"/>
  <c r="K42" i="125"/>
  <c r="J42" i="125"/>
  <c r="I42" i="125"/>
  <c r="H42" i="125"/>
  <c r="O41" i="125"/>
  <c r="O29" i="125"/>
  <c r="O28" i="125"/>
  <c r="O26" i="125"/>
  <c r="Q26" i="125" s="1"/>
  <c r="O25" i="125"/>
  <c r="Q25" i="125" s="1"/>
  <c r="O24" i="125"/>
  <c r="Q24" i="125" s="1"/>
  <c r="O23" i="125"/>
  <c r="Q23" i="125" s="1"/>
  <c r="O22" i="125"/>
  <c r="Q22" i="125" s="1"/>
  <c r="O21" i="125"/>
  <c r="Q21" i="125" s="1"/>
  <c r="O20" i="125"/>
  <c r="Q20" i="125" s="1"/>
  <c r="O19" i="125"/>
  <c r="Q19" i="125" s="1"/>
  <c r="O18" i="125"/>
  <c r="Q18" i="125" s="1"/>
  <c r="O17" i="125"/>
  <c r="Q17" i="125" s="1"/>
  <c r="O16" i="125"/>
  <c r="Q16" i="125" s="1"/>
  <c r="O15" i="125"/>
  <c r="Q15" i="125" s="1"/>
  <c r="O14" i="125"/>
  <c r="Q14" i="125" s="1"/>
  <c r="O13" i="125"/>
  <c r="Q13" i="125" s="1"/>
  <c r="O12" i="125"/>
  <c r="Q12" i="125" s="1"/>
  <c r="O11" i="125"/>
  <c r="Q11" i="125" s="1"/>
  <c r="O10" i="125"/>
  <c r="Q10" i="125" s="1"/>
  <c r="O9" i="125"/>
  <c r="Q9" i="125" s="1"/>
  <c r="O8" i="125"/>
  <c r="Q8" i="125" s="1"/>
  <c r="O7" i="125"/>
  <c r="O28" i="122"/>
  <c r="O49" i="122"/>
  <c r="O48" i="122"/>
  <c r="L40" i="123"/>
  <c r="O40" i="123" s="1"/>
  <c r="L39" i="123"/>
  <c r="O39" i="123" s="1"/>
  <c r="O47" i="122"/>
  <c r="O37" i="123"/>
  <c r="O36" i="123"/>
  <c r="O35" i="123"/>
  <c r="O42" i="125" l="1"/>
  <c r="Q42" i="125" s="1"/>
  <c r="J52" i="126"/>
  <c r="O12" i="126"/>
  <c r="Q12" i="126" s="1"/>
  <c r="Q7" i="125"/>
  <c r="O38" i="123"/>
  <c r="O52" i="126" l="1"/>
  <c r="O34" i="123"/>
  <c r="O36" i="117"/>
  <c r="O38" i="119"/>
  <c r="O39" i="119"/>
  <c r="O40" i="119"/>
  <c r="O43" i="122"/>
  <c r="O44" i="122"/>
  <c r="O45" i="122"/>
  <c r="O46" i="122"/>
  <c r="O30" i="123"/>
  <c r="O31" i="123"/>
  <c r="O32" i="123"/>
  <c r="O33" i="123"/>
  <c r="O42" i="122"/>
  <c r="O41" i="122"/>
  <c r="O40" i="122"/>
  <c r="O39" i="122"/>
  <c r="O48" i="121"/>
  <c r="O47" i="121"/>
  <c r="O38" i="122"/>
  <c r="O37" i="122"/>
  <c r="O30" i="122"/>
  <c r="O31" i="122"/>
  <c r="O32" i="122"/>
  <c r="O33" i="122"/>
  <c r="O34" i="122"/>
  <c r="O35" i="122"/>
  <c r="O36" i="122"/>
  <c r="O46" i="121"/>
  <c r="O45" i="121"/>
  <c r="O46" i="120"/>
  <c r="O42" i="121"/>
  <c r="O43" i="121"/>
  <c r="O44" i="121"/>
  <c r="O37" i="121"/>
  <c r="O38" i="121"/>
  <c r="O39" i="121"/>
  <c r="O40" i="121"/>
  <c r="O41" i="121"/>
  <c r="O42" i="120"/>
  <c r="O43" i="120"/>
  <c r="O44" i="120"/>
  <c r="O45" i="120"/>
  <c r="Q52" i="126" l="1"/>
  <c r="O47" i="120"/>
  <c r="G48" i="120"/>
  <c r="I48" i="120"/>
  <c r="J48" i="120"/>
  <c r="K48" i="120"/>
  <c r="L48" i="120"/>
  <c r="M48" i="120"/>
  <c r="N48" i="120"/>
  <c r="P48" i="120"/>
  <c r="K30" i="117"/>
  <c r="H24" i="123" l="1"/>
  <c r="H25" i="123"/>
  <c r="H26" i="123"/>
  <c r="O26" i="123" s="1"/>
  <c r="Q26" i="123" s="1"/>
  <c r="H23" i="123"/>
  <c r="H21" i="123"/>
  <c r="H22" i="123"/>
  <c r="H19" i="123"/>
  <c r="H20" i="123"/>
  <c r="H18" i="123"/>
  <c r="H14" i="123"/>
  <c r="H15" i="123"/>
  <c r="H16" i="123"/>
  <c r="H17" i="123"/>
  <c r="H13" i="123"/>
  <c r="H9" i="123"/>
  <c r="H10" i="123"/>
  <c r="H11" i="123"/>
  <c r="H12" i="123"/>
  <c r="H8" i="123"/>
  <c r="H7" i="123"/>
  <c r="H23" i="122" l="1"/>
  <c r="H24" i="122"/>
  <c r="H25" i="122"/>
  <c r="H22" i="122"/>
  <c r="H20" i="122"/>
  <c r="H21" i="122"/>
  <c r="H19" i="122"/>
  <c r="H13" i="122"/>
  <c r="H14" i="122"/>
  <c r="H15" i="122"/>
  <c r="H16" i="122"/>
  <c r="H17" i="122"/>
  <c r="H18" i="122"/>
  <c r="H12" i="122"/>
  <c r="H8" i="122"/>
  <c r="H9" i="122"/>
  <c r="H10" i="122"/>
  <c r="H11" i="122"/>
  <c r="H7" i="122"/>
  <c r="H33" i="121" l="1"/>
  <c r="H32" i="121"/>
  <c r="H29" i="121"/>
  <c r="H30" i="121"/>
  <c r="H31" i="121"/>
  <c r="H28" i="121"/>
  <c r="H21" i="121"/>
  <c r="H22" i="121"/>
  <c r="H23" i="121"/>
  <c r="H24" i="121"/>
  <c r="H25" i="121"/>
  <c r="H26" i="121"/>
  <c r="H27" i="121"/>
  <c r="H20" i="121"/>
  <c r="H18" i="121"/>
  <c r="H19" i="121"/>
  <c r="H14" i="121"/>
  <c r="H15" i="121"/>
  <c r="H16" i="121"/>
  <c r="H17" i="121"/>
  <c r="H13" i="121"/>
  <c r="H8" i="121"/>
  <c r="H9" i="121"/>
  <c r="H10" i="121"/>
  <c r="H11" i="121"/>
  <c r="H12" i="121"/>
  <c r="H7" i="121"/>
  <c r="H34" i="120" l="1"/>
  <c r="H35" i="120"/>
  <c r="H36" i="120"/>
  <c r="H37" i="120"/>
  <c r="H38" i="120"/>
  <c r="H33" i="120"/>
  <c r="H26" i="120"/>
  <c r="H27" i="120"/>
  <c r="H28" i="120"/>
  <c r="H29" i="120"/>
  <c r="H30" i="120"/>
  <c r="H31" i="120"/>
  <c r="H24" i="120"/>
  <c r="H25" i="120"/>
  <c r="H23" i="120"/>
  <c r="H20" i="120"/>
  <c r="H21" i="120"/>
  <c r="H22" i="120"/>
  <c r="H18" i="120"/>
  <c r="H19" i="120"/>
  <c r="H17" i="120"/>
  <c r="H16" i="120"/>
  <c r="H11" i="120"/>
  <c r="H12" i="120"/>
  <c r="H13" i="120"/>
  <c r="H14" i="120"/>
  <c r="H15" i="120"/>
  <c r="H10" i="120"/>
  <c r="H9" i="120"/>
  <c r="H7" i="120"/>
  <c r="H48" i="120" l="1"/>
  <c r="P43" i="123"/>
  <c r="N43" i="123"/>
  <c r="M43" i="123"/>
  <c r="L43" i="123"/>
  <c r="K43" i="123"/>
  <c r="J43" i="123"/>
  <c r="I43" i="123"/>
  <c r="H43" i="123"/>
  <c r="G43" i="123"/>
  <c r="O42" i="123"/>
  <c r="O29" i="123"/>
  <c r="O28" i="123"/>
  <c r="O27" i="123"/>
  <c r="O25" i="123"/>
  <c r="Q25" i="123" s="1"/>
  <c r="O24" i="123"/>
  <c r="Q24" i="123" s="1"/>
  <c r="O23" i="123"/>
  <c r="Q23" i="123" s="1"/>
  <c r="O22" i="123"/>
  <c r="Q22" i="123" s="1"/>
  <c r="O21" i="123"/>
  <c r="Q21" i="123" s="1"/>
  <c r="O20" i="123"/>
  <c r="Q20" i="123" s="1"/>
  <c r="O19" i="123"/>
  <c r="Q19" i="123" s="1"/>
  <c r="O18" i="123"/>
  <c r="Q18" i="123" s="1"/>
  <c r="O17" i="123"/>
  <c r="Q17" i="123" s="1"/>
  <c r="O16" i="123"/>
  <c r="Q16" i="123" s="1"/>
  <c r="O15" i="123"/>
  <c r="Q15" i="123" s="1"/>
  <c r="O14" i="123"/>
  <c r="Q14" i="123" s="1"/>
  <c r="O13" i="123"/>
  <c r="Q13" i="123" s="1"/>
  <c r="O12" i="123"/>
  <c r="Q12" i="123" s="1"/>
  <c r="O11" i="123"/>
  <c r="Q11" i="123" s="1"/>
  <c r="O10" i="123"/>
  <c r="Q10" i="123" s="1"/>
  <c r="O9" i="123"/>
  <c r="Q9" i="123" s="1"/>
  <c r="O8" i="123"/>
  <c r="Q8" i="123" s="1"/>
  <c r="O7" i="123"/>
  <c r="Q7" i="123" s="1"/>
  <c r="P51" i="122"/>
  <c r="N51" i="122"/>
  <c r="M51" i="122"/>
  <c r="L51" i="122"/>
  <c r="K51" i="122"/>
  <c r="J51" i="122"/>
  <c r="I51" i="122"/>
  <c r="H51" i="122"/>
  <c r="G51" i="122"/>
  <c r="O50" i="122"/>
  <c r="O29" i="122"/>
  <c r="O27" i="122"/>
  <c r="O26" i="122"/>
  <c r="O25" i="122"/>
  <c r="Q25" i="122" s="1"/>
  <c r="O24" i="122"/>
  <c r="Q24" i="122" s="1"/>
  <c r="O23" i="122"/>
  <c r="Q23" i="122" s="1"/>
  <c r="O22" i="122"/>
  <c r="Q22" i="122" s="1"/>
  <c r="O21" i="122"/>
  <c r="Q21" i="122" s="1"/>
  <c r="O20" i="122"/>
  <c r="Q20" i="122" s="1"/>
  <c r="O19" i="122"/>
  <c r="Q19" i="122" s="1"/>
  <c r="O18" i="122"/>
  <c r="Q18" i="122" s="1"/>
  <c r="O17" i="122"/>
  <c r="Q17" i="122" s="1"/>
  <c r="O16" i="122"/>
  <c r="Q16" i="122" s="1"/>
  <c r="O15" i="122"/>
  <c r="Q15" i="122" s="1"/>
  <c r="O14" i="122"/>
  <c r="Q14" i="122" s="1"/>
  <c r="O13" i="122"/>
  <c r="Q13" i="122" s="1"/>
  <c r="O12" i="122"/>
  <c r="Q12" i="122" s="1"/>
  <c r="O11" i="122"/>
  <c r="Q11" i="122" s="1"/>
  <c r="O10" i="122"/>
  <c r="Q10" i="122" s="1"/>
  <c r="O9" i="122"/>
  <c r="Q9" i="122" s="1"/>
  <c r="O8" i="122"/>
  <c r="O7" i="122"/>
  <c r="Q7" i="122" s="1"/>
  <c r="O34" i="120"/>
  <c r="Q34" i="120" s="1"/>
  <c r="O35" i="120"/>
  <c r="Q35" i="120" s="1"/>
  <c r="O36" i="120"/>
  <c r="Q36" i="120" s="1"/>
  <c r="O37" i="120"/>
  <c r="Q37" i="120" s="1"/>
  <c r="O38" i="120"/>
  <c r="Q38" i="120" s="1"/>
  <c r="P50" i="121"/>
  <c r="N50" i="121"/>
  <c r="M50" i="121"/>
  <c r="L50" i="121"/>
  <c r="K50" i="121"/>
  <c r="J50" i="121"/>
  <c r="I50" i="121"/>
  <c r="H50" i="121"/>
  <c r="G50" i="121"/>
  <c r="O49" i="121"/>
  <c r="O36" i="121"/>
  <c r="O35" i="121"/>
  <c r="O34" i="121"/>
  <c r="O33" i="121"/>
  <c r="Q33" i="121" s="1"/>
  <c r="O32" i="121"/>
  <c r="Q32" i="121" s="1"/>
  <c r="O31" i="121"/>
  <c r="Q31" i="121" s="1"/>
  <c r="O30" i="121"/>
  <c r="Q30" i="121" s="1"/>
  <c r="O29" i="121"/>
  <c r="Q29" i="121" s="1"/>
  <c r="O28" i="121"/>
  <c r="Q28" i="121" s="1"/>
  <c r="O27" i="121"/>
  <c r="Q27" i="121" s="1"/>
  <c r="O26" i="121"/>
  <c r="Q26" i="121" s="1"/>
  <c r="O25" i="121"/>
  <c r="Q25" i="121" s="1"/>
  <c r="O24" i="121"/>
  <c r="Q24" i="121" s="1"/>
  <c r="O23" i="121"/>
  <c r="Q23" i="121" s="1"/>
  <c r="O22" i="121"/>
  <c r="Q22" i="121" s="1"/>
  <c r="O21" i="121"/>
  <c r="Q21" i="121" s="1"/>
  <c r="O20" i="121"/>
  <c r="Q20" i="121" s="1"/>
  <c r="O19" i="121"/>
  <c r="Q19" i="121" s="1"/>
  <c r="O18" i="121"/>
  <c r="Q18" i="121" s="1"/>
  <c r="O17" i="121"/>
  <c r="Q17" i="121" s="1"/>
  <c r="O16" i="121"/>
  <c r="Q16" i="121" s="1"/>
  <c r="O15" i="121"/>
  <c r="Q15" i="121" s="1"/>
  <c r="O14" i="121"/>
  <c r="Q14" i="121" s="1"/>
  <c r="O13" i="121"/>
  <c r="Q13" i="121" s="1"/>
  <c r="O12" i="121"/>
  <c r="Q12" i="121" s="1"/>
  <c r="O11" i="121"/>
  <c r="Q11" i="121" s="1"/>
  <c r="O10" i="121"/>
  <c r="Q10" i="121" s="1"/>
  <c r="O9" i="121"/>
  <c r="Q9" i="121" s="1"/>
  <c r="O8" i="121"/>
  <c r="Q8" i="121" s="1"/>
  <c r="O7" i="121"/>
  <c r="Q7" i="121" s="1"/>
  <c r="O43" i="123" l="1"/>
  <c r="Q43" i="123" s="1"/>
  <c r="O51" i="122"/>
  <c r="Q51" i="122" s="1"/>
  <c r="Q8" i="122"/>
  <c r="O50" i="121"/>
  <c r="Q50" i="121" s="1"/>
  <c r="O41" i="120" l="1"/>
  <c r="O40" i="120"/>
  <c r="O39" i="120"/>
  <c r="O33" i="120"/>
  <c r="Q33" i="120" s="1"/>
  <c r="O32" i="120"/>
  <c r="Q32" i="120" s="1"/>
  <c r="O31" i="120"/>
  <c r="Q31" i="120" s="1"/>
  <c r="O30" i="120"/>
  <c r="Q30" i="120" s="1"/>
  <c r="O29" i="120"/>
  <c r="Q29" i="120" s="1"/>
  <c r="O28" i="120"/>
  <c r="Q28" i="120" s="1"/>
  <c r="O27" i="120"/>
  <c r="Q27" i="120" s="1"/>
  <c r="O26" i="120"/>
  <c r="Q26" i="120" s="1"/>
  <c r="O25" i="120"/>
  <c r="Q25" i="120" s="1"/>
  <c r="O24" i="120"/>
  <c r="Q24" i="120" s="1"/>
  <c r="O23" i="120"/>
  <c r="Q23" i="120" s="1"/>
  <c r="O22" i="120"/>
  <c r="Q22" i="120" s="1"/>
  <c r="O21" i="120"/>
  <c r="Q21" i="120" s="1"/>
  <c r="O20" i="120"/>
  <c r="Q20" i="120" s="1"/>
  <c r="O19" i="120"/>
  <c r="Q19" i="120" s="1"/>
  <c r="O18" i="120"/>
  <c r="Q18" i="120" s="1"/>
  <c r="O17" i="120"/>
  <c r="Q17" i="120" s="1"/>
  <c r="O16" i="120"/>
  <c r="Q16" i="120" s="1"/>
  <c r="O15" i="120"/>
  <c r="Q15" i="120" s="1"/>
  <c r="O14" i="120"/>
  <c r="Q14" i="120" s="1"/>
  <c r="O13" i="120"/>
  <c r="Q13" i="120" s="1"/>
  <c r="O12" i="120"/>
  <c r="Q12" i="120" s="1"/>
  <c r="O11" i="120"/>
  <c r="Q11" i="120" s="1"/>
  <c r="O10" i="120"/>
  <c r="Q10" i="120" s="1"/>
  <c r="O9" i="120"/>
  <c r="Q9" i="120" s="1"/>
  <c r="O8" i="120"/>
  <c r="Q8" i="120" s="1"/>
  <c r="O7" i="120"/>
  <c r="O34" i="117"/>
  <c r="O35" i="117"/>
  <c r="O37" i="117"/>
  <c r="O36" i="114"/>
  <c r="N35" i="114"/>
  <c r="O37" i="116"/>
  <c r="O34" i="119"/>
  <c r="Q34" i="119" s="1"/>
  <c r="H31" i="119"/>
  <c r="O31" i="119" s="1"/>
  <c r="Q31" i="119" s="1"/>
  <c r="H32" i="119"/>
  <c r="O32" i="119" s="1"/>
  <c r="Q32" i="119" s="1"/>
  <c r="H33" i="119"/>
  <c r="O33" i="119" s="1"/>
  <c r="Q33" i="119" s="1"/>
  <c r="H30" i="119"/>
  <c r="O30" i="119" s="1"/>
  <c r="Q30" i="119" s="1"/>
  <c r="H24" i="119"/>
  <c r="H25" i="119"/>
  <c r="H26" i="119"/>
  <c r="H27" i="119"/>
  <c r="H28" i="119"/>
  <c r="O28" i="119" s="1"/>
  <c r="H29" i="119"/>
  <c r="O29" i="119" s="1"/>
  <c r="Q29" i="119" s="1"/>
  <c r="H23" i="119"/>
  <c r="H20" i="119"/>
  <c r="H21" i="119"/>
  <c r="H22" i="119"/>
  <c r="H15" i="119"/>
  <c r="H16" i="119"/>
  <c r="H17" i="119"/>
  <c r="H18" i="119"/>
  <c r="H19" i="119"/>
  <c r="H14" i="119"/>
  <c r="H11" i="119"/>
  <c r="H12" i="119"/>
  <c r="H13" i="119"/>
  <c r="H10" i="119"/>
  <c r="H9" i="119"/>
  <c r="H8" i="119"/>
  <c r="O29" i="118"/>
  <c r="Q29" i="118" s="1"/>
  <c r="H31" i="118"/>
  <c r="O31" i="118" s="1"/>
  <c r="Q31" i="118" s="1"/>
  <c r="H30" i="118"/>
  <c r="O30" i="118" s="1"/>
  <c r="Q30" i="118" s="1"/>
  <c r="H24" i="118"/>
  <c r="H25" i="118"/>
  <c r="H26" i="118"/>
  <c r="H27" i="118"/>
  <c r="H28" i="118"/>
  <c r="H29" i="118"/>
  <c r="H21" i="118"/>
  <c r="H22" i="118"/>
  <c r="H23" i="118"/>
  <c r="H20" i="118"/>
  <c r="H15" i="118"/>
  <c r="H16" i="118"/>
  <c r="H17" i="118"/>
  <c r="H18" i="118"/>
  <c r="H19" i="118"/>
  <c r="H14" i="118"/>
  <c r="H9" i="118"/>
  <c r="H10" i="118"/>
  <c r="H11" i="118"/>
  <c r="H12" i="118"/>
  <c r="H13" i="118"/>
  <c r="H8" i="118"/>
  <c r="H36" i="118" s="1"/>
  <c r="H28" i="117"/>
  <c r="H27" i="117"/>
  <c r="H24" i="117"/>
  <c r="H25" i="117"/>
  <c r="H26" i="117"/>
  <c r="H23" i="117"/>
  <c r="H22" i="117"/>
  <c r="H18" i="117"/>
  <c r="H19" i="117"/>
  <c r="H20" i="117"/>
  <c r="H21" i="117"/>
  <c r="H17" i="117"/>
  <c r="H15" i="117"/>
  <c r="H11" i="117"/>
  <c r="H12" i="117"/>
  <c r="H13" i="117"/>
  <c r="H14" i="117"/>
  <c r="H10" i="117"/>
  <c r="H9" i="117"/>
  <c r="H8" i="117"/>
  <c r="Q7" i="120" l="1"/>
  <c r="O48" i="120"/>
  <c r="Q48" i="120" s="1"/>
  <c r="J42" i="119"/>
  <c r="P42" i="119"/>
  <c r="N42" i="119"/>
  <c r="M42" i="119"/>
  <c r="L42" i="119"/>
  <c r="K42" i="119"/>
  <c r="I42" i="119"/>
  <c r="H42" i="119"/>
  <c r="G42" i="119"/>
  <c r="O41" i="119"/>
  <c r="O37" i="119"/>
  <c r="O36" i="119"/>
  <c r="O35" i="119"/>
  <c r="Q28" i="119"/>
  <c r="O27" i="119"/>
  <c r="Q27" i="119" s="1"/>
  <c r="O26" i="119"/>
  <c r="Q26" i="119" s="1"/>
  <c r="O25" i="119"/>
  <c r="Q25" i="119" s="1"/>
  <c r="O24" i="119"/>
  <c r="Q24" i="119" s="1"/>
  <c r="O23" i="119"/>
  <c r="Q23" i="119" s="1"/>
  <c r="O22" i="119"/>
  <c r="Q22" i="119" s="1"/>
  <c r="O21" i="119"/>
  <c r="Q21" i="119" s="1"/>
  <c r="O20" i="119"/>
  <c r="Q20" i="119" s="1"/>
  <c r="O19" i="119"/>
  <c r="Q19" i="119" s="1"/>
  <c r="O18" i="119"/>
  <c r="Q18" i="119" s="1"/>
  <c r="O17" i="119"/>
  <c r="Q17" i="119" s="1"/>
  <c r="O16" i="119"/>
  <c r="Q16" i="119" s="1"/>
  <c r="O15" i="119"/>
  <c r="Q15" i="119" s="1"/>
  <c r="O14" i="119"/>
  <c r="Q14" i="119" s="1"/>
  <c r="O13" i="119"/>
  <c r="Q13" i="119" s="1"/>
  <c r="O12" i="119"/>
  <c r="Q12" i="119" s="1"/>
  <c r="O11" i="119"/>
  <c r="Q11" i="119" s="1"/>
  <c r="O10" i="119"/>
  <c r="Q10" i="119" s="1"/>
  <c r="O9" i="119"/>
  <c r="Q9" i="119" s="1"/>
  <c r="O8" i="119"/>
  <c r="Q8" i="119" s="1"/>
  <c r="G36" i="118"/>
  <c r="P36" i="118"/>
  <c r="N36" i="118"/>
  <c r="M36" i="118"/>
  <c r="L36" i="118"/>
  <c r="K36" i="118"/>
  <c r="J36" i="118"/>
  <c r="I36" i="118"/>
  <c r="O35" i="118"/>
  <c r="O34" i="118"/>
  <c r="O33" i="118"/>
  <c r="O32" i="118"/>
  <c r="O28" i="118"/>
  <c r="Q28" i="118" s="1"/>
  <c r="O27" i="118"/>
  <c r="Q27" i="118" s="1"/>
  <c r="O26" i="118"/>
  <c r="Q26" i="118" s="1"/>
  <c r="O25" i="118"/>
  <c r="Q25" i="118" s="1"/>
  <c r="O24" i="118"/>
  <c r="Q24" i="118" s="1"/>
  <c r="O23" i="118"/>
  <c r="Q23" i="118" s="1"/>
  <c r="O22" i="118"/>
  <c r="Q22" i="118" s="1"/>
  <c r="O21" i="118"/>
  <c r="Q21" i="118" s="1"/>
  <c r="O20" i="118"/>
  <c r="Q20" i="118" s="1"/>
  <c r="O19" i="118"/>
  <c r="Q19" i="118" s="1"/>
  <c r="O18" i="118"/>
  <c r="Q18" i="118" s="1"/>
  <c r="O17" i="118"/>
  <c r="Q17" i="118" s="1"/>
  <c r="O16" i="118"/>
  <c r="Q16" i="118" s="1"/>
  <c r="O15" i="118"/>
  <c r="Q15" i="118" s="1"/>
  <c r="O14" i="118"/>
  <c r="Q14" i="118" s="1"/>
  <c r="O13" i="118"/>
  <c r="Q13" i="118" s="1"/>
  <c r="O12" i="118"/>
  <c r="Q12" i="118" s="1"/>
  <c r="O11" i="118"/>
  <c r="Q11" i="118" s="1"/>
  <c r="O10" i="118"/>
  <c r="Q10" i="118" s="1"/>
  <c r="Q9" i="118"/>
  <c r="O9" i="118"/>
  <c r="O8" i="118"/>
  <c r="Q8" i="118" s="1"/>
  <c r="O36" i="118" l="1"/>
  <c r="Q36" i="118" s="1"/>
  <c r="O42" i="119"/>
  <c r="Q42" i="119" s="1"/>
  <c r="P38" i="117" l="1"/>
  <c r="N38" i="117"/>
  <c r="M38" i="117"/>
  <c r="L38" i="117"/>
  <c r="K38" i="117"/>
  <c r="J38" i="117"/>
  <c r="I38" i="117"/>
  <c r="H38" i="117"/>
  <c r="G38" i="117"/>
  <c r="O33" i="117"/>
  <c r="O32" i="117"/>
  <c r="O31" i="117"/>
  <c r="O30" i="117"/>
  <c r="O29" i="117"/>
  <c r="O28" i="117"/>
  <c r="Q28" i="117" s="1"/>
  <c r="O27" i="117"/>
  <c r="Q27" i="117" s="1"/>
  <c r="O26" i="117"/>
  <c r="Q26" i="117" s="1"/>
  <c r="O25" i="117"/>
  <c r="Q25" i="117" s="1"/>
  <c r="O24" i="117"/>
  <c r="Q24" i="117" s="1"/>
  <c r="O23" i="117"/>
  <c r="Q23" i="117" s="1"/>
  <c r="O22" i="117"/>
  <c r="Q22" i="117" s="1"/>
  <c r="O21" i="117"/>
  <c r="Q21" i="117" s="1"/>
  <c r="O20" i="117"/>
  <c r="Q20" i="117" s="1"/>
  <c r="O19" i="117"/>
  <c r="Q19" i="117" s="1"/>
  <c r="O18" i="117"/>
  <c r="Q18" i="117" s="1"/>
  <c r="O17" i="117"/>
  <c r="Q17" i="117" s="1"/>
  <c r="O16" i="117"/>
  <c r="Q16" i="117" s="1"/>
  <c r="O15" i="117"/>
  <c r="Q15" i="117" s="1"/>
  <c r="O14" i="117"/>
  <c r="Q14" i="117" s="1"/>
  <c r="O13" i="117"/>
  <c r="Q13" i="117" s="1"/>
  <c r="O12" i="117"/>
  <c r="Q12" i="117" s="1"/>
  <c r="O11" i="117"/>
  <c r="Q11" i="117" s="1"/>
  <c r="O10" i="117"/>
  <c r="Q10" i="117" s="1"/>
  <c r="O9" i="117"/>
  <c r="Q9" i="117" s="1"/>
  <c r="O8" i="117"/>
  <c r="O33" i="116"/>
  <c r="O34" i="116"/>
  <c r="O35" i="116"/>
  <c r="O36" i="116"/>
  <c r="H29" i="116"/>
  <c r="H30" i="116"/>
  <c r="H28" i="116"/>
  <c r="O28" i="116" s="1"/>
  <c r="Q28" i="116" s="1"/>
  <c r="H22" i="116"/>
  <c r="O22" i="116" s="1"/>
  <c r="Q22" i="116" s="1"/>
  <c r="H23" i="116"/>
  <c r="O23" i="116" s="1"/>
  <c r="Q23" i="116" s="1"/>
  <c r="H24" i="116"/>
  <c r="O24" i="116" s="1"/>
  <c r="Q24" i="116" s="1"/>
  <c r="H25" i="116"/>
  <c r="O25" i="116" s="1"/>
  <c r="Q25" i="116" s="1"/>
  <c r="H26" i="116"/>
  <c r="O26" i="116" s="1"/>
  <c r="Q26" i="116" s="1"/>
  <c r="H21" i="116"/>
  <c r="O21" i="116" s="1"/>
  <c r="Q21" i="116" s="1"/>
  <c r="H16" i="116"/>
  <c r="O16" i="116" s="1"/>
  <c r="Q16" i="116" s="1"/>
  <c r="H17" i="116"/>
  <c r="O17" i="116" s="1"/>
  <c r="Q17" i="116" s="1"/>
  <c r="H18" i="116"/>
  <c r="O18" i="116" s="1"/>
  <c r="Q18" i="116" s="1"/>
  <c r="H19" i="116"/>
  <c r="H20" i="116"/>
  <c r="O20" i="116" s="1"/>
  <c r="Q20" i="116" s="1"/>
  <c r="H15" i="116"/>
  <c r="O15" i="116" s="1"/>
  <c r="Q15" i="116" s="1"/>
  <c r="H12" i="116"/>
  <c r="O12" i="116" s="1"/>
  <c r="Q12" i="116" s="1"/>
  <c r="H13" i="116"/>
  <c r="O13" i="116" s="1"/>
  <c r="Q13" i="116" s="1"/>
  <c r="H14" i="116"/>
  <c r="O14" i="116" s="1"/>
  <c r="Q14" i="116" s="1"/>
  <c r="H11" i="116"/>
  <c r="H9" i="116"/>
  <c r="O9" i="116" s="1"/>
  <c r="Q9" i="116" s="1"/>
  <c r="H10" i="116"/>
  <c r="O10" i="116" s="1"/>
  <c r="Q10" i="116" s="1"/>
  <c r="H8" i="116"/>
  <c r="H18" i="115"/>
  <c r="H13" i="115"/>
  <c r="H14" i="115"/>
  <c r="H15" i="115"/>
  <c r="H16" i="115"/>
  <c r="H17" i="115"/>
  <c r="H12" i="115"/>
  <c r="H9" i="115"/>
  <c r="H10" i="115"/>
  <c r="H11" i="115"/>
  <c r="H8" i="115"/>
  <c r="O11" i="116"/>
  <c r="Q11" i="116" s="1"/>
  <c r="O19" i="116"/>
  <c r="Q19" i="116" s="1"/>
  <c r="O27" i="116"/>
  <c r="Q27" i="116" s="1"/>
  <c r="O29" i="116"/>
  <c r="Q29" i="116" s="1"/>
  <c r="O30" i="116"/>
  <c r="Q30" i="116" s="1"/>
  <c r="O8" i="116"/>
  <c r="Q8" i="116" s="1"/>
  <c r="O38" i="117" l="1"/>
  <c r="Q38" i="117" s="1"/>
  <c r="Q8" i="117"/>
  <c r="P28" i="115"/>
  <c r="O22" i="115"/>
  <c r="O23" i="115"/>
  <c r="O25" i="115"/>
  <c r="O26" i="115"/>
  <c r="L25" i="115"/>
  <c r="L24" i="115"/>
  <c r="O24" i="115" s="1"/>
  <c r="P38" i="114"/>
  <c r="O33" i="114"/>
  <c r="O34" i="114"/>
  <c r="O35" i="114"/>
  <c r="N39" i="116" l="1"/>
  <c r="M39" i="116"/>
  <c r="L39" i="116"/>
  <c r="K39" i="116"/>
  <c r="J39" i="116"/>
  <c r="I39" i="116"/>
  <c r="G39" i="116"/>
  <c r="O38" i="116"/>
  <c r="O32" i="116"/>
  <c r="O31" i="116"/>
  <c r="N28" i="115"/>
  <c r="M28" i="115"/>
  <c r="L28" i="115"/>
  <c r="K28" i="115"/>
  <c r="J28" i="115"/>
  <c r="I28" i="115"/>
  <c r="G28" i="115"/>
  <c r="O27" i="115"/>
  <c r="O21" i="115"/>
  <c r="O20" i="115"/>
  <c r="O19" i="115"/>
  <c r="O18" i="115"/>
  <c r="Q18" i="115" s="1"/>
  <c r="O17" i="115"/>
  <c r="Q17" i="115" s="1"/>
  <c r="O16" i="115"/>
  <c r="Q16" i="115" s="1"/>
  <c r="O15" i="115"/>
  <c r="Q15" i="115" s="1"/>
  <c r="O14" i="115"/>
  <c r="Q14" i="115" s="1"/>
  <c r="O13" i="115"/>
  <c r="Q13" i="115" s="1"/>
  <c r="O12" i="115"/>
  <c r="Q12" i="115" s="1"/>
  <c r="O11" i="115"/>
  <c r="Q11" i="115" s="1"/>
  <c r="O10" i="115"/>
  <c r="Q10" i="115" s="1"/>
  <c r="O9" i="115"/>
  <c r="Q9" i="115" s="1"/>
  <c r="H8" i="114"/>
  <c r="O8" i="114" s="1"/>
  <c r="H9" i="114"/>
  <c r="O9" i="114" s="1"/>
  <c r="Q9" i="114" s="1"/>
  <c r="H10" i="114"/>
  <c r="O10" i="114" s="1"/>
  <c r="Q10" i="114" s="1"/>
  <c r="H11" i="114"/>
  <c r="O11" i="114" s="1"/>
  <c r="Q11" i="114" s="1"/>
  <c r="H12" i="114"/>
  <c r="O12" i="114" s="1"/>
  <c r="Q12" i="114" s="1"/>
  <c r="H13" i="114"/>
  <c r="O13" i="114"/>
  <c r="Q13" i="114" s="1"/>
  <c r="H14" i="114"/>
  <c r="O14" i="114" s="1"/>
  <c r="Q14" i="114" s="1"/>
  <c r="H15" i="114"/>
  <c r="O15" i="114" s="1"/>
  <c r="Q15" i="114" s="1"/>
  <c r="H16" i="114"/>
  <c r="O16" i="114" s="1"/>
  <c r="Q16" i="114" s="1"/>
  <c r="H17" i="114"/>
  <c r="O17" i="114" s="1"/>
  <c r="Q17" i="114" s="1"/>
  <c r="H18" i="114"/>
  <c r="O18" i="114"/>
  <c r="Q18" i="114" s="1"/>
  <c r="H19" i="114"/>
  <c r="O19" i="114" s="1"/>
  <c r="Q19" i="114" s="1"/>
  <c r="H20" i="114"/>
  <c r="O20" i="114" s="1"/>
  <c r="Q20" i="114" s="1"/>
  <c r="H21" i="114"/>
  <c r="O21" i="114" s="1"/>
  <c r="Q21" i="114" s="1"/>
  <c r="H22" i="114"/>
  <c r="O22" i="114" s="1"/>
  <c r="Q22" i="114" s="1"/>
  <c r="H23" i="114"/>
  <c r="O23" i="114" s="1"/>
  <c r="Q23" i="114" s="1"/>
  <c r="H24" i="114"/>
  <c r="O24" i="114" s="1"/>
  <c r="Q24" i="114" s="1"/>
  <c r="H25" i="114"/>
  <c r="O25" i="114"/>
  <c r="Q25" i="114" s="1"/>
  <c r="H26" i="114"/>
  <c r="O26" i="114"/>
  <c r="Q26" i="114" s="1"/>
  <c r="H27" i="114"/>
  <c r="O27" i="114" s="1"/>
  <c r="Q27" i="114" s="1"/>
  <c r="H28" i="114"/>
  <c r="O28" i="114" s="1"/>
  <c r="Q28" i="114" s="1"/>
  <c r="H29" i="114"/>
  <c r="O29" i="114" s="1"/>
  <c r="Q29" i="114" s="1"/>
  <c r="O30" i="114"/>
  <c r="O31" i="114"/>
  <c r="O32" i="114"/>
  <c r="O37" i="114"/>
  <c r="G38" i="114"/>
  <c r="I38" i="114"/>
  <c r="J38" i="114"/>
  <c r="K38" i="114"/>
  <c r="L38" i="114"/>
  <c r="M38" i="114"/>
  <c r="N38" i="114"/>
  <c r="O38" i="114" l="1"/>
  <c r="Q38" i="114" s="1"/>
  <c r="Q40" i="114" s="1"/>
  <c r="H28" i="115"/>
  <c r="O8" i="115"/>
  <c r="Q8" i="115" s="1"/>
  <c r="H39" i="116"/>
  <c r="Q8" i="114"/>
  <c r="H38" i="114"/>
  <c r="O28" i="115" l="1"/>
  <c r="Q28" i="115" s="1"/>
  <c r="Q30" i="115" s="1"/>
  <c r="P39" i="116"/>
  <c r="O39" i="116"/>
  <c r="O32" i="111"/>
  <c r="O33" i="111"/>
  <c r="O34" i="111"/>
  <c r="O35" i="111"/>
  <c r="O36" i="111"/>
  <c r="O37" i="111"/>
  <c r="K38" i="111"/>
  <c r="H23" i="111"/>
  <c r="H24" i="111"/>
  <c r="H25" i="111"/>
  <c r="H26" i="111"/>
  <c r="H27" i="111"/>
  <c r="H28" i="111"/>
  <c r="H29" i="111"/>
  <c r="H30" i="111"/>
  <c r="H22" i="111"/>
  <c r="H19" i="111"/>
  <c r="H20" i="111"/>
  <c r="H21" i="111"/>
  <c r="H18" i="111"/>
  <c r="H17" i="111"/>
  <c r="H12" i="111"/>
  <c r="H13" i="111"/>
  <c r="H14" i="111"/>
  <c r="H15" i="111"/>
  <c r="H16" i="111"/>
  <c r="H11" i="111"/>
  <c r="H9" i="111"/>
  <c r="H10" i="111"/>
  <c r="H8" i="111"/>
  <c r="Q39" i="116" l="1"/>
  <c r="Q41" i="116"/>
  <c r="Q40" i="117" s="1"/>
  <c r="Q38" i="118" s="1"/>
  <c r="P38" i="111"/>
  <c r="O41" i="108"/>
  <c r="O37" i="109"/>
  <c r="O36" i="109"/>
  <c r="J43" i="108"/>
  <c r="Q44" i="119" l="1"/>
  <c r="Q50" i="120" s="1"/>
  <c r="Q52" i="121" s="1"/>
  <c r="Q53" i="122" s="1"/>
  <c r="Q45" i="123" s="1"/>
  <c r="Q44" i="125" s="1"/>
  <c r="Q54" i="126" s="1"/>
  <c r="N38" i="111"/>
  <c r="M38" i="111"/>
  <c r="L38" i="111"/>
  <c r="J38" i="111"/>
  <c r="I38" i="111"/>
  <c r="H38" i="111"/>
  <c r="G38" i="111"/>
  <c r="O31" i="111"/>
  <c r="O30" i="111"/>
  <c r="Q30" i="111" s="1"/>
  <c r="O29" i="111"/>
  <c r="Q29" i="111" s="1"/>
  <c r="O28" i="111"/>
  <c r="Q28" i="111" s="1"/>
  <c r="O27" i="111"/>
  <c r="Q27" i="111" s="1"/>
  <c r="O26" i="111"/>
  <c r="Q26" i="111" s="1"/>
  <c r="O25" i="111"/>
  <c r="Q25" i="111" s="1"/>
  <c r="O24" i="111"/>
  <c r="Q24" i="111" s="1"/>
  <c r="O23" i="111"/>
  <c r="Q23" i="111" s="1"/>
  <c r="O22" i="111"/>
  <c r="Q22" i="111" s="1"/>
  <c r="O21" i="111"/>
  <c r="Q21" i="111" s="1"/>
  <c r="O20" i="111"/>
  <c r="Q20" i="111" s="1"/>
  <c r="O19" i="111"/>
  <c r="Q19" i="111" s="1"/>
  <c r="O18" i="111"/>
  <c r="Q18" i="111" s="1"/>
  <c r="O17" i="111"/>
  <c r="Q17" i="111" s="1"/>
  <c r="O16" i="111"/>
  <c r="Q16" i="111" s="1"/>
  <c r="O15" i="111"/>
  <c r="Q15" i="111" s="1"/>
  <c r="O14" i="111"/>
  <c r="Q14" i="111" s="1"/>
  <c r="O13" i="111"/>
  <c r="Q13" i="111" s="1"/>
  <c r="O12" i="111"/>
  <c r="Q12" i="111" s="1"/>
  <c r="O11" i="111"/>
  <c r="Q11" i="111" s="1"/>
  <c r="O10" i="111"/>
  <c r="Q10" i="111" s="1"/>
  <c r="O9" i="111"/>
  <c r="Q9" i="111" s="1"/>
  <c r="O8" i="111"/>
  <c r="Q8" i="111" s="1"/>
  <c r="N34" i="110"/>
  <c r="H30" i="110"/>
  <c r="H31" i="110"/>
  <c r="H29" i="110"/>
  <c r="H26" i="110"/>
  <c r="H27" i="110"/>
  <c r="H28" i="110"/>
  <c r="H25" i="110"/>
  <c r="H24" i="110"/>
  <c r="H18" i="110"/>
  <c r="H19" i="110"/>
  <c r="H20" i="110"/>
  <c r="H21" i="110"/>
  <c r="H22" i="110"/>
  <c r="H23" i="110"/>
  <c r="H17" i="110"/>
  <c r="H16" i="110"/>
  <c r="H15" i="110"/>
  <c r="H14" i="110"/>
  <c r="H9" i="110"/>
  <c r="H10" i="110"/>
  <c r="H11" i="110"/>
  <c r="H12" i="110"/>
  <c r="H13" i="110"/>
  <c r="H8" i="110"/>
  <c r="O38" i="111" l="1"/>
  <c r="Q38" i="111" s="1"/>
  <c r="P37" i="110"/>
  <c r="O28" i="110"/>
  <c r="Q28" i="110" s="1"/>
  <c r="O29" i="110"/>
  <c r="Q29" i="110" s="1"/>
  <c r="O30" i="110"/>
  <c r="Q30" i="110" s="1"/>
  <c r="O31" i="110"/>
  <c r="Q31" i="110" s="1"/>
  <c r="N37" i="110"/>
  <c r="M37" i="110"/>
  <c r="L37" i="110"/>
  <c r="K37" i="110"/>
  <c r="J37" i="110"/>
  <c r="I37" i="110"/>
  <c r="H37" i="110"/>
  <c r="G37" i="110"/>
  <c r="O36" i="110"/>
  <c r="O35" i="110"/>
  <c r="O34" i="110"/>
  <c r="O33" i="110"/>
  <c r="O32" i="110"/>
  <c r="O27" i="110"/>
  <c r="Q27" i="110" s="1"/>
  <c r="O26" i="110"/>
  <c r="Q26" i="110" s="1"/>
  <c r="O25" i="110"/>
  <c r="Q25" i="110" s="1"/>
  <c r="O24" i="110"/>
  <c r="Q24" i="110" s="1"/>
  <c r="O23" i="110"/>
  <c r="Q23" i="110" s="1"/>
  <c r="O22" i="110"/>
  <c r="Q22" i="110" s="1"/>
  <c r="O21" i="110"/>
  <c r="Q21" i="110" s="1"/>
  <c r="O20" i="110"/>
  <c r="Q20" i="110" s="1"/>
  <c r="O19" i="110"/>
  <c r="Q19" i="110" s="1"/>
  <c r="O18" i="110"/>
  <c r="Q18" i="110" s="1"/>
  <c r="O17" i="110"/>
  <c r="Q17" i="110" s="1"/>
  <c r="O16" i="110"/>
  <c r="Q16" i="110" s="1"/>
  <c r="O15" i="110"/>
  <c r="Q15" i="110" s="1"/>
  <c r="O14" i="110"/>
  <c r="Q14" i="110" s="1"/>
  <c r="O13" i="110"/>
  <c r="Q13" i="110" s="1"/>
  <c r="O12" i="110"/>
  <c r="Q12" i="110" s="1"/>
  <c r="O11" i="110"/>
  <c r="Q11" i="110" s="1"/>
  <c r="O10" i="110"/>
  <c r="Q10" i="110" s="1"/>
  <c r="O9" i="110"/>
  <c r="Q9" i="110" s="1"/>
  <c r="O8" i="110"/>
  <c r="O37" i="110" l="1"/>
  <c r="Q37" i="110" s="1"/>
  <c r="Q8" i="110"/>
  <c r="J39" i="109" l="1"/>
  <c r="P39" i="109" l="1"/>
  <c r="O40" i="108"/>
  <c r="O39" i="108"/>
  <c r="O38" i="108"/>
  <c r="O37" i="108"/>
  <c r="H19" i="109"/>
  <c r="H20" i="109"/>
  <c r="H21" i="109"/>
  <c r="H22" i="109"/>
  <c r="H23" i="109"/>
  <c r="H24" i="109"/>
  <c r="H25" i="109"/>
  <c r="H26" i="109"/>
  <c r="H27" i="109"/>
  <c r="O27" i="109" s="1"/>
  <c r="Q27" i="109" s="1"/>
  <c r="H15" i="109"/>
  <c r="H16" i="109"/>
  <c r="H17" i="109"/>
  <c r="H18" i="109"/>
  <c r="H14" i="109"/>
  <c r="H13" i="109"/>
  <c r="H12" i="109"/>
  <c r="H8" i="109"/>
  <c r="H11" i="109"/>
  <c r="H9" i="109"/>
  <c r="H10" i="109"/>
  <c r="G39" i="109"/>
  <c r="N39" i="109" l="1"/>
  <c r="M39" i="109"/>
  <c r="L39" i="109"/>
  <c r="K39" i="109"/>
  <c r="I39" i="109"/>
  <c r="O38" i="109"/>
  <c r="O35" i="109"/>
  <c r="O34" i="109"/>
  <c r="O33" i="109"/>
  <c r="O32" i="109"/>
  <c r="O31" i="109"/>
  <c r="O30" i="109"/>
  <c r="O29" i="109"/>
  <c r="O28" i="109"/>
  <c r="O26" i="109"/>
  <c r="Q26" i="109" s="1"/>
  <c r="O25" i="109"/>
  <c r="Q25" i="109" s="1"/>
  <c r="O24" i="109"/>
  <c r="Q24" i="109" s="1"/>
  <c r="O23" i="109"/>
  <c r="Q23" i="109" s="1"/>
  <c r="O22" i="109"/>
  <c r="Q22" i="109" s="1"/>
  <c r="O21" i="109"/>
  <c r="Q21" i="109" s="1"/>
  <c r="O20" i="109"/>
  <c r="Q20" i="109" s="1"/>
  <c r="O19" i="109"/>
  <c r="Q19" i="109" s="1"/>
  <c r="O18" i="109"/>
  <c r="Q18" i="109" s="1"/>
  <c r="O17" i="109"/>
  <c r="Q17" i="109" s="1"/>
  <c r="O16" i="109"/>
  <c r="Q16" i="109" s="1"/>
  <c r="O15" i="109"/>
  <c r="Q15" i="109" s="1"/>
  <c r="O14" i="109"/>
  <c r="Q14" i="109" s="1"/>
  <c r="O13" i="109"/>
  <c r="Q13" i="109" s="1"/>
  <c r="O12" i="109"/>
  <c r="Q12" i="109" s="1"/>
  <c r="O11" i="109"/>
  <c r="Q11" i="109" s="1"/>
  <c r="O10" i="109"/>
  <c r="Q10" i="109" s="1"/>
  <c r="O9" i="109"/>
  <c r="Q9" i="109" s="1"/>
  <c r="O8" i="109"/>
  <c r="Q8" i="109" s="1"/>
  <c r="H39" i="109"/>
  <c r="O39" i="109" l="1"/>
  <c r="Q39" i="109" s="1"/>
  <c r="H26" i="108" l="1"/>
  <c r="H21" i="108"/>
  <c r="O21" i="108" s="1"/>
  <c r="Q21" i="108" s="1"/>
  <c r="H22" i="108"/>
  <c r="O22" i="108" s="1"/>
  <c r="Q22" i="108" s="1"/>
  <c r="H23" i="108"/>
  <c r="H24" i="108"/>
  <c r="O24" i="108" s="1"/>
  <c r="Q24" i="108" s="1"/>
  <c r="H25" i="108"/>
  <c r="O25" i="108" s="1"/>
  <c r="Q25" i="108" s="1"/>
  <c r="H20" i="108"/>
  <c r="O20" i="108" s="1"/>
  <c r="Q20" i="108" s="1"/>
  <c r="H13" i="108"/>
  <c r="H14" i="108"/>
  <c r="H15" i="108"/>
  <c r="O15" i="108" s="1"/>
  <c r="Q15" i="108" s="1"/>
  <c r="H16" i="108"/>
  <c r="O16" i="108" s="1"/>
  <c r="Q16" i="108" s="1"/>
  <c r="H17" i="108"/>
  <c r="H18" i="108"/>
  <c r="O18" i="108" s="1"/>
  <c r="Q18" i="108" s="1"/>
  <c r="H19" i="108"/>
  <c r="O19" i="108" s="1"/>
  <c r="Q19" i="108" s="1"/>
  <c r="H12" i="108"/>
  <c r="O12" i="108" s="1"/>
  <c r="Q12" i="108" s="1"/>
  <c r="H11" i="108"/>
  <c r="O11" i="108" s="1"/>
  <c r="Q11" i="108" s="1"/>
  <c r="H10" i="108"/>
  <c r="H9" i="108"/>
  <c r="O9" i="108" s="1"/>
  <c r="Q9" i="108" s="1"/>
  <c r="H8" i="108"/>
  <c r="O32" i="108"/>
  <c r="O33" i="108"/>
  <c r="O34" i="108"/>
  <c r="P43" i="108"/>
  <c r="N43" i="108"/>
  <c r="M43" i="108"/>
  <c r="L43" i="108"/>
  <c r="K43" i="108"/>
  <c r="I43" i="108"/>
  <c r="G43" i="108"/>
  <c r="O42" i="108"/>
  <c r="O36" i="108"/>
  <c r="O35" i="108"/>
  <c r="O31" i="108"/>
  <c r="O30" i="108"/>
  <c r="O29" i="108"/>
  <c r="O28" i="108"/>
  <c r="O26" i="108"/>
  <c r="Q26" i="108" s="1"/>
  <c r="O23" i="108"/>
  <c r="Q23" i="108" s="1"/>
  <c r="O17" i="108"/>
  <c r="Q17" i="108" s="1"/>
  <c r="O14" i="108"/>
  <c r="Q14" i="108" s="1"/>
  <c r="O13" i="108"/>
  <c r="Q13" i="108" s="1"/>
  <c r="O10" i="108"/>
  <c r="Q10" i="108" s="1"/>
  <c r="O30" i="104"/>
  <c r="H43" i="108" l="1"/>
  <c r="O8" i="108"/>
  <c r="O43" i="108" s="1"/>
  <c r="Q43" i="108" s="1"/>
  <c r="O39" i="100"/>
  <c r="O40" i="100"/>
  <c r="Q8" i="108" l="1"/>
  <c r="O38" i="100"/>
  <c r="O37" i="106"/>
  <c r="J39" i="106" l="1"/>
  <c r="H23" i="106" l="1"/>
  <c r="H24" i="106"/>
  <c r="O24" i="106" s="1"/>
  <c r="Q24" i="106" s="1"/>
  <c r="H25" i="106"/>
  <c r="H26" i="106"/>
  <c r="H27" i="106"/>
  <c r="H28" i="106"/>
  <c r="O28" i="106" s="1"/>
  <c r="Q28" i="106" s="1"/>
  <c r="H29" i="106"/>
  <c r="H30" i="106"/>
  <c r="H22" i="106"/>
  <c r="O22" i="106" s="1"/>
  <c r="Q22" i="106" s="1"/>
  <c r="H16" i="106"/>
  <c r="O16" i="106" s="1"/>
  <c r="Q16" i="106" s="1"/>
  <c r="H17" i="106"/>
  <c r="H18" i="106"/>
  <c r="H19" i="106"/>
  <c r="H20" i="106"/>
  <c r="O20" i="106" s="1"/>
  <c r="Q20" i="106" s="1"/>
  <c r="H21" i="106"/>
  <c r="H15" i="106"/>
  <c r="H13" i="106"/>
  <c r="O13" i="106" s="1"/>
  <c r="Q13" i="106" s="1"/>
  <c r="H14" i="106"/>
  <c r="O14" i="106" s="1"/>
  <c r="Q14" i="106" s="1"/>
  <c r="H9" i="106"/>
  <c r="H10" i="106"/>
  <c r="O10" i="106" s="1"/>
  <c r="Q10" i="106" s="1"/>
  <c r="H11" i="106"/>
  <c r="H12" i="106"/>
  <c r="O12" i="106" s="1"/>
  <c r="Q12" i="106" s="1"/>
  <c r="H8" i="106"/>
  <c r="O8" i="106" s="1"/>
  <c r="Q8" i="106" s="1"/>
  <c r="P39" i="106"/>
  <c r="N39" i="106"/>
  <c r="M39" i="106"/>
  <c r="L39" i="106"/>
  <c r="K39" i="106"/>
  <c r="I39" i="106"/>
  <c r="G39" i="106"/>
  <c r="O38" i="106"/>
  <c r="O36" i="106"/>
  <c r="O35" i="106"/>
  <c r="O34" i="106"/>
  <c r="O33" i="106"/>
  <c r="O32" i="106"/>
  <c r="O30" i="106"/>
  <c r="Q30" i="106" s="1"/>
  <c r="O29" i="106"/>
  <c r="Q29" i="106" s="1"/>
  <c r="O27" i="106"/>
  <c r="Q27" i="106" s="1"/>
  <c r="O26" i="106"/>
  <c r="Q26" i="106" s="1"/>
  <c r="O25" i="106"/>
  <c r="Q25" i="106" s="1"/>
  <c r="O23" i="106"/>
  <c r="Q23" i="106" s="1"/>
  <c r="O21" i="106"/>
  <c r="Q21" i="106" s="1"/>
  <c r="O19" i="106"/>
  <c r="Q19" i="106" s="1"/>
  <c r="O18" i="106"/>
  <c r="Q18" i="106" s="1"/>
  <c r="O17" i="106"/>
  <c r="Q17" i="106" s="1"/>
  <c r="O15" i="106"/>
  <c r="Q15" i="106" s="1"/>
  <c r="O11" i="106"/>
  <c r="Q11" i="106" s="1"/>
  <c r="O9" i="106"/>
  <c r="O36" i="105"/>
  <c r="Q9" i="106" l="1"/>
  <c r="O39" i="106"/>
  <c r="Q39" i="106" s="1"/>
  <c r="H39" i="106"/>
  <c r="P39" i="105"/>
  <c r="H31" i="105" l="1"/>
  <c r="H23" i="105"/>
  <c r="O23" i="105" s="1"/>
  <c r="Q23" i="105" s="1"/>
  <c r="H24" i="105"/>
  <c r="O24" i="105" s="1"/>
  <c r="Q24" i="105" s="1"/>
  <c r="H25" i="105"/>
  <c r="H26" i="105"/>
  <c r="O26" i="105" s="1"/>
  <c r="Q26" i="105" s="1"/>
  <c r="H27" i="105"/>
  <c r="O27" i="105" s="1"/>
  <c r="Q27" i="105" s="1"/>
  <c r="H28" i="105"/>
  <c r="O28" i="105" s="1"/>
  <c r="Q28" i="105" s="1"/>
  <c r="H29" i="105"/>
  <c r="H30" i="105"/>
  <c r="O30" i="105" s="1"/>
  <c r="Q30" i="105" s="1"/>
  <c r="H22" i="105"/>
  <c r="O22" i="105" s="1"/>
  <c r="Q22" i="105" s="1"/>
  <c r="H18" i="105"/>
  <c r="O18" i="105" s="1"/>
  <c r="Q18" i="105" s="1"/>
  <c r="H19" i="105"/>
  <c r="H20" i="105"/>
  <c r="O20" i="105" s="1"/>
  <c r="H21" i="105"/>
  <c r="O21" i="105" s="1"/>
  <c r="Q21" i="105" s="1"/>
  <c r="H17" i="105"/>
  <c r="O17" i="105" s="1"/>
  <c r="Q17" i="105" s="1"/>
  <c r="H9" i="105"/>
  <c r="H10" i="105"/>
  <c r="H11" i="105"/>
  <c r="O11" i="105" s="1"/>
  <c r="Q11" i="105" s="1"/>
  <c r="H12" i="105"/>
  <c r="O12" i="105" s="1"/>
  <c r="Q12" i="105" s="1"/>
  <c r="H13" i="105"/>
  <c r="H14" i="105"/>
  <c r="H15" i="105"/>
  <c r="O15" i="105" s="1"/>
  <c r="Q15" i="105" s="1"/>
  <c r="H16" i="105"/>
  <c r="O16" i="105" s="1"/>
  <c r="Q16" i="105" s="1"/>
  <c r="H8" i="105"/>
  <c r="G39" i="105"/>
  <c r="O29" i="105"/>
  <c r="Q29" i="105" s="1"/>
  <c r="O31" i="105"/>
  <c r="Q31" i="105" s="1"/>
  <c r="N39" i="105"/>
  <c r="M39" i="105"/>
  <c r="K39" i="105"/>
  <c r="J39" i="105"/>
  <c r="I39" i="105"/>
  <c r="O38" i="105"/>
  <c r="O37" i="105"/>
  <c r="O35" i="105"/>
  <c r="O34" i="105"/>
  <c r="O33" i="105"/>
  <c r="O25" i="105"/>
  <c r="Q25" i="105" s="1"/>
  <c r="Q20" i="105"/>
  <c r="O19" i="105"/>
  <c r="Q19" i="105" s="1"/>
  <c r="O14" i="105"/>
  <c r="Q14" i="105" s="1"/>
  <c r="O13" i="105"/>
  <c r="Q13" i="105" s="1"/>
  <c r="O10" i="105"/>
  <c r="Q10" i="105" s="1"/>
  <c r="O9" i="105"/>
  <c r="Q9" i="105" s="1"/>
  <c r="O8" i="105"/>
  <c r="Q8" i="105" l="1"/>
  <c r="O39" i="105"/>
  <c r="Q39" i="105" s="1"/>
  <c r="H39" i="105"/>
  <c r="L39" i="105"/>
  <c r="O40" i="103" l="1"/>
  <c r="L33" i="104"/>
  <c r="H14" i="104"/>
  <c r="H16" i="104"/>
  <c r="O16" i="104" s="1"/>
  <c r="Q16" i="104" s="1"/>
  <c r="H17" i="104"/>
  <c r="O17" i="104" s="1"/>
  <c r="Q17" i="104" s="1"/>
  <c r="H18" i="104"/>
  <c r="H19" i="104"/>
  <c r="H20" i="104"/>
  <c r="H15" i="104"/>
  <c r="O15" i="104" s="1"/>
  <c r="Q15" i="104" s="1"/>
  <c r="H22" i="104"/>
  <c r="H23" i="104"/>
  <c r="O23" i="104" s="1"/>
  <c r="Q23" i="104" s="1"/>
  <c r="H24" i="104"/>
  <c r="O24" i="104" s="1"/>
  <c r="Q24" i="104" s="1"/>
  <c r="H25" i="104"/>
  <c r="O25" i="104" s="1"/>
  <c r="Q25" i="104" s="1"/>
  <c r="H26" i="104"/>
  <c r="H21" i="104"/>
  <c r="O21" i="104" s="1"/>
  <c r="Q21" i="104" s="1"/>
  <c r="H9" i="104"/>
  <c r="O9" i="104" s="1"/>
  <c r="Q9" i="104" s="1"/>
  <c r="H10" i="104"/>
  <c r="O10" i="104" s="1"/>
  <c r="Q10" i="104" s="1"/>
  <c r="H11" i="104"/>
  <c r="H12" i="104"/>
  <c r="O12" i="104" s="1"/>
  <c r="Q12" i="104" s="1"/>
  <c r="H13" i="104"/>
  <c r="O13" i="104" s="1"/>
  <c r="Q13" i="104" s="1"/>
  <c r="H8" i="104"/>
  <c r="O8" i="104" s="1"/>
  <c r="P36" i="104"/>
  <c r="N36" i="104"/>
  <c r="M36" i="104"/>
  <c r="L36" i="104"/>
  <c r="K36" i="104"/>
  <c r="J36" i="104"/>
  <c r="I36" i="104"/>
  <c r="G36" i="104"/>
  <c r="O35" i="104"/>
  <c r="O34" i="104"/>
  <c r="O33" i="104"/>
  <c r="O32" i="104"/>
  <c r="O31" i="104"/>
  <c r="O29" i="104"/>
  <c r="O28" i="104"/>
  <c r="O26" i="104"/>
  <c r="Q26" i="104" s="1"/>
  <c r="O22" i="104"/>
  <c r="Q22" i="104" s="1"/>
  <c r="O20" i="104"/>
  <c r="Q20" i="104" s="1"/>
  <c r="O19" i="104"/>
  <c r="Q19" i="104" s="1"/>
  <c r="O18" i="104"/>
  <c r="Q18" i="104" s="1"/>
  <c r="O14" i="104"/>
  <c r="Q14" i="104" s="1"/>
  <c r="O11" i="104"/>
  <c r="Q11" i="104" s="1"/>
  <c r="Q8" i="104" l="1"/>
  <c r="O36" i="104"/>
  <c r="Q36" i="104" s="1"/>
  <c r="H36" i="104"/>
  <c r="Q23" i="103" l="1"/>
  <c r="Q27" i="103"/>
  <c r="Q10" i="103"/>
  <c r="Q14" i="103"/>
  <c r="O39" i="103"/>
  <c r="O19" i="102"/>
  <c r="O16" i="102"/>
  <c r="O17" i="102"/>
  <c r="O37" i="100"/>
  <c r="H22" i="103"/>
  <c r="O22" i="103" s="1"/>
  <c r="Q22" i="103" s="1"/>
  <c r="H23" i="103"/>
  <c r="O23" i="103" s="1"/>
  <c r="H24" i="103"/>
  <c r="H25" i="103"/>
  <c r="O25" i="103" s="1"/>
  <c r="Q25" i="103" s="1"/>
  <c r="H26" i="103"/>
  <c r="H27" i="103"/>
  <c r="O27" i="103" s="1"/>
  <c r="H28" i="103"/>
  <c r="H21" i="103"/>
  <c r="H15" i="103"/>
  <c r="H16" i="103"/>
  <c r="O16" i="103" s="1"/>
  <c r="Q16" i="103" s="1"/>
  <c r="H17" i="103"/>
  <c r="H18" i="103"/>
  <c r="O18" i="103" s="1"/>
  <c r="Q18" i="103" s="1"/>
  <c r="H19" i="103"/>
  <c r="O19" i="103" s="1"/>
  <c r="Q19" i="103" s="1"/>
  <c r="H20" i="103"/>
  <c r="O20" i="103" s="1"/>
  <c r="Q20" i="103" s="1"/>
  <c r="H14" i="103"/>
  <c r="H13" i="103"/>
  <c r="H9" i="103"/>
  <c r="O9" i="103" s="1"/>
  <c r="Q9" i="103" s="1"/>
  <c r="H10" i="103"/>
  <c r="O10" i="103" s="1"/>
  <c r="H11" i="103"/>
  <c r="H12" i="103"/>
  <c r="O12" i="103" s="1"/>
  <c r="Q12" i="103" s="1"/>
  <c r="H8" i="103"/>
  <c r="O35" i="100"/>
  <c r="O36" i="100"/>
  <c r="J42" i="103"/>
  <c r="O28" i="103"/>
  <c r="Q28" i="103" s="1"/>
  <c r="O26" i="103"/>
  <c r="Q26" i="103" s="1"/>
  <c r="O24" i="103"/>
  <c r="Q24" i="103" s="1"/>
  <c r="O21" i="103"/>
  <c r="Q21" i="103" s="1"/>
  <c r="P42" i="103"/>
  <c r="N42" i="103"/>
  <c r="M42" i="103"/>
  <c r="K42" i="103"/>
  <c r="I42" i="103"/>
  <c r="G42" i="103"/>
  <c r="O41" i="103"/>
  <c r="O38" i="103"/>
  <c r="O37" i="103"/>
  <c r="O36" i="103"/>
  <c r="O35" i="103"/>
  <c r="O34" i="103"/>
  <c r="O33" i="103"/>
  <c r="O32" i="103"/>
  <c r="O31" i="103"/>
  <c r="O30" i="103"/>
  <c r="O17" i="103"/>
  <c r="Q17" i="103" s="1"/>
  <c r="O15" i="103"/>
  <c r="Q15" i="103" s="1"/>
  <c r="O14" i="103"/>
  <c r="O13" i="103"/>
  <c r="Q13" i="103" s="1"/>
  <c r="O11" i="103"/>
  <c r="Q11" i="103" s="1"/>
  <c r="O15" i="102"/>
  <c r="O8" i="103" l="1"/>
  <c r="Q8" i="103" s="1"/>
  <c r="H42" i="103"/>
  <c r="O42" i="103"/>
  <c r="Q42" i="103" s="1"/>
  <c r="L42" i="103"/>
  <c r="L34" i="100" l="1"/>
  <c r="O34" i="100" s="1"/>
  <c r="O10" i="102" l="1"/>
  <c r="O11" i="102"/>
  <c r="O12" i="102"/>
  <c r="O13" i="102"/>
  <c r="O14" i="102"/>
  <c r="P19" i="102"/>
  <c r="N19" i="102"/>
  <c r="M19" i="102"/>
  <c r="L19" i="102"/>
  <c r="K19" i="102"/>
  <c r="J19" i="102"/>
  <c r="I19" i="102"/>
  <c r="H19" i="102"/>
  <c r="G19" i="102"/>
  <c r="O18" i="102"/>
  <c r="O9" i="102"/>
  <c r="P11" i="101"/>
  <c r="N11" i="101"/>
  <c r="M11" i="101"/>
  <c r="L11" i="101"/>
  <c r="K11" i="101"/>
  <c r="J11" i="101"/>
  <c r="I11" i="101"/>
  <c r="H11" i="101"/>
  <c r="G11" i="101"/>
  <c r="O10" i="101"/>
  <c r="O9" i="101"/>
  <c r="O8" i="101"/>
  <c r="O21" i="100"/>
  <c r="O22" i="100"/>
  <c r="O23" i="100"/>
  <c r="O24" i="100"/>
  <c r="O25" i="100"/>
  <c r="O26" i="100"/>
  <c r="O27" i="100"/>
  <c r="O28" i="100"/>
  <c r="O29" i="100"/>
  <c r="O30" i="100"/>
  <c r="O31" i="100"/>
  <c r="O33" i="100"/>
  <c r="L32" i="100"/>
  <c r="O32" i="100" s="1"/>
  <c r="H17" i="100"/>
  <c r="H18" i="100"/>
  <c r="H19" i="100"/>
  <c r="H15" i="100"/>
  <c r="H16" i="100"/>
  <c r="H14" i="100"/>
  <c r="H13" i="100"/>
  <c r="H12" i="100"/>
  <c r="H9" i="100"/>
  <c r="H10" i="100"/>
  <c r="H11" i="100"/>
  <c r="H8" i="100"/>
  <c r="Q19" i="102" l="1"/>
  <c r="O11" i="101"/>
  <c r="Q11" i="101" s="1"/>
  <c r="O14" i="100"/>
  <c r="Q14" i="100" s="1"/>
  <c r="O15" i="100"/>
  <c r="Q15" i="100" s="1"/>
  <c r="O16" i="100"/>
  <c r="Q16" i="100" s="1"/>
  <c r="O17" i="100"/>
  <c r="Q17" i="100" s="1"/>
  <c r="O18" i="100"/>
  <c r="Q18" i="100" s="1"/>
  <c r="O19" i="100"/>
  <c r="Q19" i="100" s="1"/>
  <c r="P41" i="100"/>
  <c r="N41" i="100"/>
  <c r="M41" i="100"/>
  <c r="L41" i="100"/>
  <c r="K41" i="100"/>
  <c r="J41" i="100"/>
  <c r="I41" i="100"/>
  <c r="H41" i="100"/>
  <c r="G41" i="100"/>
  <c r="O20" i="100"/>
  <c r="O13" i="100"/>
  <c r="Q13" i="100" s="1"/>
  <c r="O12" i="100"/>
  <c r="Q12" i="100" s="1"/>
  <c r="O11" i="100"/>
  <c r="Q11" i="100" s="1"/>
  <c r="O10" i="100"/>
  <c r="Q10" i="100" s="1"/>
  <c r="O9" i="100"/>
  <c r="Q9" i="100" s="1"/>
  <c r="O8" i="100"/>
  <c r="P23" i="99"/>
  <c r="N23" i="99"/>
  <c r="M23" i="99"/>
  <c r="L23" i="99"/>
  <c r="K23" i="99"/>
  <c r="J23" i="99"/>
  <c r="I23" i="99"/>
  <c r="G23" i="99"/>
  <c r="O22" i="99"/>
  <c r="O21" i="99"/>
  <c r="O20" i="99"/>
  <c r="O19" i="99"/>
  <c r="H18" i="99"/>
  <c r="O18" i="99" s="1"/>
  <c r="Q18" i="99" s="1"/>
  <c r="O17" i="99"/>
  <c r="Q17" i="99" s="1"/>
  <c r="H16" i="99"/>
  <c r="O16" i="99" s="1"/>
  <c r="Q16" i="99" s="1"/>
  <c r="H15" i="99"/>
  <c r="O15" i="99" s="1"/>
  <c r="Q15" i="99" s="1"/>
  <c r="H14" i="99"/>
  <c r="O14" i="99" s="1"/>
  <c r="Q14" i="99" s="1"/>
  <c r="H13" i="99"/>
  <c r="O13" i="99" s="1"/>
  <c r="Q13" i="99" s="1"/>
  <c r="H12" i="99"/>
  <c r="O12" i="99" s="1"/>
  <c r="Q12" i="99" s="1"/>
  <c r="H11" i="99"/>
  <c r="O11" i="99" s="1"/>
  <c r="Q11" i="99" s="1"/>
  <c r="O10" i="99"/>
  <c r="Q10" i="99" s="1"/>
  <c r="H10" i="99"/>
  <c r="H9" i="99"/>
  <c r="O9" i="99" s="1"/>
  <c r="Q9" i="99" s="1"/>
  <c r="H8" i="99"/>
  <c r="H23" i="99" s="1"/>
  <c r="Q8" i="100" l="1"/>
  <c r="O41" i="100"/>
  <c r="Q41" i="100" s="1"/>
  <c r="O8" i="99"/>
  <c r="O23" i="99" s="1"/>
  <c r="Q23" i="99" s="1"/>
  <c r="Q25" i="99" s="1"/>
  <c r="Q13" i="101" s="1"/>
  <c r="Q21" i="102" s="1"/>
  <c r="Q8" i="99"/>
  <c r="Q43" i="100" l="1"/>
  <c r="Q44" i="103" s="1"/>
  <c r="Q38" i="104" s="1"/>
  <c r="Q41" i="105" s="1"/>
  <c r="Q41" i="106" s="1"/>
  <c r="Q45" i="108" s="1"/>
  <c r="Q41" i="109" s="1"/>
  <c r="Q39" i="110" s="1"/>
  <c r="Q40" i="111" s="1"/>
  <c r="O33" i="97"/>
  <c r="O40" i="96"/>
  <c r="H32" i="96" l="1"/>
  <c r="O32" i="97"/>
  <c r="O39" i="96"/>
  <c r="H25" i="97" l="1"/>
  <c r="H26" i="97"/>
  <c r="H27" i="97"/>
  <c r="H22" i="97"/>
  <c r="H23" i="97"/>
  <c r="H24" i="97"/>
  <c r="H21" i="97"/>
  <c r="H17" i="97"/>
  <c r="H18" i="97"/>
  <c r="H19" i="97"/>
  <c r="H20" i="97"/>
  <c r="H16" i="97"/>
  <c r="H9" i="97"/>
  <c r="H10" i="97"/>
  <c r="H11" i="97"/>
  <c r="H12" i="97"/>
  <c r="H13" i="97"/>
  <c r="H14" i="97"/>
  <c r="H15" i="97"/>
  <c r="H8" i="97"/>
  <c r="J19" i="97"/>
  <c r="J11" i="97"/>
  <c r="P35" i="97" l="1"/>
  <c r="N35" i="97"/>
  <c r="M35" i="97"/>
  <c r="L35" i="97"/>
  <c r="K35" i="97"/>
  <c r="I35" i="97"/>
  <c r="G35" i="97"/>
  <c r="O34" i="97"/>
  <c r="O31" i="97"/>
  <c r="O30" i="97"/>
  <c r="O29" i="97"/>
  <c r="O28" i="97"/>
  <c r="O27" i="97"/>
  <c r="Q27" i="97" s="1"/>
  <c r="O26" i="97"/>
  <c r="Q26" i="97" s="1"/>
  <c r="O25" i="97"/>
  <c r="Q25" i="97" s="1"/>
  <c r="O24" i="97"/>
  <c r="Q24" i="97" s="1"/>
  <c r="O23" i="97"/>
  <c r="Q23" i="97" s="1"/>
  <c r="O22" i="97"/>
  <c r="Q22" i="97" s="1"/>
  <c r="O21" i="97"/>
  <c r="Q21" i="97" s="1"/>
  <c r="O20" i="97"/>
  <c r="Q20" i="97" s="1"/>
  <c r="O19" i="97"/>
  <c r="Q19" i="97" s="1"/>
  <c r="O18" i="97"/>
  <c r="Q18" i="97" s="1"/>
  <c r="O17" i="97"/>
  <c r="Q17" i="97" s="1"/>
  <c r="O16" i="97"/>
  <c r="Q16" i="97" s="1"/>
  <c r="O15" i="97"/>
  <c r="Q15" i="97" s="1"/>
  <c r="O14" i="97"/>
  <c r="Q14" i="97" s="1"/>
  <c r="O13" i="97"/>
  <c r="Q13" i="97" s="1"/>
  <c r="O12" i="97"/>
  <c r="Q12" i="97" s="1"/>
  <c r="O11" i="97"/>
  <c r="Q11" i="97" s="1"/>
  <c r="O10" i="97"/>
  <c r="Q10" i="97" s="1"/>
  <c r="O9" i="97"/>
  <c r="Q9" i="97" s="1"/>
  <c r="O8" i="97"/>
  <c r="O32" i="95"/>
  <c r="O37" i="95"/>
  <c r="O38" i="95"/>
  <c r="O31" i="95"/>
  <c r="H25" i="96"/>
  <c r="H26" i="96"/>
  <c r="O26" i="96" s="1"/>
  <c r="Q26" i="96" s="1"/>
  <c r="H27" i="96"/>
  <c r="O27" i="96" s="1"/>
  <c r="Q27" i="96" s="1"/>
  <c r="H28" i="96"/>
  <c r="O28" i="96" s="1"/>
  <c r="Q28" i="96" s="1"/>
  <c r="H29" i="96"/>
  <c r="H30" i="96"/>
  <c r="O30" i="96" s="1"/>
  <c r="Q30" i="96" s="1"/>
  <c r="H31" i="96"/>
  <c r="O31" i="96" s="1"/>
  <c r="Q31" i="96" s="1"/>
  <c r="O32" i="96"/>
  <c r="Q32" i="96" s="1"/>
  <c r="H24" i="96"/>
  <c r="O24" i="96" s="1"/>
  <c r="Q24" i="96" s="1"/>
  <c r="H17" i="96"/>
  <c r="H18" i="96"/>
  <c r="H19" i="96"/>
  <c r="H20" i="96"/>
  <c r="H21" i="96"/>
  <c r="H22" i="96"/>
  <c r="H23" i="96"/>
  <c r="O23" i="96" s="1"/>
  <c r="Q23" i="96" s="1"/>
  <c r="H16" i="96"/>
  <c r="H9" i="96"/>
  <c r="H10" i="96"/>
  <c r="H11" i="96"/>
  <c r="H12" i="96"/>
  <c r="H13" i="96"/>
  <c r="H14" i="96"/>
  <c r="H15" i="96"/>
  <c r="H8" i="96"/>
  <c r="O29" i="96"/>
  <c r="Q29" i="96" s="1"/>
  <c r="O25" i="96"/>
  <c r="Q25" i="96" s="1"/>
  <c r="H35" i="97" l="1"/>
  <c r="J35" i="97"/>
  <c r="O35" i="97"/>
  <c r="Q35" i="97" s="1"/>
  <c r="Q8" i="97"/>
  <c r="H42" i="96"/>
  <c r="J8" i="96"/>
  <c r="J42" i="96" s="1"/>
  <c r="P42" i="96"/>
  <c r="N42" i="96"/>
  <c r="M42" i="96"/>
  <c r="L42" i="96"/>
  <c r="K42" i="96"/>
  <c r="I42" i="96"/>
  <c r="G42" i="96"/>
  <c r="O41" i="96"/>
  <c r="O38" i="96"/>
  <c r="O37" i="96"/>
  <c r="O36" i="96"/>
  <c r="O35" i="96"/>
  <c r="O34" i="96"/>
  <c r="O33" i="96"/>
  <c r="O22" i="96"/>
  <c r="Q22" i="96" s="1"/>
  <c r="O21" i="96"/>
  <c r="Q21" i="96" s="1"/>
  <c r="O20" i="96"/>
  <c r="Q20" i="96" s="1"/>
  <c r="O19" i="96"/>
  <c r="Q19" i="96" s="1"/>
  <c r="O18" i="96"/>
  <c r="Q18" i="96" s="1"/>
  <c r="O17" i="96"/>
  <c r="Q17" i="96" s="1"/>
  <c r="O16" i="96"/>
  <c r="Q16" i="96" s="1"/>
  <c r="O15" i="96"/>
  <c r="Q15" i="96" s="1"/>
  <c r="O14" i="96"/>
  <c r="Q14" i="96" s="1"/>
  <c r="O13" i="96"/>
  <c r="Q13" i="96" s="1"/>
  <c r="O12" i="96"/>
  <c r="Q12" i="96" s="1"/>
  <c r="O11" i="96"/>
  <c r="Q11" i="96" s="1"/>
  <c r="O10" i="96"/>
  <c r="Q10" i="96" s="1"/>
  <c r="O9" i="96"/>
  <c r="Q9" i="96" s="1"/>
  <c r="P40" i="95"/>
  <c r="O8" i="96" l="1"/>
  <c r="Q8" i="96" s="1"/>
  <c r="O42" i="96"/>
  <c r="Q42" i="96" s="1"/>
  <c r="H21" i="95" l="1"/>
  <c r="H22" i="95"/>
  <c r="H15" i="95"/>
  <c r="H16" i="95"/>
  <c r="H17" i="95"/>
  <c r="H18" i="95"/>
  <c r="H19" i="95"/>
  <c r="H20" i="95"/>
  <c r="H14" i="95"/>
  <c r="H9" i="95"/>
  <c r="H10" i="95"/>
  <c r="H11" i="95"/>
  <c r="H12" i="95"/>
  <c r="H13" i="95"/>
  <c r="H8" i="95"/>
  <c r="H40" i="95" l="1"/>
  <c r="O24" i="95"/>
  <c r="O25" i="95"/>
  <c r="O26" i="95"/>
  <c r="O27" i="95"/>
  <c r="O28" i="95"/>
  <c r="O29" i="95"/>
  <c r="O30" i="95"/>
  <c r="O33" i="95"/>
  <c r="O34" i="95"/>
  <c r="O35" i="95"/>
  <c r="O36" i="95"/>
  <c r="J20" i="95" l="1"/>
  <c r="J40" i="95" s="1"/>
  <c r="N40" i="95"/>
  <c r="M40" i="95"/>
  <c r="L40" i="95"/>
  <c r="K40" i="95"/>
  <c r="I40" i="95"/>
  <c r="G40" i="95"/>
  <c r="O39" i="95"/>
  <c r="O23" i="95"/>
  <c r="O22" i="95"/>
  <c r="Q22" i="95" s="1"/>
  <c r="O21" i="95"/>
  <c r="Q21" i="95" s="1"/>
  <c r="O19" i="95"/>
  <c r="Q19" i="95" s="1"/>
  <c r="O18" i="95"/>
  <c r="Q18" i="95" s="1"/>
  <c r="O17" i="95"/>
  <c r="Q17" i="95" s="1"/>
  <c r="O16" i="95"/>
  <c r="Q16" i="95" s="1"/>
  <c r="O15" i="95"/>
  <c r="Q15" i="95" s="1"/>
  <c r="O14" i="95"/>
  <c r="Q14" i="95" s="1"/>
  <c r="O13" i="95"/>
  <c r="Q13" i="95" s="1"/>
  <c r="O12" i="95"/>
  <c r="Q12" i="95" s="1"/>
  <c r="O11" i="95"/>
  <c r="Q11" i="95" s="1"/>
  <c r="O10" i="95"/>
  <c r="Q10" i="95" s="1"/>
  <c r="O9" i="95"/>
  <c r="Q9" i="95" s="1"/>
  <c r="O8" i="95"/>
  <c r="J35" i="89"/>
  <c r="H27" i="89"/>
  <c r="H28" i="89"/>
  <c r="H27" i="88"/>
  <c r="O40" i="94"/>
  <c r="O20" i="95" l="1"/>
  <c r="Q20" i="95" s="1"/>
  <c r="Q8" i="95"/>
  <c r="H34" i="94"/>
  <c r="H33" i="94"/>
  <c r="H26" i="94"/>
  <c r="O26" i="94" s="1"/>
  <c r="Q26" i="94" s="1"/>
  <c r="H27" i="94"/>
  <c r="O27" i="94" s="1"/>
  <c r="Q27" i="94" s="1"/>
  <c r="H28" i="94"/>
  <c r="H29" i="94"/>
  <c r="O29" i="94" s="1"/>
  <c r="Q29" i="94" s="1"/>
  <c r="H30" i="94"/>
  <c r="H31" i="94"/>
  <c r="O31" i="94" s="1"/>
  <c r="Q31" i="94" s="1"/>
  <c r="H32" i="94"/>
  <c r="H25" i="94"/>
  <c r="O25" i="94" s="1"/>
  <c r="Q25" i="94" s="1"/>
  <c r="H19" i="94"/>
  <c r="O19" i="94" s="1"/>
  <c r="Q19" i="94" s="1"/>
  <c r="H20" i="94"/>
  <c r="O20" i="94" s="1"/>
  <c r="Q20" i="94" s="1"/>
  <c r="H21" i="94"/>
  <c r="H22" i="94"/>
  <c r="H23" i="94"/>
  <c r="O23" i="94" s="1"/>
  <c r="Q23" i="94" s="1"/>
  <c r="H24" i="94"/>
  <c r="O24" i="94" s="1"/>
  <c r="Q24" i="94" s="1"/>
  <c r="H15" i="94"/>
  <c r="H16" i="94"/>
  <c r="O16" i="94" s="1"/>
  <c r="Q16" i="94" s="1"/>
  <c r="H17" i="94"/>
  <c r="O17" i="94" s="1"/>
  <c r="Q17" i="94" s="1"/>
  <c r="H18" i="94"/>
  <c r="O18" i="94" s="1"/>
  <c r="Q18" i="94" s="1"/>
  <c r="H14" i="94"/>
  <c r="H13" i="94"/>
  <c r="H12" i="94"/>
  <c r="O12" i="94" s="1"/>
  <c r="Q12" i="94" s="1"/>
  <c r="H27" i="91"/>
  <c r="H9" i="94"/>
  <c r="H10" i="94"/>
  <c r="O10" i="94" s="1"/>
  <c r="Q10" i="94" s="1"/>
  <c r="H11" i="94"/>
  <c r="O11" i="94" s="1"/>
  <c r="Q11" i="94" s="1"/>
  <c r="H8" i="94"/>
  <c r="O34" i="94"/>
  <c r="Q34" i="94" s="1"/>
  <c r="O33" i="94"/>
  <c r="Q33" i="94" s="1"/>
  <c r="O32" i="94"/>
  <c r="Q32" i="94" s="1"/>
  <c r="O30" i="94"/>
  <c r="Q30" i="94" s="1"/>
  <c r="O28" i="94"/>
  <c r="Q28" i="94" s="1"/>
  <c r="J8" i="94"/>
  <c r="J42" i="94" s="1"/>
  <c r="P42" i="94"/>
  <c r="N42" i="94"/>
  <c r="M42" i="94"/>
  <c r="L42" i="94"/>
  <c r="K42" i="94"/>
  <c r="I42" i="94"/>
  <c r="G42" i="94"/>
  <c r="O41" i="94"/>
  <c r="O39" i="94"/>
  <c r="O38" i="94"/>
  <c r="O37" i="94"/>
  <c r="O36" i="94"/>
  <c r="O35" i="94"/>
  <c r="O22" i="94"/>
  <c r="Q22" i="94" s="1"/>
  <c r="O21" i="94"/>
  <c r="Q21" i="94" s="1"/>
  <c r="O15" i="94"/>
  <c r="Q15" i="94" s="1"/>
  <c r="O14" i="94"/>
  <c r="Q14" i="94" s="1"/>
  <c r="O13" i="94"/>
  <c r="Q13" i="94" s="1"/>
  <c r="O9" i="94"/>
  <c r="Q9" i="94" s="1"/>
  <c r="P37" i="91"/>
  <c r="L37" i="91"/>
  <c r="O35" i="91"/>
  <c r="O34" i="91"/>
  <c r="O33" i="91"/>
  <c r="O32" i="91"/>
  <c r="H25" i="91"/>
  <c r="H26" i="91"/>
  <c r="H20" i="91"/>
  <c r="H19" i="91"/>
  <c r="H21" i="91"/>
  <c r="H22" i="91"/>
  <c r="H23" i="91"/>
  <c r="H24" i="91"/>
  <c r="H18" i="91"/>
  <c r="H15" i="91"/>
  <c r="H16" i="91"/>
  <c r="H17" i="91"/>
  <c r="H14" i="91"/>
  <c r="H10" i="91"/>
  <c r="H11" i="91"/>
  <c r="H12" i="91"/>
  <c r="H13" i="91"/>
  <c r="H9" i="91"/>
  <c r="H8" i="91"/>
  <c r="O29" i="91"/>
  <c r="O31" i="89"/>
  <c r="O40" i="95" l="1"/>
  <c r="H37" i="91"/>
  <c r="H42" i="94"/>
  <c r="O8" i="94"/>
  <c r="O42" i="94" s="1"/>
  <c r="Q42" i="94"/>
  <c r="Q40" i="95" l="1"/>
  <c r="Q8" i="94"/>
  <c r="H22" i="89"/>
  <c r="P35" i="89" l="1"/>
  <c r="N37" i="91"/>
  <c r="M37" i="91"/>
  <c r="K37" i="91"/>
  <c r="I37" i="91"/>
  <c r="G37" i="91"/>
  <c r="O36" i="91"/>
  <c r="O31" i="91"/>
  <c r="O30" i="91"/>
  <c r="O28" i="91"/>
  <c r="O27" i="91"/>
  <c r="Q27" i="91" s="1"/>
  <c r="O26" i="91"/>
  <c r="Q26" i="91" s="1"/>
  <c r="O25" i="91"/>
  <c r="Q25" i="91" s="1"/>
  <c r="O24" i="91"/>
  <c r="Q24" i="91" s="1"/>
  <c r="O23" i="91"/>
  <c r="Q23" i="91" s="1"/>
  <c r="O22" i="91"/>
  <c r="Q22" i="91" s="1"/>
  <c r="O21" i="91"/>
  <c r="Q21" i="91" s="1"/>
  <c r="O20" i="91"/>
  <c r="Q20" i="91" s="1"/>
  <c r="O19" i="91"/>
  <c r="Q19" i="91" s="1"/>
  <c r="O18" i="91"/>
  <c r="Q18" i="91" s="1"/>
  <c r="O17" i="91"/>
  <c r="Q17" i="91" s="1"/>
  <c r="O16" i="91"/>
  <c r="Q16" i="91" s="1"/>
  <c r="O15" i="91"/>
  <c r="Q15" i="91" s="1"/>
  <c r="J37" i="91"/>
  <c r="O14" i="91"/>
  <c r="Q14" i="91" s="1"/>
  <c r="O13" i="91"/>
  <c r="Q13" i="91" s="1"/>
  <c r="O12" i="91"/>
  <c r="Q12" i="91" s="1"/>
  <c r="O11" i="91"/>
  <c r="Q11" i="91" s="1"/>
  <c r="O10" i="91"/>
  <c r="Q10" i="91" s="1"/>
  <c r="O9" i="91"/>
  <c r="Q9" i="91" s="1"/>
  <c r="O8" i="91"/>
  <c r="O37" i="91" l="1"/>
  <c r="Q37" i="91" s="1"/>
  <c r="Q8" i="91"/>
  <c r="J29" i="89" l="1"/>
  <c r="J27" i="89"/>
  <c r="J21" i="89"/>
  <c r="J14" i="89"/>
  <c r="H29" i="89"/>
  <c r="H21" i="89"/>
  <c r="H23" i="89"/>
  <c r="H24" i="89"/>
  <c r="H25" i="89"/>
  <c r="H26" i="89"/>
  <c r="H20" i="89"/>
  <c r="H14" i="89"/>
  <c r="H15" i="89"/>
  <c r="H16" i="89"/>
  <c r="H17" i="89"/>
  <c r="H18" i="89"/>
  <c r="H19" i="89"/>
  <c r="H13" i="89"/>
  <c r="H9" i="89"/>
  <c r="H10" i="89"/>
  <c r="H11" i="89"/>
  <c r="H35" i="89" s="1"/>
  <c r="H12" i="89"/>
  <c r="H8" i="89"/>
  <c r="G35" i="89"/>
  <c r="O30" i="89"/>
  <c r="O32" i="89"/>
  <c r="O33" i="89"/>
  <c r="O28" i="89" l="1"/>
  <c r="Q28" i="89" s="1"/>
  <c r="O29" i="89"/>
  <c r="Q29" i="89" s="1"/>
  <c r="N35" i="89"/>
  <c r="M35" i="89"/>
  <c r="L35" i="89"/>
  <c r="K35" i="89"/>
  <c r="I35" i="89"/>
  <c r="O34" i="89"/>
  <c r="O27" i="89"/>
  <c r="Q27" i="89" s="1"/>
  <c r="O26" i="89"/>
  <c r="Q26" i="89" s="1"/>
  <c r="O25" i="89"/>
  <c r="Q25" i="89" s="1"/>
  <c r="O24" i="89"/>
  <c r="Q24" i="89" s="1"/>
  <c r="O23" i="89"/>
  <c r="Q23" i="89" s="1"/>
  <c r="O22" i="89"/>
  <c r="Q22" i="89" s="1"/>
  <c r="O21" i="89"/>
  <c r="Q21" i="89" s="1"/>
  <c r="O20" i="89"/>
  <c r="Q20" i="89" s="1"/>
  <c r="O19" i="89"/>
  <c r="Q19" i="89" s="1"/>
  <c r="O18" i="89"/>
  <c r="Q18" i="89" s="1"/>
  <c r="O17" i="89"/>
  <c r="Q17" i="89" s="1"/>
  <c r="O16" i="89"/>
  <c r="Q16" i="89" s="1"/>
  <c r="O15" i="89"/>
  <c r="Q15" i="89" s="1"/>
  <c r="O14" i="89"/>
  <c r="Q14" i="89" s="1"/>
  <c r="O13" i="89"/>
  <c r="Q13" i="89" s="1"/>
  <c r="O12" i="89"/>
  <c r="Q12" i="89" s="1"/>
  <c r="O11" i="89"/>
  <c r="Q11" i="89" s="1"/>
  <c r="O10" i="89"/>
  <c r="Q10" i="89" s="1"/>
  <c r="O9" i="89"/>
  <c r="Q9" i="89" s="1"/>
  <c r="P38" i="88"/>
  <c r="P49" i="87"/>
  <c r="O40" i="87"/>
  <c r="O41" i="87"/>
  <c r="N38" i="88"/>
  <c r="M38" i="88"/>
  <c r="L38" i="88"/>
  <c r="K38" i="88"/>
  <c r="I38" i="88"/>
  <c r="G38" i="88"/>
  <c r="O37" i="88"/>
  <c r="O36" i="88"/>
  <c r="O35" i="88"/>
  <c r="O34" i="88"/>
  <c r="O33" i="88"/>
  <c r="O32" i="88"/>
  <c r="O31" i="88"/>
  <c r="O30" i="88"/>
  <c r="O29" i="88"/>
  <c r="O27" i="88"/>
  <c r="Q27" i="88" s="1"/>
  <c r="H26" i="88"/>
  <c r="O26" i="88" s="1"/>
  <c r="Q26" i="88" s="1"/>
  <c r="O25" i="88"/>
  <c r="Q25" i="88" s="1"/>
  <c r="H25" i="88"/>
  <c r="H24" i="88"/>
  <c r="O24" i="88" s="1"/>
  <c r="Q24" i="88" s="1"/>
  <c r="H23" i="88"/>
  <c r="O23" i="88" s="1"/>
  <c r="Q23" i="88" s="1"/>
  <c r="H22" i="88"/>
  <c r="O22" i="88" s="1"/>
  <c r="Q22" i="88" s="1"/>
  <c r="O21" i="88"/>
  <c r="Q21" i="88" s="1"/>
  <c r="H21" i="88"/>
  <c r="H20" i="88"/>
  <c r="O20" i="88" s="1"/>
  <c r="Q20" i="88" s="1"/>
  <c r="H19" i="88"/>
  <c r="O19" i="88" s="1"/>
  <c r="Q19" i="88" s="1"/>
  <c r="H18" i="88"/>
  <c r="O18" i="88" s="1"/>
  <c r="Q18" i="88" s="1"/>
  <c r="O17" i="88"/>
  <c r="Q17" i="88" s="1"/>
  <c r="H17" i="88"/>
  <c r="H16" i="88"/>
  <c r="O16" i="88" s="1"/>
  <c r="Q16" i="88" s="1"/>
  <c r="J15" i="88"/>
  <c r="J38" i="88" s="1"/>
  <c r="H15" i="88"/>
  <c r="O15" i="88" s="1"/>
  <c r="Q15" i="88" s="1"/>
  <c r="H14" i="88"/>
  <c r="O14" i="88" s="1"/>
  <c r="Q14" i="88" s="1"/>
  <c r="H13" i="88"/>
  <c r="O13" i="88" s="1"/>
  <c r="Q13" i="88" s="1"/>
  <c r="O12" i="88"/>
  <c r="Q12" i="88" s="1"/>
  <c r="H12" i="88"/>
  <c r="H11" i="88"/>
  <c r="O11" i="88" s="1"/>
  <c r="Q11" i="88" s="1"/>
  <c r="H10" i="88"/>
  <c r="O10" i="88" s="1"/>
  <c r="Q10" i="88" s="1"/>
  <c r="H9" i="88"/>
  <c r="O9" i="88" s="1"/>
  <c r="Q9" i="88" s="1"/>
  <c r="O8" i="88"/>
  <c r="H8" i="88"/>
  <c r="N49" i="87"/>
  <c r="M49" i="87"/>
  <c r="L49" i="87"/>
  <c r="K49" i="87"/>
  <c r="I49" i="87"/>
  <c r="G49" i="87"/>
  <c r="O48" i="87"/>
  <c r="O47" i="87"/>
  <c r="O46" i="87"/>
  <c r="O45" i="87"/>
  <c r="O44" i="87"/>
  <c r="O43" i="87"/>
  <c r="O42" i="87"/>
  <c r="O39" i="87"/>
  <c r="O38" i="87"/>
  <c r="H36" i="87"/>
  <c r="O36" i="87" s="1"/>
  <c r="Q36" i="87" s="1"/>
  <c r="H35" i="87"/>
  <c r="O35" i="87" s="1"/>
  <c r="Q35" i="87" s="1"/>
  <c r="H34" i="87"/>
  <c r="O34" i="87" s="1"/>
  <c r="Q34" i="87" s="1"/>
  <c r="H33" i="87"/>
  <c r="O33" i="87" s="1"/>
  <c r="Q33" i="87" s="1"/>
  <c r="H32" i="87"/>
  <c r="O32" i="87" s="1"/>
  <c r="Q32" i="87" s="1"/>
  <c r="H31" i="87"/>
  <c r="O31" i="87" s="1"/>
  <c r="Q31" i="87" s="1"/>
  <c r="H30" i="87"/>
  <c r="O30" i="87" s="1"/>
  <c r="Q30" i="87" s="1"/>
  <c r="H29" i="87"/>
  <c r="O29" i="87" s="1"/>
  <c r="Q29" i="87" s="1"/>
  <c r="O28" i="87"/>
  <c r="Q28" i="87" s="1"/>
  <c r="H28" i="87"/>
  <c r="Q27" i="87"/>
  <c r="H26" i="87"/>
  <c r="O26" i="87" s="1"/>
  <c r="Q26" i="87" s="1"/>
  <c r="H25" i="87"/>
  <c r="O25" i="87" s="1"/>
  <c r="Q25" i="87" s="1"/>
  <c r="H24" i="87"/>
  <c r="O24" i="87" s="1"/>
  <c r="Q24" i="87" s="1"/>
  <c r="H23" i="87"/>
  <c r="O23" i="87" s="1"/>
  <c r="Q23" i="87" s="1"/>
  <c r="H22" i="87"/>
  <c r="O22" i="87" s="1"/>
  <c r="Q22" i="87" s="1"/>
  <c r="H21" i="87"/>
  <c r="O21" i="87" s="1"/>
  <c r="Q21" i="87" s="1"/>
  <c r="H20" i="87"/>
  <c r="O20" i="87" s="1"/>
  <c r="Q20" i="87" s="1"/>
  <c r="H19" i="87"/>
  <c r="O19" i="87" s="1"/>
  <c r="Q19" i="87" s="1"/>
  <c r="H18" i="87"/>
  <c r="O18" i="87" s="1"/>
  <c r="Q18" i="87" s="1"/>
  <c r="O17" i="87"/>
  <c r="Q17" i="87" s="1"/>
  <c r="H16" i="87"/>
  <c r="O16" i="87" s="1"/>
  <c r="Q16" i="87" s="1"/>
  <c r="H15" i="87"/>
  <c r="O15" i="87" s="1"/>
  <c r="Q15" i="87" s="1"/>
  <c r="H14" i="87"/>
  <c r="O14" i="87" s="1"/>
  <c r="Q14" i="87" s="1"/>
  <c r="H13" i="87"/>
  <c r="O13" i="87" s="1"/>
  <c r="Q13" i="87" s="1"/>
  <c r="H12" i="87"/>
  <c r="O12" i="87" s="1"/>
  <c r="Q12" i="87" s="1"/>
  <c r="H11" i="87"/>
  <c r="O11" i="87" s="1"/>
  <c r="Q11" i="87" s="1"/>
  <c r="H10" i="87"/>
  <c r="O10" i="87" s="1"/>
  <c r="Q10" i="87" s="1"/>
  <c r="J9" i="87"/>
  <c r="H9" i="87"/>
  <c r="H8" i="87"/>
  <c r="Q36" i="86"/>
  <c r="O38" i="88" l="1"/>
  <c r="Q38" i="88" s="1"/>
  <c r="O8" i="89"/>
  <c r="H49" i="87"/>
  <c r="O8" i="87"/>
  <c r="O49" i="87" s="1"/>
  <c r="J49" i="87"/>
  <c r="O9" i="87"/>
  <c r="Q9" i="87" s="1"/>
  <c r="Q8" i="88"/>
  <c r="H38" i="88"/>
  <c r="O35" i="89" l="1"/>
  <c r="Q35" i="89" s="1"/>
  <c r="Q8" i="89"/>
  <c r="Q8" i="87"/>
  <c r="Q49" i="87"/>
  <c r="Q51" i="87" l="1"/>
  <c r="Q40" i="88" s="1"/>
  <c r="H23" i="86"/>
  <c r="H34" i="86" s="1"/>
  <c r="T9" i="86"/>
  <c r="T10" i="86"/>
  <c r="T11" i="86"/>
  <c r="T12" i="86"/>
  <c r="T13" i="86"/>
  <c r="T14" i="86"/>
  <c r="T15" i="86"/>
  <c r="T16" i="86"/>
  <c r="T17" i="86"/>
  <c r="T18" i="86"/>
  <c r="T19" i="86"/>
  <c r="T20" i="86"/>
  <c r="T21" i="86"/>
  <c r="T22" i="86"/>
  <c r="T23" i="86"/>
  <c r="T8" i="86"/>
  <c r="Q43" i="85"/>
  <c r="K39" i="85"/>
  <c r="G34" i="86"/>
  <c r="Q37" i="89" l="1"/>
  <c r="Q39" i="91" s="1"/>
  <c r="Q44" i="94" s="1"/>
  <c r="Q42" i="95" s="1"/>
  <c r="Q44" i="96" s="1"/>
  <c r="Q37" i="97" s="1"/>
  <c r="Q35" i="85"/>
  <c r="O32" i="86"/>
  <c r="P34" i="86"/>
  <c r="H22" i="86"/>
  <c r="O22" i="86" s="1"/>
  <c r="Q22" i="86" s="1"/>
  <c r="H21" i="86"/>
  <c r="O21" i="86" s="1"/>
  <c r="Q21" i="86" s="1"/>
  <c r="H20" i="86"/>
  <c r="O20" i="86" s="1"/>
  <c r="Q20" i="86" s="1"/>
  <c r="H17" i="86"/>
  <c r="O17" i="86" s="1"/>
  <c r="Q17" i="86" s="1"/>
  <c r="H18" i="86"/>
  <c r="H19" i="86"/>
  <c r="O19" i="86" s="1"/>
  <c r="Q19" i="86" s="1"/>
  <c r="H16" i="86"/>
  <c r="H12" i="86"/>
  <c r="O12" i="86" s="1"/>
  <c r="Q12" i="86" s="1"/>
  <c r="H13" i="86"/>
  <c r="H14" i="86"/>
  <c r="H15" i="86"/>
  <c r="O15" i="86" s="1"/>
  <c r="Q15" i="86" s="1"/>
  <c r="H11" i="86"/>
  <c r="O11" i="86" s="1"/>
  <c r="Q11" i="86" s="1"/>
  <c r="H9" i="86"/>
  <c r="H10" i="86"/>
  <c r="H8" i="86"/>
  <c r="O31" i="86"/>
  <c r="O30" i="86"/>
  <c r="J14" i="86"/>
  <c r="O14" i="86" s="1"/>
  <c r="Q14" i="86" s="1"/>
  <c r="N34" i="86"/>
  <c r="M34" i="86"/>
  <c r="L34" i="86"/>
  <c r="K34" i="86"/>
  <c r="I34" i="86"/>
  <c r="O33" i="86"/>
  <c r="O29" i="86"/>
  <c r="O28" i="86"/>
  <c r="O27" i="86"/>
  <c r="O26" i="86"/>
  <c r="O25" i="86"/>
  <c r="O23" i="86"/>
  <c r="Q23" i="86" s="1"/>
  <c r="O18" i="86"/>
  <c r="Q18" i="86" s="1"/>
  <c r="O16" i="86"/>
  <c r="Q16" i="86" s="1"/>
  <c r="O13" i="86"/>
  <c r="Q13" i="86" s="1"/>
  <c r="O10" i="86"/>
  <c r="Q10" i="86" s="1"/>
  <c r="O9" i="86"/>
  <c r="Q9" i="86" s="1"/>
  <c r="O41" i="85"/>
  <c r="O8" i="86" l="1"/>
  <c r="J34" i="86"/>
  <c r="Q8" i="86" l="1"/>
  <c r="O34" i="86"/>
  <c r="Q34" i="86" s="1"/>
  <c r="P43" i="85"/>
  <c r="H35" i="85"/>
  <c r="O35" i="85" s="1"/>
  <c r="H28" i="85"/>
  <c r="H29" i="85"/>
  <c r="O29" i="85" s="1"/>
  <c r="Q29" i="85" s="1"/>
  <c r="H30" i="85"/>
  <c r="O30" i="85" s="1"/>
  <c r="Q30" i="85" s="1"/>
  <c r="H31" i="85"/>
  <c r="O31" i="85" s="1"/>
  <c r="Q31" i="85" s="1"/>
  <c r="H32" i="85"/>
  <c r="H33" i="85"/>
  <c r="H34" i="85"/>
  <c r="O34" i="85" s="1"/>
  <c r="Q34" i="85" s="1"/>
  <c r="H27" i="85"/>
  <c r="O27" i="85" s="1"/>
  <c r="Q27" i="85" s="1"/>
  <c r="H25" i="85"/>
  <c r="H26" i="85"/>
  <c r="O26" i="85" s="1"/>
  <c r="Q26" i="85" s="1"/>
  <c r="H16" i="85"/>
  <c r="H17" i="85"/>
  <c r="O17" i="85" s="1"/>
  <c r="Q17" i="85" s="1"/>
  <c r="H18" i="85"/>
  <c r="O18" i="85" s="1"/>
  <c r="Q18" i="85" s="1"/>
  <c r="H19" i="85"/>
  <c r="O19" i="85" s="1"/>
  <c r="Q19" i="85" s="1"/>
  <c r="H20" i="85"/>
  <c r="H21" i="85"/>
  <c r="O21" i="85" s="1"/>
  <c r="Q21" i="85" s="1"/>
  <c r="H22" i="85"/>
  <c r="H23" i="85"/>
  <c r="O23" i="85" s="1"/>
  <c r="Q23" i="85" s="1"/>
  <c r="H24" i="85"/>
  <c r="H14" i="85"/>
  <c r="O14" i="85" s="1"/>
  <c r="Q14" i="85" s="1"/>
  <c r="H15" i="85"/>
  <c r="H12" i="85"/>
  <c r="O12" i="85" s="1"/>
  <c r="Q12" i="85" s="1"/>
  <c r="H13" i="85"/>
  <c r="O13" i="85" s="1"/>
  <c r="Q13" i="85" s="1"/>
  <c r="H9" i="85"/>
  <c r="H10" i="85"/>
  <c r="H11" i="85"/>
  <c r="O11" i="85" s="1"/>
  <c r="Q11" i="85" s="1"/>
  <c r="H8" i="85"/>
  <c r="N43" i="85"/>
  <c r="M43" i="85"/>
  <c r="L43" i="85"/>
  <c r="K43" i="85"/>
  <c r="I43" i="85"/>
  <c r="G43" i="85"/>
  <c r="O42" i="85"/>
  <c r="O40" i="85"/>
  <c r="O39" i="85"/>
  <c r="O38" i="85"/>
  <c r="O37" i="85"/>
  <c r="O33" i="85"/>
  <c r="Q33" i="85" s="1"/>
  <c r="O32" i="85"/>
  <c r="Q32" i="85" s="1"/>
  <c r="O28" i="85"/>
  <c r="Q28" i="85" s="1"/>
  <c r="O25" i="85"/>
  <c r="Q25" i="85" s="1"/>
  <c r="O24" i="85"/>
  <c r="Q24" i="85" s="1"/>
  <c r="J43" i="85"/>
  <c r="O22" i="85"/>
  <c r="Q22" i="85" s="1"/>
  <c r="O20" i="85"/>
  <c r="Q20" i="85" s="1"/>
  <c r="O16" i="85"/>
  <c r="Q16" i="85" s="1"/>
  <c r="O15" i="85"/>
  <c r="Q15" i="85" s="1"/>
  <c r="O10" i="85"/>
  <c r="Q10" i="85" s="1"/>
  <c r="O39" i="84"/>
  <c r="K42" i="79"/>
  <c r="O42" i="79" s="1"/>
  <c r="O42" i="80"/>
  <c r="M33" i="80"/>
  <c r="H43" i="85" l="1"/>
  <c r="O9" i="85"/>
  <c r="Q9" i="85" s="1"/>
  <c r="O8" i="85"/>
  <c r="O40" i="81"/>
  <c r="O37" i="84"/>
  <c r="H31" i="83"/>
  <c r="J21" i="83"/>
  <c r="O47" i="82"/>
  <c r="P49" i="82"/>
  <c r="O38" i="82"/>
  <c r="O46" i="82"/>
  <c r="O39" i="82"/>
  <c r="Q8" i="85" l="1"/>
  <c r="O43" i="85"/>
  <c r="J23" i="84"/>
  <c r="Q45" i="85" l="1"/>
  <c r="H27" i="84"/>
  <c r="O27" i="84" s="1"/>
  <c r="Q27" i="84" s="1"/>
  <c r="H28" i="84"/>
  <c r="O28" i="84" s="1"/>
  <c r="Q28" i="84" s="1"/>
  <c r="H29" i="84"/>
  <c r="O29" i="84" s="1"/>
  <c r="Q29" i="84" s="1"/>
  <c r="H30" i="84"/>
  <c r="H31" i="84"/>
  <c r="O31" i="84" s="1"/>
  <c r="Q31" i="84" s="1"/>
  <c r="H32" i="84"/>
  <c r="O32" i="84" s="1"/>
  <c r="Q32" i="84" s="1"/>
  <c r="H33" i="84"/>
  <c r="O33" i="84" s="1"/>
  <c r="Q33" i="84" s="1"/>
  <c r="H26" i="84"/>
  <c r="O26" i="84" s="1"/>
  <c r="Q26" i="84" s="1"/>
  <c r="H13" i="84"/>
  <c r="O13" i="84" s="1"/>
  <c r="Q13" i="84" s="1"/>
  <c r="H14" i="84"/>
  <c r="O14" i="84" s="1"/>
  <c r="Q14" i="84" s="1"/>
  <c r="H15" i="84"/>
  <c r="O15" i="84" s="1"/>
  <c r="Q15" i="84" s="1"/>
  <c r="H16" i="84"/>
  <c r="O16" i="84" s="1"/>
  <c r="Q16" i="84" s="1"/>
  <c r="H17" i="84"/>
  <c r="H18" i="84"/>
  <c r="O18" i="84" s="1"/>
  <c r="Q18" i="84" s="1"/>
  <c r="H19" i="84"/>
  <c r="O19" i="84" s="1"/>
  <c r="Q19" i="84" s="1"/>
  <c r="H20" i="84"/>
  <c r="O20" i="84" s="1"/>
  <c r="Q20" i="84" s="1"/>
  <c r="H21" i="84"/>
  <c r="H22" i="84"/>
  <c r="O22" i="84" s="1"/>
  <c r="Q22" i="84" s="1"/>
  <c r="H23" i="84"/>
  <c r="O23" i="84" s="1"/>
  <c r="Q23" i="84" s="1"/>
  <c r="H24" i="84"/>
  <c r="O24" i="84" s="1"/>
  <c r="Q24" i="84" s="1"/>
  <c r="H25" i="84"/>
  <c r="O25" i="84" s="1"/>
  <c r="Q25" i="84" s="1"/>
  <c r="H12" i="84"/>
  <c r="O12" i="84" s="1"/>
  <c r="Q12" i="84" s="1"/>
  <c r="H9" i="84"/>
  <c r="O9" i="84" s="1"/>
  <c r="Q9" i="84" s="1"/>
  <c r="H10" i="84"/>
  <c r="O10" i="84" s="1"/>
  <c r="Q10" i="84" s="1"/>
  <c r="H11" i="84"/>
  <c r="O11" i="84" s="1"/>
  <c r="Q11" i="84" s="1"/>
  <c r="H8" i="84"/>
  <c r="O8" i="84" s="1"/>
  <c r="Q8" i="84" s="1"/>
  <c r="P42" i="83"/>
  <c r="P41" i="84"/>
  <c r="N41" i="84"/>
  <c r="M41" i="84"/>
  <c r="L41" i="84"/>
  <c r="J41" i="84"/>
  <c r="I41" i="84"/>
  <c r="G41" i="84"/>
  <c r="O40" i="84"/>
  <c r="O38" i="84"/>
  <c r="O36" i="84"/>
  <c r="O35" i="84"/>
  <c r="O30" i="84"/>
  <c r="Q30" i="84" s="1"/>
  <c r="O21" i="84"/>
  <c r="Q21" i="84" s="1"/>
  <c r="O17" i="84"/>
  <c r="Q17" i="84" s="1"/>
  <c r="H42" i="83"/>
  <c r="H29" i="83"/>
  <c r="H30" i="83"/>
  <c r="O30" i="83" s="1"/>
  <c r="Q30" i="83" s="1"/>
  <c r="H27" i="83"/>
  <c r="H28" i="83"/>
  <c r="O28" i="83" s="1"/>
  <c r="Q28" i="83" s="1"/>
  <c r="H26" i="83"/>
  <c r="H25" i="83"/>
  <c r="H24" i="83"/>
  <c r="H16" i="83"/>
  <c r="H17" i="83"/>
  <c r="O17" i="83" s="1"/>
  <c r="Q17" i="83" s="1"/>
  <c r="H18" i="83"/>
  <c r="H19" i="83"/>
  <c r="H20" i="83"/>
  <c r="O20" i="83" s="1"/>
  <c r="Q20" i="83" s="1"/>
  <c r="H21" i="83"/>
  <c r="H22" i="83"/>
  <c r="H23" i="83"/>
  <c r="H15" i="83"/>
  <c r="O15" i="83" s="1"/>
  <c r="Q15" i="83" s="1"/>
  <c r="H8" i="83"/>
  <c r="O8" i="83" s="1"/>
  <c r="Q8" i="83" s="1"/>
  <c r="H9" i="83"/>
  <c r="H10" i="83"/>
  <c r="H11" i="83"/>
  <c r="H12" i="83"/>
  <c r="H13" i="83"/>
  <c r="H14" i="83"/>
  <c r="K42" i="83"/>
  <c r="K41" i="83"/>
  <c r="L42" i="83"/>
  <c r="J29" i="83"/>
  <c r="O29" i="83" s="1"/>
  <c r="Q29" i="83" s="1"/>
  <c r="J22" i="83"/>
  <c r="O22" i="83" s="1"/>
  <c r="Q22" i="83" s="1"/>
  <c r="J18" i="83"/>
  <c r="O18" i="83" s="1"/>
  <c r="Q18" i="83" s="1"/>
  <c r="J16" i="83"/>
  <c r="J10" i="83"/>
  <c r="O10" i="83" s="1"/>
  <c r="Q10" i="83" s="1"/>
  <c r="J9" i="83"/>
  <c r="O9" i="83" s="1"/>
  <c r="Q9" i="83" s="1"/>
  <c r="O23" i="83"/>
  <c r="Q23" i="83" s="1"/>
  <c r="O24" i="83"/>
  <c r="Q24" i="83" s="1"/>
  <c r="O25" i="83"/>
  <c r="O26" i="83"/>
  <c r="Q26" i="83" s="1"/>
  <c r="O27" i="83"/>
  <c r="Q27" i="83" s="1"/>
  <c r="O31" i="83"/>
  <c r="Q31" i="83" s="1"/>
  <c r="G13" i="82"/>
  <c r="H13" i="82" s="1"/>
  <c r="N42" i="83"/>
  <c r="M42" i="83"/>
  <c r="I42" i="83"/>
  <c r="O41" i="83"/>
  <c r="O40" i="83"/>
  <c r="O39" i="83"/>
  <c r="O38" i="83"/>
  <c r="O37" i="83"/>
  <c r="O36" i="83"/>
  <c r="O35" i="83"/>
  <c r="O34" i="83"/>
  <c r="O33" i="83"/>
  <c r="Q25" i="83"/>
  <c r="O21" i="83"/>
  <c r="Q21" i="83" s="1"/>
  <c r="O19" i="83"/>
  <c r="Q19" i="83" s="1"/>
  <c r="O16" i="83"/>
  <c r="Q16" i="83" s="1"/>
  <c r="O14" i="83"/>
  <c r="Q14" i="83" s="1"/>
  <c r="O13" i="83"/>
  <c r="Q13" i="83" s="1"/>
  <c r="O11" i="83"/>
  <c r="Q11" i="83" s="1"/>
  <c r="L49" i="82"/>
  <c r="K48" i="82"/>
  <c r="K49" i="82" s="1"/>
  <c r="O37" i="82"/>
  <c r="O36" i="82"/>
  <c r="K41" i="84" l="1"/>
  <c r="H41" i="84"/>
  <c r="O41" i="84"/>
  <c r="Q41" i="84" s="1"/>
  <c r="O42" i="83"/>
  <c r="Q42" i="83" s="1"/>
  <c r="J42" i="83"/>
  <c r="O12" i="83"/>
  <c r="Q12" i="83" s="1"/>
  <c r="G42" i="83"/>
  <c r="J27" i="82" l="1"/>
  <c r="J15" i="82"/>
  <c r="J12" i="82"/>
  <c r="J10" i="82"/>
  <c r="H26" i="82"/>
  <c r="H27" i="82"/>
  <c r="H28" i="82"/>
  <c r="O28" i="82" s="1"/>
  <c r="Q28" i="82" s="1"/>
  <c r="H29" i="82"/>
  <c r="O29" i="82" s="1"/>
  <c r="Q29" i="82" s="1"/>
  <c r="H25" i="82"/>
  <c r="O25" i="82" s="1"/>
  <c r="Q25" i="82" s="1"/>
  <c r="H14" i="82"/>
  <c r="O14" i="82" s="1"/>
  <c r="Q14" i="82" s="1"/>
  <c r="H15" i="82"/>
  <c r="O15" i="82" s="1"/>
  <c r="Q15" i="82" s="1"/>
  <c r="H16" i="82"/>
  <c r="O16" i="82" s="1"/>
  <c r="Q16" i="82" s="1"/>
  <c r="H17" i="82"/>
  <c r="O17" i="82" s="1"/>
  <c r="Q17" i="82" s="1"/>
  <c r="H18" i="82"/>
  <c r="O18" i="82" s="1"/>
  <c r="Q18" i="82" s="1"/>
  <c r="H19" i="82"/>
  <c r="O19" i="82" s="1"/>
  <c r="Q19" i="82" s="1"/>
  <c r="H20" i="82"/>
  <c r="O20" i="82" s="1"/>
  <c r="Q20" i="82" s="1"/>
  <c r="H21" i="82"/>
  <c r="O21" i="82" s="1"/>
  <c r="Q21" i="82" s="1"/>
  <c r="H22" i="82"/>
  <c r="O22" i="82" s="1"/>
  <c r="Q22" i="82" s="1"/>
  <c r="H23" i="82"/>
  <c r="O23" i="82" s="1"/>
  <c r="Q23" i="82" s="1"/>
  <c r="H24" i="82"/>
  <c r="O24" i="82" s="1"/>
  <c r="Q24" i="82" s="1"/>
  <c r="O13" i="82"/>
  <c r="Q13" i="82" s="1"/>
  <c r="H12" i="82"/>
  <c r="H9" i="82"/>
  <c r="H10" i="82"/>
  <c r="H11" i="82"/>
  <c r="O11" i="82" s="1"/>
  <c r="Q11" i="82" s="1"/>
  <c r="H8" i="82"/>
  <c r="O8" i="82" s="1"/>
  <c r="N49" i="82"/>
  <c r="M49" i="82"/>
  <c r="I49" i="82"/>
  <c r="G49" i="82"/>
  <c r="O48" i="82"/>
  <c r="O45" i="82"/>
  <c r="O44" i="82"/>
  <c r="O43" i="82"/>
  <c r="O42" i="82"/>
  <c r="O41" i="82"/>
  <c r="O40" i="82"/>
  <c r="O35" i="82"/>
  <c r="O34" i="82"/>
  <c r="O33" i="82"/>
  <c r="O32" i="82"/>
  <c r="O31" i="82"/>
  <c r="O26" i="82"/>
  <c r="Q26" i="82" s="1"/>
  <c r="P53" i="81"/>
  <c r="L53" i="81"/>
  <c r="O51" i="81"/>
  <c r="O50" i="81"/>
  <c r="O49" i="81"/>
  <c r="O48" i="81"/>
  <c r="O46" i="81"/>
  <c r="O38" i="79"/>
  <c r="O37" i="80"/>
  <c r="J53" i="81"/>
  <c r="H29" i="81"/>
  <c r="H8" i="81"/>
  <c r="O8" i="81" s="1"/>
  <c r="H9" i="81"/>
  <c r="H10" i="81"/>
  <c r="O10" i="81" s="1"/>
  <c r="Q10" i="81" s="1"/>
  <c r="H11" i="81"/>
  <c r="O11" i="81" s="1"/>
  <c r="Q11" i="81" s="1"/>
  <c r="H12" i="81"/>
  <c r="H13" i="81"/>
  <c r="O13" i="81" s="1"/>
  <c r="Q13" i="81" s="1"/>
  <c r="H14" i="81"/>
  <c r="O14" i="81" s="1"/>
  <c r="Q14" i="81" s="1"/>
  <c r="H15" i="81"/>
  <c r="O15" i="81" s="1"/>
  <c r="Q15" i="81" s="1"/>
  <c r="H16" i="81"/>
  <c r="O16" i="81" s="1"/>
  <c r="Q16" i="81" s="1"/>
  <c r="H17" i="81"/>
  <c r="H18" i="81"/>
  <c r="O18" i="81" s="1"/>
  <c r="Q18" i="81" s="1"/>
  <c r="H19" i="81"/>
  <c r="O19" i="81" s="1"/>
  <c r="Q19" i="81" s="1"/>
  <c r="H20" i="81"/>
  <c r="O20" i="81" s="1"/>
  <c r="Q20" i="81" s="1"/>
  <c r="H21" i="81"/>
  <c r="O21" i="81" s="1"/>
  <c r="Q21" i="81" s="1"/>
  <c r="H22" i="81"/>
  <c r="O22" i="81" s="1"/>
  <c r="Q22" i="81" s="1"/>
  <c r="H23" i="81"/>
  <c r="O23" i="81" s="1"/>
  <c r="Q23" i="81" s="1"/>
  <c r="H24" i="81"/>
  <c r="O24" i="81" s="1"/>
  <c r="Q24" i="81" s="1"/>
  <c r="H25" i="81"/>
  <c r="H26" i="81"/>
  <c r="O26" i="81" s="1"/>
  <c r="Q26" i="81" s="1"/>
  <c r="H27" i="81"/>
  <c r="O27" i="81" s="1"/>
  <c r="Q27" i="81" s="1"/>
  <c r="H28" i="81"/>
  <c r="O28" i="81" s="1"/>
  <c r="Q28" i="81" s="1"/>
  <c r="O17" i="81"/>
  <c r="Q17" i="81" s="1"/>
  <c r="H29" i="80"/>
  <c r="H28" i="80"/>
  <c r="H27" i="80"/>
  <c r="O27" i="80" s="1"/>
  <c r="Q27" i="80" s="1"/>
  <c r="H26" i="80"/>
  <c r="O26" i="80" s="1"/>
  <c r="Q26" i="80" s="1"/>
  <c r="H25" i="80"/>
  <c r="H24" i="80"/>
  <c r="H23" i="80"/>
  <c r="O23" i="80" s="1"/>
  <c r="Q23" i="80" s="1"/>
  <c r="H22" i="80"/>
  <c r="O22" i="80" s="1"/>
  <c r="Q22" i="80" s="1"/>
  <c r="H21" i="80"/>
  <c r="H20" i="80"/>
  <c r="H19" i="80"/>
  <c r="O19" i="80" s="1"/>
  <c r="Q19" i="80" s="1"/>
  <c r="H18" i="80"/>
  <c r="O18" i="80" s="1"/>
  <c r="Q18" i="80" s="1"/>
  <c r="H17" i="80"/>
  <c r="H16" i="80"/>
  <c r="H15" i="80"/>
  <c r="O15" i="80" s="1"/>
  <c r="Q15" i="80" s="1"/>
  <c r="H14" i="80"/>
  <c r="O14" i="80" s="1"/>
  <c r="Q14" i="80" s="1"/>
  <c r="H13" i="80"/>
  <c r="H12" i="80"/>
  <c r="H11" i="80"/>
  <c r="O11" i="80" s="1"/>
  <c r="Q11" i="80" s="1"/>
  <c r="H10" i="80"/>
  <c r="O10" i="80" s="1"/>
  <c r="Q10" i="80" s="1"/>
  <c r="G53" i="81"/>
  <c r="O37" i="81"/>
  <c r="O38" i="81"/>
  <c r="O39" i="81"/>
  <c r="O41" i="81"/>
  <c r="O42" i="81"/>
  <c r="O43" i="81"/>
  <c r="O44" i="81"/>
  <c r="O45" i="81"/>
  <c r="O47" i="81"/>
  <c r="O39" i="80"/>
  <c r="O40" i="80"/>
  <c r="O41" i="80"/>
  <c r="O43" i="80"/>
  <c r="O44" i="80"/>
  <c r="O45" i="80"/>
  <c r="O46" i="80"/>
  <c r="O47" i="80"/>
  <c r="O48" i="80"/>
  <c r="N53" i="81"/>
  <c r="M53" i="81"/>
  <c r="I53" i="81"/>
  <c r="K52" i="81"/>
  <c r="O52" i="81" s="1"/>
  <c r="O36" i="81"/>
  <c r="O35" i="81"/>
  <c r="O34" i="81"/>
  <c r="O33" i="81"/>
  <c r="O32" i="81"/>
  <c r="O31" i="81"/>
  <c r="O29" i="81"/>
  <c r="Q29" i="81" s="1"/>
  <c r="O25" i="81"/>
  <c r="Q25" i="81" s="1"/>
  <c r="O12" i="81"/>
  <c r="Q12" i="81" s="1"/>
  <c r="L50" i="80"/>
  <c r="O40" i="79"/>
  <c r="P50" i="80"/>
  <c r="N50" i="80"/>
  <c r="M50" i="80"/>
  <c r="J50" i="80"/>
  <c r="I50" i="80"/>
  <c r="G50" i="80"/>
  <c r="K49" i="80"/>
  <c r="O49" i="80" s="1"/>
  <c r="O38" i="80"/>
  <c r="O36" i="80"/>
  <c r="O35" i="80"/>
  <c r="O34" i="80"/>
  <c r="O33" i="80"/>
  <c r="O32" i="80"/>
  <c r="H30" i="80"/>
  <c r="O30" i="80" s="1"/>
  <c r="Q30" i="80" s="1"/>
  <c r="O29" i="80"/>
  <c r="Q29" i="80" s="1"/>
  <c r="O28" i="80"/>
  <c r="Q28" i="80" s="1"/>
  <c r="O25" i="80"/>
  <c r="Q25" i="80" s="1"/>
  <c r="O24" i="80"/>
  <c r="Q24" i="80" s="1"/>
  <c r="O21" i="80"/>
  <c r="Q21" i="80" s="1"/>
  <c r="O20" i="80"/>
  <c r="Q20" i="80" s="1"/>
  <c r="O17" i="80"/>
  <c r="Q17" i="80" s="1"/>
  <c r="O16" i="80"/>
  <c r="Q16" i="80" s="1"/>
  <c r="O13" i="80"/>
  <c r="Q13" i="80" s="1"/>
  <c r="O12" i="80"/>
  <c r="Q12" i="80" s="1"/>
  <c r="H9" i="80"/>
  <c r="O9" i="80" s="1"/>
  <c r="Q9" i="80" s="1"/>
  <c r="H8" i="80"/>
  <c r="O41" i="79"/>
  <c r="O43" i="79"/>
  <c r="O44" i="79"/>
  <c r="O45" i="79"/>
  <c r="O46" i="79"/>
  <c r="P48" i="79"/>
  <c r="N48" i="79"/>
  <c r="M48" i="79"/>
  <c r="L48" i="79"/>
  <c r="I48" i="79"/>
  <c r="G48" i="79"/>
  <c r="K47" i="79"/>
  <c r="O47" i="79" s="1"/>
  <c r="O39" i="79"/>
  <c r="O37" i="79"/>
  <c r="O36" i="79"/>
  <c r="O35" i="79"/>
  <c r="O34" i="79"/>
  <c r="O33" i="79"/>
  <c r="O32" i="79"/>
  <c r="O31" i="79"/>
  <c r="H29" i="79"/>
  <c r="O29" i="79" s="1"/>
  <c r="Q29" i="79" s="1"/>
  <c r="H28" i="79"/>
  <c r="O28" i="79" s="1"/>
  <c r="Q28" i="79" s="1"/>
  <c r="H27" i="79"/>
  <c r="O27" i="79" s="1"/>
  <c r="Q27" i="79" s="1"/>
  <c r="H26" i="79"/>
  <c r="O26" i="79" s="1"/>
  <c r="Q26" i="79" s="1"/>
  <c r="H25" i="79"/>
  <c r="O25" i="79" s="1"/>
  <c r="Q25" i="79" s="1"/>
  <c r="H24" i="79"/>
  <c r="O24" i="79" s="1"/>
  <c r="Q24" i="79" s="1"/>
  <c r="H23" i="79"/>
  <c r="O23" i="79" s="1"/>
  <c r="Q23" i="79" s="1"/>
  <c r="J22" i="79"/>
  <c r="H22" i="79"/>
  <c r="H21" i="79"/>
  <c r="O21" i="79" s="1"/>
  <c r="Q21" i="79" s="1"/>
  <c r="O20" i="79"/>
  <c r="Q20" i="79" s="1"/>
  <c r="H20" i="79"/>
  <c r="H19" i="79"/>
  <c r="O19" i="79" s="1"/>
  <c r="Q19" i="79" s="1"/>
  <c r="H18" i="79"/>
  <c r="O18" i="79" s="1"/>
  <c r="Q18" i="79" s="1"/>
  <c r="H17" i="79"/>
  <c r="O17" i="79" s="1"/>
  <c r="Q17" i="79" s="1"/>
  <c r="H16" i="79"/>
  <c r="O16" i="79" s="1"/>
  <c r="Q16" i="79" s="1"/>
  <c r="H15" i="79"/>
  <c r="O15" i="79" s="1"/>
  <c r="Q15" i="79" s="1"/>
  <c r="O14" i="79"/>
  <c r="Q14" i="79" s="1"/>
  <c r="J13" i="79"/>
  <c r="H13" i="79"/>
  <c r="H12" i="79"/>
  <c r="O12" i="79" s="1"/>
  <c r="Q12" i="79" s="1"/>
  <c r="J11" i="79"/>
  <c r="H11" i="79"/>
  <c r="O11" i="79" s="1"/>
  <c r="Q11" i="79" s="1"/>
  <c r="J10" i="79"/>
  <c r="H10" i="79"/>
  <c r="H9" i="79"/>
  <c r="O9" i="79" s="1"/>
  <c r="Q9" i="79" s="1"/>
  <c r="O8" i="79"/>
  <c r="H31" i="78"/>
  <c r="G46" i="78"/>
  <c r="H14" i="78"/>
  <c r="G23" i="78"/>
  <c r="H23" i="78" s="1"/>
  <c r="H30" i="78"/>
  <c r="H29" i="78"/>
  <c r="H28" i="78"/>
  <c r="H27" i="78"/>
  <c r="H26" i="78"/>
  <c r="H25" i="78"/>
  <c r="H24" i="78"/>
  <c r="H22" i="78"/>
  <c r="H21" i="78"/>
  <c r="H20" i="78"/>
  <c r="H19" i="78"/>
  <c r="H18" i="78"/>
  <c r="H17" i="78"/>
  <c r="H16" i="78"/>
  <c r="O13" i="79" l="1"/>
  <c r="Q13" i="79" s="1"/>
  <c r="O10" i="79"/>
  <c r="Q10" i="79" s="1"/>
  <c r="K53" i="81"/>
  <c r="Q8" i="82"/>
  <c r="J49" i="82"/>
  <c r="O27" i="82"/>
  <c r="Q27" i="82" s="1"/>
  <c r="O10" i="82"/>
  <c r="Q10" i="82" s="1"/>
  <c r="O12" i="82"/>
  <c r="Q12" i="82" s="1"/>
  <c r="H49" i="82"/>
  <c r="O9" i="82"/>
  <c r="Q9" i="82" s="1"/>
  <c r="K48" i="79"/>
  <c r="H53" i="81"/>
  <c r="O9" i="81"/>
  <c r="Q9" i="81" s="1"/>
  <c r="H50" i="80"/>
  <c r="Q8" i="81"/>
  <c r="O8" i="80"/>
  <c r="O50" i="80" s="1"/>
  <c r="Q50" i="80" s="1"/>
  <c r="K50" i="80"/>
  <c r="J48" i="79"/>
  <c r="H48" i="79"/>
  <c r="O22" i="79"/>
  <c r="Q22" i="79" s="1"/>
  <c r="Q8" i="79"/>
  <c r="H46" i="78"/>
  <c r="J28" i="78"/>
  <c r="O34" i="77"/>
  <c r="O35" i="77"/>
  <c r="O49" i="82" l="1"/>
  <c r="Q49" i="82" s="1"/>
  <c r="O53" i="81"/>
  <c r="Q53" i="81" s="1"/>
  <c r="Q8" i="80"/>
  <c r="O48" i="79"/>
  <c r="Q48" i="79" s="1"/>
  <c r="K45" i="78"/>
  <c r="O44" i="78"/>
  <c r="O43" i="78"/>
  <c r="J33" i="78" l="1"/>
  <c r="H32" i="78"/>
  <c r="O32" i="78" s="1"/>
  <c r="Q32" i="78" s="1"/>
  <c r="O33" i="78"/>
  <c r="Q33" i="78" s="1"/>
  <c r="O30" i="78"/>
  <c r="Q30" i="78" s="1"/>
  <c r="O29" i="78"/>
  <c r="Q29" i="78" s="1"/>
  <c r="O28" i="78"/>
  <c r="Q28" i="78" s="1"/>
  <c r="O20" i="78"/>
  <c r="Q20" i="78" s="1"/>
  <c r="O25" i="78"/>
  <c r="Q25" i="78" s="1"/>
  <c r="O19" i="78"/>
  <c r="Q19" i="78" s="1"/>
  <c r="H12" i="78"/>
  <c r="O12" i="78" s="1"/>
  <c r="Q12" i="78" s="1"/>
  <c r="H13" i="78"/>
  <c r="O13" i="78" s="1"/>
  <c r="Q13" i="78" s="1"/>
  <c r="H15" i="78"/>
  <c r="O15" i="78" s="1"/>
  <c r="Q15" i="78" s="1"/>
  <c r="O17" i="78"/>
  <c r="Q17" i="78" s="1"/>
  <c r="H8" i="78"/>
  <c r="P46" i="78"/>
  <c r="N46" i="78"/>
  <c r="M46" i="78"/>
  <c r="L46" i="78"/>
  <c r="J46" i="78"/>
  <c r="I46" i="78"/>
  <c r="O45" i="78"/>
  <c r="K46" i="78"/>
  <c r="O42" i="78"/>
  <c r="O41" i="78"/>
  <c r="O40" i="78"/>
  <c r="O39" i="78"/>
  <c r="O38" i="78"/>
  <c r="O37" i="78"/>
  <c r="O36" i="78"/>
  <c r="O35" i="78"/>
  <c r="O31" i="78"/>
  <c r="Q31" i="78" s="1"/>
  <c r="O27" i="78"/>
  <c r="Q27" i="78" s="1"/>
  <c r="O26" i="78"/>
  <c r="Q26" i="78" s="1"/>
  <c r="O24" i="78"/>
  <c r="Q24" i="78" s="1"/>
  <c r="O23" i="78"/>
  <c r="Q23" i="78" s="1"/>
  <c r="O22" i="78"/>
  <c r="Q22" i="78" s="1"/>
  <c r="O21" i="78"/>
  <c r="Q21" i="78" s="1"/>
  <c r="O18" i="78"/>
  <c r="Q18" i="78" s="1"/>
  <c r="O16" i="78"/>
  <c r="Q16" i="78" s="1"/>
  <c r="O14" i="78"/>
  <c r="Q14" i="78" s="1"/>
  <c r="O11" i="78"/>
  <c r="Q11" i="78" s="1"/>
  <c r="O10" i="78"/>
  <c r="Q10" i="78" s="1"/>
  <c r="O9" i="78"/>
  <c r="Q9" i="78" s="1"/>
  <c r="O8" i="78"/>
  <c r="Q8" i="78" s="1"/>
  <c r="O46" i="78" l="1"/>
  <c r="Q46" i="78" s="1"/>
  <c r="K44" i="77"/>
  <c r="O43" i="77" l="1"/>
  <c r="O42" i="77"/>
  <c r="O41" i="77"/>
  <c r="O40" i="77"/>
  <c r="H22" i="77"/>
  <c r="O22" i="77" s="1"/>
  <c r="Q22" i="77" s="1"/>
  <c r="O24" i="77"/>
  <c r="Q24" i="77" s="1"/>
  <c r="O26" i="77"/>
  <c r="Q26" i="77" s="1"/>
  <c r="H27" i="77"/>
  <c r="O27" i="77" s="1"/>
  <c r="Q27" i="77" s="1"/>
  <c r="O28" i="77"/>
  <c r="Q28" i="77" s="1"/>
  <c r="H29" i="77"/>
  <c r="O30" i="77"/>
  <c r="Q30" i="77" s="1"/>
  <c r="H31" i="77"/>
  <c r="O31" i="77" s="1"/>
  <c r="Q31" i="77" s="1"/>
  <c r="O32" i="77"/>
  <c r="Q32" i="77" s="1"/>
  <c r="H33" i="77"/>
  <c r="O33" i="77" s="1"/>
  <c r="H20" i="77"/>
  <c r="O20" i="77" s="1"/>
  <c r="Q20" i="77" s="1"/>
  <c r="H13" i="77"/>
  <c r="O14" i="77"/>
  <c r="Q14" i="77" s="1"/>
  <c r="O16" i="77"/>
  <c r="Q16" i="77" s="1"/>
  <c r="H17" i="77"/>
  <c r="H12" i="77"/>
  <c r="G45" i="77"/>
  <c r="P45" i="77"/>
  <c r="N45" i="77"/>
  <c r="M45" i="77"/>
  <c r="L45" i="77"/>
  <c r="K45" i="77"/>
  <c r="J45" i="77"/>
  <c r="I45" i="77"/>
  <c r="O44" i="77"/>
  <c r="O39" i="77"/>
  <c r="O38" i="77"/>
  <c r="O37" i="77"/>
  <c r="O36" i="77"/>
  <c r="Q34" i="77"/>
  <c r="O29" i="77"/>
  <c r="Q29" i="77" s="1"/>
  <c r="O25" i="77"/>
  <c r="Q25" i="77" s="1"/>
  <c r="O23" i="77"/>
  <c r="Q23" i="77" s="1"/>
  <c r="O21" i="77"/>
  <c r="Q21" i="77" s="1"/>
  <c r="O19" i="77"/>
  <c r="Q19" i="77" s="1"/>
  <c r="O18" i="77"/>
  <c r="Q18" i="77" s="1"/>
  <c r="O17" i="77"/>
  <c r="Q17" i="77" s="1"/>
  <c r="O15" i="77"/>
  <c r="Q15" i="77" s="1"/>
  <c r="O11" i="77"/>
  <c r="Q11" i="77" s="1"/>
  <c r="O10" i="77"/>
  <c r="Q10" i="77" s="1"/>
  <c r="O9" i="77"/>
  <c r="Q9" i="77" s="1"/>
  <c r="O8" i="77"/>
  <c r="Q33" i="77" l="1"/>
  <c r="H45" i="77"/>
  <c r="Q8" i="77"/>
  <c r="O13" i="77"/>
  <c r="Q13" i="77" s="1"/>
  <c r="O12" i="77"/>
  <c r="Q12" i="77" s="1"/>
  <c r="O37" i="76"/>
  <c r="K39" i="76"/>
  <c r="O45" i="77" l="1"/>
  <c r="Q45" i="77" s="1"/>
  <c r="J40" i="76"/>
  <c r="H33" i="76"/>
  <c r="G40" i="76"/>
  <c r="H22" i="76"/>
  <c r="O22" i="76" s="1"/>
  <c r="Q22" i="76" s="1"/>
  <c r="O24" i="76"/>
  <c r="Q24" i="76" s="1"/>
  <c r="H26" i="76"/>
  <c r="O26" i="76" s="1"/>
  <c r="Q26" i="76" s="1"/>
  <c r="H27" i="76"/>
  <c r="O27" i="76" s="1"/>
  <c r="Q27" i="76" s="1"/>
  <c r="H28" i="76"/>
  <c r="O28" i="76" s="1"/>
  <c r="Q28" i="76" s="1"/>
  <c r="H30" i="76"/>
  <c r="O30" i="76" s="1"/>
  <c r="Q30" i="76" s="1"/>
  <c r="H20" i="76"/>
  <c r="O9" i="76"/>
  <c r="Q9" i="76" s="1"/>
  <c r="H11" i="76"/>
  <c r="O11" i="76" s="1"/>
  <c r="Q11" i="76" s="1"/>
  <c r="H15" i="76"/>
  <c r="H17" i="76"/>
  <c r="O17" i="76" s="1"/>
  <c r="Q17" i="76" s="1"/>
  <c r="P40" i="76"/>
  <c r="N40" i="76"/>
  <c r="M40" i="76"/>
  <c r="L40" i="76"/>
  <c r="I40" i="76"/>
  <c r="O39" i="76"/>
  <c r="O38" i="76"/>
  <c r="O36" i="76"/>
  <c r="O35" i="76"/>
  <c r="O33" i="76"/>
  <c r="Q33" i="76" s="1"/>
  <c r="O32" i="76"/>
  <c r="Q32" i="76" s="1"/>
  <c r="O31" i="76"/>
  <c r="Q31" i="76" s="1"/>
  <c r="O29" i="76"/>
  <c r="Q29" i="76" s="1"/>
  <c r="O25" i="76"/>
  <c r="Q25" i="76" s="1"/>
  <c r="O23" i="76"/>
  <c r="Q23" i="76" s="1"/>
  <c r="O21" i="76"/>
  <c r="Q21" i="76" s="1"/>
  <c r="O20" i="76"/>
  <c r="Q20" i="76" s="1"/>
  <c r="O19" i="76"/>
  <c r="Q19" i="76" s="1"/>
  <c r="O18" i="76"/>
  <c r="Q18" i="76" s="1"/>
  <c r="O16" i="76"/>
  <c r="Q16" i="76" s="1"/>
  <c r="O15" i="76"/>
  <c r="Q15" i="76" s="1"/>
  <c r="O14" i="76"/>
  <c r="Q14" i="76" s="1"/>
  <c r="O12" i="76"/>
  <c r="Q12" i="76" s="1"/>
  <c r="O10" i="76"/>
  <c r="Q10" i="76" s="1"/>
  <c r="O8" i="76"/>
  <c r="Q8" i="76" s="1"/>
  <c r="K53" i="75"/>
  <c r="H40" i="76" l="1"/>
  <c r="K40" i="76"/>
  <c r="O13" i="76"/>
  <c r="Q13" i="76" s="1"/>
  <c r="P54" i="75"/>
  <c r="O53" i="75"/>
  <c r="O52" i="75"/>
  <c r="O51" i="75"/>
  <c r="O40" i="76" l="1"/>
  <c r="Q40" i="76" s="1"/>
  <c r="K54" i="75" l="1"/>
  <c r="O42" i="75"/>
  <c r="O43" i="75"/>
  <c r="O44" i="75"/>
  <c r="O45" i="75"/>
  <c r="O46" i="75"/>
  <c r="O47" i="75"/>
  <c r="O48" i="75"/>
  <c r="O49" i="75"/>
  <c r="O50" i="75"/>
  <c r="J54" i="75"/>
  <c r="H39" i="75"/>
  <c r="O39" i="75" s="1"/>
  <c r="Q39" i="75" s="1"/>
  <c r="H37" i="75"/>
  <c r="H26" i="75"/>
  <c r="H30" i="75"/>
  <c r="O30" i="75" s="1"/>
  <c r="Q30" i="75" s="1"/>
  <c r="H33" i="75"/>
  <c r="O33" i="75" s="1"/>
  <c r="Q33" i="75" s="1"/>
  <c r="H36" i="75"/>
  <c r="O36" i="75" s="1"/>
  <c r="Q36" i="75" s="1"/>
  <c r="H25" i="75"/>
  <c r="O25" i="75" s="1"/>
  <c r="Q25" i="75" s="1"/>
  <c r="H16" i="75"/>
  <c r="O16" i="75" s="1"/>
  <c r="Q16" i="75" s="1"/>
  <c r="H17" i="75"/>
  <c r="O17" i="75" s="1"/>
  <c r="Q17" i="75" s="1"/>
  <c r="H18" i="75"/>
  <c r="O18" i="75" s="1"/>
  <c r="Q18" i="75" s="1"/>
  <c r="H22" i="75"/>
  <c r="H13" i="75"/>
  <c r="O13" i="75" s="1"/>
  <c r="Q13" i="75" s="1"/>
  <c r="G54" i="75"/>
  <c r="O9" i="75"/>
  <c r="Q9" i="75" s="1"/>
  <c r="O10" i="75"/>
  <c r="Q10" i="75" s="1"/>
  <c r="O11" i="75"/>
  <c r="Q11" i="75" s="1"/>
  <c r="O12" i="75"/>
  <c r="Q12" i="75" s="1"/>
  <c r="O14" i="75"/>
  <c r="Q14" i="75" s="1"/>
  <c r="O15" i="75"/>
  <c r="Q15" i="75" s="1"/>
  <c r="O19" i="75"/>
  <c r="Q19" i="75" s="1"/>
  <c r="O20" i="75"/>
  <c r="Q20" i="75" s="1"/>
  <c r="O21" i="75"/>
  <c r="Q21" i="75" s="1"/>
  <c r="O22" i="75"/>
  <c r="Q22" i="75" s="1"/>
  <c r="O23" i="75"/>
  <c r="Q23" i="75" s="1"/>
  <c r="O24" i="75"/>
  <c r="Q24" i="75" s="1"/>
  <c r="O26" i="75"/>
  <c r="Q26" i="75" s="1"/>
  <c r="O27" i="75"/>
  <c r="Q27" i="75" s="1"/>
  <c r="O28" i="75"/>
  <c r="Q28" i="75" s="1"/>
  <c r="O29" i="75"/>
  <c r="Q29" i="75" s="1"/>
  <c r="O31" i="75"/>
  <c r="Q31" i="75" s="1"/>
  <c r="O32" i="75"/>
  <c r="Q32" i="75" s="1"/>
  <c r="O34" i="75"/>
  <c r="Q34" i="75" s="1"/>
  <c r="O35" i="75"/>
  <c r="Q35" i="75" s="1"/>
  <c r="O37" i="75"/>
  <c r="Q37" i="75" s="1"/>
  <c r="O38" i="75"/>
  <c r="Q38" i="75" s="1"/>
  <c r="N54" i="75"/>
  <c r="M54" i="75"/>
  <c r="L54" i="75"/>
  <c r="I54" i="75"/>
  <c r="O41" i="75"/>
  <c r="O8" i="75"/>
  <c r="P38" i="74"/>
  <c r="O54" i="75" l="1"/>
  <c r="Q54" i="75" s="1"/>
  <c r="H54" i="75"/>
  <c r="Q8" i="75"/>
  <c r="J18" i="74"/>
  <c r="K37" i="74" l="1"/>
  <c r="J11" i="74"/>
  <c r="H29" i="74"/>
  <c r="O29" i="74" s="1"/>
  <c r="H13" i="74"/>
  <c r="H16" i="74"/>
  <c r="H19" i="74"/>
  <c r="H22" i="74"/>
  <c r="H25" i="74"/>
  <c r="H12" i="74"/>
  <c r="N38" i="74" l="1"/>
  <c r="M38" i="74"/>
  <c r="L38" i="74"/>
  <c r="I38" i="74"/>
  <c r="G38" i="74"/>
  <c r="O37" i="74"/>
  <c r="O36" i="74"/>
  <c r="O35" i="74"/>
  <c r="O34" i="74"/>
  <c r="O33" i="74"/>
  <c r="O32" i="74"/>
  <c r="O31" i="74"/>
  <c r="Q29" i="74"/>
  <c r="O28" i="74"/>
  <c r="Q28" i="74" s="1"/>
  <c r="O27" i="74"/>
  <c r="Q27" i="74" s="1"/>
  <c r="O26" i="74"/>
  <c r="Q26" i="74" s="1"/>
  <c r="O25" i="74"/>
  <c r="Q25" i="74" s="1"/>
  <c r="O24" i="74"/>
  <c r="Q24" i="74" s="1"/>
  <c r="O23" i="74"/>
  <c r="Q23" i="74" s="1"/>
  <c r="O22" i="74"/>
  <c r="Q22" i="74" s="1"/>
  <c r="O21" i="74"/>
  <c r="Q21" i="74" s="1"/>
  <c r="O20" i="74"/>
  <c r="Q20" i="74" s="1"/>
  <c r="O19" i="74"/>
  <c r="Q19" i="74" s="1"/>
  <c r="O18" i="74"/>
  <c r="Q18" i="74" s="1"/>
  <c r="O17" i="74"/>
  <c r="Q17" i="74" s="1"/>
  <c r="O16" i="74"/>
  <c r="Q16" i="74" s="1"/>
  <c r="O15" i="74"/>
  <c r="Q15" i="74" s="1"/>
  <c r="O14" i="74"/>
  <c r="Q14" i="74" s="1"/>
  <c r="O13" i="74"/>
  <c r="Q13" i="74" s="1"/>
  <c r="O12" i="74"/>
  <c r="Q12" i="74" s="1"/>
  <c r="O11" i="74"/>
  <c r="Q11" i="74" s="1"/>
  <c r="O10" i="74"/>
  <c r="Q10" i="74" s="1"/>
  <c r="O9" i="74"/>
  <c r="J38" i="74"/>
  <c r="P55" i="73"/>
  <c r="O53" i="73"/>
  <c r="O52" i="73"/>
  <c r="O51" i="73"/>
  <c r="Q9" i="74" l="1"/>
  <c r="H38" i="74"/>
  <c r="K38" i="74"/>
  <c r="O8" i="74"/>
  <c r="O38" i="74" s="1"/>
  <c r="J8" i="73"/>
  <c r="Q38" i="74" l="1"/>
  <c r="Q8" i="74"/>
  <c r="J34" i="72"/>
  <c r="K54" i="73" l="1"/>
  <c r="O9" i="73" l="1"/>
  <c r="Q9" i="73" s="1"/>
  <c r="O10" i="73"/>
  <c r="Q10" i="73" s="1"/>
  <c r="O11" i="73"/>
  <c r="Q11" i="73" s="1"/>
  <c r="O13" i="73"/>
  <c r="Q13" i="73" s="1"/>
  <c r="O14" i="73"/>
  <c r="Q14" i="73" s="1"/>
  <c r="O15" i="73"/>
  <c r="Q15" i="73" s="1"/>
  <c r="O16" i="73"/>
  <c r="Q16" i="73" s="1"/>
  <c r="O18" i="73"/>
  <c r="Q18" i="73" s="1"/>
  <c r="O19" i="73"/>
  <c r="Q19" i="73" s="1"/>
  <c r="O21" i="73"/>
  <c r="Q21" i="73" s="1"/>
  <c r="O22" i="73"/>
  <c r="Q22" i="73" s="1"/>
  <c r="O23" i="73"/>
  <c r="Q23" i="73" s="1"/>
  <c r="O24" i="73"/>
  <c r="Q24" i="73" s="1"/>
  <c r="O26" i="73"/>
  <c r="Q26" i="73" s="1"/>
  <c r="O27" i="73"/>
  <c r="Q27" i="73" s="1"/>
  <c r="O29" i="73"/>
  <c r="Q29" i="73" s="1"/>
  <c r="O31" i="73"/>
  <c r="Q31" i="73" s="1"/>
  <c r="O32" i="73"/>
  <c r="Q32" i="73" s="1"/>
  <c r="O33" i="73"/>
  <c r="Q33" i="73" s="1"/>
  <c r="O35" i="73"/>
  <c r="Q35" i="73" s="1"/>
  <c r="O36" i="73"/>
  <c r="Q36" i="73" s="1"/>
  <c r="O37" i="73"/>
  <c r="Q37" i="73" s="1"/>
  <c r="O38" i="73"/>
  <c r="Q38" i="73" s="1"/>
  <c r="O39" i="73"/>
  <c r="Q39" i="73" s="1"/>
  <c r="O41" i="73"/>
  <c r="Q41" i="73" s="1"/>
  <c r="H42" i="73" l="1"/>
  <c r="O42" i="73" s="1"/>
  <c r="Q42" i="73" s="1"/>
  <c r="H40" i="73"/>
  <c r="O40" i="73" s="1"/>
  <c r="Q40" i="73" s="1"/>
  <c r="H25" i="73"/>
  <c r="O25" i="73" s="1"/>
  <c r="Q25" i="73" s="1"/>
  <c r="H28" i="73"/>
  <c r="O28" i="73" s="1"/>
  <c r="Q28" i="73" s="1"/>
  <c r="H30" i="73"/>
  <c r="O30" i="73" s="1"/>
  <c r="Q30" i="73" s="1"/>
  <c r="H34" i="73"/>
  <c r="O34" i="73" s="1"/>
  <c r="Q34" i="73" s="1"/>
  <c r="H20" i="73"/>
  <c r="O20" i="73" s="1"/>
  <c r="Q20" i="73" s="1"/>
  <c r="H12" i="73"/>
  <c r="O12" i="73" s="1"/>
  <c r="Q12" i="73" s="1"/>
  <c r="H17" i="73"/>
  <c r="O17" i="73" s="1"/>
  <c r="Q17" i="73" s="1"/>
  <c r="H8" i="73"/>
  <c r="O8" i="73" s="1"/>
  <c r="N55" i="73"/>
  <c r="M55" i="73"/>
  <c r="L55" i="73"/>
  <c r="K55" i="73"/>
  <c r="J55" i="73"/>
  <c r="I55" i="73"/>
  <c r="G55" i="73"/>
  <c r="O54" i="73"/>
  <c r="O50" i="73"/>
  <c r="O49" i="73"/>
  <c r="O48" i="73"/>
  <c r="O47" i="73"/>
  <c r="O46" i="73"/>
  <c r="O45" i="73"/>
  <c r="O44" i="73"/>
  <c r="O55" i="73" l="1"/>
  <c r="Q55" i="73" s="1"/>
  <c r="Q57" i="73" s="1"/>
  <c r="H55" i="73"/>
  <c r="Q8" i="73"/>
  <c r="P47" i="72"/>
  <c r="P35" i="71" l="1"/>
  <c r="O41" i="72" l="1"/>
  <c r="O44" i="72" l="1"/>
  <c r="O43" i="72"/>
  <c r="O42" i="72"/>
  <c r="O45" i="72" l="1"/>
  <c r="O40" i="72"/>
  <c r="J30" i="72"/>
  <c r="J8" i="72"/>
  <c r="J47" i="72" s="1"/>
  <c r="O9" i="72" l="1"/>
  <c r="Q9" i="72" s="1"/>
  <c r="O12" i="72"/>
  <c r="Q12" i="72" s="1"/>
  <c r="O13" i="72"/>
  <c r="Q13" i="72" s="1"/>
  <c r="O14" i="72"/>
  <c r="Q14" i="72" s="1"/>
  <c r="O17" i="72"/>
  <c r="Q17" i="72" s="1"/>
  <c r="O18" i="72"/>
  <c r="Q18" i="72" s="1"/>
  <c r="O21" i="72"/>
  <c r="Q21" i="72" s="1"/>
  <c r="O22" i="72"/>
  <c r="Q22" i="72" s="1"/>
  <c r="O24" i="72"/>
  <c r="Q24" i="72" s="1"/>
  <c r="O26" i="72"/>
  <c r="Q26" i="72" s="1"/>
  <c r="O27" i="72"/>
  <c r="Q27" i="72" s="1"/>
  <c r="O29" i="72"/>
  <c r="Q29" i="72" s="1"/>
  <c r="O31" i="72"/>
  <c r="Q31" i="72" s="1"/>
  <c r="O32" i="72"/>
  <c r="Q32" i="72" s="1"/>
  <c r="H33" i="72"/>
  <c r="O33" i="72" s="1"/>
  <c r="Q33" i="72" s="1"/>
  <c r="H34" i="72"/>
  <c r="O34" i="72" s="1"/>
  <c r="Q34" i="72" s="1"/>
  <c r="H30" i="72"/>
  <c r="O30" i="72" s="1"/>
  <c r="Q30" i="72" s="1"/>
  <c r="H20" i="72"/>
  <c r="O20" i="72" s="1"/>
  <c r="Q20" i="72" s="1"/>
  <c r="H23" i="72"/>
  <c r="O23" i="72" s="1"/>
  <c r="Q23" i="72" s="1"/>
  <c r="H25" i="72"/>
  <c r="O25" i="72" s="1"/>
  <c r="Q25" i="72" s="1"/>
  <c r="H28" i="72"/>
  <c r="O28" i="72" s="1"/>
  <c r="Q28" i="72" s="1"/>
  <c r="H19" i="72"/>
  <c r="O19" i="72" s="1"/>
  <c r="Q19" i="72" s="1"/>
  <c r="H10" i="72"/>
  <c r="O10" i="72" s="1"/>
  <c r="Q10" i="72" s="1"/>
  <c r="H11" i="72"/>
  <c r="O11" i="72" s="1"/>
  <c r="H15" i="72"/>
  <c r="O15" i="72" s="1"/>
  <c r="Q15" i="72" s="1"/>
  <c r="H16" i="72"/>
  <c r="O16" i="72" s="1"/>
  <c r="Q16" i="72" s="1"/>
  <c r="Q11" i="72" l="1"/>
  <c r="N47" i="72"/>
  <c r="M47" i="72"/>
  <c r="L47" i="72"/>
  <c r="I47" i="72"/>
  <c r="G47" i="72"/>
  <c r="K47" i="72"/>
  <c r="O39" i="72"/>
  <c r="O38" i="72"/>
  <c r="O37" i="72"/>
  <c r="O36" i="72"/>
  <c r="O8" i="72"/>
  <c r="Q8" i="72" s="1"/>
  <c r="O46" i="72" l="1"/>
  <c r="O47" i="72" s="1"/>
  <c r="Q47" i="72" s="1"/>
  <c r="H47" i="72"/>
  <c r="K34" i="71" l="1"/>
  <c r="O32" i="71" l="1"/>
  <c r="H28" i="71" l="1"/>
  <c r="K47" i="70" l="1"/>
  <c r="H21" i="71" l="1"/>
  <c r="L35" i="71" l="1"/>
  <c r="O31" i="71"/>
  <c r="O33" i="71"/>
  <c r="J17" i="71" l="1"/>
  <c r="H26" i="71"/>
  <c r="H16" i="71"/>
  <c r="H19" i="71"/>
  <c r="H23" i="71"/>
  <c r="H24" i="71"/>
  <c r="H15" i="71"/>
  <c r="H12" i="71"/>
  <c r="H14" i="71"/>
  <c r="H8" i="71"/>
  <c r="N35" i="71" l="1"/>
  <c r="M35" i="71"/>
  <c r="J35" i="71"/>
  <c r="I35" i="71"/>
  <c r="H35" i="71"/>
  <c r="G35" i="71"/>
  <c r="K35" i="71"/>
  <c r="O30" i="71"/>
  <c r="O28" i="71"/>
  <c r="Q28" i="71" s="1"/>
  <c r="O27" i="71"/>
  <c r="Q27" i="71" s="1"/>
  <c r="O26" i="71"/>
  <c r="Q26" i="71" s="1"/>
  <c r="O25" i="71"/>
  <c r="Q25" i="71" s="1"/>
  <c r="O24" i="71"/>
  <c r="Q24" i="71" s="1"/>
  <c r="O23" i="71"/>
  <c r="Q23" i="71" s="1"/>
  <c r="O22" i="71"/>
  <c r="Q22" i="71" s="1"/>
  <c r="O21" i="71"/>
  <c r="Q21" i="71" s="1"/>
  <c r="O20" i="71"/>
  <c r="Q20" i="71" s="1"/>
  <c r="O19" i="71"/>
  <c r="Q19" i="71" s="1"/>
  <c r="O18" i="71"/>
  <c r="Q18" i="71" s="1"/>
  <c r="O17" i="71"/>
  <c r="Q17" i="71" s="1"/>
  <c r="O16" i="71"/>
  <c r="Q16" i="71" s="1"/>
  <c r="O15" i="71"/>
  <c r="Q15" i="71" s="1"/>
  <c r="O14" i="71"/>
  <c r="Q14" i="71" s="1"/>
  <c r="O13" i="71"/>
  <c r="Q13" i="71" s="1"/>
  <c r="O12" i="71"/>
  <c r="Q12" i="71" s="1"/>
  <c r="O11" i="71"/>
  <c r="Q11" i="71" s="1"/>
  <c r="O10" i="71"/>
  <c r="Q10" i="71" s="1"/>
  <c r="O9" i="71"/>
  <c r="Q9" i="71" s="1"/>
  <c r="O8" i="71"/>
  <c r="Q8" i="71" l="1"/>
  <c r="O34" i="71"/>
  <c r="P48" i="70"/>
  <c r="O35" i="71" l="1"/>
  <c r="Q35" i="71" s="1"/>
  <c r="L48" i="70"/>
  <c r="G48" i="70"/>
  <c r="Q33" i="70" l="1"/>
  <c r="O10" i="70"/>
  <c r="Q10" i="70" s="1"/>
  <c r="O14" i="70"/>
  <c r="Q14" i="70" s="1"/>
  <c r="O19" i="70"/>
  <c r="Q19" i="70" s="1"/>
  <c r="O20" i="70"/>
  <c r="Q20" i="70" s="1"/>
  <c r="O22" i="70"/>
  <c r="Q22" i="70" s="1"/>
  <c r="O23" i="70"/>
  <c r="Q23" i="70" s="1"/>
  <c r="O25" i="70"/>
  <c r="Q25" i="70" s="1"/>
  <c r="O26" i="70"/>
  <c r="Q26" i="70" s="1"/>
  <c r="O28" i="70"/>
  <c r="Q28" i="70" s="1"/>
  <c r="O29" i="70"/>
  <c r="Q29" i="70" s="1"/>
  <c r="O30" i="70"/>
  <c r="Q30" i="70" s="1"/>
  <c r="O32" i="70"/>
  <c r="Q32" i="70" s="1"/>
  <c r="O33" i="70"/>
  <c r="O8" i="70"/>
  <c r="Q8" i="70" s="1"/>
  <c r="J13" i="70"/>
  <c r="J48" i="70" s="1"/>
  <c r="H31" i="70" l="1"/>
  <c r="O31" i="70" s="1"/>
  <c r="Q31" i="70" s="1"/>
  <c r="H27" i="70"/>
  <c r="O27" i="70" s="1"/>
  <c r="Q27" i="70" s="1"/>
  <c r="H11" i="70"/>
  <c r="O11" i="70" s="1"/>
  <c r="Q11" i="70" s="1"/>
  <c r="H12" i="70"/>
  <c r="O12" i="70" s="1"/>
  <c r="Q12" i="70" s="1"/>
  <c r="H13" i="70"/>
  <c r="O13" i="70" s="1"/>
  <c r="Q13" i="70" s="1"/>
  <c r="H15" i="70"/>
  <c r="O15" i="70" s="1"/>
  <c r="Q15" i="70" s="1"/>
  <c r="H16" i="70"/>
  <c r="O16" i="70" s="1"/>
  <c r="Q16" i="70" s="1"/>
  <c r="O17" i="70"/>
  <c r="Q17" i="70" s="1"/>
  <c r="H18" i="70"/>
  <c r="O18" i="70" s="1"/>
  <c r="Q18" i="70" s="1"/>
  <c r="H21" i="70"/>
  <c r="O21" i="70" s="1"/>
  <c r="Q21" i="70" s="1"/>
  <c r="H24" i="70"/>
  <c r="O24" i="70" s="1"/>
  <c r="Q24" i="70" s="1"/>
  <c r="H9" i="70"/>
  <c r="O9" i="70" s="1"/>
  <c r="Q9" i="70" s="1"/>
  <c r="N48" i="70"/>
  <c r="M48" i="70"/>
  <c r="I48" i="70"/>
  <c r="O47" i="70"/>
  <c r="K48" i="70"/>
  <c r="O46" i="70"/>
  <c r="O45" i="70"/>
  <c r="O44" i="70"/>
  <c r="O43" i="70"/>
  <c r="O42" i="70"/>
  <c r="O41" i="70"/>
  <c r="O40" i="70"/>
  <c r="O39" i="70"/>
  <c r="O38" i="70"/>
  <c r="O37" i="70"/>
  <c r="O36" i="70"/>
  <c r="O35" i="70"/>
  <c r="O48" i="70" l="1"/>
  <c r="Q48" i="70" s="1"/>
  <c r="H48" i="70"/>
  <c r="L46" i="69"/>
  <c r="O43" i="69"/>
  <c r="O42" i="69"/>
  <c r="O41" i="69"/>
  <c r="K45" i="69" l="1"/>
  <c r="O44" i="69" l="1"/>
  <c r="O45" i="69"/>
  <c r="O40" i="69" l="1"/>
  <c r="O39" i="69"/>
  <c r="O38" i="69"/>
  <c r="O37" i="69"/>
  <c r="O36" i="69"/>
  <c r="H24" i="69" l="1"/>
  <c r="H23" i="69"/>
  <c r="O23" i="69" s="1"/>
  <c r="Q23" i="69" s="1"/>
  <c r="H22" i="69"/>
  <c r="O22" i="69" s="1"/>
  <c r="Q22" i="69" s="1"/>
  <c r="H21" i="69"/>
  <c r="O21" i="69" s="1"/>
  <c r="Q21" i="69" s="1"/>
  <c r="H27" i="69"/>
  <c r="H18" i="69"/>
  <c r="O18" i="69" s="1"/>
  <c r="Q18" i="69" s="1"/>
  <c r="H19" i="69"/>
  <c r="O20" i="69"/>
  <c r="Q20" i="69" s="1"/>
  <c r="O24" i="69"/>
  <c r="Q24" i="69" s="1"/>
  <c r="O26" i="69"/>
  <c r="Q26" i="69" s="1"/>
  <c r="H17" i="69"/>
  <c r="O9" i="69"/>
  <c r="Q9" i="69" s="1"/>
  <c r="H10" i="69"/>
  <c r="O10" i="69" s="1"/>
  <c r="Q10" i="69" s="1"/>
  <c r="O11" i="69"/>
  <c r="Q11" i="69" s="1"/>
  <c r="H12" i="69"/>
  <c r="O13" i="69"/>
  <c r="Q13" i="69" s="1"/>
  <c r="H14" i="69"/>
  <c r="O14" i="69" s="1"/>
  <c r="Q14" i="69" s="1"/>
  <c r="H8" i="69"/>
  <c r="O8" i="69" s="1"/>
  <c r="P46" i="69"/>
  <c r="N46" i="69"/>
  <c r="M46" i="69"/>
  <c r="K46" i="69"/>
  <c r="J46" i="69"/>
  <c r="I46" i="69"/>
  <c r="G46" i="69"/>
  <c r="O35" i="69"/>
  <c r="O34" i="69"/>
  <c r="O33" i="69"/>
  <c r="O32" i="69"/>
  <c r="O31" i="69"/>
  <c r="O30" i="69"/>
  <c r="O29" i="69"/>
  <c r="O27" i="69"/>
  <c r="Q27" i="69" s="1"/>
  <c r="O25" i="69"/>
  <c r="Q25" i="69" s="1"/>
  <c r="O19" i="69"/>
  <c r="Q19" i="69" s="1"/>
  <c r="O17" i="69"/>
  <c r="Q17" i="69" s="1"/>
  <c r="O16" i="69"/>
  <c r="Q16" i="69" s="1"/>
  <c r="O15" i="69"/>
  <c r="Q15" i="69" s="1"/>
  <c r="H46" i="69" l="1"/>
  <c r="O12" i="69"/>
  <c r="Q12" i="69" s="1"/>
  <c r="Q8" i="69"/>
  <c r="O35" i="68"/>
  <c r="O36" i="68"/>
  <c r="O46" i="69" l="1"/>
  <c r="Q46" i="69" s="1"/>
  <c r="O9" i="68"/>
  <c r="O10" i="68"/>
  <c r="O12" i="68"/>
  <c r="O13" i="68"/>
  <c r="O15" i="68"/>
  <c r="O17" i="68"/>
  <c r="O19" i="68"/>
  <c r="O22" i="68"/>
  <c r="O24" i="68"/>
  <c r="O25" i="68"/>
  <c r="O26" i="68"/>
  <c r="O28" i="68"/>
  <c r="O29" i="68"/>
  <c r="O32" i="68"/>
  <c r="P42" i="68" l="1"/>
  <c r="L42" i="68"/>
  <c r="O39" i="68"/>
  <c r="O40" i="68"/>
  <c r="H31" i="68"/>
  <c r="O31" i="68" s="1"/>
  <c r="H30" i="68"/>
  <c r="O30" i="68" s="1"/>
  <c r="H27" i="68"/>
  <c r="O27" i="68" s="1"/>
  <c r="H20" i="68"/>
  <c r="O20" i="68" s="1"/>
  <c r="H21" i="68"/>
  <c r="O21" i="68" s="1"/>
  <c r="H23" i="68"/>
  <c r="O23" i="68" s="1"/>
  <c r="H18" i="68"/>
  <c r="H11" i="68"/>
  <c r="H14" i="68"/>
  <c r="O14" i="68" s="1"/>
  <c r="O8" i="68"/>
  <c r="O11" i="68" l="1"/>
  <c r="H42" i="68"/>
  <c r="J18" i="68"/>
  <c r="O18" i="68" s="1"/>
  <c r="Q18" i="68" s="1"/>
  <c r="J16" i="68"/>
  <c r="O16" i="68" s="1"/>
  <c r="Q16" i="68" s="1"/>
  <c r="N42" i="68"/>
  <c r="M42" i="68"/>
  <c r="K42" i="68"/>
  <c r="I42" i="68"/>
  <c r="G42" i="68"/>
  <c r="O41" i="68"/>
  <c r="O38" i="68"/>
  <c r="O37" i="68"/>
  <c r="O34" i="68"/>
  <c r="O33" i="68"/>
  <c r="Q33" i="68" s="1"/>
  <c r="Q32" i="68"/>
  <c r="Q31" i="68"/>
  <c r="Q30" i="68"/>
  <c r="Q29" i="68"/>
  <c r="Q28" i="68"/>
  <c r="Q27" i="68"/>
  <c r="Q26" i="68"/>
  <c r="Q25" i="68"/>
  <c r="Q24" i="68"/>
  <c r="Q23" i="68"/>
  <c r="Q22" i="68"/>
  <c r="Q21" i="68"/>
  <c r="Q20" i="68"/>
  <c r="Q19" i="68"/>
  <c r="Q17" i="68"/>
  <c r="Q15" i="68"/>
  <c r="Q14" i="68"/>
  <c r="Q13" i="68"/>
  <c r="Q11" i="68"/>
  <c r="Q10" i="68"/>
  <c r="Q9" i="68"/>
  <c r="J42" i="68" l="1"/>
  <c r="O42" i="68"/>
  <c r="Q42" i="68" s="1"/>
  <c r="Q12" i="68"/>
  <c r="H32" i="66"/>
  <c r="Q8" i="68" l="1"/>
  <c r="P39" i="66"/>
  <c r="O38" i="66"/>
  <c r="O35" i="66"/>
  <c r="O36" i="66"/>
  <c r="O37" i="66"/>
  <c r="L39" i="66"/>
  <c r="K39" i="66" l="1"/>
  <c r="O10" i="66" l="1"/>
  <c r="Q10" i="66" s="1"/>
  <c r="O11" i="66"/>
  <c r="Q11" i="66" s="1"/>
  <c r="O13" i="66"/>
  <c r="O17" i="66"/>
  <c r="Q17" i="66" s="1"/>
  <c r="O19" i="66"/>
  <c r="Q19" i="66" s="1"/>
  <c r="O21" i="66"/>
  <c r="Q21" i="66" s="1"/>
  <c r="O22" i="66"/>
  <c r="Q22" i="66" s="1"/>
  <c r="O23" i="66"/>
  <c r="Q23" i="66" s="1"/>
  <c r="O25" i="66"/>
  <c r="Q25" i="66" s="1"/>
  <c r="O27" i="66"/>
  <c r="Q27" i="66" s="1"/>
  <c r="O30" i="66"/>
  <c r="Q30" i="66" s="1"/>
  <c r="O32" i="66"/>
  <c r="Q32" i="66" l="1"/>
  <c r="Q13" i="66"/>
  <c r="J12" i="66" l="1"/>
  <c r="H31" i="66"/>
  <c r="O31" i="66" s="1"/>
  <c r="Q31" i="66" s="1"/>
  <c r="H9" i="66"/>
  <c r="O9" i="66" s="1"/>
  <c r="H14" i="66"/>
  <c r="O14" i="66" s="1"/>
  <c r="Q14" i="66" s="1"/>
  <c r="H15" i="66"/>
  <c r="O15" i="66" s="1"/>
  <c r="Q15" i="66" s="1"/>
  <c r="H16" i="66"/>
  <c r="O16" i="66" s="1"/>
  <c r="Q16" i="66" s="1"/>
  <c r="H18" i="66"/>
  <c r="O18" i="66" s="1"/>
  <c r="Q18" i="66" s="1"/>
  <c r="H20" i="66"/>
  <c r="O20" i="66" s="1"/>
  <c r="Q20" i="66" s="1"/>
  <c r="H24" i="66"/>
  <c r="O24" i="66" s="1"/>
  <c r="Q24" i="66" s="1"/>
  <c r="H26" i="66"/>
  <c r="O26" i="66" s="1"/>
  <c r="Q26" i="66" s="1"/>
  <c r="H28" i="66"/>
  <c r="O28" i="66" s="1"/>
  <c r="Q28" i="66" s="1"/>
  <c r="H29" i="66"/>
  <c r="O29" i="66" s="1"/>
  <c r="Q29" i="66" s="1"/>
  <c r="H8" i="66"/>
  <c r="O8" i="66" s="1"/>
  <c r="Q8" i="66" l="1"/>
  <c r="J39" i="66"/>
  <c r="O12" i="66"/>
  <c r="Q12" i="66" s="1"/>
  <c r="Q9" i="66"/>
  <c r="N39" i="66"/>
  <c r="M39" i="66"/>
  <c r="I39" i="66"/>
  <c r="G39" i="66"/>
  <c r="O34" i="66"/>
  <c r="O33" i="66"/>
  <c r="Q33" i="66" s="1"/>
  <c r="H39" i="66"/>
  <c r="O39" i="66" l="1"/>
  <c r="Q39" i="66" s="1"/>
  <c r="P38" i="65"/>
  <c r="L38" i="65" l="1"/>
  <c r="K38" i="65"/>
  <c r="O36" i="65"/>
  <c r="P37" i="64" l="1"/>
  <c r="N37" i="64"/>
  <c r="M37" i="64"/>
  <c r="L37" i="64"/>
  <c r="K37" i="64"/>
  <c r="I37" i="64"/>
  <c r="G37" i="64"/>
  <c r="O36" i="64"/>
  <c r="Q36" i="64" s="1"/>
  <c r="O35" i="64"/>
  <c r="Q35" i="64" s="1"/>
  <c r="O34" i="64"/>
  <c r="Q34" i="64" s="1"/>
  <c r="O33" i="64"/>
  <c r="Q33" i="64" s="1"/>
  <c r="O32" i="64"/>
  <c r="Q32" i="64" s="1"/>
  <c r="O31" i="64"/>
  <c r="Q31" i="64" s="1"/>
  <c r="O28" i="64"/>
  <c r="Q28" i="64" s="1"/>
  <c r="J27" i="64"/>
  <c r="J37" i="64" s="1"/>
  <c r="H26" i="64"/>
  <c r="O26" i="64" s="1"/>
  <c r="Q26" i="64" s="1"/>
  <c r="H25" i="64"/>
  <c r="O25" i="64" s="1"/>
  <c r="Q25" i="64" s="1"/>
  <c r="O24" i="64"/>
  <c r="Q24" i="64" s="1"/>
  <c r="O23" i="64"/>
  <c r="Q23" i="64" s="1"/>
  <c r="O22" i="64"/>
  <c r="Q22" i="64" s="1"/>
  <c r="H21" i="64"/>
  <c r="O21" i="64" s="1"/>
  <c r="Q21" i="64" s="1"/>
  <c r="O20" i="64"/>
  <c r="Q20" i="64" s="1"/>
  <c r="O19" i="64"/>
  <c r="Q19" i="64" s="1"/>
  <c r="H18" i="64"/>
  <c r="O18" i="64" s="1"/>
  <c r="Q18" i="64" s="1"/>
  <c r="O17" i="64"/>
  <c r="Q17" i="64" s="1"/>
  <c r="H16" i="64"/>
  <c r="O16" i="64" s="1"/>
  <c r="Q16" i="64" s="1"/>
  <c r="H15" i="64"/>
  <c r="O15" i="64" s="1"/>
  <c r="Q15" i="64" s="1"/>
  <c r="O14" i="64"/>
  <c r="Q14" i="64" s="1"/>
  <c r="O13" i="64"/>
  <c r="Q13" i="64" s="1"/>
  <c r="O12" i="64"/>
  <c r="Q12" i="64" s="1"/>
  <c r="H11" i="64"/>
  <c r="O11" i="64" s="1"/>
  <c r="Q11" i="64" s="1"/>
  <c r="O10" i="64"/>
  <c r="Q10" i="64" s="1"/>
  <c r="H9" i="64"/>
  <c r="O9" i="64" s="1"/>
  <c r="Q9" i="64" s="1"/>
  <c r="O8" i="64"/>
  <c r="Q8" i="64" s="1"/>
  <c r="H37" i="64" l="1"/>
  <c r="O27" i="64"/>
  <c r="Q27" i="64" s="1"/>
  <c r="Q37" i="64" s="1"/>
  <c r="O37" i="64" l="1"/>
  <c r="Q39" i="64"/>
  <c r="O9" i="65" l="1"/>
  <c r="Q9" i="65" s="1"/>
  <c r="O12" i="65"/>
  <c r="Q12" i="65" s="1"/>
  <c r="O13" i="65"/>
  <c r="Q13" i="65" s="1"/>
  <c r="O16" i="65"/>
  <c r="Q16" i="65" s="1"/>
  <c r="O19" i="65"/>
  <c r="Q19" i="65" s="1"/>
  <c r="O20" i="65"/>
  <c r="Q20" i="65" s="1"/>
  <c r="O23" i="65"/>
  <c r="Q23" i="65" s="1"/>
  <c r="O25" i="65"/>
  <c r="Q25" i="65" s="1"/>
  <c r="O28" i="65"/>
  <c r="Q28" i="65" s="1"/>
  <c r="O29" i="65"/>
  <c r="O31" i="65"/>
  <c r="Q31" i="65" s="1"/>
  <c r="O8" i="65"/>
  <c r="Q8" i="65" s="1"/>
  <c r="J26" i="65"/>
  <c r="O26" i="65" s="1"/>
  <c r="Q26" i="65" s="1"/>
  <c r="J17" i="65"/>
  <c r="O17" i="65" s="1"/>
  <c r="Q17" i="65" s="1"/>
  <c r="J11" i="65"/>
  <c r="H21" i="65"/>
  <c r="O21" i="65" s="1"/>
  <c r="Q21" i="65" s="1"/>
  <c r="H22" i="65"/>
  <c r="O22" i="65" s="1"/>
  <c r="Q22" i="65" s="1"/>
  <c r="H24" i="65"/>
  <c r="O24" i="65" s="1"/>
  <c r="Q24" i="65" s="1"/>
  <c r="H27" i="65"/>
  <c r="O27" i="65" s="1"/>
  <c r="Q27" i="65" s="1"/>
  <c r="H30" i="65"/>
  <c r="O30" i="65" s="1"/>
  <c r="Q30" i="65" s="1"/>
  <c r="H18" i="65"/>
  <c r="O18" i="65" s="1"/>
  <c r="Q18" i="65" s="1"/>
  <c r="H11" i="65"/>
  <c r="H14" i="65"/>
  <c r="O14" i="65" s="1"/>
  <c r="Q14" i="65" s="1"/>
  <c r="H15" i="65"/>
  <c r="O15" i="65" s="1"/>
  <c r="Q15" i="65" s="1"/>
  <c r="H10" i="65"/>
  <c r="O10" i="65" s="1"/>
  <c r="Q10" i="65" s="1"/>
  <c r="M38" i="65"/>
  <c r="I38" i="65"/>
  <c r="G38" i="65"/>
  <c r="O37" i="65"/>
  <c r="N38" i="65"/>
  <c r="O34" i="65"/>
  <c r="O33" i="65"/>
  <c r="O32" i="65"/>
  <c r="Q32" i="65" s="1"/>
  <c r="J38" i="65" l="1"/>
  <c r="Q29" i="65"/>
  <c r="O11" i="65"/>
  <c r="Q11" i="65" s="1"/>
  <c r="H38" i="65"/>
  <c r="O35" i="65"/>
  <c r="O38" i="65" l="1"/>
  <c r="Q38" i="65" s="1"/>
  <c r="Q40" i="65" s="1"/>
  <c r="Q41" i="66" s="1"/>
  <c r="Q44" i="68" s="1"/>
  <c r="Q48" i="69" s="1"/>
  <c r="Q50" i="70" s="1"/>
  <c r="Q37" i="71" s="1"/>
  <c r="N40" i="63"/>
  <c r="Q49" i="72" l="1"/>
  <c r="O41" i="63"/>
  <c r="O40" i="63"/>
  <c r="Q40" i="63" s="1"/>
  <c r="Q40" i="74" l="1"/>
  <c r="Q56" i="75" s="1"/>
  <c r="Q42" i="76" s="1"/>
  <c r="Q47" i="77" s="1"/>
  <c r="Q48" i="78" s="1"/>
  <c r="Q50" i="79" s="1"/>
  <c r="Q52" i="80" s="1"/>
  <c r="Q55" i="81" s="1"/>
  <c r="Q51" i="82" s="1"/>
  <c r="Q44" i="83" s="1"/>
  <c r="Q43" i="84" s="1"/>
  <c r="H29" i="63"/>
  <c r="H30" i="63"/>
  <c r="P29" i="63"/>
  <c r="J29" i="63" l="1"/>
  <c r="O38" i="63" l="1"/>
  <c r="Q38" i="63" s="1"/>
  <c r="P45" i="62" l="1"/>
  <c r="N45" i="62"/>
  <c r="M45" i="62"/>
  <c r="K45" i="62"/>
  <c r="I45" i="62"/>
  <c r="O44" i="62"/>
  <c r="Q44" i="62" s="1"/>
  <c r="O43" i="62"/>
  <c r="Q43" i="62" s="1"/>
  <c r="O42" i="62"/>
  <c r="Q42" i="62" s="1"/>
  <c r="O41" i="62"/>
  <c r="Q41" i="62" s="1"/>
  <c r="O40" i="62"/>
  <c r="Q40" i="62" s="1"/>
  <c r="O39" i="62"/>
  <c r="Q39" i="62" s="1"/>
  <c r="O38" i="62"/>
  <c r="Q38" i="62" s="1"/>
  <c r="O37" i="62"/>
  <c r="Q37" i="62" s="1"/>
  <c r="O36" i="62"/>
  <c r="Q36" i="62" s="1"/>
  <c r="O35" i="62"/>
  <c r="Q35" i="62" s="1"/>
  <c r="L34" i="62"/>
  <c r="L45" i="62" s="1"/>
  <c r="O33" i="62"/>
  <c r="Q33" i="62" s="1"/>
  <c r="G32" i="62"/>
  <c r="H32" i="62" s="1"/>
  <c r="O32" i="62" s="1"/>
  <c r="Q32" i="62" s="1"/>
  <c r="O31" i="62"/>
  <c r="Q31" i="62" s="1"/>
  <c r="O30" i="62"/>
  <c r="Q30" i="62" s="1"/>
  <c r="H29" i="62"/>
  <c r="O29" i="62" s="1"/>
  <c r="Q29" i="62" s="1"/>
  <c r="H28" i="62"/>
  <c r="O28" i="62" s="1"/>
  <c r="Q28" i="62" s="1"/>
  <c r="H27" i="62"/>
  <c r="O27" i="62" s="1"/>
  <c r="Q27" i="62" s="1"/>
  <c r="O26" i="62"/>
  <c r="Q26" i="62" s="1"/>
  <c r="H26" i="62"/>
  <c r="H25" i="62"/>
  <c r="O25" i="62" s="1"/>
  <c r="Q25" i="62" s="1"/>
  <c r="J24" i="62"/>
  <c r="J45" i="62" s="1"/>
  <c r="H24" i="62"/>
  <c r="O24" i="62" s="1"/>
  <c r="Q24" i="62" s="1"/>
  <c r="H23" i="62"/>
  <c r="O23" i="62" s="1"/>
  <c r="Q23" i="62" s="1"/>
  <c r="H22" i="62"/>
  <c r="O22" i="62" s="1"/>
  <c r="Q22" i="62" s="1"/>
  <c r="O21" i="62"/>
  <c r="Q21" i="62" s="1"/>
  <c r="O20" i="62"/>
  <c r="Q20" i="62" s="1"/>
  <c r="H19" i="62"/>
  <c r="O19" i="62" s="1"/>
  <c r="Q19" i="62" s="1"/>
  <c r="H18" i="62"/>
  <c r="O18" i="62" s="1"/>
  <c r="Q18" i="62" s="1"/>
  <c r="H17" i="62"/>
  <c r="O17" i="62" s="1"/>
  <c r="Q17" i="62" s="1"/>
  <c r="H16" i="62"/>
  <c r="O16" i="62" s="1"/>
  <c r="Q16" i="62" s="1"/>
  <c r="H15" i="62"/>
  <c r="O15" i="62" s="1"/>
  <c r="Q15" i="62" s="1"/>
  <c r="H14" i="62"/>
  <c r="O14" i="62" s="1"/>
  <c r="Q14" i="62" s="1"/>
  <c r="H13" i="62"/>
  <c r="O13" i="62" s="1"/>
  <c r="Q13" i="62" s="1"/>
  <c r="H12" i="62"/>
  <c r="O12" i="62" s="1"/>
  <c r="Q12" i="62" s="1"/>
  <c r="H11" i="62"/>
  <c r="O11" i="62" s="1"/>
  <c r="Q11" i="62" s="1"/>
  <c r="H10" i="62"/>
  <c r="O10" i="62" s="1"/>
  <c r="Q10" i="62" s="1"/>
  <c r="H9" i="62"/>
  <c r="O9" i="62" s="1"/>
  <c r="Q9" i="62" s="1"/>
  <c r="H8" i="62"/>
  <c r="O7" i="62"/>
  <c r="Q7" i="62" s="1"/>
  <c r="O34" i="62" l="1"/>
  <c r="Q34" i="62" s="1"/>
  <c r="G45" i="62"/>
  <c r="H45" i="62"/>
  <c r="O8" i="62"/>
  <c r="Q8" i="62" s="1"/>
  <c r="L32" i="63"/>
  <c r="O32" i="63" s="1"/>
  <c r="Q32" i="63" s="1"/>
  <c r="H21" i="63"/>
  <c r="O21" i="63" s="1"/>
  <c r="Q21" i="63" s="1"/>
  <c r="H22" i="63"/>
  <c r="O22" i="63" s="1"/>
  <c r="Q22" i="63" s="1"/>
  <c r="H23" i="63"/>
  <c r="O23" i="63" s="1"/>
  <c r="Q23" i="63" s="1"/>
  <c r="H24" i="63"/>
  <c r="O24" i="63" s="1"/>
  <c r="Q24" i="63" s="1"/>
  <c r="H25" i="63"/>
  <c r="O25" i="63" s="1"/>
  <c r="Q25" i="63" s="1"/>
  <c r="H26" i="63"/>
  <c r="O26" i="63" s="1"/>
  <c r="Q26" i="63" s="1"/>
  <c r="H27" i="63"/>
  <c r="O27" i="63" s="1"/>
  <c r="Q27" i="63" s="1"/>
  <c r="H20" i="63"/>
  <c r="O20" i="63" s="1"/>
  <c r="Q20" i="63" s="1"/>
  <c r="H10" i="63"/>
  <c r="O10" i="63" s="1"/>
  <c r="Q10" i="63" s="1"/>
  <c r="H11" i="63"/>
  <c r="O11" i="63" s="1"/>
  <c r="Q11" i="63" s="1"/>
  <c r="H12" i="63"/>
  <c r="O12" i="63" s="1"/>
  <c r="Q12" i="63" s="1"/>
  <c r="H13" i="63"/>
  <c r="O13" i="63" s="1"/>
  <c r="Q13" i="63" s="1"/>
  <c r="H14" i="63"/>
  <c r="O14" i="63" s="1"/>
  <c r="Q14" i="63" s="1"/>
  <c r="H15" i="63"/>
  <c r="O15" i="63" s="1"/>
  <c r="Q15" i="63" s="1"/>
  <c r="H16" i="63"/>
  <c r="O16" i="63" s="1"/>
  <c r="Q16" i="63" s="1"/>
  <c r="H9" i="63"/>
  <c r="O9" i="63" s="1"/>
  <c r="Q9" i="63" s="1"/>
  <c r="P42" i="63"/>
  <c r="N42" i="63"/>
  <c r="M42" i="63"/>
  <c r="K42" i="63"/>
  <c r="J42" i="63"/>
  <c r="I42" i="63"/>
  <c r="G42" i="63"/>
  <c r="Q41" i="63"/>
  <c r="O39" i="63"/>
  <c r="Q39" i="63" s="1"/>
  <c r="O37" i="63"/>
  <c r="Q37" i="63" s="1"/>
  <c r="O36" i="63"/>
  <c r="Q36" i="63" s="1"/>
  <c r="O35" i="63"/>
  <c r="Q35" i="63" s="1"/>
  <c r="O34" i="63"/>
  <c r="Q34" i="63" s="1"/>
  <c r="O33" i="63"/>
  <c r="Q33" i="63" s="1"/>
  <c r="O31" i="63"/>
  <c r="Q31" i="63" s="1"/>
  <c r="O30" i="63"/>
  <c r="Q30" i="63" s="1"/>
  <c r="O29" i="63"/>
  <c r="Q29" i="63" s="1"/>
  <c r="O28" i="63"/>
  <c r="Q28" i="63" s="1"/>
  <c r="O19" i="63"/>
  <c r="Q19" i="63" s="1"/>
  <c r="O18" i="63"/>
  <c r="Q18" i="63" s="1"/>
  <c r="O17" i="63"/>
  <c r="Q17" i="63" s="1"/>
  <c r="O8" i="63"/>
  <c r="Q45" i="62" l="1"/>
  <c r="O45" i="62"/>
  <c r="H42" i="63"/>
  <c r="O42" i="63"/>
  <c r="L42" i="63"/>
  <c r="Q8" i="63"/>
  <c r="Q42" i="63" s="1"/>
  <c r="J12" i="61" l="1"/>
  <c r="P27" i="60" l="1"/>
  <c r="N27" i="60"/>
  <c r="M27" i="60"/>
  <c r="K27" i="60"/>
  <c r="I27" i="60"/>
  <c r="G27" i="60"/>
  <c r="O26" i="60"/>
  <c r="Q26" i="60" s="1"/>
  <c r="O25" i="60"/>
  <c r="Q25" i="60" s="1"/>
  <c r="L24" i="60"/>
  <c r="L27" i="60" s="1"/>
  <c r="O23" i="60"/>
  <c r="Q23" i="60" s="1"/>
  <c r="H22" i="60"/>
  <c r="O22" i="60" s="1"/>
  <c r="Q22" i="60" s="1"/>
  <c r="H21" i="60"/>
  <c r="O21" i="60" s="1"/>
  <c r="Q21" i="60" s="1"/>
  <c r="O20" i="60"/>
  <c r="Q20" i="60" s="1"/>
  <c r="O19" i="60"/>
  <c r="Q19" i="60" s="1"/>
  <c r="O18" i="60"/>
  <c r="Q18" i="60" s="1"/>
  <c r="J17" i="60"/>
  <c r="H17" i="60"/>
  <c r="O16" i="60"/>
  <c r="Q16" i="60" s="1"/>
  <c r="H15" i="60"/>
  <c r="O15" i="60" s="1"/>
  <c r="Q15" i="60" s="1"/>
  <c r="O14" i="60"/>
  <c r="Q14" i="60" s="1"/>
  <c r="J13" i="60"/>
  <c r="O13" i="60" s="1"/>
  <c r="Q13" i="60" s="1"/>
  <c r="H12" i="60"/>
  <c r="O12" i="60" s="1"/>
  <c r="Q12" i="60" s="1"/>
  <c r="O11" i="60"/>
  <c r="Q11" i="60" s="1"/>
  <c r="J10" i="60"/>
  <c r="O9" i="60"/>
  <c r="Q9" i="60" s="1"/>
  <c r="H8" i="60"/>
  <c r="O7" i="60"/>
  <c r="Q7" i="60" s="1"/>
  <c r="O17" i="60" l="1"/>
  <c r="Q17" i="60" s="1"/>
  <c r="J27" i="60"/>
  <c r="O24" i="60"/>
  <c r="Q24" i="60" s="1"/>
  <c r="O10" i="60"/>
  <c r="Q10" i="60" s="1"/>
  <c r="H27" i="60"/>
  <c r="O8" i="60"/>
  <c r="Q8" i="60" s="1"/>
  <c r="O29" i="61"/>
  <c r="Q29" i="61" s="1"/>
  <c r="O31" i="61"/>
  <c r="Q31" i="61" s="1"/>
  <c r="Q27" i="60" l="1"/>
  <c r="Q29" i="60" s="1"/>
  <c r="O27" i="60"/>
  <c r="J17" i="61"/>
  <c r="O17" i="61" s="1"/>
  <c r="Q17" i="61" s="1"/>
  <c r="J8" i="61" l="1"/>
  <c r="H19" i="61"/>
  <c r="O19" i="61" s="1"/>
  <c r="Q19" i="61" s="1"/>
  <c r="H20" i="61"/>
  <c r="O20" i="61" s="1"/>
  <c r="Q20" i="61" s="1"/>
  <c r="H21" i="61"/>
  <c r="O21" i="61" s="1"/>
  <c r="Q21" i="61" s="1"/>
  <c r="H22" i="61"/>
  <c r="O22" i="61" s="1"/>
  <c r="Q22" i="61" s="1"/>
  <c r="H23" i="61"/>
  <c r="O23" i="61" s="1"/>
  <c r="Q23" i="61" s="1"/>
  <c r="H24" i="61"/>
  <c r="O24" i="61" s="1"/>
  <c r="Q24" i="61" s="1"/>
  <c r="H25" i="61"/>
  <c r="O25" i="61" s="1"/>
  <c r="Q25" i="61" s="1"/>
  <c r="H26" i="61"/>
  <c r="O26" i="61" s="1"/>
  <c r="Q26" i="61" s="1"/>
  <c r="H27" i="61"/>
  <c r="O27" i="61" s="1"/>
  <c r="Q27" i="61" s="1"/>
  <c r="H28" i="61"/>
  <c r="O28" i="61" s="1"/>
  <c r="Q28" i="61" s="1"/>
  <c r="H18" i="61"/>
  <c r="O18" i="61" s="1"/>
  <c r="Q18" i="61" s="1"/>
  <c r="H9" i="61"/>
  <c r="O9" i="61" s="1"/>
  <c r="Q9" i="61" s="1"/>
  <c r="H10" i="61"/>
  <c r="O10" i="61" s="1"/>
  <c r="Q10" i="61" s="1"/>
  <c r="H11" i="61"/>
  <c r="O11" i="61" s="1"/>
  <c r="Q11" i="61" s="1"/>
  <c r="H12" i="61"/>
  <c r="O12" i="61" s="1"/>
  <c r="Q12" i="61" s="1"/>
  <c r="H13" i="61"/>
  <c r="O13" i="61" s="1"/>
  <c r="Q13" i="61" s="1"/>
  <c r="H14" i="61"/>
  <c r="O14" i="61" s="1"/>
  <c r="Q14" i="61" s="1"/>
  <c r="H15" i="61"/>
  <c r="O15" i="61" s="1"/>
  <c r="Q15" i="61" s="1"/>
  <c r="H16" i="61"/>
  <c r="O16" i="61" s="1"/>
  <c r="Q16" i="61" s="1"/>
  <c r="P32" i="61"/>
  <c r="N32" i="61"/>
  <c r="M32" i="61"/>
  <c r="K32" i="61"/>
  <c r="J32" i="61"/>
  <c r="I32" i="61"/>
  <c r="G32" i="61"/>
  <c r="L30" i="61"/>
  <c r="H32" i="61" l="1"/>
  <c r="L32" i="61"/>
  <c r="O30" i="61"/>
  <c r="Q30" i="61" s="1"/>
  <c r="O8" i="61"/>
  <c r="Q8" i="61" s="1"/>
  <c r="Q32" i="61" s="1"/>
  <c r="Q34" i="61" s="1"/>
  <c r="Q47" i="62" s="1"/>
  <c r="Q44" i="63" l="1"/>
  <c r="O32" i="61"/>
  <c r="J14" i="59" l="1"/>
  <c r="O39" i="59" l="1"/>
  <c r="Q39" i="59" s="1"/>
  <c r="O34" i="59" l="1"/>
  <c r="Q34" i="59" s="1"/>
  <c r="H33" i="59"/>
  <c r="O33" i="59" s="1"/>
  <c r="Q33" i="59" s="1"/>
  <c r="O37" i="59" l="1"/>
  <c r="Q37" i="59" s="1"/>
  <c r="O38" i="59"/>
  <c r="Q38" i="59" s="1"/>
  <c r="O40" i="59"/>
  <c r="Q40" i="59" s="1"/>
  <c r="O42" i="59"/>
  <c r="Q42" i="59" s="1"/>
  <c r="O43" i="59"/>
  <c r="Q43" i="59" s="1"/>
  <c r="O10" i="59" l="1"/>
  <c r="Q10" i="59" s="1"/>
  <c r="O12" i="59"/>
  <c r="Q12" i="59" s="1"/>
  <c r="O14" i="59"/>
  <c r="Q14" i="59" s="1"/>
  <c r="O16" i="59"/>
  <c r="Q16" i="59" s="1"/>
  <c r="O18" i="59"/>
  <c r="Q18" i="59" s="1"/>
  <c r="O20" i="59"/>
  <c r="Q20" i="59" s="1"/>
  <c r="O21" i="59"/>
  <c r="Q21" i="59" s="1"/>
  <c r="O22" i="59"/>
  <c r="Q22" i="59" s="1"/>
  <c r="O24" i="59"/>
  <c r="Q24" i="59" s="1"/>
  <c r="O26" i="59"/>
  <c r="Q26" i="59" s="1"/>
  <c r="O28" i="59"/>
  <c r="Q28" i="59" s="1"/>
  <c r="O35" i="59"/>
  <c r="Q35" i="59" s="1"/>
  <c r="O36" i="59"/>
  <c r="Q36" i="59" s="1"/>
  <c r="J31" i="59"/>
  <c r="O31" i="59" s="1"/>
  <c r="Q31" i="59" s="1"/>
  <c r="J29" i="59" l="1"/>
  <c r="O29" i="59" s="1"/>
  <c r="Q29" i="59" s="1"/>
  <c r="H27" i="59"/>
  <c r="O27" i="59" s="1"/>
  <c r="Q27" i="59" s="1"/>
  <c r="H25" i="59"/>
  <c r="O25" i="59" s="1"/>
  <c r="Q25" i="59" s="1"/>
  <c r="H30" i="59"/>
  <c r="O30" i="59" s="1"/>
  <c r="Q30" i="59" s="1"/>
  <c r="H32" i="59"/>
  <c r="O32" i="59" s="1"/>
  <c r="Q32" i="59" s="1"/>
  <c r="H23" i="59"/>
  <c r="O23" i="59" s="1"/>
  <c r="Q23" i="59" s="1"/>
  <c r="H11" i="59"/>
  <c r="O11" i="59" s="1"/>
  <c r="Q11" i="59" s="1"/>
  <c r="H13" i="59"/>
  <c r="O13" i="59" s="1"/>
  <c r="Q13" i="59" s="1"/>
  <c r="H15" i="59"/>
  <c r="O15" i="59" s="1"/>
  <c r="Q15" i="59" s="1"/>
  <c r="H17" i="59"/>
  <c r="O17" i="59" s="1"/>
  <c r="Q17" i="59" s="1"/>
  <c r="H19" i="59"/>
  <c r="O19" i="59" s="1"/>
  <c r="Q19" i="59" s="1"/>
  <c r="H9" i="59"/>
  <c r="O9" i="59" s="1"/>
  <c r="Q9" i="59" s="1"/>
  <c r="P44" i="59" l="1"/>
  <c r="N44" i="59"/>
  <c r="M44" i="59"/>
  <c r="K44" i="59"/>
  <c r="I44" i="59"/>
  <c r="G44" i="59"/>
  <c r="L41" i="59"/>
  <c r="O41" i="59" s="1"/>
  <c r="Q41" i="59" s="1"/>
  <c r="J44" i="59"/>
  <c r="O8" i="59"/>
  <c r="Q8" i="59" s="1"/>
  <c r="O44" i="59" l="1"/>
  <c r="Q44" i="59"/>
  <c r="H44" i="59"/>
  <c r="L44" i="59"/>
  <c r="J13" i="58"/>
  <c r="H29" i="58" l="1"/>
  <c r="J15" i="58" l="1"/>
  <c r="J10" i="58"/>
  <c r="H20" i="58"/>
  <c r="H21" i="58"/>
  <c r="H22" i="58"/>
  <c r="H24" i="58"/>
  <c r="H26" i="58"/>
  <c r="H28" i="58"/>
  <c r="H18" i="58"/>
  <c r="H10" i="58"/>
  <c r="H12" i="58"/>
  <c r="H13" i="58"/>
  <c r="H15" i="58"/>
  <c r="H8" i="58"/>
  <c r="O8" i="58" s="1"/>
  <c r="H37" i="58" l="1"/>
  <c r="P37" i="58"/>
  <c r="N37" i="58"/>
  <c r="M37" i="58"/>
  <c r="K37" i="58"/>
  <c r="I37" i="58"/>
  <c r="G37" i="58"/>
  <c r="O36" i="58"/>
  <c r="Q36" i="58" s="1"/>
  <c r="L35" i="58"/>
  <c r="O35" i="58" s="1"/>
  <c r="Q35" i="58" s="1"/>
  <c r="O34" i="58"/>
  <c r="Q34" i="58" s="1"/>
  <c r="O33" i="58"/>
  <c r="Q33" i="58" s="1"/>
  <c r="O32" i="58"/>
  <c r="Q32" i="58" s="1"/>
  <c r="O29" i="58"/>
  <c r="Q29" i="58" s="1"/>
  <c r="O28" i="58"/>
  <c r="Q28" i="58" s="1"/>
  <c r="O27" i="58"/>
  <c r="Q27" i="58" s="1"/>
  <c r="O26" i="58"/>
  <c r="Q26" i="58" s="1"/>
  <c r="O25" i="58"/>
  <c r="Q25" i="58" s="1"/>
  <c r="O24" i="58"/>
  <c r="Q24" i="58" s="1"/>
  <c r="O23" i="58"/>
  <c r="Q23" i="58" s="1"/>
  <c r="O22" i="58"/>
  <c r="Q22" i="58" s="1"/>
  <c r="O21" i="58"/>
  <c r="Q21" i="58" s="1"/>
  <c r="O20" i="58"/>
  <c r="Q20" i="58" s="1"/>
  <c r="O19" i="58"/>
  <c r="Q19" i="58" s="1"/>
  <c r="O18" i="58"/>
  <c r="Q18" i="58" s="1"/>
  <c r="O17" i="58"/>
  <c r="Q17" i="58" s="1"/>
  <c r="O16" i="58"/>
  <c r="Q16" i="58" s="1"/>
  <c r="O15" i="58"/>
  <c r="Q15" i="58" s="1"/>
  <c r="O14" i="58"/>
  <c r="Q14" i="58" s="1"/>
  <c r="O13" i="58"/>
  <c r="Q13" i="58" s="1"/>
  <c r="J37" i="58"/>
  <c r="O12" i="58"/>
  <c r="Q12" i="58" s="1"/>
  <c r="O11" i="58"/>
  <c r="Q11" i="58" s="1"/>
  <c r="O10" i="58"/>
  <c r="Q10" i="58" s="1"/>
  <c r="O9" i="58"/>
  <c r="Q9" i="58" s="1"/>
  <c r="Q8" i="58" l="1"/>
  <c r="Q37" i="58" s="1"/>
  <c r="O37" i="58"/>
  <c r="L37" i="58"/>
  <c r="O10" i="57"/>
  <c r="Q10" i="57" s="1"/>
  <c r="O13" i="57"/>
  <c r="Q13" i="57" s="1"/>
  <c r="O15" i="57"/>
  <c r="Q15" i="57" s="1"/>
  <c r="O17" i="57"/>
  <c r="Q17" i="57" s="1"/>
  <c r="O20" i="57"/>
  <c r="Q20" i="57" s="1"/>
  <c r="O22" i="57"/>
  <c r="Q22" i="57" s="1"/>
  <c r="O27" i="57"/>
  <c r="Q27" i="57" s="1"/>
  <c r="O30" i="57"/>
  <c r="Q30" i="57" s="1"/>
  <c r="O32" i="57"/>
  <c r="Q32" i="57" s="1"/>
  <c r="O33" i="57"/>
  <c r="Q33" i="57" s="1"/>
  <c r="O34" i="57"/>
  <c r="Q34" i="57" s="1"/>
  <c r="O35" i="57"/>
  <c r="Q35" i="57" s="1"/>
  <c r="O37" i="57"/>
  <c r="Q37" i="57" s="1"/>
  <c r="P38" i="57"/>
  <c r="N38" i="57" l="1"/>
  <c r="M38" i="57"/>
  <c r="K38" i="57"/>
  <c r="I38" i="57"/>
  <c r="G38" i="57"/>
  <c r="L36" i="57"/>
  <c r="O36" i="57" s="1"/>
  <c r="Q36" i="57" s="1"/>
  <c r="H31" i="57"/>
  <c r="O31" i="57" s="1"/>
  <c r="Q31" i="57" s="1"/>
  <c r="H29" i="57"/>
  <c r="O29" i="57" s="1"/>
  <c r="Q29" i="57" s="1"/>
  <c r="H28" i="57"/>
  <c r="O28" i="57" s="1"/>
  <c r="Q28" i="57" s="1"/>
  <c r="H26" i="57"/>
  <c r="O26" i="57" s="1"/>
  <c r="Q26" i="57" s="1"/>
  <c r="H25" i="57"/>
  <c r="O25" i="57" s="1"/>
  <c r="Q25" i="57" s="1"/>
  <c r="J24" i="57"/>
  <c r="H24" i="57"/>
  <c r="J23" i="57"/>
  <c r="H23" i="57"/>
  <c r="J21" i="57"/>
  <c r="H21" i="57"/>
  <c r="H19" i="57"/>
  <c r="O19" i="57" s="1"/>
  <c r="Q19" i="57" s="1"/>
  <c r="H18" i="57"/>
  <c r="O18" i="57" s="1"/>
  <c r="Q18" i="57" s="1"/>
  <c r="H16" i="57"/>
  <c r="O16" i="57" s="1"/>
  <c r="Q16" i="57" s="1"/>
  <c r="H14" i="57"/>
  <c r="O14" i="57" s="1"/>
  <c r="Q14" i="57" s="1"/>
  <c r="J12" i="57"/>
  <c r="H12" i="57"/>
  <c r="H11" i="57"/>
  <c r="O11" i="57" s="1"/>
  <c r="Q11" i="57" s="1"/>
  <c r="J9" i="57"/>
  <c r="O9" i="57" s="1"/>
  <c r="Q9" i="57" s="1"/>
  <c r="H8" i="57"/>
  <c r="O8" i="57" s="1"/>
  <c r="Q8" i="57" s="1"/>
  <c r="O12" i="57" l="1"/>
  <c r="Q12" i="57" s="1"/>
  <c r="O23" i="57"/>
  <c r="Q23" i="57" s="1"/>
  <c r="O24" i="57"/>
  <c r="Q24" i="57" s="1"/>
  <c r="O21" i="57"/>
  <c r="Q21" i="57" s="1"/>
  <c r="J38" i="57"/>
  <c r="H38" i="57"/>
  <c r="L38" i="57"/>
  <c r="Q38" i="57" l="1"/>
  <c r="O38" i="57"/>
  <c r="O21" i="56" l="1"/>
  <c r="O23" i="56"/>
  <c r="O25" i="56"/>
  <c r="O28" i="56"/>
  <c r="Q28" i="56" s="1"/>
  <c r="O29" i="56"/>
  <c r="Q29" i="56" s="1"/>
  <c r="O18" i="56"/>
  <c r="Q18" i="56" s="1"/>
  <c r="O15" i="56"/>
  <c r="Q15" i="56" s="1"/>
  <c r="O13" i="56"/>
  <c r="Q13" i="56" s="1"/>
  <c r="O10" i="56"/>
  <c r="Q10" i="56" s="1"/>
  <c r="O30" i="56"/>
  <c r="O31" i="56"/>
  <c r="O32" i="56"/>
  <c r="Q32" i="56" s="1"/>
  <c r="O33" i="56"/>
  <c r="Q33" i="56" s="1"/>
  <c r="O34" i="56"/>
  <c r="Q34" i="56" s="1"/>
  <c r="O35" i="56"/>
  <c r="Q35" i="56" s="1"/>
  <c r="O36" i="56"/>
  <c r="Q36" i="56" s="1"/>
  <c r="O37" i="56"/>
  <c r="Q37" i="56" s="1"/>
  <c r="O39" i="56"/>
  <c r="O40" i="56"/>
  <c r="O41" i="56"/>
  <c r="Q41" i="56" s="1"/>
  <c r="O43" i="56"/>
  <c r="Q43" i="56" s="1"/>
  <c r="O8" i="56"/>
  <c r="Q21" i="56"/>
  <c r="Q23" i="56"/>
  <c r="Q25" i="56"/>
  <c r="Q30" i="56"/>
  <c r="Q31" i="56"/>
  <c r="Q39" i="56"/>
  <c r="Q40" i="56"/>
  <c r="N38" i="56"/>
  <c r="O38" i="56" s="1"/>
  <c r="Q38" i="56" s="1"/>
  <c r="P44" i="56" l="1"/>
  <c r="N44" i="56"/>
  <c r="M44" i="56"/>
  <c r="K44" i="56"/>
  <c r="I44" i="56"/>
  <c r="G44" i="56"/>
  <c r="L42" i="56"/>
  <c r="O42" i="56" s="1"/>
  <c r="Q42" i="56" s="1"/>
  <c r="H27" i="56"/>
  <c r="O27" i="56" s="1"/>
  <c r="Q27" i="56" s="1"/>
  <c r="H26" i="56"/>
  <c r="O26" i="56" s="1"/>
  <c r="Q26" i="56" s="1"/>
  <c r="H24" i="56"/>
  <c r="O24" i="56" s="1"/>
  <c r="Q24" i="56" s="1"/>
  <c r="H22" i="56"/>
  <c r="O22" i="56" s="1"/>
  <c r="Q22" i="56" s="1"/>
  <c r="H20" i="56"/>
  <c r="O20" i="56" s="1"/>
  <c r="Q20" i="56" s="1"/>
  <c r="H19" i="56"/>
  <c r="O19" i="56" s="1"/>
  <c r="Q19" i="56" s="1"/>
  <c r="H17" i="56"/>
  <c r="O17" i="56" s="1"/>
  <c r="Q17" i="56" s="1"/>
  <c r="H16" i="56"/>
  <c r="O16" i="56" s="1"/>
  <c r="Q16" i="56" s="1"/>
  <c r="H14" i="56"/>
  <c r="O14" i="56" s="1"/>
  <c r="Q14" i="56" s="1"/>
  <c r="J12" i="56"/>
  <c r="J44" i="56" s="1"/>
  <c r="H12" i="56"/>
  <c r="H11" i="56"/>
  <c r="O11" i="56" s="1"/>
  <c r="Q11" i="56" s="1"/>
  <c r="H9" i="56"/>
  <c r="O9" i="56" l="1"/>
  <c r="Q9" i="56" s="1"/>
  <c r="H44" i="56"/>
  <c r="O12" i="56"/>
  <c r="Q12" i="56" s="1"/>
  <c r="Q8" i="56"/>
  <c r="L44" i="56"/>
  <c r="O44" i="56" l="1"/>
  <c r="Q44" i="56"/>
  <c r="O42" i="55"/>
  <c r="Q42" i="55" s="1"/>
  <c r="H33" i="55" l="1"/>
  <c r="O13" i="55" l="1"/>
  <c r="Q13" i="55" s="1"/>
  <c r="O19" i="55"/>
  <c r="Q19" i="55" s="1"/>
  <c r="O28" i="55"/>
  <c r="Q28" i="55" s="1"/>
  <c r="O31" i="55"/>
  <c r="Q31" i="55" s="1"/>
  <c r="O33" i="55"/>
  <c r="Q33" i="55" s="1"/>
  <c r="O34" i="55"/>
  <c r="Q34" i="55" s="1"/>
  <c r="O35" i="55"/>
  <c r="Q35" i="55" s="1"/>
  <c r="O36" i="55"/>
  <c r="Q36" i="55" s="1"/>
  <c r="O37" i="55"/>
  <c r="Q37" i="55" s="1"/>
  <c r="O38" i="55"/>
  <c r="Q38" i="55" s="1"/>
  <c r="O39" i="55"/>
  <c r="Q39" i="55" s="1"/>
  <c r="O40" i="55"/>
  <c r="Q40" i="55" s="1"/>
  <c r="O41" i="55"/>
  <c r="Q41" i="55" s="1"/>
  <c r="O43" i="55"/>
  <c r="Q43" i="55" s="1"/>
  <c r="O44" i="55"/>
  <c r="Q44" i="55" s="1"/>
  <c r="O46" i="55"/>
  <c r="Q46" i="55" s="1"/>
  <c r="J12" i="55"/>
  <c r="O12" i="55" s="1"/>
  <c r="Q12" i="55" s="1"/>
  <c r="J17" i="55" l="1"/>
  <c r="J15" i="55"/>
  <c r="O15" i="55" s="1"/>
  <c r="Q15" i="55" s="1"/>
  <c r="O8" i="55" l="1"/>
  <c r="Q8" i="55" s="1"/>
  <c r="H22" i="55" l="1"/>
  <c r="O22" i="55" s="1"/>
  <c r="Q22" i="55" s="1"/>
  <c r="H24" i="55"/>
  <c r="O24" i="55" s="1"/>
  <c r="Q24" i="55" s="1"/>
  <c r="H26" i="55"/>
  <c r="O26" i="55" s="1"/>
  <c r="Q26" i="55" s="1"/>
  <c r="H27" i="55"/>
  <c r="O27" i="55" s="1"/>
  <c r="Q27" i="55" s="1"/>
  <c r="H29" i="55"/>
  <c r="O29" i="55" s="1"/>
  <c r="Q29" i="55" s="1"/>
  <c r="H32" i="55"/>
  <c r="O32" i="55" s="1"/>
  <c r="Q32" i="55" s="1"/>
  <c r="H21" i="55"/>
  <c r="O21" i="55" s="1"/>
  <c r="Q21" i="55" s="1"/>
  <c r="H10" i="55"/>
  <c r="O10" i="55" s="1"/>
  <c r="Q10" i="55" s="1"/>
  <c r="H11" i="55"/>
  <c r="H14" i="55"/>
  <c r="O14" i="55" s="1"/>
  <c r="Q14" i="55" s="1"/>
  <c r="H16" i="55"/>
  <c r="O16" i="55" s="1"/>
  <c r="Q16" i="55" s="1"/>
  <c r="H17" i="55"/>
  <c r="O17" i="55" s="1"/>
  <c r="Q17" i="55" s="1"/>
  <c r="H20" i="55"/>
  <c r="O20" i="55" s="1"/>
  <c r="Q20" i="55" s="1"/>
  <c r="H9" i="55"/>
  <c r="O9" i="55" s="1"/>
  <c r="Q9" i="55" s="1"/>
  <c r="J30" i="55"/>
  <c r="O30" i="55" s="1"/>
  <c r="Q30" i="55" s="1"/>
  <c r="J25" i="55"/>
  <c r="O25" i="55" s="1"/>
  <c r="Q25" i="55" s="1"/>
  <c r="J23" i="55"/>
  <c r="O23" i="55" s="1"/>
  <c r="Q23" i="55" s="1"/>
  <c r="J18" i="55"/>
  <c r="O18" i="55" s="1"/>
  <c r="Q18" i="55" s="1"/>
  <c r="J11" i="55"/>
  <c r="P47" i="55"/>
  <c r="N47" i="55"/>
  <c r="M47" i="55"/>
  <c r="K47" i="55"/>
  <c r="I47" i="55"/>
  <c r="G47" i="55"/>
  <c r="L45" i="55"/>
  <c r="O45" i="55" s="1"/>
  <c r="Q45" i="55" s="1"/>
  <c r="O11" i="55" l="1"/>
  <c r="Q11" i="55" s="1"/>
  <c r="Q47" i="55" s="1"/>
  <c r="J47" i="55"/>
  <c r="H47" i="55"/>
  <c r="L47" i="55"/>
  <c r="K41" i="54"/>
  <c r="O47" i="55" l="1"/>
  <c r="H34" i="54"/>
  <c r="P42" i="54" l="1"/>
  <c r="N42" i="54"/>
  <c r="M42" i="54"/>
  <c r="K42" i="54"/>
  <c r="J42" i="54"/>
  <c r="I42" i="54"/>
  <c r="G42" i="54"/>
  <c r="L40" i="54"/>
  <c r="O40" i="54" s="1"/>
  <c r="Q40" i="54" s="1"/>
  <c r="O39" i="54"/>
  <c r="Q39" i="54" s="1"/>
  <c r="O38" i="54"/>
  <c r="Q38" i="54" s="1"/>
  <c r="O37" i="54"/>
  <c r="Q37" i="54" s="1"/>
  <c r="O36" i="54"/>
  <c r="Q36" i="54" s="1"/>
  <c r="O35" i="54"/>
  <c r="Q35" i="54" s="1"/>
  <c r="O34" i="54"/>
  <c r="Q34" i="54" s="1"/>
  <c r="O33" i="54"/>
  <c r="Q33" i="54" s="1"/>
  <c r="O32" i="54"/>
  <c r="Q32" i="54" s="1"/>
  <c r="O31" i="54"/>
  <c r="Q31" i="54" s="1"/>
  <c r="O30" i="54"/>
  <c r="Q30" i="54" s="1"/>
  <c r="H29" i="54"/>
  <c r="O29" i="54" s="1"/>
  <c r="Q29" i="54" s="1"/>
  <c r="O28" i="54"/>
  <c r="Q28" i="54" s="1"/>
  <c r="H27" i="54"/>
  <c r="O27" i="54" s="1"/>
  <c r="Q27" i="54" s="1"/>
  <c r="O26" i="54"/>
  <c r="Q26" i="54" s="1"/>
  <c r="H25" i="54"/>
  <c r="O25" i="54" s="1"/>
  <c r="Q25" i="54" s="1"/>
  <c r="H24" i="54"/>
  <c r="O24" i="54" s="1"/>
  <c r="Q24" i="54" s="1"/>
  <c r="H23" i="54"/>
  <c r="O23" i="54" s="1"/>
  <c r="Q23" i="54" s="1"/>
  <c r="O22" i="54"/>
  <c r="Q22" i="54" s="1"/>
  <c r="H21" i="54"/>
  <c r="O21" i="54" s="1"/>
  <c r="Q21" i="54" s="1"/>
  <c r="O20" i="54"/>
  <c r="Q20" i="54" s="1"/>
  <c r="H19" i="54"/>
  <c r="O19" i="54" s="1"/>
  <c r="Q19" i="54" s="1"/>
  <c r="O18" i="54"/>
  <c r="Q18" i="54" s="1"/>
  <c r="H17" i="54"/>
  <c r="O17" i="54" s="1"/>
  <c r="Q17" i="54" s="1"/>
  <c r="H16" i="54"/>
  <c r="O16" i="54" s="1"/>
  <c r="Q16" i="54" s="1"/>
  <c r="O15" i="54"/>
  <c r="Q15" i="54" s="1"/>
  <c r="H14" i="54"/>
  <c r="O14" i="54" s="1"/>
  <c r="Q14" i="54" s="1"/>
  <c r="H13" i="54"/>
  <c r="O13" i="54" s="1"/>
  <c r="Q13" i="54" s="1"/>
  <c r="O12" i="54"/>
  <c r="Q12" i="54" s="1"/>
  <c r="H11" i="54"/>
  <c r="O11" i="54" s="1"/>
  <c r="Q11" i="54" s="1"/>
  <c r="O10" i="54"/>
  <c r="Q10" i="54" s="1"/>
  <c r="H9" i="54"/>
  <c r="O9" i="54" s="1"/>
  <c r="Q9" i="54" s="1"/>
  <c r="H8" i="54"/>
  <c r="O8" i="54" s="1"/>
  <c r="Q8" i="54" s="1"/>
  <c r="L42" i="54" l="1"/>
  <c r="H42" i="54"/>
  <c r="O41" i="54"/>
  <c r="Q41" i="54" s="1"/>
  <c r="Q42" i="54" s="1"/>
  <c r="O42" i="54" l="1"/>
  <c r="O30" i="53"/>
  <c r="Q30" i="53" s="1"/>
  <c r="H29" i="53" l="1"/>
  <c r="H27" i="53"/>
  <c r="H25" i="53"/>
  <c r="H23" i="53"/>
  <c r="H21" i="53"/>
  <c r="H20" i="53"/>
  <c r="H17" i="53"/>
  <c r="H15" i="53"/>
  <c r="H13" i="53"/>
  <c r="H11" i="53"/>
  <c r="H9" i="53"/>
  <c r="H8" i="53"/>
  <c r="O26" i="53" l="1"/>
  <c r="Q26" i="53" s="1"/>
  <c r="O27" i="53"/>
  <c r="Q27" i="53" s="1"/>
  <c r="P39" i="53" l="1"/>
  <c r="N39" i="53"/>
  <c r="M39" i="53"/>
  <c r="I39" i="53"/>
  <c r="G39" i="53"/>
  <c r="K39" i="53"/>
  <c r="L37" i="53"/>
  <c r="L39" i="53" s="1"/>
  <c r="O36" i="53"/>
  <c r="Q36" i="53" s="1"/>
  <c r="O35" i="53"/>
  <c r="Q35" i="53" s="1"/>
  <c r="O34" i="53"/>
  <c r="Q34" i="53" s="1"/>
  <c r="O33" i="53"/>
  <c r="Q33" i="53" s="1"/>
  <c r="O32" i="53"/>
  <c r="Q32" i="53" s="1"/>
  <c r="O31" i="53"/>
  <c r="Q31" i="53" s="1"/>
  <c r="O24" i="53"/>
  <c r="Q24" i="53" s="1"/>
  <c r="O22" i="53"/>
  <c r="Q22" i="53" s="1"/>
  <c r="O19" i="53"/>
  <c r="Q19" i="53" s="1"/>
  <c r="O37" i="53" l="1"/>
  <c r="Q37" i="53" s="1"/>
  <c r="O23" i="53"/>
  <c r="Q23" i="53" s="1"/>
  <c r="H39" i="53"/>
  <c r="O20" i="53"/>
  <c r="Q20" i="53" s="1"/>
  <c r="O21" i="53"/>
  <c r="Q21" i="53" s="1"/>
  <c r="J39" i="53"/>
  <c r="O9" i="53"/>
  <c r="Q9" i="53" s="1"/>
  <c r="O10" i="53"/>
  <c r="Q10" i="53" s="1"/>
  <c r="O11" i="53"/>
  <c r="Q11" i="53" s="1"/>
  <c r="O12" i="53"/>
  <c r="Q12" i="53" s="1"/>
  <c r="O13" i="53"/>
  <c r="Q13" i="53" s="1"/>
  <c r="O14" i="53"/>
  <c r="Q14" i="53" s="1"/>
  <c r="O15" i="53"/>
  <c r="Q15" i="53" s="1"/>
  <c r="O16" i="53"/>
  <c r="Q16" i="53" s="1"/>
  <c r="O17" i="53"/>
  <c r="Q17" i="53" s="1"/>
  <c r="O18" i="53"/>
  <c r="Q18" i="53" s="1"/>
  <c r="O25" i="53"/>
  <c r="Q25" i="53" s="1"/>
  <c r="O28" i="53"/>
  <c r="Q28" i="53" s="1"/>
  <c r="O29" i="53"/>
  <c r="Q29" i="53" s="1"/>
  <c r="O38" i="53"/>
  <c r="Q38" i="53" s="1"/>
  <c r="O8" i="53"/>
  <c r="Q8" i="53" l="1"/>
  <c r="Q39" i="53" s="1"/>
  <c r="O39" i="53"/>
  <c r="K36" i="52" l="1"/>
  <c r="H27" i="52" l="1"/>
  <c r="H25" i="52"/>
  <c r="H23" i="52"/>
  <c r="H21" i="52"/>
  <c r="H18" i="52"/>
  <c r="H17" i="52"/>
  <c r="H16" i="52"/>
  <c r="H15" i="52"/>
  <c r="H14" i="52"/>
  <c r="H13" i="52"/>
  <c r="H12" i="52"/>
  <c r="H11" i="52"/>
  <c r="H8" i="52"/>
  <c r="O29" i="52" l="1"/>
  <c r="O30" i="52"/>
  <c r="O31" i="52"/>
  <c r="O32" i="52"/>
  <c r="O33" i="52"/>
  <c r="O34" i="52"/>
  <c r="O36" i="52" l="1"/>
  <c r="Q36" i="52" s="1"/>
  <c r="Q31" i="52"/>
  <c r="Q30" i="52"/>
  <c r="Q29" i="52"/>
  <c r="O8" i="52"/>
  <c r="P37" i="52"/>
  <c r="N37" i="52"/>
  <c r="M37" i="52"/>
  <c r="K37" i="52"/>
  <c r="I37" i="52"/>
  <c r="G37" i="52"/>
  <c r="L35" i="52"/>
  <c r="Q34" i="52"/>
  <c r="Q33" i="52"/>
  <c r="Q32" i="52"/>
  <c r="H26" i="52"/>
  <c r="H20" i="52"/>
  <c r="H10" i="52"/>
  <c r="H9" i="52"/>
  <c r="O35" i="52" l="1"/>
  <c r="Q35" i="52" s="1"/>
  <c r="O26" i="52"/>
  <c r="H37" i="52"/>
  <c r="L37" i="52"/>
  <c r="H31" i="51"/>
  <c r="O27" i="52" l="1"/>
  <c r="Q27" i="52" s="1"/>
  <c r="O11" i="52"/>
  <c r="Q11" i="52" s="1"/>
  <c r="O16" i="52"/>
  <c r="Q16" i="52" s="1"/>
  <c r="O13" i="52"/>
  <c r="Q13" i="52" s="1"/>
  <c r="O14" i="52"/>
  <c r="Q14" i="52" s="1"/>
  <c r="O18" i="52"/>
  <c r="Q18" i="52" s="1"/>
  <c r="O15" i="52"/>
  <c r="Q15" i="52" s="1"/>
  <c r="O9" i="52"/>
  <c r="Q9" i="52" s="1"/>
  <c r="O17" i="52"/>
  <c r="Q17" i="52" s="1"/>
  <c r="O22" i="52"/>
  <c r="Q22" i="52" s="1"/>
  <c r="O19" i="52"/>
  <c r="Q19" i="52" s="1"/>
  <c r="O24" i="52"/>
  <c r="Q24" i="52" s="1"/>
  <c r="O21" i="52"/>
  <c r="Q21" i="52" s="1"/>
  <c r="Q26" i="52"/>
  <c r="O23" i="52"/>
  <c r="Q23" i="52" s="1"/>
  <c r="O20" i="52"/>
  <c r="Q20" i="52" s="1"/>
  <c r="O12" i="52"/>
  <c r="Q12" i="52" s="1"/>
  <c r="O25" i="52"/>
  <c r="Q25" i="52" s="1"/>
  <c r="O10" i="52"/>
  <c r="Q10" i="52" s="1"/>
  <c r="J37" i="52"/>
  <c r="O11" i="51"/>
  <c r="Q11" i="51" s="1"/>
  <c r="O13" i="51"/>
  <c r="Q13" i="51" s="1"/>
  <c r="O15" i="51"/>
  <c r="Q15" i="51" s="1"/>
  <c r="O17" i="51"/>
  <c r="Q17" i="51" s="1"/>
  <c r="O19" i="51"/>
  <c r="Q19" i="51" s="1"/>
  <c r="O22" i="51"/>
  <c r="Q22" i="51" s="1"/>
  <c r="O24" i="51"/>
  <c r="Q24" i="51" s="1"/>
  <c r="O29" i="51"/>
  <c r="Q29" i="51" s="1"/>
  <c r="O30" i="51"/>
  <c r="Q30" i="51" s="1"/>
  <c r="O31" i="51"/>
  <c r="Q31" i="51" s="1"/>
  <c r="O32" i="51"/>
  <c r="Q32" i="51" s="1"/>
  <c r="O33" i="51"/>
  <c r="Q33" i="51" s="1"/>
  <c r="O34" i="51"/>
  <c r="Q34" i="51" s="1"/>
  <c r="O35" i="51"/>
  <c r="Q35" i="51" s="1"/>
  <c r="O36" i="51"/>
  <c r="Q36" i="51" s="1"/>
  <c r="O37" i="51"/>
  <c r="Q37" i="51" s="1"/>
  <c r="O38" i="51"/>
  <c r="Q38" i="51" s="1"/>
  <c r="O40" i="51"/>
  <c r="Q40" i="51" s="1"/>
  <c r="O37" i="52" l="1"/>
  <c r="Q8" i="52"/>
  <c r="Q37" i="52" s="1"/>
  <c r="J8" i="51"/>
  <c r="H23" i="51"/>
  <c r="O23" i="51" s="1"/>
  <c r="Q23" i="51" s="1"/>
  <c r="H25" i="51"/>
  <c r="O25" i="51" s="1"/>
  <c r="Q25" i="51" s="1"/>
  <c r="H26" i="51"/>
  <c r="O26" i="51" s="1"/>
  <c r="Q26" i="51" s="1"/>
  <c r="H27" i="51"/>
  <c r="O27" i="51" s="1"/>
  <c r="Q27" i="51" s="1"/>
  <c r="H28" i="51"/>
  <c r="O28" i="51" s="1"/>
  <c r="Q28" i="51" s="1"/>
  <c r="H21" i="51"/>
  <c r="O21" i="51" s="1"/>
  <c r="Q21" i="51" s="1"/>
  <c r="H10" i="51"/>
  <c r="O10" i="51" s="1"/>
  <c r="Q10" i="51" s="1"/>
  <c r="H12" i="51"/>
  <c r="O12" i="51" s="1"/>
  <c r="Q12" i="51" s="1"/>
  <c r="H14" i="51"/>
  <c r="O14" i="51" s="1"/>
  <c r="Q14" i="51" s="1"/>
  <c r="H16" i="51"/>
  <c r="O16" i="51" s="1"/>
  <c r="Q16" i="51" s="1"/>
  <c r="H18" i="51"/>
  <c r="O18" i="51" s="1"/>
  <c r="Q18" i="51" s="1"/>
  <c r="H20" i="51"/>
  <c r="O20" i="51" s="1"/>
  <c r="Q20" i="51" s="1"/>
  <c r="H9" i="51"/>
  <c r="O9" i="51" s="1"/>
  <c r="Q9" i="51" s="1"/>
  <c r="P41" i="51"/>
  <c r="M41" i="51"/>
  <c r="I41" i="51"/>
  <c r="G41" i="51"/>
  <c r="K41" i="51"/>
  <c r="L39" i="51"/>
  <c r="O8" i="51"/>
  <c r="Q8" i="51" s="1"/>
  <c r="L41" i="51" l="1"/>
  <c r="O39" i="51"/>
  <c r="Q39" i="51" s="1"/>
  <c r="H41" i="51"/>
  <c r="J41" i="51"/>
  <c r="N41" i="51"/>
  <c r="Q41" i="51" l="1"/>
  <c r="O41" i="51"/>
  <c r="H33" i="50"/>
  <c r="K51" i="50"/>
  <c r="N40" i="50" l="1"/>
  <c r="J31" i="50" l="1"/>
  <c r="J12" i="50"/>
  <c r="J8" i="50"/>
  <c r="O9" i="50"/>
  <c r="Q9" i="50" s="1"/>
  <c r="O11" i="50"/>
  <c r="Q11" i="50" s="1"/>
  <c r="O13" i="50"/>
  <c r="Q13" i="50" s="1"/>
  <c r="O16" i="50"/>
  <c r="Q16" i="50" s="1"/>
  <c r="O18" i="50"/>
  <c r="Q18" i="50" s="1"/>
  <c r="O20" i="50"/>
  <c r="Q20" i="50" s="1"/>
  <c r="O22" i="50"/>
  <c r="Q22" i="50" s="1"/>
  <c r="O26" i="50"/>
  <c r="Q26" i="50" s="1"/>
  <c r="O28" i="50"/>
  <c r="Q28" i="50" s="1"/>
  <c r="O30" i="50"/>
  <c r="Q30" i="50" s="1"/>
  <c r="O33" i="50"/>
  <c r="Q33" i="50" s="1"/>
  <c r="O34" i="50"/>
  <c r="Q34" i="50" s="1"/>
  <c r="O35" i="50"/>
  <c r="Q35" i="50" s="1"/>
  <c r="O36" i="50"/>
  <c r="Q36" i="50" s="1"/>
  <c r="O37" i="50"/>
  <c r="Q37" i="50" s="1"/>
  <c r="O38" i="50"/>
  <c r="Q38" i="50" s="1"/>
  <c r="O39" i="50"/>
  <c r="Q39" i="50" s="1"/>
  <c r="O40" i="50"/>
  <c r="Q40" i="50" s="1"/>
  <c r="O41" i="50"/>
  <c r="Q41" i="50" s="1"/>
  <c r="O42" i="50"/>
  <c r="Q42" i="50" s="1"/>
  <c r="O43" i="50"/>
  <c r="Q43" i="50" s="1"/>
  <c r="O44" i="50"/>
  <c r="Q44" i="50" s="1"/>
  <c r="O45" i="50"/>
  <c r="Q45" i="50" s="1"/>
  <c r="O46" i="50"/>
  <c r="Q46" i="50" s="1"/>
  <c r="O47" i="50"/>
  <c r="Q47" i="50" s="1"/>
  <c r="O48" i="50"/>
  <c r="Q48" i="50" s="1"/>
  <c r="O49" i="50"/>
  <c r="Q49" i="50" s="1"/>
  <c r="O51" i="50"/>
  <c r="Q51" i="50" s="1"/>
  <c r="H12" i="50"/>
  <c r="O12" i="50" s="1"/>
  <c r="Q12" i="50" s="1"/>
  <c r="H14" i="50"/>
  <c r="O14" i="50" s="1"/>
  <c r="Q14" i="50" s="1"/>
  <c r="H15" i="50"/>
  <c r="O15" i="50" s="1"/>
  <c r="Q15" i="50" s="1"/>
  <c r="H17" i="50"/>
  <c r="O17" i="50" s="1"/>
  <c r="Q17" i="50" s="1"/>
  <c r="H19" i="50"/>
  <c r="O19" i="50" s="1"/>
  <c r="Q19" i="50" s="1"/>
  <c r="H21" i="50"/>
  <c r="O21" i="50" s="1"/>
  <c r="Q21" i="50" s="1"/>
  <c r="H23" i="50"/>
  <c r="O23" i="50" s="1"/>
  <c r="Q23" i="50" s="1"/>
  <c r="H24" i="50"/>
  <c r="O24" i="50" s="1"/>
  <c r="Q24" i="50" s="1"/>
  <c r="H25" i="50"/>
  <c r="O25" i="50" s="1"/>
  <c r="Q25" i="50" s="1"/>
  <c r="H27" i="50"/>
  <c r="O27" i="50" s="1"/>
  <c r="Q27" i="50" s="1"/>
  <c r="H29" i="50"/>
  <c r="O29" i="50" s="1"/>
  <c r="Q29" i="50" s="1"/>
  <c r="H31" i="50"/>
  <c r="H32" i="50"/>
  <c r="O32" i="50" s="1"/>
  <c r="Q32" i="50" s="1"/>
  <c r="H10" i="50"/>
  <c r="O10" i="50" s="1"/>
  <c r="Q10" i="50" s="1"/>
  <c r="O31" i="50" l="1"/>
  <c r="Q31" i="50" s="1"/>
  <c r="P52" i="50"/>
  <c r="N52" i="50"/>
  <c r="M52" i="50"/>
  <c r="K52" i="50"/>
  <c r="I52" i="50"/>
  <c r="G52" i="50"/>
  <c r="L50" i="50"/>
  <c r="O50" i="50" s="1"/>
  <c r="Q50" i="50" s="1"/>
  <c r="J52" i="50"/>
  <c r="O8" i="50"/>
  <c r="Q8" i="50" s="1"/>
  <c r="Q52" i="50" l="1"/>
  <c r="H52" i="50"/>
  <c r="L52" i="50"/>
  <c r="O52" i="50" l="1"/>
  <c r="H21" i="49"/>
  <c r="P27" i="49" l="1"/>
  <c r="O9" i="48" l="1"/>
  <c r="O12" i="48"/>
  <c r="O16" i="48"/>
  <c r="O18" i="48"/>
  <c r="O20" i="48"/>
  <c r="O25" i="48"/>
  <c r="O33" i="48"/>
  <c r="O34" i="48"/>
  <c r="O35" i="48"/>
  <c r="O36" i="48"/>
  <c r="O37" i="48"/>
  <c r="O38" i="48"/>
  <c r="O39" i="48"/>
  <c r="O41" i="48"/>
  <c r="H32" i="48"/>
  <c r="O32" i="48" s="1"/>
  <c r="J10" i="49" l="1"/>
  <c r="H10" i="49" l="1"/>
  <c r="O10" i="49" s="1"/>
  <c r="Q10" i="49" s="1"/>
  <c r="H11" i="49"/>
  <c r="O11" i="49" s="1"/>
  <c r="Q11" i="49" s="1"/>
  <c r="H13" i="49"/>
  <c r="O13" i="49" s="1"/>
  <c r="Q13" i="49" s="1"/>
  <c r="H15" i="49"/>
  <c r="O15" i="49" s="1"/>
  <c r="Q15" i="49" s="1"/>
  <c r="H16" i="49"/>
  <c r="O16" i="49" s="1"/>
  <c r="Q16" i="49" s="1"/>
  <c r="H18" i="49"/>
  <c r="O18" i="49" s="1"/>
  <c r="Q18" i="49" s="1"/>
  <c r="H20" i="49"/>
  <c r="O20" i="49" s="1"/>
  <c r="Q20" i="49" s="1"/>
  <c r="M27" i="49"/>
  <c r="K27" i="49"/>
  <c r="I27" i="49"/>
  <c r="G27" i="49"/>
  <c r="O26" i="49"/>
  <c r="Q26" i="49" s="1"/>
  <c r="L25" i="49"/>
  <c r="O25" i="49" s="1"/>
  <c r="Q25" i="49" s="1"/>
  <c r="O24" i="49"/>
  <c r="Q24" i="49" s="1"/>
  <c r="O21" i="49"/>
  <c r="Q21" i="49" s="1"/>
  <c r="O19" i="49"/>
  <c r="Q19" i="49" s="1"/>
  <c r="O17" i="49"/>
  <c r="Q17" i="49" s="1"/>
  <c r="O14" i="49"/>
  <c r="Q14" i="49" s="1"/>
  <c r="O12" i="49"/>
  <c r="Q12" i="49" s="1"/>
  <c r="O9" i="49"/>
  <c r="Q9" i="49" s="1"/>
  <c r="O8" i="49"/>
  <c r="N27" i="49" l="1"/>
  <c r="O27" i="49"/>
  <c r="H27" i="49"/>
  <c r="J27" i="49"/>
  <c r="L27" i="49"/>
  <c r="Q8" i="49"/>
  <c r="Q27" i="49" s="1"/>
  <c r="Q33" i="48"/>
  <c r="Q35" i="48"/>
  <c r="Q38" i="48"/>
  <c r="Q9" i="48"/>
  <c r="Q12" i="48"/>
  <c r="Q16" i="48"/>
  <c r="Q18" i="48"/>
  <c r="Q20" i="48"/>
  <c r="Q25" i="48"/>
  <c r="Q32" i="48"/>
  <c r="Q34" i="48"/>
  <c r="Q36" i="48"/>
  <c r="Q37" i="48"/>
  <c r="Q39" i="48"/>
  <c r="Q41" i="48"/>
  <c r="J28" i="48" l="1"/>
  <c r="H8" i="48"/>
  <c r="O28" i="48" l="1"/>
  <c r="H10" i="48"/>
  <c r="H11" i="48"/>
  <c r="H13" i="48"/>
  <c r="H15" i="48"/>
  <c r="H17" i="48"/>
  <c r="H19" i="48"/>
  <c r="H21" i="48"/>
  <c r="H23" i="48"/>
  <c r="H24" i="48"/>
  <c r="H26" i="48"/>
  <c r="H27" i="48"/>
  <c r="H29" i="48"/>
  <c r="H30" i="48"/>
  <c r="H31" i="48"/>
  <c r="O29" i="48" l="1"/>
  <c r="Q29" i="48" s="1"/>
  <c r="O23" i="48"/>
  <c r="O15" i="48"/>
  <c r="O11" i="48"/>
  <c r="O31" i="48"/>
  <c r="O26" i="48"/>
  <c r="O27" i="48"/>
  <c r="Q27" i="48" s="1"/>
  <c r="O24" i="48"/>
  <c r="Q24" i="48" s="1"/>
  <c r="O21" i="48"/>
  <c r="Q21" i="48" s="1"/>
  <c r="O17" i="48"/>
  <c r="Q17" i="48" s="1"/>
  <c r="O13" i="48"/>
  <c r="Q13" i="48" s="1"/>
  <c r="O10" i="48"/>
  <c r="Q28" i="48"/>
  <c r="J30" i="48"/>
  <c r="O30" i="48" s="1"/>
  <c r="J22" i="48"/>
  <c r="J19" i="48"/>
  <c r="J14" i="48"/>
  <c r="P42" i="48"/>
  <c r="N42" i="48"/>
  <c r="M42" i="48"/>
  <c r="K42" i="48"/>
  <c r="I42" i="48"/>
  <c r="G42" i="48"/>
  <c r="L40" i="48"/>
  <c r="O40" i="48" s="1"/>
  <c r="O8" i="48"/>
  <c r="Q30" i="48" l="1"/>
  <c r="Q8" i="48"/>
  <c r="O14" i="48"/>
  <c r="Q14" i="48" s="1"/>
  <c r="O22" i="48"/>
  <c r="Q26" i="48"/>
  <c r="Q31" i="48"/>
  <c r="Q11" i="48"/>
  <c r="Q15" i="48"/>
  <c r="Q10" i="48"/>
  <c r="O19" i="48"/>
  <c r="Q23" i="48"/>
  <c r="L42" i="48"/>
  <c r="Q40" i="48"/>
  <c r="J42" i="48"/>
  <c r="H42" i="48"/>
  <c r="O42" i="48" l="1"/>
  <c r="Q19" i="48"/>
  <c r="Q22" i="48"/>
  <c r="O10" i="47"/>
  <c r="O12" i="47"/>
  <c r="O13" i="47"/>
  <c r="O16" i="47"/>
  <c r="O20" i="47"/>
  <c r="O22" i="47"/>
  <c r="O25" i="47"/>
  <c r="O27" i="47"/>
  <c r="O31" i="47"/>
  <c r="O32" i="47"/>
  <c r="O36" i="47"/>
  <c r="O37" i="47"/>
  <c r="O38" i="47"/>
  <c r="O39" i="47"/>
  <c r="O40" i="47"/>
  <c r="O41" i="47"/>
  <c r="O43" i="47"/>
  <c r="Q42" i="48" l="1"/>
  <c r="Q44" i="48" s="1"/>
  <c r="H26" i="47"/>
  <c r="O26" i="47" s="1"/>
  <c r="Q26" i="47" s="1"/>
  <c r="H28" i="47"/>
  <c r="O28" i="47" s="1"/>
  <c r="Q28" i="47" s="1"/>
  <c r="H29" i="47"/>
  <c r="O29" i="47" s="1"/>
  <c r="Q29" i="47" s="1"/>
  <c r="H30" i="47"/>
  <c r="O30" i="47" s="1"/>
  <c r="Q30" i="47" s="1"/>
  <c r="H24" i="47"/>
  <c r="O24" i="47" s="1"/>
  <c r="Q24" i="47" s="1"/>
  <c r="H15" i="47"/>
  <c r="O15" i="47" s="1"/>
  <c r="Q15" i="47" s="1"/>
  <c r="Q16" i="47"/>
  <c r="H17" i="47"/>
  <c r="H18" i="47"/>
  <c r="H19" i="47"/>
  <c r="H21" i="47"/>
  <c r="O21" i="47" s="1"/>
  <c r="Q21" i="47" s="1"/>
  <c r="H23" i="47"/>
  <c r="O23" i="47" s="1"/>
  <c r="Q23" i="47" s="1"/>
  <c r="H14" i="47"/>
  <c r="H9" i="47"/>
  <c r="O9" i="47" s="1"/>
  <c r="H11" i="47"/>
  <c r="O11" i="47" s="1"/>
  <c r="Q11" i="47" s="1"/>
  <c r="Q31" i="47"/>
  <c r="Q32" i="47"/>
  <c r="Q36" i="47"/>
  <c r="Q37" i="47"/>
  <c r="Q38" i="47"/>
  <c r="Q39" i="47"/>
  <c r="Q40" i="47"/>
  <c r="Q41" i="47"/>
  <c r="Q43" i="47"/>
  <c r="J19" i="47"/>
  <c r="J17" i="47"/>
  <c r="L35" i="47"/>
  <c r="O35" i="47" s="1"/>
  <c r="Q35" i="47" s="1"/>
  <c r="L34" i="47"/>
  <c r="O34" i="47" s="1"/>
  <c r="Q34" i="47" s="1"/>
  <c r="L33" i="47"/>
  <c r="O33" i="47" s="1"/>
  <c r="Q33" i="47" s="1"/>
  <c r="P44" i="47"/>
  <c r="M44" i="47"/>
  <c r="K44" i="47"/>
  <c r="I44" i="47"/>
  <c r="G44" i="47"/>
  <c r="L42" i="47"/>
  <c r="O42" i="47" s="1"/>
  <c r="Q42" i="47" s="1"/>
  <c r="N44" i="47"/>
  <c r="Q27" i="47"/>
  <c r="Q25" i="47"/>
  <c r="Q22" i="47"/>
  <c r="Q20" i="47"/>
  <c r="Q13" i="47"/>
  <c r="Q12" i="47"/>
  <c r="Q10" i="47"/>
  <c r="O8" i="47"/>
  <c r="Q8" i="47" s="1"/>
  <c r="J44" i="47" l="1"/>
  <c r="Q29" i="49"/>
  <c r="O17" i="47"/>
  <c r="Q17" i="47" s="1"/>
  <c r="O14" i="47"/>
  <c r="Q14" i="47" s="1"/>
  <c r="O19" i="47"/>
  <c r="Q19" i="47" s="1"/>
  <c r="O18" i="47"/>
  <c r="Q18" i="47" s="1"/>
  <c r="H44" i="47"/>
  <c r="L44" i="47"/>
  <c r="Q9" i="47"/>
  <c r="H34" i="46"/>
  <c r="Q54" i="50" l="1"/>
  <c r="Q44" i="47"/>
  <c r="O44" i="47"/>
  <c r="N38" i="46"/>
  <c r="Q43" i="51" l="1"/>
  <c r="O10" i="46"/>
  <c r="Q10" i="46" s="1"/>
  <c r="O13" i="46"/>
  <c r="Q13" i="46" s="1"/>
  <c r="O14" i="46"/>
  <c r="Q14" i="46" s="1"/>
  <c r="O16" i="46"/>
  <c r="Q16" i="46" s="1"/>
  <c r="O21" i="46"/>
  <c r="Q21" i="46" s="1"/>
  <c r="O23" i="46"/>
  <c r="Q23" i="46" s="1"/>
  <c r="O24" i="46"/>
  <c r="Q24" i="46" s="1"/>
  <c r="O26" i="46"/>
  <c r="Q26" i="46" s="1"/>
  <c r="O29" i="46"/>
  <c r="Q29" i="46" s="1"/>
  <c r="O30" i="46"/>
  <c r="Q30" i="46" s="1"/>
  <c r="O32" i="46"/>
  <c r="Q32" i="46" s="1"/>
  <c r="O34" i="46"/>
  <c r="Q34" i="46" s="1"/>
  <c r="O35" i="46"/>
  <c r="Q35" i="46" s="1"/>
  <c r="O36" i="46"/>
  <c r="Q36" i="46" s="1"/>
  <c r="O37" i="46"/>
  <c r="Q37" i="46" s="1"/>
  <c r="O38" i="46"/>
  <c r="Q38" i="46" s="1"/>
  <c r="O40" i="46"/>
  <c r="Q40" i="46" s="1"/>
  <c r="Q39" i="52" l="1"/>
  <c r="Q41" i="53" s="1"/>
  <c r="Q44" i="54" s="1"/>
  <c r="Q49" i="55" s="1"/>
  <c r="Q46" i="56" s="1"/>
  <c r="H12" i="46"/>
  <c r="O12" i="46" s="1"/>
  <c r="Q12" i="46" s="1"/>
  <c r="H28" i="46"/>
  <c r="O28" i="46" s="1"/>
  <c r="Q28" i="46" s="1"/>
  <c r="H31" i="46"/>
  <c r="O31" i="46" s="1"/>
  <c r="Q31" i="46" s="1"/>
  <c r="H33" i="46"/>
  <c r="O33" i="46" s="1"/>
  <c r="Q33" i="46" s="1"/>
  <c r="H27" i="46"/>
  <c r="O27" i="46" s="1"/>
  <c r="Q27" i="46" s="1"/>
  <c r="H17" i="46"/>
  <c r="O17" i="46" s="1"/>
  <c r="Q17" i="46" s="1"/>
  <c r="H18" i="46"/>
  <c r="O18" i="46" s="1"/>
  <c r="Q18" i="46" s="1"/>
  <c r="H20" i="46"/>
  <c r="O20" i="46" s="1"/>
  <c r="Q20" i="46" s="1"/>
  <c r="H22" i="46"/>
  <c r="O22" i="46" s="1"/>
  <c r="Q22" i="46" s="1"/>
  <c r="H25" i="46"/>
  <c r="O25" i="46" s="1"/>
  <c r="Q25" i="46" s="1"/>
  <c r="H15" i="46"/>
  <c r="O15" i="46" s="1"/>
  <c r="Q15" i="46" s="1"/>
  <c r="H11" i="46"/>
  <c r="O11" i="46" s="1"/>
  <c r="Q11" i="46" s="1"/>
  <c r="H9" i="46"/>
  <c r="O9" i="46" s="1"/>
  <c r="Q9" i="46" s="1"/>
  <c r="J19" i="46"/>
  <c r="O19" i="46" s="1"/>
  <c r="Q19" i="46" s="1"/>
  <c r="Q40" i="57" l="1"/>
  <c r="P41" i="46"/>
  <c r="N41" i="46"/>
  <c r="M41" i="46"/>
  <c r="K41" i="46"/>
  <c r="I41" i="46"/>
  <c r="L39" i="46"/>
  <c r="J41" i="46"/>
  <c r="G41" i="46"/>
  <c r="O8" i="46"/>
  <c r="Q39" i="58" l="1"/>
  <c r="Q46" i="59" s="1"/>
  <c r="L41" i="46"/>
  <c r="O39" i="46"/>
  <c r="Q39" i="46" s="1"/>
  <c r="H41" i="46"/>
  <c r="Q8" i="46"/>
  <c r="Q41" i="46" l="1"/>
  <c r="O41" i="46"/>
  <c r="O9" i="45"/>
  <c r="Q9" i="45" s="1"/>
  <c r="O10" i="45"/>
  <c r="Q10" i="45" s="1"/>
  <c r="O11" i="45"/>
  <c r="Q11" i="45" s="1"/>
  <c r="O12" i="45"/>
  <c r="Q12" i="45" s="1"/>
  <c r="O13" i="45"/>
  <c r="Q13" i="45" s="1"/>
  <c r="O14" i="45"/>
  <c r="Q14" i="45" s="1"/>
  <c r="O15" i="45"/>
  <c r="Q15" i="45" s="1"/>
  <c r="O16" i="45"/>
  <c r="Q16" i="45" s="1"/>
  <c r="O19" i="45"/>
  <c r="Q19" i="45" s="1"/>
  <c r="O22" i="45"/>
  <c r="Q22" i="45" s="1"/>
  <c r="O23" i="45"/>
  <c r="Q23" i="45" s="1"/>
  <c r="O25" i="45"/>
  <c r="Q25" i="45" s="1"/>
  <c r="O29" i="45"/>
  <c r="Q29" i="45" s="1"/>
  <c r="O32" i="45"/>
  <c r="Q32" i="45" s="1"/>
  <c r="O35" i="45"/>
  <c r="Q35" i="45" s="1"/>
  <c r="O36" i="45"/>
  <c r="Q36" i="45" s="1"/>
  <c r="O37" i="45"/>
  <c r="Q37" i="45" s="1"/>
  <c r="O38" i="45"/>
  <c r="Q38" i="45" s="1"/>
  <c r="O39" i="45"/>
  <c r="Q39" i="45" s="1"/>
  <c r="O40" i="45"/>
  <c r="Q40" i="45" s="1"/>
  <c r="O41" i="45"/>
  <c r="Q41" i="45" s="1"/>
  <c r="O42" i="45"/>
  <c r="Q42" i="45" s="1"/>
  <c r="O44" i="45"/>
  <c r="Q44" i="45" s="1"/>
  <c r="J27" i="45" l="1"/>
  <c r="J21" i="45"/>
  <c r="J17" i="45"/>
  <c r="H20" i="45"/>
  <c r="O20" i="45" s="1"/>
  <c r="Q20" i="45" s="1"/>
  <c r="H21" i="45"/>
  <c r="H24" i="45"/>
  <c r="O24" i="45" s="1"/>
  <c r="Q24" i="45" s="1"/>
  <c r="H26" i="45"/>
  <c r="O26" i="45" s="1"/>
  <c r="Q26" i="45" s="1"/>
  <c r="H27" i="45"/>
  <c r="H28" i="45"/>
  <c r="O28" i="45" s="1"/>
  <c r="Q28" i="45" s="1"/>
  <c r="H30" i="45"/>
  <c r="O30" i="45" s="1"/>
  <c r="Q30" i="45" s="1"/>
  <c r="H31" i="45"/>
  <c r="O31" i="45" s="1"/>
  <c r="Q31" i="45" s="1"/>
  <c r="H33" i="45"/>
  <c r="O33" i="45" s="1"/>
  <c r="Q33" i="45" s="1"/>
  <c r="H34" i="45"/>
  <c r="O34" i="45" s="1"/>
  <c r="Q34" i="45" s="1"/>
  <c r="H18" i="45"/>
  <c r="O18" i="45" s="1"/>
  <c r="Q18" i="45" s="1"/>
  <c r="H17" i="45"/>
  <c r="G17" i="45"/>
  <c r="G45" i="45" s="1"/>
  <c r="P45" i="45"/>
  <c r="M45" i="45"/>
  <c r="K45" i="45"/>
  <c r="I45" i="45"/>
  <c r="L43" i="45"/>
  <c r="N45" i="45"/>
  <c r="O8" i="45"/>
  <c r="Q8" i="45" s="1"/>
  <c r="O17" i="45" l="1"/>
  <c r="Q17" i="45" s="1"/>
  <c r="O21" i="45"/>
  <c r="Q21" i="45" s="1"/>
  <c r="J45" i="45"/>
  <c r="O27" i="45"/>
  <c r="Q27" i="45" s="1"/>
  <c r="L45" i="45"/>
  <c r="O43" i="45"/>
  <c r="Q43" i="45" s="1"/>
  <c r="H45" i="45"/>
  <c r="N38" i="44"/>
  <c r="Q45" i="45" l="1"/>
  <c r="O45" i="45"/>
  <c r="O33" i="44"/>
  <c r="H32" i="44"/>
  <c r="O32" i="44" s="1"/>
  <c r="Q32" i="44" l="1"/>
  <c r="Q33" i="44"/>
  <c r="P42" i="44"/>
  <c r="J21" i="44" l="1"/>
  <c r="O21" i="44" s="1"/>
  <c r="Q21" i="44" s="1"/>
  <c r="O38" i="44"/>
  <c r="Q38" i="44" s="1"/>
  <c r="N42" i="44"/>
  <c r="M42" i="44"/>
  <c r="K42" i="44"/>
  <c r="I42" i="44"/>
  <c r="G42" i="44"/>
  <c r="O41" i="44"/>
  <c r="Q41" i="44" s="1"/>
  <c r="L40" i="44"/>
  <c r="L42" i="44" s="1"/>
  <c r="O39" i="44"/>
  <c r="Q39" i="44" s="1"/>
  <c r="O37" i="44"/>
  <c r="Q37" i="44" s="1"/>
  <c r="O36" i="44"/>
  <c r="Q36" i="44" s="1"/>
  <c r="O35" i="44"/>
  <c r="Q35" i="44" s="1"/>
  <c r="O34" i="44"/>
  <c r="Q34" i="44" s="1"/>
  <c r="H42" i="44"/>
  <c r="O30" i="44"/>
  <c r="Q30" i="44" s="1"/>
  <c r="O29" i="44"/>
  <c r="Q29" i="44" s="1"/>
  <c r="O28" i="44"/>
  <c r="Q28" i="44" s="1"/>
  <c r="O27" i="44"/>
  <c r="Q27" i="44" s="1"/>
  <c r="O26" i="44"/>
  <c r="Q26" i="44" s="1"/>
  <c r="O25" i="44"/>
  <c r="Q25" i="44" s="1"/>
  <c r="O24" i="44"/>
  <c r="Q24" i="44" s="1"/>
  <c r="O23" i="44"/>
  <c r="Q23" i="44" s="1"/>
  <c r="O22" i="44"/>
  <c r="Q22" i="44" s="1"/>
  <c r="O20" i="44"/>
  <c r="Q20" i="44" s="1"/>
  <c r="O19" i="44"/>
  <c r="Q19" i="44" s="1"/>
  <c r="O18" i="44"/>
  <c r="Q18" i="44" s="1"/>
  <c r="O17" i="44"/>
  <c r="Q17" i="44" s="1"/>
  <c r="O16" i="44"/>
  <c r="Q16" i="44" s="1"/>
  <c r="O15" i="44"/>
  <c r="Q15" i="44" s="1"/>
  <c r="O14" i="44"/>
  <c r="Q14" i="44" s="1"/>
  <c r="O13" i="44"/>
  <c r="Q13" i="44" s="1"/>
  <c r="O12" i="44"/>
  <c r="Q12" i="44" s="1"/>
  <c r="O11" i="44"/>
  <c r="Q11" i="44" s="1"/>
  <c r="O10" i="44"/>
  <c r="Q10" i="44" s="1"/>
  <c r="O9" i="44"/>
  <c r="Q9" i="44" s="1"/>
  <c r="O8" i="44"/>
  <c r="J42" i="44" l="1"/>
  <c r="Q8" i="44"/>
  <c r="O40" i="44"/>
  <c r="Q40" i="44" s="1"/>
  <c r="O31" i="44"/>
  <c r="Q31" i="44" s="1"/>
  <c r="H31" i="43"/>
  <c r="O42" i="44" l="1"/>
  <c r="Q42" i="44"/>
  <c r="O38" i="43"/>
  <c r="Q38" i="43" s="1"/>
  <c r="L39" i="43" l="1"/>
  <c r="L41" i="43" s="1"/>
  <c r="O9" i="43"/>
  <c r="Q9" i="43" s="1"/>
  <c r="O10" i="43"/>
  <c r="Q10" i="43" s="1"/>
  <c r="O11" i="43"/>
  <c r="Q11" i="43" s="1"/>
  <c r="O12" i="43"/>
  <c r="Q12" i="43" s="1"/>
  <c r="O13" i="43"/>
  <c r="Q13" i="43" s="1"/>
  <c r="O14" i="43"/>
  <c r="Q14" i="43" s="1"/>
  <c r="O15" i="43"/>
  <c r="Q15" i="43" s="1"/>
  <c r="O16" i="43"/>
  <c r="Q16" i="43" s="1"/>
  <c r="O17" i="43"/>
  <c r="Q17" i="43" s="1"/>
  <c r="O18" i="43"/>
  <c r="Q18" i="43" s="1"/>
  <c r="O19" i="43"/>
  <c r="Q19" i="43" s="1"/>
  <c r="O20" i="43"/>
  <c r="Q20" i="43" s="1"/>
  <c r="O21" i="43"/>
  <c r="Q21" i="43" s="1"/>
  <c r="O22" i="43"/>
  <c r="Q22" i="43" s="1"/>
  <c r="O23" i="43"/>
  <c r="Q23" i="43" s="1"/>
  <c r="O24" i="43"/>
  <c r="Q24" i="43" s="1"/>
  <c r="O25" i="43"/>
  <c r="Q25" i="43" s="1"/>
  <c r="O26" i="43"/>
  <c r="Q26" i="43" s="1"/>
  <c r="O27" i="43"/>
  <c r="Q27" i="43" s="1"/>
  <c r="O28" i="43"/>
  <c r="Q28" i="43" s="1"/>
  <c r="O29" i="43"/>
  <c r="Q29" i="43" s="1"/>
  <c r="O30" i="43"/>
  <c r="Q30" i="43" s="1"/>
  <c r="O31" i="43"/>
  <c r="Q31" i="43" s="1"/>
  <c r="O32" i="43"/>
  <c r="Q32" i="43" s="1"/>
  <c r="O33" i="43"/>
  <c r="Q33" i="43" s="1"/>
  <c r="O34" i="43"/>
  <c r="Q34" i="43" s="1"/>
  <c r="O35" i="43"/>
  <c r="Q35" i="43" s="1"/>
  <c r="O36" i="43"/>
  <c r="Q36" i="43" s="1"/>
  <c r="O37" i="43"/>
  <c r="Q37" i="43" s="1"/>
  <c r="O40" i="43"/>
  <c r="Q40" i="43" s="1"/>
  <c r="P41" i="43"/>
  <c r="M41" i="43"/>
  <c r="K41" i="43"/>
  <c r="J41" i="43"/>
  <c r="I41" i="43"/>
  <c r="H41" i="43"/>
  <c r="G41" i="43"/>
  <c r="N41" i="43"/>
  <c r="O8" i="43"/>
  <c r="Q8" i="43" s="1"/>
  <c r="O39" i="43" l="1"/>
  <c r="Q39" i="43" s="1"/>
  <c r="Q41" i="43" s="1"/>
  <c r="O12" i="41"/>
  <c r="Q12" i="41" s="1"/>
  <c r="N13" i="41"/>
  <c r="O13" i="41" s="1"/>
  <c r="Q13" i="41" s="1"/>
  <c r="O41" i="43" l="1"/>
  <c r="H19" i="41"/>
  <c r="C4" i="42" l="1"/>
  <c r="C31" i="42" s="1"/>
  <c r="D31" i="42"/>
  <c r="O9" i="41" l="1"/>
  <c r="Q9" i="41" s="1"/>
  <c r="O10" i="41"/>
  <c r="Q10" i="41" s="1"/>
  <c r="O11" i="41"/>
  <c r="Q11" i="41" s="1"/>
  <c r="P19" i="41" l="1"/>
  <c r="N19" i="41"/>
  <c r="M19" i="41"/>
  <c r="L19" i="41"/>
  <c r="I19" i="41"/>
  <c r="G19" i="41"/>
  <c r="J19" i="41"/>
  <c r="O8" i="41"/>
  <c r="Q8" i="41" s="1"/>
  <c r="Q19" i="41" s="1"/>
  <c r="Q21" i="41" s="1"/>
  <c r="Q43" i="43" l="1"/>
  <c r="K19" i="41"/>
  <c r="Q44" i="44" l="1"/>
  <c r="O19" i="41"/>
  <c r="Q47" i="45" l="1"/>
  <c r="Q43" i="46" l="1"/>
  <c r="Q46" i="4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Phan Kim Phung</author>
    <author>Nghia</author>
  </authors>
  <commentList>
    <comment ref="J1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Phan Kim Phung:</t>
        </r>
        <r>
          <rPr>
            <sz val="9"/>
            <color indexed="81"/>
            <rFont val="Tahoma"/>
            <family val="2"/>
          </rPr>
          <t xml:space="preserve">
Lx trốn vé Phố Nối, em thu lại 120k
</t>
        </r>
      </text>
    </comment>
    <comment ref="L35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Cố định theo tháng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</author>
  </authors>
  <commentList>
    <comment ref="L37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Cố định theo tháng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</author>
  </authors>
  <commentList>
    <comment ref="L40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Cố định theo tháng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Phan Kim Phung</author>
  </authors>
  <commentList>
    <comment ref="J1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Phan Kim Phung:</t>
        </r>
        <r>
          <rPr>
            <sz val="9"/>
            <color indexed="81"/>
            <rFont val="Tahoma"/>
            <family val="2"/>
          </rPr>
          <t xml:space="preserve">
Bổ sung tiền đi đường 140k</t>
        </r>
      </text>
    </comment>
    <comment ref="J22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Phan Kim Phung:</t>
        </r>
        <r>
          <rPr>
            <sz val="9"/>
            <color indexed="81"/>
            <rFont val="Tahoma"/>
            <family val="2"/>
          </rPr>
          <t xml:space="preserve">
Dòng này em vào sót, bị ẩn dòng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</author>
  </authors>
  <commentList>
    <comment ref="P29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Nghia:</t>
        </r>
        <r>
          <rPr>
            <sz val="9"/>
            <color indexed="81"/>
            <rFont val="Tahoma"/>
            <family val="2"/>
          </rPr>
          <t xml:space="preserve">
giá cước vietsun báo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tc={0F19E6B2-A70B-4328-9F33-FA4E9B69AE5D}</author>
  </authors>
  <commentList>
    <comment ref="J8" authorId="0" shapeId="0" xr:uid="{0F19E6B2-A70B-4328-9F33-FA4E9B69AE5D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ca xe 200k của chuyến ngày 30 - 31/12</t>
      </text>
    </comment>
  </commentList>
</comments>
</file>

<file path=xl/sharedStrings.xml><?xml version="1.0" encoding="utf-8"?>
<sst xmlns="http://schemas.openxmlformats.org/spreadsheetml/2006/main" count="7668" uniqueCount="4301">
  <si>
    <t>Bảng theo dõi doanh thu/ chi phí theo phương tiện vận chuyển</t>
  </si>
  <si>
    <t>STT</t>
  </si>
  <si>
    <t>Ngày tháng</t>
  </si>
  <si>
    <t>Diễn giải</t>
  </si>
  <si>
    <t>Tuyến đường vận chuyển</t>
  </si>
  <si>
    <t>Số cont</t>
  </si>
  <si>
    <t>Chi phí</t>
  </si>
  <si>
    <t>Dầu (l)</t>
  </si>
  <si>
    <t>Đi đường</t>
  </si>
  <si>
    <t>Lương lx</t>
  </si>
  <si>
    <t>Sửa chữa</t>
  </si>
  <si>
    <t>Lốp</t>
  </si>
  <si>
    <t>Dầu máy</t>
  </si>
  <si>
    <t>Cước vận chuyển</t>
  </si>
  <si>
    <t>Lợi nhuận gộp</t>
  </si>
  <si>
    <t>Dầu (đồng)</t>
  </si>
  <si>
    <t>Mức TTBQ</t>
  </si>
  <si>
    <t>Khoảng cách (km)</t>
  </si>
  <si>
    <t>Tổng chi phí</t>
  </si>
  <si>
    <t>TỔNG CỘNG</t>
  </si>
  <si>
    <t>LK =</t>
  </si>
  <si>
    <t>THÁNG 07.2018</t>
  </si>
  <si>
    <t>Biển số xe: 15C - 070.63</t>
  </si>
  <si>
    <t>Trả hàng NK sáng 26/07</t>
  </si>
  <si>
    <t>Trả hàng NK sáng 27/07</t>
  </si>
  <si>
    <t>Đóng hàng chè sáng 30/07</t>
  </si>
  <si>
    <t>Trả hàng + đóng hàng KH 31/07</t>
  </si>
  <si>
    <t>HJCU1491703</t>
  </si>
  <si>
    <t>EITU1735591</t>
  </si>
  <si>
    <t>EITU0061102</t>
  </si>
  <si>
    <t>TRHU1630894</t>
  </si>
  <si>
    <t>KCN Đình Bảng, Bắc Ninh</t>
  </si>
  <si>
    <t>Ngọc Hồi, Hà Nội</t>
  </si>
  <si>
    <t>Mỹ Bằng, Yên Sơn, Tuyên Quang</t>
  </si>
  <si>
    <t>Lý Nhân, Hà Nam - Hà Nam</t>
  </si>
  <si>
    <t>Nội dung</t>
  </si>
  <si>
    <t>Thành tiền</t>
  </si>
  <si>
    <t>Phí ngân hàng</t>
  </si>
  <si>
    <t>Tổng cộng</t>
  </si>
  <si>
    <t>Bảng tổng hợp chi phí xe 15C-070.63</t>
  </si>
  <si>
    <t>Thanh toán nốt tiền mua xe đầu kéo biển số 15C- 070.63</t>
  </si>
  <si>
    <t>Làm đăng ký xe 15C- 070.63</t>
  </si>
  <si>
    <t>Cào số khung, số máy xe 15C- 070.63</t>
  </si>
  <si>
    <t>Thanh toán tiền bảo hiểm xe 15C-070.63</t>
  </si>
  <si>
    <t>Bơm mỡ xe 15C-070.63</t>
  </si>
  <si>
    <t>Bơm mỡ đầu kéo xe 15C-070.63</t>
  </si>
  <si>
    <t>Kiểm tra điện hộp đèn xe 15C-070.63</t>
  </si>
  <si>
    <t>Thanh toán tiền sửa chữa xe 15C-070.63 (tháo lốp trong bãi, thay lốp, đảo 1 cầu)</t>
  </si>
  <si>
    <t>Thanh toán tiền lọc nhớt, lọc thả xe 15C-070.63</t>
  </si>
  <si>
    <t>Bọc sàn da xe 15C-070.63</t>
  </si>
  <si>
    <t>Thay phớt hơi+vệ sinh tổng xả xe 15C-070.63</t>
  </si>
  <si>
    <t>Thay kính cửa nách 15C-070.63</t>
  </si>
  <si>
    <t>Thay motor kính xe 15C-070.63</t>
  </si>
  <si>
    <t>Thay khóa xe 15C-070.63</t>
  </si>
  <si>
    <t>Thay lốp xe 15C-070.63</t>
  </si>
  <si>
    <t>Công chứng đăng ký+đăng kiểm xe 15C-070.63</t>
  </si>
  <si>
    <t>Trả tiền công đăng ký xe 15C-070.63</t>
  </si>
  <si>
    <t>Cắt chữ xe 15C-070.63</t>
  </si>
  <si>
    <t>Dọn nội thất xe 15C-070.63</t>
  </si>
  <si>
    <t>Làm phù hiệu xe 15C-070.63</t>
  </si>
  <si>
    <t>Ốp gương 204 mạ nox xe 15C-070.63</t>
  </si>
  <si>
    <t>Thay nhớt + nhớt dự phòng phân bổ</t>
  </si>
  <si>
    <t>Đóng hàng chè sáng 01/08</t>
  </si>
  <si>
    <t>Trả hàng + đóng hàng KH 03/08</t>
  </si>
  <si>
    <t>Đóng hàng bột đá 04/08</t>
  </si>
  <si>
    <t>Trả hàng + đóng hàng KH 06/08</t>
  </si>
  <si>
    <t>Trả hàng NK sáng 07/08</t>
  </si>
  <si>
    <t>Đóng hàng sáng 08/08</t>
  </si>
  <si>
    <t>Đóng hàng bột đá chiều 10/08</t>
  </si>
  <si>
    <t>Đóng hàng bột đá chiều 11/08</t>
  </si>
  <si>
    <t>Đóng hàng chè sáng 13/08</t>
  </si>
  <si>
    <t>Trả hàng + đóng hàng KH 14/08</t>
  </si>
  <si>
    <t>Trả hàng NK sáng 16/08</t>
  </si>
  <si>
    <t>Trả hàng + đóng hàng KH 17/08</t>
  </si>
  <si>
    <t>Trả hàng sáng 18/08</t>
  </si>
  <si>
    <t>Trả hàng + đóng hàng KH 20/08</t>
  </si>
  <si>
    <t>Đóng hàng sáng 21/08</t>
  </si>
  <si>
    <t>Trả hàng sáng 22/08</t>
  </si>
  <si>
    <t>Trả hàng + đóng hàng KH 23/08</t>
  </si>
  <si>
    <t>Đóng hàng chè sáng 24/08</t>
  </si>
  <si>
    <t>Đóng hàng chiều 25/08</t>
  </si>
  <si>
    <t>Đóng hàng chiều 27/08</t>
  </si>
  <si>
    <t>Trả hàng NK sáng 29/08</t>
  </si>
  <si>
    <t>Trả hàng sáng 30/08</t>
  </si>
  <si>
    <t>Trả hàng + đóng hàng KH 31/08</t>
  </si>
  <si>
    <t>EITU0059390</t>
  </si>
  <si>
    <t>GMDU2152961</t>
  </si>
  <si>
    <t>VNLU3090145</t>
  </si>
  <si>
    <t>GMDU2412735</t>
  </si>
  <si>
    <t>CRXU3139214</t>
  </si>
  <si>
    <t>UTCU4148970</t>
  </si>
  <si>
    <t>BISU2828861</t>
  </si>
  <si>
    <t>CAXU3299049</t>
  </si>
  <si>
    <t>WHLU0654717</t>
  </si>
  <si>
    <t>CRSU1526660</t>
  </si>
  <si>
    <t>NYKU3559136</t>
  </si>
  <si>
    <t>DRYU2901910</t>
  </si>
  <si>
    <t>XINU1273295</t>
  </si>
  <si>
    <t>BISU2836070</t>
  </si>
  <si>
    <t>HCVT0010</t>
  </si>
  <si>
    <t>TCLU7558219</t>
  </si>
  <si>
    <t>WBPU2021413</t>
  </si>
  <si>
    <t>HCVT0017</t>
  </si>
  <si>
    <t>HCVT0013</t>
  </si>
  <si>
    <t>DRYU2736020</t>
  </si>
  <si>
    <t>VSLU3040110</t>
  </si>
  <si>
    <t>0613001</t>
  </si>
  <si>
    <t>Vĩnh Yên , Vĩnh Phúc - Hà Nam</t>
  </si>
  <si>
    <t>Phủ Lý, Hà Nam</t>
  </si>
  <si>
    <t>Vĩnh Yên, Vĩnh Phúc - Đông Anh, Hà Nội</t>
  </si>
  <si>
    <t>Đan Phượng, Hà Nội</t>
  </si>
  <si>
    <t>TP Vinh, Nghệ An</t>
  </si>
  <si>
    <t>Tân Lập, Mộc Châu, Sơn La</t>
  </si>
  <si>
    <t>Vĩnh Tường, Vĩnh Phúc - Hà Nam</t>
  </si>
  <si>
    <t>Bát Tràng, Gia Lâm, Hà Nội</t>
  </si>
  <si>
    <t>Gia Lâm, Hà Nội - Hà Nam</t>
  </si>
  <si>
    <t>Long Biên, Hà Nội</t>
  </si>
  <si>
    <t>Thường Tín, Hà Nội - Hà Nam</t>
  </si>
  <si>
    <t>TP. Việt Trì, Phú Thọ</t>
  </si>
  <si>
    <t>Bát Tràng, Hà Nội</t>
  </si>
  <si>
    <t>Đông Hưng, Thái Bình - Hà Nam</t>
  </si>
  <si>
    <t>Mộc Châu, Sơn La</t>
  </si>
  <si>
    <t>KCN Đại Đồng, Bắc Ninh</t>
  </si>
  <si>
    <t>Từ Liêm, Hà Nội - Hà Nam</t>
  </si>
  <si>
    <t>GMDU2151570</t>
  </si>
  <si>
    <t>Anh Phụng thanh toán tiền cứu hộ, sửa lốp xe 15C-070.63</t>
  </si>
  <si>
    <t>Thanh toán tiền sửa xe 15C-070.63 (đèn vàng 8 mắt, bộ dây điện đèn vàng, đèn hành trình mooc, pha đèn tròn, tắc đèn pha 3 chân, công thợ làm điện)</t>
  </si>
  <si>
    <t>Thanh toán tiền sửa xe 15C-070.63 cho Thái Tân Phát (nắn thanh bảo hiểm sau, nắn hàn táp chắn bùn, thay xương đỡ chắn bún)</t>
  </si>
  <si>
    <t>Thanh toán tiền sửa xe 15C-070.63 cho Thái Tân Phát (đắp dán co pô sít xương ca bô, hàn dán+bắt chỉnh mi đèn, hàn chế xương đầu BĐS, bả sau ca bô+mi đèn)</t>
  </si>
  <si>
    <t>Đưa Anh Háu thanh toán tiền sửa xe 15C-070.63 cho Trí điện (chỉnh gió, cúp bo)</t>
  </si>
  <si>
    <t>Thanh toán tiền sửa xe 15C-070.63 (tán phanh, công thợ tháo lắp, mua lò xo , vỏ tắc kê, tiện con lăn)</t>
  </si>
  <si>
    <t>Phí gửi xe</t>
  </si>
  <si>
    <t>Lương lái xe</t>
  </si>
  <si>
    <t>Thanh toán tiền sửa xe 15C-070.63 (mua cúc hơi+công) ngày 26/8</t>
  </si>
  <si>
    <t>THÁNG 08.2018</t>
  </si>
  <si>
    <t>THÁNG 09.2018</t>
  </si>
  <si>
    <t>Trả hàng + đóng hàng KH 01/09</t>
  </si>
  <si>
    <t>Trả hàng + đóng hàng KH 04/09</t>
  </si>
  <si>
    <t>Trả hàng + đóng hàng KH 05/09</t>
  </si>
  <si>
    <t>Trả hàng + đóng hàng KH 06/09</t>
  </si>
  <si>
    <t>Trả hàng + đóng hàng KH 07/09</t>
  </si>
  <si>
    <t>Trả hàng + đóng hàng KH 08/09</t>
  </si>
  <si>
    <t>Trả hàng + đóng hàng KH 10/09</t>
  </si>
  <si>
    <t>Đóng hàng chè sáng 11/09</t>
  </si>
  <si>
    <t>Đóng hàng bột đá 12/09</t>
  </si>
  <si>
    <t>Đóng hàng XK sáng 13/09</t>
  </si>
  <si>
    <t>Đóng hàng chè sáng 14/09</t>
  </si>
  <si>
    <t>Trả hàng sáng 15/09</t>
  </si>
  <si>
    <t>Trả hàng + đóng hàng KH 17/09</t>
  </si>
  <si>
    <t>Trả hàng + đóng hàng KH 18/09</t>
  </si>
  <si>
    <t>Đóng hàng sáng 19/09</t>
  </si>
  <si>
    <t>Trả hàng + đóng hàng KH 20/09</t>
  </si>
  <si>
    <t>Trả hàng NK sáng 21/09</t>
  </si>
  <si>
    <t>Trả hàng NK sáng 22/09</t>
  </si>
  <si>
    <t>Trả hàng + đóng hàng KH 24/09</t>
  </si>
  <si>
    <t>Trả hàng + đóng hàng KH 25/09</t>
  </si>
  <si>
    <t>Đóng hàng chè sáng 26/09</t>
  </si>
  <si>
    <t>Đóng hàng chè sáng 27/09</t>
  </si>
  <si>
    <t>Trả hàng + đóng hàng KH 28/09</t>
  </si>
  <si>
    <t>Trả hàng + đóng hàng KH 29/09</t>
  </si>
  <si>
    <t>BISU2828265</t>
  </si>
  <si>
    <t>VSLU4499973</t>
  </si>
  <si>
    <t>VSLU1049381</t>
  </si>
  <si>
    <t>DRYU2851760</t>
  </si>
  <si>
    <t>WFHU1356588</t>
  </si>
  <si>
    <t>DRYU3094686</t>
  </si>
  <si>
    <t>BISU2825287</t>
  </si>
  <si>
    <t>FBIU0480084</t>
  </si>
  <si>
    <t>VNLU3099435</t>
  </si>
  <si>
    <t>HCVT0002</t>
  </si>
  <si>
    <t>TEMU1656046</t>
  </si>
  <si>
    <t>WHLU0547133</t>
  </si>
  <si>
    <t>TCKU3112237</t>
  </si>
  <si>
    <t>DRYU2899177</t>
  </si>
  <si>
    <t>HCVT0015</t>
  </si>
  <si>
    <t>FSCU7790251</t>
  </si>
  <si>
    <t>FCIU2866150</t>
  </si>
  <si>
    <t>GMDU2150722</t>
  </si>
  <si>
    <t>GMDU2152263</t>
  </si>
  <si>
    <t>EITU0016783</t>
  </si>
  <si>
    <t>WHLU0583064</t>
  </si>
  <si>
    <t>GMDU2151185</t>
  </si>
  <si>
    <t>WFHU1365110</t>
  </si>
  <si>
    <t>Vĩnh Yên, Vĩnh Phúc - Hà Nam</t>
  </si>
  <si>
    <t>Yên Mỹ, Hưng Yên - Hà Nam</t>
  </si>
  <si>
    <t>Tân Quang, Văn Lâm, Hưng Yên - Hà Nam</t>
  </si>
  <si>
    <t>Tiền Hải, Thái Bình - Hà Nam</t>
  </si>
  <si>
    <t>TP Nam Định - Hà Nam</t>
  </si>
  <si>
    <t>Khai Quang, Vĩnh Phúc - Hà Nam</t>
  </si>
  <si>
    <t>Khuyến Lương, Hà Nội - Hà Nam</t>
  </si>
  <si>
    <t>Cẩm Giàng, Hải Dương - Hà Nam</t>
  </si>
  <si>
    <t>Đại An, Hải Dương- Hà Nam</t>
  </si>
  <si>
    <t>Thanh toán tiền sửa chữa xe 15C-070.63 (công thợ căn chỉnh, mua dầu rửa, rẻ, keo)</t>
  </si>
  <si>
    <t>Thanh toán tiền sửa xe 15C-070.63</t>
  </si>
  <si>
    <t>Thanh toán phí sử dụng đường bộ xe 15C-070.63</t>
  </si>
  <si>
    <t>Thanh toán phí đăng kiểm xe 15C-070.63</t>
  </si>
  <si>
    <t>Bơm mỡ đầu kéo+mooc xe 15C-070.63 ngày 22/9</t>
  </si>
  <si>
    <t>Thanh toán tiền mua dầu cầu Total</t>
  </si>
  <si>
    <t>THÁNG 10.2018</t>
  </si>
  <si>
    <t>Trả hàng + đóng hàng KH 01/10</t>
  </si>
  <si>
    <t>Đóng hàng Vietsun sáng 02/10</t>
  </si>
  <si>
    <t>Đóng hàng Vietsun chiều 02/10</t>
  </si>
  <si>
    <t>Trả hàng + đóng hàng KH 03/10</t>
  </si>
  <si>
    <t>Trả hàng + đóng hàng KH 04/10</t>
  </si>
  <si>
    <t>Đóng hàng Vietsun sáng 05/10</t>
  </si>
  <si>
    <t>Đóng hàng Vietsun chiều 05/10</t>
  </si>
  <si>
    <t>Trả hàng Nk sáng 06/10</t>
  </si>
  <si>
    <t>Trả hàng + đóng hàng KH 09/10</t>
  </si>
  <si>
    <t>Đóng hàng chè sáng 11/10</t>
  </si>
  <si>
    <t>Trả hàng + đóng hàng KH 12/10</t>
  </si>
  <si>
    <t>Đóng hàng bột đá 13/10</t>
  </si>
  <si>
    <t>Đóng hàng chè sáng 15/10</t>
  </si>
  <si>
    <t>Trả hàng + đóng hàng chè 16/10</t>
  </si>
  <si>
    <t>Đóng hàng bột đá chiều 17/10</t>
  </si>
  <si>
    <t>Trả hàng NK sáng 18/10</t>
  </si>
  <si>
    <t>Trả hàng sáng 19/10</t>
  </si>
  <si>
    <t>Trả hàng + đóng hàng KH 20/10</t>
  </si>
  <si>
    <t>Trả hàng sáng 22/10</t>
  </si>
  <si>
    <t>Trả hàng NK sáng 23/10</t>
  </si>
  <si>
    <t>Đóng hàng chè sáng 24/10</t>
  </si>
  <si>
    <t>Trả hàng + đóng hàng KH 25/10</t>
  </si>
  <si>
    <t>Trả hàng NK sáng 26/10</t>
  </si>
  <si>
    <t>Trả hàng + đóng hàng KH 27/10</t>
  </si>
  <si>
    <t>Trả hàng + đóng hàng KH 29/10</t>
  </si>
  <si>
    <t>Trả hàng + đóng hàng KH 30/10</t>
  </si>
  <si>
    <t>Trả hàng Vietsun sáng 31/10</t>
  </si>
  <si>
    <t>WHLU2307701</t>
  </si>
  <si>
    <t>TRHU1344273</t>
  </si>
  <si>
    <t>DRYU2924069</t>
  </si>
  <si>
    <t>VSLU4487062</t>
  </si>
  <si>
    <t>TRHU1344925</t>
  </si>
  <si>
    <t>VSLU4489527</t>
  </si>
  <si>
    <t>DRYU2851609</t>
  </si>
  <si>
    <t>BMOU1123110</t>
  </si>
  <si>
    <t>BISU2820433</t>
  </si>
  <si>
    <t>WHSU2377556</t>
  </si>
  <si>
    <t>DRYU3025371</t>
  </si>
  <si>
    <t>BISU2834972</t>
  </si>
  <si>
    <t>TEMU3994119</t>
  </si>
  <si>
    <t>WHLU0606637</t>
  </si>
  <si>
    <t>VNLU2093279</t>
  </si>
  <si>
    <t>TRHU2869477</t>
  </si>
  <si>
    <t>CSNU1659311</t>
  </si>
  <si>
    <t>GAOU2108166</t>
  </si>
  <si>
    <t>CSNU1403274</t>
  </si>
  <si>
    <t>CAIU6097179</t>
  </si>
  <si>
    <t>BSIU3178668</t>
  </si>
  <si>
    <t>GMDU2181240</t>
  </si>
  <si>
    <t>TGBU2376040</t>
  </si>
  <si>
    <t>DRYU2873402</t>
  </si>
  <si>
    <t>VSLU3035941</t>
  </si>
  <si>
    <t>TRHU3295440</t>
  </si>
  <si>
    <t>DRYU3093490</t>
  </si>
  <si>
    <t>Chí Linh, Hải Dương</t>
  </si>
  <si>
    <t>Thường Tín, Hà Nội</t>
  </si>
  <si>
    <t>Trôi, Hà Nội - Hà Nam</t>
  </si>
  <si>
    <t>Phủ Lỗ, Sóc Sơn, Hà Nội</t>
  </si>
  <si>
    <t>KCN Đồng Văn, Hà Nam - Long Biên, Hà Nội</t>
  </si>
  <si>
    <t>TT Trần Phú, Văn Chấn, Yên Bái</t>
  </si>
  <si>
    <t>KCN Vân Trung, Bắc Giang - Hà Nam</t>
  </si>
  <si>
    <t>Long Biên, Hà Nội - Hà Nam</t>
  </si>
  <si>
    <t>Bát Tràng, Gia Lâm, Hà Nội - Hà Nam</t>
  </si>
  <si>
    <t>KCN Tràng Duệ, An Dương, Hải Phòng</t>
  </si>
  <si>
    <t>Thanh toán tiền sửa xe 15C-070.63 (sửa máy phát, thay dàn Diot)</t>
  </si>
  <si>
    <t>Công chứng 15C-128.07 xe 15C-070.63</t>
  </si>
  <si>
    <t>Mua bóng hơi ca bin xe 15C-070.63</t>
  </si>
  <si>
    <t>Thanh toán tiền thay bóng hơi+cút hơi xe 15C-070.63 ngày 31/10</t>
  </si>
  <si>
    <t>Thanh toán tiền thay dầu máy+bơm mỡ, thay lọc nhớt xe 15C-070.63 ngày 31/10</t>
  </si>
  <si>
    <t>Mua củ đề xe 15C-070.63</t>
  </si>
  <si>
    <t>THÁNG 11.2018</t>
  </si>
  <si>
    <t>Đóng hàng chè sáng 01/11</t>
  </si>
  <si>
    <t>Trả hàng + đóng hàng KH 02/11</t>
  </si>
  <si>
    <t>Trả hàng + đóng hàng KH 03/11</t>
  </si>
  <si>
    <t>Trả hàng + đóng hàng KH 05/11</t>
  </si>
  <si>
    <t>Trả hàng + đóng hàng KH 06/11</t>
  </si>
  <si>
    <t>Trả hàng + đóng hàng KH 07/11</t>
  </si>
  <si>
    <t>Trả hàng NK sáng 08/11</t>
  </si>
  <si>
    <t>Trả hàng + đóng hàng KH 09/11</t>
  </si>
  <si>
    <t>Trả hàng sáng 10/11</t>
  </si>
  <si>
    <t>Đóng hàng chè sáng 11/11</t>
  </si>
  <si>
    <t>Trả hàng NK sáng 12/11</t>
  </si>
  <si>
    <t>Trả hàng + đóng hàng KH 13/11</t>
  </si>
  <si>
    <t>Trả hàng + đóng hàng KH 14/11</t>
  </si>
  <si>
    <t>Trả hàng + đóng hàng KH 15/11</t>
  </si>
  <si>
    <t>Đóng hàng sáng 16/11</t>
  </si>
  <si>
    <t>Trả hàng NK sáng 17/11</t>
  </si>
  <si>
    <t>Trả hàng + đóng hàng KH 19/11</t>
  </si>
  <si>
    <t>Đóng hàng sáng 20/11</t>
  </si>
  <si>
    <t>Trả hàng sáng 21/11</t>
  </si>
  <si>
    <t>Trả hàng NK sáng 22/11</t>
  </si>
  <si>
    <t>Đóng hàng phân sáng 23/11</t>
  </si>
  <si>
    <t>Đóng hàng phân sáng 24/11</t>
  </si>
  <si>
    <t>Trả hàng NK sáng 26/11</t>
  </si>
  <si>
    <t>Trả hàng + đóng hàng KH 27/11</t>
  </si>
  <si>
    <t>Trả hàng NK sáng 28/11</t>
  </si>
  <si>
    <t>Trả hàng + đóng hàng KH 29/11</t>
  </si>
  <si>
    <t>Trả hàng NK sáng 30/11</t>
  </si>
  <si>
    <t>FCIU6425276</t>
  </si>
  <si>
    <t>DRYU3021859</t>
  </si>
  <si>
    <t>VSLU4495290</t>
  </si>
  <si>
    <t>VSLU3031099</t>
  </si>
  <si>
    <t>GAOU2112398</t>
  </si>
  <si>
    <t>VSLU1042469</t>
  </si>
  <si>
    <t>TGBU2267938</t>
  </si>
  <si>
    <t>DRYU2851337</t>
  </si>
  <si>
    <t>CSNU1341362</t>
  </si>
  <si>
    <t>OOLU9758215</t>
  </si>
  <si>
    <t>MAGU5686515</t>
  </si>
  <si>
    <t>DRYU3024734</t>
  </si>
  <si>
    <t>DRYU3093360</t>
  </si>
  <si>
    <t>DRYU2923203</t>
  </si>
  <si>
    <t>NSDU2000762</t>
  </si>
  <si>
    <t>EGSU3081065</t>
  </si>
  <si>
    <t>WFHU1358533</t>
  </si>
  <si>
    <t>GMDU2141398</t>
  </si>
  <si>
    <t>VHPU170305</t>
  </si>
  <si>
    <t>WHLU2513908</t>
  </si>
  <si>
    <t>MSKU7713863</t>
  </si>
  <si>
    <t>MSKU2203867</t>
  </si>
  <si>
    <t>GMDU2181507</t>
  </si>
  <si>
    <t>AKLU6004413</t>
  </si>
  <si>
    <t>DFSU1459596</t>
  </si>
  <si>
    <t>DRYU2902331</t>
  </si>
  <si>
    <t>OCGU2013117</t>
  </si>
  <si>
    <t>Văn Giang, HY- Đồng Văn, HN - Hà Nam</t>
  </si>
  <si>
    <t>Hoài Đức, Hà Nội</t>
  </si>
  <si>
    <t>Cẩm Giàng, HD -  Chương Mỹ, HN - Hà Nam</t>
  </si>
  <si>
    <t>TP. Hải Dương - Hà Nam</t>
  </si>
  <si>
    <t>An Lão, Hải Phòng</t>
  </si>
  <si>
    <t>KCN Khai Quang, Vĩnh Phúc - Hà Nam</t>
  </si>
  <si>
    <t>Hoa Lư, Ninh Bình</t>
  </si>
  <si>
    <t>KCN VSIP Bắc Ninh</t>
  </si>
  <si>
    <t>Yên Viên - Mỹ Đình, Hà Nội</t>
  </si>
  <si>
    <t>Thanh toán tiền lọc nhớt, lọc diesel xe 15C-070.63</t>
  </si>
  <si>
    <t>Thanh toán tiền mua dầu total rubia tir 7400</t>
  </si>
  <si>
    <t>THÁNG 12.2018</t>
  </si>
  <si>
    <t>Trả hàng + đóng hàng KH 01/12</t>
  </si>
  <si>
    <t>Trả hàng + đóng hàng KH 03/12</t>
  </si>
  <si>
    <t>Trả hàng + đóng hàng KH 04/12</t>
  </si>
  <si>
    <t>Trả hàng Vietsun sáng 05/12</t>
  </si>
  <si>
    <t>Đóng hàng chè sáng 06/12</t>
  </si>
  <si>
    <t>Trả hàng + đóng hàng KH 07/12</t>
  </si>
  <si>
    <t>Đóng hàng XK 08/12</t>
  </si>
  <si>
    <t>Trả hàng NK sáng 11/12</t>
  </si>
  <si>
    <t>Trả hàng + đóng hàng KH 12/12</t>
  </si>
  <si>
    <t>Trả hàng + đóng hàng KH 13/12</t>
  </si>
  <si>
    <t>Trả hàng + đóng hàng KH 14/12</t>
  </si>
  <si>
    <t>Trả hàng NK sáng 17/12</t>
  </si>
  <si>
    <t>Trả hàng + đóng hàng KH 17/12</t>
  </si>
  <si>
    <t>Trả hàng + đóng hàng KH 19/12</t>
  </si>
  <si>
    <t>Trả hàng + đóng hàng KH 20/12</t>
  </si>
  <si>
    <t>Trả hàng + đóng hàng KH 21/12</t>
  </si>
  <si>
    <t>Trả hàng + đóng hàng KH 22/12</t>
  </si>
  <si>
    <t>Trả hàng + đóng hàng KH 24/12</t>
  </si>
  <si>
    <t>Trả hàng + đóng hàng KH 25/12</t>
  </si>
  <si>
    <t>Đóng hàng phân sáng 26/12</t>
  </si>
  <si>
    <t>Trả hàng + đóng hàng KH 27/12</t>
  </si>
  <si>
    <t>Trả hàng + đóng hàng KH 28/12</t>
  </si>
  <si>
    <t>Trả hàng + đóng hàng KH 29/12</t>
  </si>
  <si>
    <t>CAXU6913778</t>
  </si>
  <si>
    <t>DRYU2848101</t>
  </si>
  <si>
    <t>DRYU2851701</t>
  </si>
  <si>
    <t>WFHU1352690</t>
  </si>
  <si>
    <t>GCXU2132776</t>
  </si>
  <si>
    <t>GAOU2113141</t>
  </si>
  <si>
    <t>PONU2989248</t>
  </si>
  <si>
    <t>GCXU2108321</t>
  </si>
  <si>
    <t>BISU2836379</t>
  </si>
  <si>
    <t>GMDU2185919</t>
  </si>
  <si>
    <t>GMDU2182904</t>
  </si>
  <si>
    <t>CSNU1053999</t>
  </si>
  <si>
    <t>GAOU2110625</t>
  </si>
  <si>
    <t>GAOU2114699</t>
  </si>
  <si>
    <t>GAOU2108633</t>
  </si>
  <si>
    <t>DRYU2852415</t>
  </si>
  <si>
    <t>TRHU3295497</t>
  </si>
  <si>
    <t>GMDU2180162</t>
  </si>
  <si>
    <t>GMDU2185673</t>
  </si>
  <si>
    <t>MAEU6963746</t>
  </si>
  <si>
    <t>DRYU2852652</t>
  </si>
  <si>
    <t>KKTU7938300</t>
  </si>
  <si>
    <t>KKTU7910833</t>
  </si>
  <si>
    <t>Đông Anh, Hà Nội - Hà Nam</t>
  </si>
  <si>
    <t>KCN Tân Quang, Văn Lâm, Hưng Yên</t>
  </si>
  <si>
    <t>Hương Canh, Vĩnh Phúc</t>
  </si>
  <si>
    <t>Phố Nối A, Hưng Yên - Hà Nam</t>
  </si>
  <si>
    <t>Vạn Phúc, Hà Đông - Hà Nam</t>
  </si>
  <si>
    <t>Mỹ Hào, Hưng Yên - Hà Nam</t>
  </si>
  <si>
    <t>Dị Sử, Mỹ Hào, Hưng Yên - Hà Nam</t>
  </si>
  <si>
    <t>KCN Đại Đồng, Bắc Ninh - Hà Nam</t>
  </si>
  <si>
    <t>Khai Quang, Vĩnh Phúc -  Hà Nam</t>
  </si>
  <si>
    <t>Thạch Thất, Hà Nội - Hà Nam</t>
  </si>
  <si>
    <t>Mua cầu chì</t>
  </si>
  <si>
    <t>Mua nước lọc đổ</t>
  </si>
  <si>
    <t>Lắp camera hành trình</t>
  </si>
  <si>
    <t>Mua bạc tay giằng ngao xe 15C-070.63</t>
  </si>
  <si>
    <t>Thanh toán tiền sửa xe 15C-070.63 (vỉ quạt gió mới)</t>
  </si>
  <si>
    <t>Thanh toán tiền lọc gió xe 15C-070.63</t>
  </si>
  <si>
    <t>Thanh toán tiền sửa xe 15C-070.63 (gia công bạc giảm sóc, công tháo lắp, bạc tay giằng...)</t>
  </si>
  <si>
    <t>Thanh toán nước làm mát</t>
  </si>
  <si>
    <t>Thưởng tết dương lịch cho lái xe</t>
  </si>
  <si>
    <t>THÁNG 1.2019</t>
  </si>
  <si>
    <t>Đóng hàng phân sáng 02/01</t>
  </si>
  <si>
    <t>Đóng hàng chè sáng 03/01</t>
  </si>
  <si>
    <t>Trả hàng NK sáng 04/01</t>
  </si>
  <si>
    <t>Trả hàng + đóng hàng KH 05/01</t>
  </si>
  <si>
    <t>Trả hàng + đóng hàng KH 07/01</t>
  </si>
  <si>
    <t>Trả hàng + đóng hàng KH 08/01</t>
  </si>
  <si>
    <t>Đóng hàng phân sáng 09/01</t>
  </si>
  <si>
    <t>Trả hàng NK sáng 10/01</t>
  </si>
  <si>
    <t>Trả hàng + đóng hàng KH 11/01</t>
  </si>
  <si>
    <t>Trả hàng NK sáng 12/01</t>
  </si>
  <si>
    <t>Trả hàng + đóng hàng KH 14/01</t>
  </si>
  <si>
    <t>Trả hàng NK sáng 15/01</t>
  </si>
  <si>
    <t>Trả hàng + đóng hàng KH 16/01</t>
  </si>
  <si>
    <t>Đóng hàng phân sáng 17/01</t>
  </si>
  <si>
    <t>Trả hàng + đóng hàng KH 18/01</t>
  </si>
  <si>
    <t>Trả hàng + đóng hàng KH 19/01</t>
  </si>
  <si>
    <t>Trả hàng + đóng hàng KH 21/01</t>
  </si>
  <si>
    <t>Trả hàng + đóng hàng KH 22/01</t>
  </si>
  <si>
    <t>Trả hàng + đóng hàng KH 23/01</t>
  </si>
  <si>
    <t>Đóng hàng phân sáng 24/01</t>
  </si>
  <si>
    <t>Đóng hàng chè sáng 25/01</t>
  </si>
  <si>
    <t>Trả hàng + đóng hàng KH 26/01</t>
  </si>
  <si>
    <t>Trả hàng + đóng hàng KH 28/01</t>
  </si>
  <si>
    <t>Trả hàng NK sáng 30/01</t>
  </si>
  <si>
    <t>Trả hàng + đóng hàng KH 31/01</t>
  </si>
  <si>
    <t>EITU0362370</t>
  </si>
  <si>
    <t>FBIU0119322</t>
  </si>
  <si>
    <t>TRHU3832030</t>
  </si>
  <si>
    <t>GMDU2185349</t>
  </si>
  <si>
    <t>DRYU2924310</t>
  </si>
  <si>
    <t>TCLU2361417</t>
  </si>
  <si>
    <t>TCLU2524350</t>
  </si>
  <si>
    <t>CSNU1398497</t>
  </si>
  <si>
    <t>GAOU2110498</t>
  </si>
  <si>
    <t>TRHU1511576</t>
  </si>
  <si>
    <t>DRYU2923329</t>
  </si>
  <si>
    <t>UETU2669912</t>
  </si>
  <si>
    <t>TRHU1344714</t>
  </si>
  <si>
    <t>PONU0635711</t>
  </si>
  <si>
    <t>TRHU1344890</t>
  </si>
  <si>
    <t>WHLU2530124</t>
  </si>
  <si>
    <t>WFHU1365229</t>
  </si>
  <si>
    <t>DRYU2901720</t>
  </si>
  <si>
    <t>GAOU2114493</t>
  </si>
  <si>
    <t>TGCU2026678</t>
  </si>
  <si>
    <t>FBIU0119873</t>
  </si>
  <si>
    <t>GAOU2112844</t>
  </si>
  <si>
    <t>KKTU7884415</t>
  </si>
  <si>
    <t>CSNU1541165</t>
  </si>
  <si>
    <t>GAOU2108470</t>
  </si>
  <si>
    <t xml:space="preserve">Phố Nối A, Hưng Yên </t>
  </si>
  <si>
    <t>Đồng Văn, Hà Nam - Hà Nam</t>
  </si>
  <si>
    <t>Sơn Dương, Tuyên Quang - Hà Nam</t>
  </si>
  <si>
    <t>KCN Phong Khê, Bắc Ninh - Hà Nam</t>
  </si>
  <si>
    <t xml:space="preserve"> Yên Mỹ, Hưng Yên - Hà Nam</t>
  </si>
  <si>
    <t>Sơn Dương, Tuyên Quang - Việt Trì - HP</t>
  </si>
  <si>
    <t>Thanh toán tiền sửa xe 15C-070.63 (thay ống cao su, ống đai nước, công thợ)</t>
  </si>
  <si>
    <t>Thanh toán tiền sửa xe 15C-070.63 (mua giảm sóc tải, cầu trì lái+thay) ngày 6/1</t>
  </si>
  <si>
    <t>Thanh toán tiền sửa xe 15C-070.63 ngày 6/1 (rơ le, đế cầu trì, cầu trì, thay pha nhỏ, dây điện, công làm)</t>
  </si>
  <si>
    <t>Thanh toán tiền thay lốp xe 15C-070.63 ngày 14/1 (lốp 1100R20 goodede T 987)</t>
  </si>
  <si>
    <t>Thanh toán tiền sửa xe 15C-070.63 (bơm mỡ đầu kéo, mooc, kiểm tra ba ngang+ba dọc)</t>
  </si>
  <si>
    <t>Trả tiền sửa xe 15C-070.63 (dù gió)</t>
  </si>
  <si>
    <t>Thưởng tết cho lái xe</t>
  </si>
  <si>
    <t>THÁNG 2.2019</t>
  </si>
  <si>
    <t>Trả hàng + đóng hàng KH 12/02</t>
  </si>
  <si>
    <t>Đóng hàng phân sáng 13/02</t>
  </si>
  <si>
    <t>Trả hàng + đóng hàng KH 14/02</t>
  </si>
  <si>
    <t>Trả hàng + đóng hàng KH 15/02</t>
  </si>
  <si>
    <t>Trả hàng NK sáng 16/02</t>
  </si>
  <si>
    <t>Trả hàng NK sáng 19/02</t>
  </si>
  <si>
    <t>Trả hàng + đóng hàng KH 20/02</t>
  </si>
  <si>
    <t>Đóng hàng chè sáng 21/02</t>
  </si>
  <si>
    <t>Trả hàng + đóng hàng KH 22/02</t>
  </si>
  <si>
    <t>Trả hàng NK sáng 23/02</t>
  </si>
  <si>
    <t>Trả hàng + đóng hàng KH 25/02</t>
  </si>
  <si>
    <t>Trả hàng + đóng hàng KH 26/02</t>
  </si>
  <si>
    <t>Trả hàng NK sáng 27/02</t>
  </si>
  <si>
    <t>Trả hàng + đóng hàng KH 28/02</t>
  </si>
  <si>
    <t>GMDU2152577</t>
  </si>
  <si>
    <t>TCLU3552681</t>
  </si>
  <si>
    <t>BISU2828368</t>
  </si>
  <si>
    <t>VNLU3093247</t>
  </si>
  <si>
    <t>MAGU2362111</t>
  </si>
  <si>
    <t>DFSU1194115</t>
  </si>
  <si>
    <t>DRYU2901905</t>
  </si>
  <si>
    <t>WHSU2140522</t>
  </si>
  <si>
    <t>GMDU2180100</t>
  </si>
  <si>
    <t>MRKU8972790</t>
  </si>
  <si>
    <t>GAOU2107025</t>
  </si>
  <si>
    <t>GAOU2107920</t>
  </si>
  <si>
    <t>GLDU9916551</t>
  </si>
  <si>
    <t>VNLU3092699</t>
  </si>
  <si>
    <t>Thạch Thất, Hà Nội</t>
  </si>
  <si>
    <t>Đông Hương, Thanh Hóa, Hà Nam</t>
  </si>
  <si>
    <t>Lì xì đầu năm cho lái xe</t>
  </si>
  <si>
    <t>Trả hàng + đóng hàng KH 01/03</t>
  </si>
  <si>
    <t>Đóng hàng phân sáng 02/03</t>
  </si>
  <si>
    <t>Đóng hàng phân sáng 03/03</t>
  </si>
  <si>
    <t>Trả hàng + đóng hàng KH 04/03</t>
  </si>
  <si>
    <t>Trả hàng + đóng hàng KH 05/03</t>
  </si>
  <si>
    <t>Trả hàng NK sáng 06/03</t>
  </si>
  <si>
    <t>Trả hàng NK chiều 07/03</t>
  </si>
  <si>
    <t>Trả hàng NK sáng 08/03</t>
  </si>
  <si>
    <t>Trả hàng + đóng hàng KH 09/03</t>
  </si>
  <si>
    <t>Trả hàng + đóng hàng KH 11/03</t>
  </si>
  <si>
    <t>Trả hàng + đóng hàng KH 12/03</t>
  </si>
  <si>
    <t>Trả hàng + đóng hàng KH 13/03</t>
  </si>
  <si>
    <t>Đóng hàng chè sáng 14/03</t>
  </si>
  <si>
    <t>Đóng hàng phân sáng 15/03</t>
  </si>
  <si>
    <t>Đóng hàng phân sáng 16/03</t>
  </si>
  <si>
    <t>Trả hàng + đóng hàng KH 18/03</t>
  </si>
  <si>
    <t>Trả hàng + đóng hàng KH 19/03</t>
  </si>
  <si>
    <t>Đóng hàng phân sáng 20/03</t>
  </si>
  <si>
    <t>Đóng hàng chè sáng 21/03</t>
  </si>
  <si>
    <t>Trả hàng NK sáng 22/03</t>
  </si>
  <si>
    <t>Trả hàng + đóng hàng KH 25/03</t>
  </si>
  <si>
    <t>Đóng hàng phân sáng 26/03</t>
  </si>
  <si>
    <t>Đóng hàng phân sáng 27/03</t>
  </si>
  <si>
    <t>Đóng hàng chè sáng 28/03</t>
  </si>
  <si>
    <t>Trả hàng NK sáng 30/03</t>
  </si>
  <si>
    <t>GAOU2111621</t>
  </si>
  <si>
    <t>EITU0093460</t>
  </si>
  <si>
    <t>EITU0161035</t>
  </si>
  <si>
    <t>GMDU2180239</t>
  </si>
  <si>
    <t>VNLU3090314</t>
  </si>
  <si>
    <t>UETU2475394</t>
  </si>
  <si>
    <t>TRLU3884879</t>
  </si>
  <si>
    <t>DRYU2430600</t>
  </si>
  <si>
    <t>GMDU2183650</t>
  </si>
  <si>
    <t>BISU2827572</t>
  </si>
  <si>
    <t>DRYU3023018</t>
  </si>
  <si>
    <t>GMDU2185502</t>
  </si>
  <si>
    <t>WHSU2424576</t>
  </si>
  <si>
    <t>TLLU2045401</t>
  </si>
  <si>
    <t>TCLU7695973</t>
  </si>
  <si>
    <t>BISU2836810</t>
  </si>
  <si>
    <t>GAOU2115416</t>
  </si>
  <si>
    <t>IMTU3047179</t>
  </si>
  <si>
    <t>WHSU2537079</t>
  </si>
  <si>
    <t>PONU0603951</t>
  </si>
  <si>
    <t>GMDU2153629</t>
  </si>
  <si>
    <t>TTNU1288121</t>
  </si>
  <si>
    <t>TCLU2206684</t>
  </si>
  <si>
    <t>WHSU2579388</t>
  </si>
  <si>
    <t>HLBU1388600</t>
  </si>
  <si>
    <t>Quốc Oai, Hà Nội - Hà Nam</t>
  </si>
  <si>
    <t>Phố Nối A, Hưng Yên</t>
  </si>
  <si>
    <t>Đông Anh, Hà Nội</t>
  </si>
  <si>
    <t>Hà Trung, Thanh Hóa, Hà Nam</t>
  </si>
  <si>
    <t>Kim Sơn , Ninh Bình - Hà Nam</t>
  </si>
  <si>
    <t>Máy soi Tasa - Thường Tín, Hà Nội</t>
  </si>
  <si>
    <t>Bình Đà, Thanh Oai, Hà Nội - Hà Nam</t>
  </si>
  <si>
    <t>NM Giấy An Hòa, Sơn Dương, Tuyên Quang</t>
  </si>
  <si>
    <t>Phí sử dụng đường bộ xe 15C-070.63</t>
  </si>
  <si>
    <t>Phí kiểm định xe 15C-070.63</t>
  </si>
  <si>
    <t>Bồi dưỡng đăng kiểm xe 15C-070.63</t>
  </si>
  <si>
    <t>Thanh toán tiền lọc nhớt detroit xe 15C-070.63</t>
  </si>
  <si>
    <t>Thanh toán tiền lọc thả xe 15C-070.63</t>
  </si>
  <si>
    <t>Thanh toán tiền dầu rubia tir</t>
  </si>
  <si>
    <t>Thanh toán tiền sửa xe 15C-070.63 (tán má phanh cầu sau, mua lò xo má phanh, công thợ)</t>
  </si>
  <si>
    <t>Anh Phụng đi cứu hộ xe+mua dây curoa xe 15C-070.63</t>
  </si>
  <si>
    <t>Thanh toán tiền sửa xe 15C-070.63 (rơ le đóng mở cánh quạt)</t>
  </si>
  <si>
    <t>Mua bóng hơi cabin xe 15C-070.63</t>
  </si>
  <si>
    <t>Thanh toán tiền sửa xe 15C-070.63 (ga lạnh, lốc lạnh, chắn gió bệ lốc lạnh, ống lạnh, giàn nóng mới, công thợ)</t>
  </si>
  <si>
    <t>Thanh toán tiền sửa xe 15C-070.63 (mua giảm sóc, mua bi cánh quạt, công tháo lắp)</t>
  </si>
  <si>
    <t>Thanh toán tiền sửa xe 15C-070.63 ngày 26/3 (1 bóng pha, 1 giắc pha, 1 giá chì, 1 rơ le, công làm điện cánh quạt)</t>
  </si>
  <si>
    <t>Thanh toán tiền sửa xe 15C-070.63 ngày 26/3 (làm bộ chia hơi bóng+công thay mặt chia hơi bóng)</t>
  </si>
  <si>
    <t>Thanh toán tiền lốp xe 15C-070.63 (lốp 1100R20 Goodride)</t>
  </si>
  <si>
    <t>THÁNG 4.2019</t>
  </si>
  <si>
    <t>THÁNG 3.2019</t>
  </si>
  <si>
    <t>Trả hàng + đóng hàng KH 01/04</t>
  </si>
  <si>
    <t>Trả hàng + đóng hàng KH 02/04</t>
  </si>
  <si>
    <t>Đóng hàng phân 03/04</t>
  </si>
  <si>
    <t>Đóng hàng chè sáng 04/04</t>
  </si>
  <si>
    <t>Trả hàng NK sáng 05/04</t>
  </si>
  <si>
    <t>Trả hàng + đóng hàng KH 06/04</t>
  </si>
  <si>
    <t>Trả hàng + đóng hàng KH 08/04</t>
  </si>
  <si>
    <t>Trả hàng + đóng hàng KH 09/04</t>
  </si>
  <si>
    <t>Trả hàng NK sáng 10/04</t>
  </si>
  <si>
    <t>Trả hàng NK sáng 11/04</t>
  </si>
  <si>
    <t>Trả hàng + đóng hàng KH 12/04</t>
  </si>
  <si>
    <t>Trả hàng NK sáng 13/04</t>
  </si>
  <si>
    <t>Trả hàng + đóng hàng KH 16/04</t>
  </si>
  <si>
    <t>Trả hàng + đóng hàng KH 17/04</t>
  </si>
  <si>
    <t>Đóng hàng chè sáng 18/04</t>
  </si>
  <si>
    <t>Trả hàng + đóng hàng KH 19/04</t>
  </si>
  <si>
    <t>Trả hàng NK sáng 20/04</t>
  </si>
  <si>
    <t>Trả hàng + đóng hàng KH 22/04</t>
  </si>
  <si>
    <t>Đóng hàng chè sáng 23/04</t>
  </si>
  <si>
    <t>Trả hàng + đóng hàng KH 24/04</t>
  </si>
  <si>
    <t>Trả hàng NK sáng 25/04</t>
  </si>
  <si>
    <t>Trả hàng + đóng hàng KH 26/04</t>
  </si>
  <si>
    <t>Trả hàng + đóng hàng KH 27/04</t>
  </si>
  <si>
    <t>Trả hàng NK sáng 29/04</t>
  </si>
  <si>
    <t>HJMU2154245</t>
  </si>
  <si>
    <t>GMDU2140051</t>
  </si>
  <si>
    <t>SUDU1504520</t>
  </si>
  <si>
    <t>WHSU2039950</t>
  </si>
  <si>
    <t>TCBU2140078</t>
  </si>
  <si>
    <t>BISU2830160</t>
  </si>
  <si>
    <t>VSLU3042730</t>
  </si>
  <si>
    <t>GMDU2152453</t>
  </si>
  <si>
    <t>CNSU1704679</t>
  </si>
  <si>
    <t>TCLU7451582</t>
  </si>
  <si>
    <t>GAOU2114657</t>
  </si>
  <si>
    <t>SKLU0739081</t>
  </si>
  <si>
    <t>CRSU1158018</t>
  </si>
  <si>
    <t>WHSU2576408</t>
  </si>
  <si>
    <t>GMDU2140241</t>
  </si>
  <si>
    <t>TEMU1665460</t>
  </si>
  <si>
    <t>GMDU2142938</t>
  </si>
  <si>
    <t>WHSU2564768</t>
  </si>
  <si>
    <t>CXDU1498943</t>
  </si>
  <si>
    <t>WHLU0233425</t>
  </si>
  <si>
    <t>CRSU1408040</t>
  </si>
  <si>
    <t>GAOU2109368</t>
  </si>
  <si>
    <t>TEMU5032794</t>
  </si>
  <si>
    <t>KCN Đại Đồng - Hoàn Sơn, Bắc Ninh</t>
  </si>
  <si>
    <t>TP. Hòa Bình - Hà Nam</t>
  </si>
  <si>
    <t>Tiên Du, Bắc Ninh - Hà Nam</t>
  </si>
  <si>
    <t>Thanh Trì, Hà Nội</t>
  </si>
  <si>
    <t>Quế Võ, Bắc Ninh</t>
  </si>
  <si>
    <t>Yên Viên, Hà Nội - Hà Nam</t>
  </si>
  <si>
    <t>KCN Phú Khánh, Ninh Bình - Hà Nam</t>
  </si>
  <si>
    <t>Đức Giang, Long Biên, Hà Nội - Hà Nam</t>
  </si>
  <si>
    <t>KCN Hòa Xá, TP Nam Định</t>
  </si>
  <si>
    <t>Thanh toán 01 lốp 1100R20 goodede T 987 cho xe 15C-070.63</t>
  </si>
  <si>
    <t>Thanh toán tiền định vị bách khoa xe 15C-070.63 (từ T6/19 đến T4/20)</t>
  </si>
  <si>
    <t>Thưởng 1,5 cho lái xe</t>
  </si>
  <si>
    <t>Thanh toán tiền sửa xe 15C-070.63 ngày 10.4 (mưa phớt may ơ cầu sau, công thay phớt, mua mỡ chắn dầu may ơ)</t>
  </si>
  <si>
    <t>Trả hàng + đóng hàng KH 02/05</t>
  </si>
  <si>
    <t>Trả hàng + đóng hàng KH 03/05</t>
  </si>
  <si>
    <t>Trả hàng NK sáng 04/05</t>
  </si>
  <si>
    <t>Trả hàng NK sáng 06/05</t>
  </si>
  <si>
    <t>Đóng hàng chè sáng 07/05</t>
  </si>
  <si>
    <t>Trả hàng + đóng hàng KH 08/05</t>
  </si>
  <si>
    <t>Trả hàng NK sáng 09/05</t>
  </si>
  <si>
    <t>Trả hàng NK sáng 10/05</t>
  </si>
  <si>
    <t>Trả hàng + đóng hàng KH 13/05</t>
  </si>
  <si>
    <t>Trả hàng sáng 14/05</t>
  </si>
  <si>
    <t>Đóng hàng chè sáng 15/05</t>
  </si>
  <si>
    <t>Trả hàng + đóng KH 16/05</t>
  </si>
  <si>
    <t>Đóng phân lân sáng 17/05</t>
  </si>
  <si>
    <t>Đóng hàng phân lân sáng 18/05</t>
  </si>
  <si>
    <t>Trả hàng + đóng hàng KH 27/05</t>
  </si>
  <si>
    <t>Trả hàng + đóng hàng KH 28/05</t>
  </si>
  <si>
    <t>Trả hàng + đóng hàng KH 29/05</t>
  </si>
  <si>
    <t>Trả hàng + đóng hàng KH 30/05</t>
  </si>
  <si>
    <t>Trả hàng NK sáng 31/05</t>
  </si>
  <si>
    <t>Trả hàng NK đêm 31/05</t>
  </si>
  <si>
    <t>GMDU2183813</t>
  </si>
  <si>
    <t>DRYU2852586</t>
  </si>
  <si>
    <t>CCLU3333389</t>
  </si>
  <si>
    <t>TCKU1001039</t>
  </si>
  <si>
    <t>WHSU2264734</t>
  </si>
  <si>
    <t>DRYU2852858</t>
  </si>
  <si>
    <t>WHLU0217928</t>
  </si>
  <si>
    <t>CSNU1462908</t>
  </si>
  <si>
    <t>DRYU2853622</t>
  </si>
  <si>
    <t>TCLU2803709</t>
  </si>
  <si>
    <t>WHSU2361755</t>
  </si>
  <si>
    <t>VOSU1805102</t>
  </si>
  <si>
    <t>TGCU2018055</t>
  </si>
  <si>
    <t>EITU0018430</t>
  </si>
  <si>
    <t>TRHU3295183</t>
  </si>
  <si>
    <t>TRHU1344329</t>
  </si>
  <si>
    <t>GAOU2114929</t>
  </si>
  <si>
    <t>TRHU3295898</t>
  </si>
  <si>
    <t>FCIU6205013</t>
  </si>
  <si>
    <t>SKLU1659993</t>
  </si>
  <si>
    <t>Từ Sơn, Bắc Ninh - Hà Nam</t>
  </si>
  <si>
    <t>Cẩm Giàng, HD - Chương Mỹ, HN - Hà Nam</t>
  </si>
  <si>
    <t>Tân Lạc, Hòa Bình - Hà Nam</t>
  </si>
  <si>
    <t>Lạc Đạo, Văn Lâm, Hưng Yên</t>
  </si>
  <si>
    <t>Đại Đồng, Văn Lâm, Hưng Yên - Hưng Yên</t>
  </si>
  <si>
    <t>Phố Nối A, Hưng Yên, Hà Nam</t>
  </si>
  <si>
    <t>TP. Thái Nguyên - Hà Nam</t>
  </si>
  <si>
    <t>Dục Tú, Đông Anh, Hà Nội</t>
  </si>
  <si>
    <t>Mua 2 lọc nhớt Donaldson xe 15C-070.63: 195.000 x 2 =</t>
  </si>
  <si>
    <t>Mua 3 bình ắc quy Đồng Nai cho xe 15C-070.63</t>
  </si>
  <si>
    <t>Làm lại động cơ xe</t>
  </si>
  <si>
    <t>Sửa hơi, thay bát phanh, thay cốc lọc xe 15C-070.63</t>
  </si>
  <si>
    <t>Thanh toán tiền 02 lốp xe 15C-070.63 (1100R20 BFGoodrich)</t>
  </si>
  <si>
    <t>THÁNG 5.2019</t>
  </si>
  <si>
    <t>THÁNG 6.2019</t>
  </si>
  <si>
    <t>Trả hàng NK sáng 03/06</t>
  </si>
  <si>
    <t>Đóng hàng chè sáng 04/06</t>
  </si>
  <si>
    <t>Đóng hàng phân lân sáng 05/06</t>
  </si>
  <si>
    <t>Trả hàng + đóng hàng KH 06/06</t>
  </si>
  <si>
    <t>Đóng hàng chè sáng 07/06</t>
  </si>
  <si>
    <t>Trả hàng + đóng hàng KH 08/06</t>
  </si>
  <si>
    <t>Trả hàng + đóng hàng KH 11/06</t>
  </si>
  <si>
    <t>Trả hàng + đóng hàng KH 12/06</t>
  </si>
  <si>
    <t>Trả hàng + đóng hàng KH 13/06</t>
  </si>
  <si>
    <t>Trả hàng + đóng hàng KH 15/06</t>
  </si>
  <si>
    <t>Trả hàng đường ngắn 17/06</t>
  </si>
  <si>
    <t>Trả hàng + đóng hàng KH 18/06</t>
  </si>
  <si>
    <t>Trả hàng + đóng hàng KH 19/06</t>
  </si>
  <si>
    <t>Đóng hàng chè sáng 20/06</t>
  </si>
  <si>
    <t>Trả hàng NK sáng 21/06</t>
  </si>
  <si>
    <t>Trả hàng + đóng hàng KH 22/06</t>
  </si>
  <si>
    <t>Trả hàng Nk sáng 24/06</t>
  </si>
  <si>
    <t>Trả hàng + đóng hàng KH 25/06</t>
  </si>
  <si>
    <t>Trả hàng + đóng hàng KH 26/06</t>
  </si>
  <si>
    <t>Trả hàng + đóng hàng KH 27/06</t>
  </si>
  <si>
    <t>Trả hàng + đóng hàng KH 28/06</t>
  </si>
  <si>
    <t>Trả hàng NK sáng 29/06</t>
  </si>
  <si>
    <t>TRLU3954231</t>
  </si>
  <si>
    <t>WHSU2623290</t>
  </si>
  <si>
    <t>EISU2139931</t>
  </si>
  <si>
    <t>DRYU2924109</t>
  </si>
  <si>
    <t>WHSU2590279</t>
  </si>
  <si>
    <t>CAIU6864861</t>
  </si>
  <si>
    <t>DRYU2853411</t>
  </si>
  <si>
    <t>TTNU2432357</t>
  </si>
  <si>
    <t>GMDU2183264</t>
  </si>
  <si>
    <t>GESU3882463</t>
  </si>
  <si>
    <t>SKLU1528904</t>
  </si>
  <si>
    <t>TCLU5397310</t>
  </si>
  <si>
    <t>GMDU2183027</t>
  </si>
  <si>
    <t>TEMU5983005</t>
  </si>
  <si>
    <t>SNBU2290485</t>
  </si>
  <si>
    <t>TCLU3655838</t>
  </si>
  <si>
    <t>CSNU1341022</t>
  </si>
  <si>
    <t>GAOU2111560</t>
  </si>
  <si>
    <t>TCKU3395760</t>
  </si>
  <si>
    <t>GAOU2115041</t>
  </si>
  <si>
    <t>GLDU5628942</t>
  </si>
  <si>
    <t>MAEU6960475</t>
  </si>
  <si>
    <t>Chương Mỹ, Hà Nội - Hà Nam</t>
  </si>
  <si>
    <t>Phố Nối, Hưng Yên - Hà Nam</t>
  </si>
  <si>
    <t>Đại Từ, Thái Nguyên - Hà Nam</t>
  </si>
  <si>
    <t>Cảng Cấm, Hải Phòng</t>
  </si>
  <si>
    <t>Long Biên , Hà Nội - Hà Nam</t>
  </si>
  <si>
    <t>KCN Tiên Sơn, Bắc Ninh</t>
  </si>
  <si>
    <t>Thanh Trì, Hà Nội - Hà Nam</t>
  </si>
  <si>
    <t>Kiện Khê, Hà Nam</t>
  </si>
  <si>
    <t>Vĩnh Tuy, Hà Nội - Hà Nam</t>
  </si>
  <si>
    <t>Thạch Thành , Thanh Hóa - Hà Nam</t>
  </si>
  <si>
    <t>Từ Sơn, Bắc Ninh</t>
  </si>
  <si>
    <t>Anh Phụng trả tiền sửa xe 15C-070.63: hàn chắn bùn, chỉnh ba đờ xốc đầu kéo, hàn chắn bùn ro mooc</t>
  </si>
  <si>
    <t>Anh Phụng trả tiền sửa xe 15C-070.63: thay ống bầu xả, hàn bắt giằng cabin, hàn chế bắt mi đèn pha</t>
  </si>
  <si>
    <t>Sửa chữa: mua bạc nhíp bóng cầu, cầu xe 15c-070.63</t>
  </si>
  <si>
    <t>Sửa chữa: bơm mỡ xe 15C-070.63</t>
  </si>
  <si>
    <t>Bảo hiểm TNDS &amp; TNNN 15C-070.63</t>
  </si>
  <si>
    <t>THÁNG 7.2019</t>
  </si>
  <si>
    <t>Trả hàng NK sáng 02/07</t>
  </si>
  <si>
    <t>TRHU3290284</t>
  </si>
  <si>
    <t>Đóng hàng phân sáng 03/07</t>
  </si>
  <si>
    <t>EITU0162617</t>
  </si>
  <si>
    <t>Đóng hàng chè sáng 04/07</t>
  </si>
  <si>
    <t>WHSU2668150</t>
  </si>
  <si>
    <t>Trả hàng + đóng hàng KH 05/07</t>
  </si>
  <si>
    <t>HAHU8297222</t>
  </si>
  <si>
    <t>Hà Đông, Hà Nội - Hà Nam</t>
  </si>
  <si>
    <t>Trả hàng + đóng hàng KH 06/07</t>
  </si>
  <si>
    <t>TCKU2463026</t>
  </si>
  <si>
    <t>Đóng hàng XK chiều 08/07</t>
  </si>
  <si>
    <t>WHSU2103128</t>
  </si>
  <si>
    <t>Hòa Hậu, Lý Nhân, Hà Nam</t>
  </si>
  <si>
    <t>Trả hàng + đóng hàng KH 09/07</t>
  </si>
  <si>
    <t>GAOU2113943</t>
  </si>
  <si>
    <t>Trả hàng + đóng hàng KH 10/07</t>
  </si>
  <si>
    <t>GMDU2142959</t>
  </si>
  <si>
    <t>KCN Tân Trường, Hải Dương - Hà Nam</t>
  </si>
  <si>
    <t>Đóng hàng chè chiều 11/07</t>
  </si>
  <si>
    <t>BSIU3181960</t>
  </si>
  <si>
    <t>Trả hàng + đóng hàng KH 12/07</t>
  </si>
  <si>
    <t>GMDU2181425</t>
  </si>
  <si>
    <t>Trả hàng + đóng hàng KH 13/07</t>
  </si>
  <si>
    <t>TCKU1968287</t>
  </si>
  <si>
    <t>Từ Sơn , Bắc Ninh - Hà Nam</t>
  </si>
  <si>
    <t>Trả hàng + đóng hàng KH 15/07</t>
  </si>
  <si>
    <t>HNSU2066905</t>
  </si>
  <si>
    <t>Trả hàng NK sáng 16/07</t>
  </si>
  <si>
    <t>WHLU0610149</t>
  </si>
  <si>
    <t>Đóng hàng chè sáng 17/07</t>
  </si>
  <si>
    <t>WHSU2701120</t>
  </si>
  <si>
    <t>Trả hàng + đóng hàng KH 18/07</t>
  </si>
  <si>
    <t>TCKU1847829</t>
  </si>
  <si>
    <t>Phổ Yên, Thái Nguyên - Hà Nam</t>
  </si>
  <si>
    <t>Trả hàng NK sáng 19/07</t>
  </si>
  <si>
    <t>DFSU2388959</t>
  </si>
  <si>
    <t>Yên Viên, Hà Nội</t>
  </si>
  <si>
    <t>Trả hàng + đóng hàng KH 21/07</t>
  </si>
  <si>
    <t>TCLU1931752</t>
  </si>
  <si>
    <t>Trả hàng + đóng hàng KH 22/07</t>
  </si>
  <si>
    <t>TCKU3637797</t>
  </si>
  <si>
    <t>KCN Yên Phong, Bắc Ninh - Hà Nam</t>
  </si>
  <si>
    <t>Đóng hàng chè sáng 23/07</t>
  </si>
  <si>
    <t>BMOU1230139</t>
  </si>
  <si>
    <t>Trả hàng + đóng hàng KH 24/07</t>
  </si>
  <si>
    <t>GMDU2418116</t>
  </si>
  <si>
    <t>Thanh Sơn, Phú Thọ - Thanh Ba, Phú Thọ</t>
  </si>
  <si>
    <t>Trả hàng + đóng hàng KH 25/07</t>
  </si>
  <si>
    <t>GMDU2182606</t>
  </si>
  <si>
    <t>DFSU2797303</t>
  </si>
  <si>
    <t>Yên Mỹ, Hưng Yên</t>
  </si>
  <si>
    <t>SLSU2106878</t>
  </si>
  <si>
    <t>Trả hàng NK sáng 28/07</t>
  </si>
  <si>
    <t>DFSU1751709</t>
  </si>
  <si>
    <t>Trả hàng NK sáng 29/07</t>
  </si>
  <si>
    <t>FCIU5396321</t>
  </si>
  <si>
    <t>Trả hàng + đóng hàng KH 30/07</t>
  </si>
  <si>
    <t>GMDU2182524</t>
  </si>
  <si>
    <t>Tân Trường, Hải Dương - Hà Nam</t>
  </si>
  <si>
    <t>GMDU2181430</t>
  </si>
  <si>
    <t>A Phụng thanh toán tiền mua 2 lốp BFgoodrich 11.00-20 xe 15C-070.63 cho Minh Ngọc</t>
  </si>
  <si>
    <t>A Phụng thanh toán tiền mua 2 lốp DRC 295/75R22.5 xe 15C-070.63 cho Minh Ngọc</t>
  </si>
  <si>
    <t>Sửa chữa Nga thanh toán tiền tháo lắp 1 quả bóng hơi tải, thay 2 ống truyền dẫn hơi sang bóng xe 15C-070.63</t>
  </si>
  <si>
    <t>Sửa chữa Nga thanh toán tền thay 1 zơ le đóng mở cánh quạt (mới) và tiền công xe 15C-070.63</t>
  </si>
  <si>
    <t>Sửa chữa Nga thanh toán tiền thay pha to, pha nhỏ xe 15C-070.63</t>
  </si>
  <si>
    <t>Trả hàng + đóng hàng KH 02/08</t>
  </si>
  <si>
    <t>Trả hàng + đóng hàng KH 05/08</t>
  </si>
  <si>
    <t>Đóng hàng chè sáng 06/08</t>
  </si>
  <si>
    <t>Đóng hàng chè chiều 07/08</t>
  </si>
  <si>
    <t>Trả hàng + đóng hàng KH 08/08</t>
  </si>
  <si>
    <t>Đóng hàng chè sáng 09/08</t>
  </si>
  <si>
    <t>Trả hàng + đóng hàng KH 10/08</t>
  </si>
  <si>
    <t>Trả hàng + đóng hàng KH 12/08</t>
  </si>
  <si>
    <t>Trả hàng + đóng hàng KH 13/08</t>
  </si>
  <si>
    <t>Đóng hàng sáng 14/08</t>
  </si>
  <si>
    <t>Trả hàng + đóng hàng KH 15/08</t>
  </si>
  <si>
    <t>Trả hàng + đóng hàng KH 16/08</t>
  </si>
  <si>
    <t>Đóng hàng sáng 17/08</t>
  </si>
  <si>
    <t>Trả hàng + đóng hàng KH 19/08</t>
  </si>
  <si>
    <t>Trả hàng NK sáng 21/08</t>
  </si>
  <si>
    <t>Đóng hàng chè sáng 22/08</t>
  </si>
  <si>
    <t>Trả hàng + đóng hàng KH 26/08</t>
  </si>
  <si>
    <t>Trả hàng + đóng hàng KH 27/08</t>
  </si>
  <si>
    <t>Trả hàng + đóng hàng KH 28/08</t>
  </si>
  <si>
    <t>Trả hàng + đóng hàng KH 29/08</t>
  </si>
  <si>
    <t>Đóng hàng chè sáng 30/08</t>
  </si>
  <si>
    <t>Trả hàng NK sáng 31/08</t>
  </si>
  <si>
    <t>WHSU2528673</t>
  </si>
  <si>
    <t>GMDU2183074</t>
  </si>
  <si>
    <t>TCKU1340120</t>
  </si>
  <si>
    <t>WHSU2635476</t>
  </si>
  <si>
    <t>WSHU2626601</t>
  </si>
  <si>
    <t>DRYU2853242</t>
  </si>
  <si>
    <t>WHSU2636370</t>
  </si>
  <si>
    <t>GMDU2153341</t>
  </si>
  <si>
    <t>DRYU2851846</t>
  </si>
  <si>
    <t>GMDU2413963</t>
  </si>
  <si>
    <t>HCVT0014</t>
  </si>
  <si>
    <t>VSLU3042703</t>
  </si>
  <si>
    <t>TCKU1395082</t>
  </si>
  <si>
    <t>HCVT0019</t>
  </si>
  <si>
    <t>TCKU3242420</t>
  </si>
  <si>
    <t>GMDU2142814</t>
  </si>
  <si>
    <t>DFSU2310272</t>
  </si>
  <si>
    <t>WHSU2708314</t>
  </si>
  <si>
    <t>DRYU2851487</t>
  </si>
  <si>
    <t>GLDU5711595</t>
  </si>
  <si>
    <t>GMDU2150384</t>
  </si>
  <si>
    <t>VNLU3096164</t>
  </si>
  <si>
    <t>TRHU1343889</t>
  </si>
  <si>
    <t>GMDU2153362</t>
  </si>
  <si>
    <t>ZIMU3044167</t>
  </si>
  <si>
    <t>APZU2119894</t>
  </si>
  <si>
    <t>Phù Ninh, Phú Thọ - Phú Thọ</t>
  </si>
  <si>
    <t>Đại Đồng, Bắc Ninh - Hà Nam</t>
  </si>
  <si>
    <t>Chí Linh, Hải Dương - Hà Nam</t>
  </si>
  <si>
    <t>Phú Lãm, Hà Đông, Hà Nội - Hà Nam</t>
  </si>
  <si>
    <t>TP. Hòa Binh - Hà Nam</t>
  </si>
  <si>
    <t>Ba Vì, Hà Nội - Hà Nam</t>
  </si>
  <si>
    <t>TP Thái Nguyên - Hà Nam</t>
  </si>
  <si>
    <t>Hải Dương - Hà Nam</t>
  </si>
  <si>
    <t>Vĩnh Tường, Vĩnh Phúc, Hà Nam</t>
  </si>
  <si>
    <t>Khoái Châu, Hưng Yên</t>
  </si>
  <si>
    <t>Sửa xe 15C-070.63: thay con chuột đề + bảo dưỡng củ đề</t>
  </si>
  <si>
    <t>Thanh toán tiền BHVC 
xe 15C-070.63</t>
  </si>
  <si>
    <t>Mua dây curoa 8PR1470 cho xe 15C-070.63</t>
  </si>
  <si>
    <t>Thanh toán tiền tháo lắp 1 quả bóng hơi tải, thay 2 ống truyền dẫn hơi sang bóng xe 15C-070.63</t>
  </si>
  <si>
    <t>Thanh toán tền thay 1 zơ le đóng mở cánh quạt (mới) và tiền công xe 15C-070.63</t>
  </si>
  <si>
    <t>thanh toán tiền thay pha to, pha nhỏ xe 15C-070.63</t>
  </si>
  <si>
    <t>THÁNG 8.2019</t>
  </si>
  <si>
    <t>Thanh toán lốp xe 15C-070.63 ngày 18/8 (lốp 1100R20)</t>
  </si>
  <si>
    <t>Mua 01 bóng hơi tải 21/08</t>
  </si>
  <si>
    <t>Thưởng 2/9 cho lái xe</t>
  </si>
  <si>
    <t>Thanh toán tiền thay bộ đầu block lạnh 15C-070.63</t>
  </si>
  <si>
    <t>THÁNG 9.2019</t>
  </si>
  <si>
    <t>Trả hàng NK sáng 03/09</t>
  </si>
  <si>
    <t>DFSU2486934</t>
  </si>
  <si>
    <t>Trả hàng NK sáng 04/09</t>
  </si>
  <si>
    <t>FCIU5177848</t>
  </si>
  <si>
    <t>Đóng hàng chè sáng 05/09</t>
  </si>
  <si>
    <t>WHSU2498028</t>
  </si>
  <si>
    <t>GMDU2182592</t>
  </si>
  <si>
    <t>Đóng hàng chè chiều 10/09</t>
  </si>
  <si>
    <t>TEMU1966946</t>
  </si>
  <si>
    <t>WHSU2686468</t>
  </si>
  <si>
    <t>Trả hàng + đóng hàng KH 12/09</t>
  </si>
  <si>
    <t>VNLU30949090</t>
  </si>
  <si>
    <t>Ý Yên, Nam Định - Hà Nam</t>
  </si>
  <si>
    <t>Trả hàng NK sáng 13/09</t>
  </si>
  <si>
    <t>BHCU3221170</t>
  </si>
  <si>
    <t>Việt Yên, Bắc Giang</t>
  </si>
  <si>
    <t>Trả hàng + đóng hàng KH 16/09</t>
  </si>
  <si>
    <t>GMDU2181940</t>
  </si>
  <si>
    <t>GMDU2410033</t>
  </si>
  <si>
    <t>Đóng hàng chè sáng 18/09</t>
  </si>
  <si>
    <t>WHSU2725271</t>
  </si>
  <si>
    <t>Trả hàng + đóng hàng KH 19/09</t>
  </si>
  <si>
    <t>VNLU3092657</t>
  </si>
  <si>
    <t>WHLU0303409</t>
  </si>
  <si>
    <t>Trả hàng + đóng hàng KH 23/09</t>
  </si>
  <si>
    <t>VNLU3095888</t>
  </si>
  <si>
    <t>GAOU2110585</t>
  </si>
  <si>
    <t>Đóng hàng chè sáng 25/09</t>
  </si>
  <si>
    <t>WHSU2088002</t>
  </si>
  <si>
    <t>Trả hàng + đóng hàng KH 26/09</t>
  </si>
  <si>
    <t>TCKU3730301</t>
  </si>
  <si>
    <t>Cầu Diễn, Hà Nội - Hà Nam</t>
  </si>
  <si>
    <t>Trả hàng + đóng hàng KH 27/09</t>
  </si>
  <si>
    <t>DRYU3094367</t>
  </si>
  <si>
    <t>TRHU3295687</t>
  </si>
  <si>
    <t>Chỉ Đạo, Văn Lâm, Hưng Yên - Hà Nam</t>
  </si>
  <si>
    <t>Trả hàng + đóng hàng KH 30/09</t>
  </si>
  <si>
    <t>DRYU3093545</t>
  </si>
  <si>
    <t>Tây Bắc Ga, Thanh Hóa - Hà Nam</t>
  </si>
  <si>
    <t>Thanh toán lốp xe 15C-070.63 ngày 4/9 (lốp 1100R20)</t>
  </si>
  <si>
    <t>Nộp phí sử dụng đường bộ xe 15C-070.63</t>
  </si>
  <si>
    <t>Kiểm định xe 15C-070.63</t>
  </si>
  <si>
    <t>Kiểm định rơ mooc xe 15C-070.63</t>
  </si>
  <si>
    <t>Dịch vụ đăng kiểm xe 15C-070.63</t>
  </si>
  <si>
    <t>Thanh toán tiền sửa xe 15C-070.63 (sửa tổng hơi, thay 2 ống tuy ô cấp, thay 1 tổng mooc, thay 1 van khóa xả nước ở bình hơi mooc, công thợ)</t>
  </si>
  <si>
    <t>Thanh toán tiền sửa xe 15C-070.63 ngày 9/8 (mua giảm sóc tải+công thay)</t>
  </si>
  <si>
    <t>Thanh toán tiền sửa xe 15C-070.63 ngày 4/8 (mua côn mới, mua bi tỳ côn, mua đường hơi thừa má phanh, thay ống bàn áp+bi, bàn áp, láng mài, mua bi bánh đà, mua chân má phanh sau, công thợ, dầu bổ sung hộp số)</t>
  </si>
  <si>
    <t>Thanh toán tiền lọc nhớt xe 15C-070.63</t>
  </si>
  <si>
    <t>Thanh toán tiền sửa nước làm mát xe 15C-070.63 ở Thanh Hóa ngày 30/9</t>
  </si>
  <si>
    <t>Thanh toán tiền sửa xe 15C-070.63 ngày 29.9 (thay đui+bóng, công làm điện mooc+đầu)</t>
  </si>
  <si>
    <t>Thanh toán tiền dầu total rubia tir 208 lit</t>
  </si>
  <si>
    <t>THÁNG 10.2019</t>
  </si>
  <si>
    <t>Đóng hàng XK sáng 01/10</t>
  </si>
  <si>
    <t>CSNU1675930</t>
  </si>
  <si>
    <t>Đóng hàng XK chiều 02/10</t>
  </si>
  <si>
    <t>MRKU9690111</t>
  </si>
  <si>
    <t>CAIU2538595</t>
  </si>
  <si>
    <t>Đóng hàng vôi sáng 04/10</t>
  </si>
  <si>
    <t>WHLU0705970</t>
  </si>
  <si>
    <t>Trả hàng + đóng hàng KH 05/10</t>
  </si>
  <si>
    <t>DRYU3095893</t>
  </si>
  <si>
    <t>Trôi, Hà Nội - Tam Điệp, Ninh Bình</t>
  </si>
  <si>
    <t>Trả hàng + đóng hàng KH 07/10</t>
  </si>
  <si>
    <t>GAOU2111386</t>
  </si>
  <si>
    <t>Yên Mỹ, Hưng Yên - Tam Điệp, Ninh Bình</t>
  </si>
  <si>
    <t>Trả hàng + đóng hàng KH 08/10</t>
  </si>
  <si>
    <t>DRYU3093519</t>
  </si>
  <si>
    <t>Trả hàng + đóng hàng KH 10/10</t>
  </si>
  <si>
    <t>GMDU2142136</t>
  </si>
  <si>
    <t>Khoái Châu, Hưng Yên - Hà Nam</t>
  </si>
  <si>
    <t>Trả hàng NK sáng 11/10</t>
  </si>
  <si>
    <t>TRHU3936862</t>
  </si>
  <si>
    <t>Đóng hàng chè sáng 12/10</t>
  </si>
  <si>
    <t>WHSU2494043</t>
  </si>
  <si>
    <t>Trả hàng NK sáng 14/10</t>
  </si>
  <si>
    <t>KMTU7448248</t>
  </si>
  <si>
    <t>KCN Vân Trung, Bắc Giang</t>
  </si>
  <si>
    <t>Trả hàng + đóng hàng KH 15/10</t>
  </si>
  <si>
    <t>DRYU2924407</t>
  </si>
  <si>
    <t>Trả hàng + đóng hàng KH 16/10</t>
  </si>
  <si>
    <t>GMDU2401258</t>
  </si>
  <si>
    <t>Trả hàng + đóng hàng KH 17/10</t>
  </si>
  <si>
    <t>GLDU5674721</t>
  </si>
  <si>
    <t>CCLU3937080</t>
  </si>
  <si>
    <t>TP. Hải Dương</t>
  </si>
  <si>
    <t>Trả hàng + đóng hàng KH 19/10</t>
  </si>
  <si>
    <t>GAOU2109373</t>
  </si>
  <si>
    <t>Trả hàng + đóng hàng KH 22/10</t>
  </si>
  <si>
    <t>TCKU1681682</t>
  </si>
  <si>
    <t>Trả hàng + đóng hàng KH 23/10</t>
  </si>
  <si>
    <t>DRYU2852800</t>
  </si>
  <si>
    <t>Trả hàng NK sáng 24/10</t>
  </si>
  <si>
    <t>IRNU1509275</t>
  </si>
  <si>
    <t>Kho DDC, Hải Phòng</t>
  </si>
  <si>
    <t>Trả hàng NK sáng 25/10</t>
  </si>
  <si>
    <t>EGHU3925028</t>
  </si>
  <si>
    <t xml:space="preserve">Yên Viên, Hà Nội </t>
  </si>
  <si>
    <t>Trả hàng NK sáng 28/10</t>
  </si>
  <si>
    <t>TEMU0431976</t>
  </si>
  <si>
    <t>Trả hàng NK sáng 29/10</t>
  </si>
  <si>
    <t>DFSU3011450</t>
  </si>
  <si>
    <t>Tiền Trung, Hải Dương</t>
  </si>
  <si>
    <t>Đóng hàng chè sáng 30/10</t>
  </si>
  <si>
    <t>WHSU2726133</t>
  </si>
  <si>
    <t>Trả hàng + đóng hàng KH 31/10</t>
  </si>
  <si>
    <t>TCKU2885016</t>
  </si>
  <si>
    <t>Thanh toán tiền sửa xe 15C-070.63 ngày 1.10 (tháo lắp thay ống cao su 15 cm, tháo lắp hàn ống nước, thay đai nước)</t>
  </si>
  <si>
    <t>Thanh toán tiền sửa xe 15C-070.63 ngày 29/9 (cắt đắp dán composit khung xương cabo, bắt chỉnh, thay mi đèn pha, chế nắp, thay bánh răng mô tơ cửa kình, thay bạc khóa cửa, chế gạt mưa)</t>
  </si>
  <si>
    <t>Thanh toán tiền sửa xe 15C-070.63 ngày 06/10 (tán má phanh mooc, gia công bạc gạt, mua mỡ moay ơ mooc, mua dầu rửa+rẻ, công thợ)</t>
  </si>
  <si>
    <t xml:space="preserve"> </t>
  </si>
  <si>
    <t>Thanh toán tiền lốp BFGoodrich 11.00-20 xe 15C-070.63</t>
  </si>
  <si>
    <t>THÁNG 11.2019</t>
  </si>
  <si>
    <t>Trả hàng NK sáng 02/11</t>
  </si>
  <si>
    <t>Trả hàng + đóng hàng KH 04/11</t>
  </si>
  <si>
    <t>Trả hàng + đóng hàng KH 08/11</t>
  </si>
  <si>
    <t>Trả hàng NK sáng 13/11</t>
  </si>
  <si>
    <t>Trả hàng NK sáng 14/11</t>
  </si>
  <si>
    <t>Trả hàng NK sáng 15/11</t>
  </si>
  <si>
    <t>Trả hàng NK sáng 16/11</t>
  </si>
  <si>
    <t>Trả hàng + đóng hàng KH 18/11</t>
  </si>
  <si>
    <t>Trả hàng + đóng hàng KH 20/11</t>
  </si>
  <si>
    <t>Trả hàng + đóng hàng KH 21/11</t>
  </si>
  <si>
    <t>Đóng hàng XK sáng 22/11</t>
  </si>
  <si>
    <t>Đóng hàng sáng 23/11</t>
  </si>
  <si>
    <t>Trả hàng + đóng hàng KH 25/11</t>
  </si>
  <si>
    <t>Đóng hàng chè sáng 26/11</t>
  </si>
  <si>
    <t>Trả hàng + đóng hàng KH 28//11</t>
  </si>
  <si>
    <t>Đóng hàng XK sáng 30/11</t>
  </si>
  <si>
    <t>CSLU1198249</t>
  </si>
  <si>
    <t>VNLU3095574</t>
  </si>
  <si>
    <t>VNLU3098700</t>
  </si>
  <si>
    <t>CXDU2039595</t>
  </si>
  <si>
    <t>TCKU3353390</t>
  </si>
  <si>
    <t>TCLU3207073</t>
  </si>
  <si>
    <t>WHSU2337189</t>
  </si>
  <si>
    <t>YMMU1014578</t>
  </si>
  <si>
    <t>WBPU2014456</t>
  </si>
  <si>
    <t>IMTU3070353</t>
  </si>
  <si>
    <t>CSNU1691798</t>
  </si>
  <si>
    <t>GMDU2151499</t>
  </si>
  <si>
    <t>DRYU3093756</t>
  </si>
  <si>
    <t>GLDU5102460</t>
  </si>
  <si>
    <t>CSLU2439417</t>
  </si>
  <si>
    <t>HCVT0021</t>
  </si>
  <si>
    <t>DRYU3095722</t>
  </si>
  <si>
    <t>WHSU2442517</t>
  </si>
  <si>
    <t>GAOU2114488</t>
  </si>
  <si>
    <t>GAOU2112295</t>
  </si>
  <si>
    <t>TRHU1344777</t>
  </si>
  <si>
    <t>CSLU2438386</t>
  </si>
  <si>
    <t>Hoàng Mai, Hà Nội - Hà Nam</t>
  </si>
  <si>
    <t>Nhổn, Hoài Đức, Hà Nội - Hà Nam</t>
  </si>
  <si>
    <t>Lập Thạch, Vĩnh Phúc - Hà Nam</t>
  </si>
  <si>
    <t>Ninh Hiệp, Hà Nội - Hà Nam</t>
  </si>
  <si>
    <t>KCN Phố Nối A, Hưng Yên</t>
  </si>
  <si>
    <t>Trưng Trắc, Văn Lâm, Hưng Yên</t>
  </si>
  <si>
    <t>Dương Liễu, Hoài Đức, Hà Nội</t>
  </si>
  <si>
    <t>Đồng Kỵ, Từ Sơn, Bắc Ninh - Hà Nam</t>
  </si>
  <si>
    <t>Thọ Xuân, Thanh Hóa - Hà Nam</t>
  </si>
  <si>
    <t>Xuân Mai, Chương Mỹ, Hà Nội</t>
  </si>
  <si>
    <t>Thanh toán tiền sửa xe 15C-070.63 (bi 52*210 mê ri tơ) ngày 11/11</t>
  </si>
  <si>
    <t>Thanh toán tiền sửa xe 15C-070.63 (sửa xe trên Mộc Châu)</t>
  </si>
  <si>
    <t>Co ép lại đầu ống xe 15C-070.63 ngày 11/10</t>
  </si>
  <si>
    <t>THÁNG 12.2019</t>
  </si>
  <si>
    <t>Trả hàng NK 2/12 + đóng hàng KH 3/12</t>
  </si>
  <si>
    <t>Trả hàng + đóng hàng KH 05/12</t>
  </si>
  <si>
    <t>Trả hàng + đóng hàng KH 06/12</t>
  </si>
  <si>
    <t>Đóng hàng sáng 07/12</t>
  </si>
  <si>
    <t>Trả hàng + đóng hàng KH 09/12</t>
  </si>
  <si>
    <t>Trả hàng NK sáng 10/12</t>
  </si>
  <si>
    <t>Trả hàng + đóng hàng KH 11/12</t>
  </si>
  <si>
    <t>Đóng hàng XK sáng 15/12</t>
  </si>
  <si>
    <t>Trả hàng bình khí chiều 16/12</t>
  </si>
  <si>
    <t>Trả hàng bình khí sáng 17/12</t>
  </si>
  <si>
    <t>Đóng hàng vỏ bình khí 18/12</t>
  </si>
  <si>
    <t>Trả hàng + đóng hàng KH 23/12</t>
  </si>
  <si>
    <t>Trả hàng NK sáng 25/12</t>
  </si>
  <si>
    <t>Đóng hàng KH sáng 26/12</t>
  </si>
  <si>
    <t>Đóng hàng XK chiều 26/12</t>
  </si>
  <si>
    <t>Đóng hàng XK sáng 27/12</t>
  </si>
  <si>
    <t>Trả hàng NK sáng 28/12</t>
  </si>
  <si>
    <t>Đóng hàng chè sáng 31/12</t>
  </si>
  <si>
    <t>CCLU2995360</t>
  </si>
  <si>
    <t>DRYU3094921</t>
  </si>
  <si>
    <t>GMDU2404642</t>
  </si>
  <si>
    <t>HJMU2110308</t>
  </si>
  <si>
    <t>TRHU1908305</t>
  </si>
  <si>
    <t>DRYU3095281</t>
  </si>
  <si>
    <t>CBHU4272436</t>
  </si>
  <si>
    <t>GLDU3702254</t>
  </si>
  <si>
    <t>TTNU3568203</t>
  </si>
  <si>
    <t>GMDU2181410</t>
  </si>
  <si>
    <t>GMDU2180542</t>
  </si>
  <si>
    <t>ZIMU3059300</t>
  </si>
  <si>
    <t>WFHU1354986</t>
  </si>
  <si>
    <t>GLDU3871613</t>
  </si>
  <si>
    <t>GMDU2180516</t>
  </si>
  <si>
    <t>GLDU5410729</t>
  </si>
  <si>
    <t>TCLU2696004</t>
  </si>
  <si>
    <t>CLHU3332818</t>
  </si>
  <si>
    <t>MEDU5325911</t>
  </si>
  <si>
    <t>UACU3376869</t>
  </si>
  <si>
    <t>DFSU2859365</t>
  </si>
  <si>
    <t>WHSU2033524</t>
  </si>
  <si>
    <t>KCN VSIP Bắc Ninh - Hà Nam</t>
  </si>
  <si>
    <t>Nhổn, Hà Nội - Hà Nam</t>
  </si>
  <si>
    <t>TP. Việt Trì, Phú Thọ - Hà Nam</t>
  </si>
  <si>
    <t>Kiêu Kỵ, Gia Lâm, Hà Nội</t>
  </si>
  <si>
    <t>Kim Sơn, Ninh Bình - Hà Nam</t>
  </si>
  <si>
    <t>Ngọc Hồi, Hà Nội - Hà Nam</t>
  </si>
  <si>
    <t>Nghi Sơn, Thanh Hóa</t>
  </si>
  <si>
    <t>Từ Liêm, Hà Nội - Củ Chi, HCM</t>
  </si>
  <si>
    <t>Tĩnh Gia, Thanh Hóa - Hà Nam</t>
  </si>
  <si>
    <t>Mỹ Hào, Hưng Yên</t>
  </si>
  <si>
    <t>Thanh toán tiền lốp xe 15C-070.63 3 lốp BGgoodrich 11.00-20</t>
  </si>
  <si>
    <t>Thanh toán tiền sửa xe 15C-070.63 ngày 16/12 (sửa tổng xả, điều tiết hơi: thay 1 cốc lọc khí, thay 1 bộ zoăng điều tiết; thay 1 van hơi 1 chiều, công thợ)</t>
  </si>
  <si>
    <t>Thanh toán tiền sửa xe 15C-070.63 ngày 19/12 (bảo dưỡng đề+máy phát, thay bi 305 máy phát, láng cổ đề)</t>
  </si>
  <si>
    <t>Thanh toán tiền sửa xe 15C-070.63 ngày 19/12 (đổi các 1 thân bơm hơi đóng lòng, thay 2 lá mía nắp bê)</t>
  </si>
  <si>
    <t>Thanh toán tiền sửa xe 15C-070.63 ngày 13/12 (công thợ thay phớt lóc, mua dầu lái)</t>
  </si>
  <si>
    <t>Thanh toán tiền lọc nhớt P552100 xe 15C-070.63</t>
  </si>
  <si>
    <t>Thưởng tết âm lịch</t>
  </si>
  <si>
    <t>Thay dầu nhớt Total Fleet HD500: 2 can 25L</t>
  </si>
  <si>
    <t>THÁNG 01.2020</t>
  </si>
  <si>
    <t>Trả hàng + đóng hàng KH 03/01</t>
  </si>
  <si>
    <t>Đóng hàng XK sáng 06/01</t>
  </si>
  <si>
    <t>Trả hàng NK sáng 07/01</t>
  </si>
  <si>
    <t>Đóng hàng KH sáng 08/01</t>
  </si>
  <si>
    <t>Đóng hàng XK sáng 09/01</t>
  </si>
  <si>
    <t>Đóng hàng XK sáng 12/01</t>
  </si>
  <si>
    <t>Đóng hàng vôi sáng 13/01</t>
  </si>
  <si>
    <t>Đóng hàng XK sáng 14/01</t>
  </si>
  <si>
    <t>Trả hàng NK sáng 16/01</t>
  </si>
  <si>
    <t>Đóng hàng KH sáng 17/01</t>
  </si>
  <si>
    <t>Đóng hàng vôi sáng 18/01</t>
  </si>
  <si>
    <t>Đóng hàng XK sáng 19/01</t>
  </si>
  <si>
    <t>CAIU2845483</t>
  </si>
  <si>
    <t>OOLU1255512</t>
  </si>
  <si>
    <t>UACU3892377</t>
  </si>
  <si>
    <t>YMMU1057570</t>
  </si>
  <si>
    <t>CSNU1190245</t>
  </si>
  <si>
    <t>BISU2830405</t>
  </si>
  <si>
    <t>FCIU3599675</t>
  </si>
  <si>
    <t>YMMU1069441</t>
  </si>
  <si>
    <t>UACU4016893</t>
  </si>
  <si>
    <t>EITU3052172</t>
  </si>
  <si>
    <t>EGHU3740180</t>
  </si>
  <si>
    <t>TRHU3558823</t>
  </si>
  <si>
    <t>CLHU3849170</t>
  </si>
  <si>
    <t>GLDU5617280</t>
  </si>
  <si>
    <t>KCN Tây Bắc Ga, Thanh Hóa - Hà Nam</t>
  </si>
  <si>
    <t>KCN Phố Nối, Hưng Yên</t>
  </si>
  <si>
    <t>Thượng Thanh, Long Biên, Hà Nội</t>
  </si>
  <si>
    <t>TP. Thanh Hóa - Hà Nam</t>
  </si>
  <si>
    <t>Lì xì tết</t>
  </si>
  <si>
    <t>THÁNG 02.2020</t>
  </si>
  <si>
    <t>Đóng hàng XK sáng 03/02</t>
  </si>
  <si>
    <t>Trả hàng NK sáng 04/02</t>
  </si>
  <si>
    <t>Trả hàng NK sáng 05/02</t>
  </si>
  <si>
    <t>Đóng hàng KH sáng 06/02</t>
  </si>
  <si>
    <t>Trả hàng NK sáng 10/02</t>
  </si>
  <si>
    <t>Đóng hàng KH sáng 11/02</t>
  </si>
  <si>
    <t>Đóng hàng phân chiều 11/02</t>
  </si>
  <si>
    <t>Đóng hàng phân lân sáng 12/02</t>
  </si>
  <si>
    <t>Trả hàng + đóng hàng KH 13/02</t>
  </si>
  <si>
    <t>Đóng hàng phân sáng 17/02</t>
  </si>
  <si>
    <t>Đóng hàng phân sáng 18/02</t>
  </si>
  <si>
    <t>Đóng hàng phân sáng 19/02</t>
  </si>
  <si>
    <t>Đóng hàng phân sáng 20/02</t>
  </si>
  <si>
    <t>Trả hàng NK chiều 21/02</t>
  </si>
  <si>
    <t>Trả hàng NK sáng 22/02</t>
  </si>
  <si>
    <t>Đóng hàng phân sáng 24/02</t>
  </si>
  <si>
    <t>Đóng hàng phân sáng 25/02</t>
  </si>
  <si>
    <t>Đóng hàng phân sáng 26/02</t>
  </si>
  <si>
    <t>CAIU2543230</t>
  </si>
  <si>
    <t>HLXU1345420</t>
  </si>
  <si>
    <t>YMLU3382889</t>
  </si>
  <si>
    <t>SKLU1554689</t>
  </si>
  <si>
    <t>MSKU7242790</t>
  </si>
  <si>
    <t>MSKU2753122</t>
  </si>
  <si>
    <t>TTNU3721890</t>
  </si>
  <si>
    <t>TCKU2768128</t>
  </si>
  <si>
    <t>HMCU3071179</t>
  </si>
  <si>
    <t>MSKU5101257</t>
  </si>
  <si>
    <t>MSKU7459379</t>
  </si>
  <si>
    <t>MRKU7308046</t>
  </si>
  <si>
    <t>FCIU5610942</t>
  </si>
  <si>
    <t>TSLU0218141</t>
  </si>
  <si>
    <t>EISU2207445</t>
  </si>
  <si>
    <t>EITU0407108</t>
  </si>
  <si>
    <t>TGCU2018501</t>
  </si>
  <si>
    <t>EISU3886572</t>
  </si>
  <si>
    <t>TCKU3247926</t>
  </si>
  <si>
    <t>Thuận Thành, Bắc Ninh</t>
  </si>
  <si>
    <t>KCN VSIP, Bắc Ninh</t>
  </si>
  <si>
    <t>Bình Giang, Hải Dương</t>
  </si>
  <si>
    <t>Trưng Trắc, Văn Lâm, Hưng Yên - Hà Nam</t>
  </si>
  <si>
    <t>Từ Sơn, Bắc Ninh - Phố Nối, Hưng Yên</t>
  </si>
  <si>
    <t>Phù Long, Cát Hải, Hải Phòng</t>
  </si>
  <si>
    <t>Thuận Thành, Bắc Ninh - Thái Nguyên</t>
  </si>
  <si>
    <t>21/2/20</t>
  </si>
  <si>
    <t>THÁNG 03.2020</t>
  </si>
  <si>
    <t>Đóng hàng phân sáng 01/03</t>
  </si>
  <si>
    <t>Đóng hàng phân sáng 04/03</t>
  </si>
  <si>
    <t>Đóng hàng phân sáng 05/03</t>
  </si>
  <si>
    <t>Đóng hàng phân sáng 06/03</t>
  </si>
  <si>
    <t>Đóng hàng phân sáng 07/03</t>
  </si>
  <si>
    <t>Đóng hàng XK sáng 09/03</t>
  </si>
  <si>
    <t>Trả hàng NK sáng 10/03</t>
  </si>
  <si>
    <t>Đóng hàng phân sáng 11/03</t>
  </si>
  <si>
    <t>Đóng hàng phân sáng 12/03</t>
  </si>
  <si>
    <t>Trả hàng NK sáng 13/03</t>
  </si>
  <si>
    <t>Đóng hàng phân sáng 17/03</t>
  </si>
  <si>
    <t>Đóng hàng phân sáng 18/03</t>
  </si>
  <si>
    <t>Trả hàng NK sáng 21/03</t>
  </si>
  <si>
    <t>Đóng hàng phân sáng 22/03</t>
  </si>
  <si>
    <t>Đóng hàng phân sáng 23/03</t>
  </si>
  <si>
    <t>Đóng hàng phân sáng 24/03</t>
  </si>
  <si>
    <t>Đóng hàng phân sáng 25/03</t>
  </si>
  <si>
    <t>Trả hàng NK sáng 26/03</t>
  </si>
  <si>
    <t>Trả hàng NK sáng 27/03</t>
  </si>
  <si>
    <t>Trả hàng NK sáng 31/03</t>
  </si>
  <si>
    <t>EISU2011196</t>
  </si>
  <si>
    <t>EISU3882772</t>
  </si>
  <si>
    <t>TEMU0625246</t>
  </si>
  <si>
    <t>MSKU7921770</t>
  </si>
  <si>
    <t>MRKU8897608</t>
  </si>
  <si>
    <t>MSKU7042261</t>
  </si>
  <si>
    <t>MRKU9501460</t>
  </si>
  <si>
    <t>FCIU5569540</t>
  </si>
  <si>
    <t>CAIU6097097</t>
  </si>
  <si>
    <t>LCL</t>
  </si>
  <si>
    <t>BSIU2515553</t>
  </si>
  <si>
    <t>EISU2061176</t>
  </si>
  <si>
    <t>TGBU2059066</t>
  </si>
  <si>
    <t>TEMU5917528</t>
  </si>
  <si>
    <t>EITU0050751</t>
  </si>
  <si>
    <t>DFSU1345551</t>
  </si>
  <si>
    <t>EISU2202459</t>
  </si>
  <si>
    <t>BEAU2420421</t>
  </si>
  <si>
    <t>HMCU3083441</t>
  </si>
  <si>
    <t>DRYU2261259</t>
  </si>
  <si>
    <t>MSKU7033275</t>
  </si>
  <si>
    <t>MSKU5686408</t>
  </si>
  <si>
    <t>TEMU0334493</t>
  </si>
  <si>
    <t>SGRU2042927</t>
  </si>
  <si>
    <t>CSLU1564040</t>
  </si>
  <si>
    <t>TRHU3876758</t>
  </si>
  <si>
    <t>Vân Hồ, Sơn La</t>
  </si>
  <si>
    <t>Lóng Luông, Vân Hồ, Sơn La</t>
  </si>
  <si>
    <t>Nộp phí kiểm định xe 15C-070.63</t>
  </si>
  <si>
    <t>Phí dịch vụ đăng kiểm 15C-070.63</t>
  </si>
  <si>
    <t>Thanh toán tiền sửa xe 15C-070.63 (thay bóng pha, thay đui pha nhỏ, thay đèn hậu đầu kéo, thay bóng xi nhan mỹ, kiểm tra sửa điện) ngày 5/3</t>
  </si>
  <si>
    <t>Thanh toán tiền mua bát phanh xe 15C-070.63</t>
  </si>
  <si>
    <t>Thanh toán tiền sửa xe 15C-070.63 (làm cap bô) ngày 9.3</t>
  </si>
  <si>
    <t>Anh Phụng thanh toán tiền sửa xe 15C-070.63 ngày 14/3 (ống lạnh hàn co đầu áo ép, ga lạnh, công thợ)</t>
  </si>
  <si>
    <t>Anh Phụng thanh toán tiền sửa xe 15C-070.63 ngày 5/3 (tán má phanh cầu sau, đầu kéo, công thợ, thay lò xo )</t>
  </si>
  <si>
    <t>Mua dây 8PK 1470 cho xe 15C-070.63 ngày 14/3</t>
  </si>
  <si>
    <t>THÁNG 04.2020</t>
  </si>
  <si>
    <t>Đóng hàng chè sáng 01/04</t>
  </si>
  <si>
    <t>Đóng hàng sáng 02/04</t>
  </si>
  <si>
    <t>Trả hàng NK sáng 03/04</t>
  </si>
  <si>
    <t>Đóng hàng XK sáng 04/04</t>
  </si>
  <si>
    <t>Đóng hàng phân sáng 05/04</t>
  </si>
  <si>
    <t>Đóng hàng phân sáng 06/04</t>
  </si>
  <si>
    <t>Đóng hàng phân chiều 07/04</t>
  </si>
  <si>
    <t>Đóng hàng chè sáng 09/04</t>
  </si>
  <si>
    <t>Đóng hàng sáng 10/04</t>
  </si>
  <si>
    <t>Đóng hàng phân sáng 12/04</t>
  </si>
  <si>
    <t>Đóng hàng phân sáng 13/04</t>
  </si>
  <si>
    <t>Đóng hàng phân sáng 14/04</t>
  </si>
  <si>
    <t>Trả hàng NK sáng 15/04</t>
  </si>
  <si>
    <t>Trả hàng NK sáng 16/04</t>
  </si>
  <si>
    <t>Trả hàng NK sáng 17/04</t>
  </si>
  <si>
    <t>Đóng hàng phân sáng 19/04</t>
  </si>
  <si>
    <t>Đóng hàng phân sáng 20/04</t>
  </si>
  <si>
    <t>Đóng hàng chè sáng 21/04</t>
  </si>
  <si>
    <t>Đóng hàng phân sáng 22/04</t>
  </si>
  <si>
    <t>Trả hàng NK sáng 24/04</t>
  </si>
  <si>
    <t>Đóng hàng Vietsun chiều 28/04</t>
  </si>
  <si>
    <t>Đóng hàng chè sáng 29/04</t>
  </si>
  <si>
    <t>WHSU2364939</t>
  </si>
  <si>
    <t>OOLU2180871</t>
  </si>
  <si>
    <t>BSIU3248300</t>
  </si>
  <si>
    <t>EITU0391486</t>
  </si>
  <si>
    <t>EISU2060816</t>
  </si>
  <si>
    <t>TGHU1550159</t>
  </si>
  <si>
    <t>WHSU2693322</t>
  </si>
  <si>
    <t>TTNU1908860</t>
  </si>
  <si>
    <t>EITU0282269</t>
  </si>
  <si>
    <t>EGHU3644118</t>
  </si>
  <si>
    <t>MSKU3095474</t>
  </si>
  <si>
    <t>CBHU4385160</t>
  </si>
  <si>
    <t>TEMU5782422</t>
  </si>
  <si>
    <t>UETU2661892</t>
  </si>
  <si>
    <t>EGHU3523348</t>
  </si>
  <si>
    <t>TRHU3928770</t>
  </si>
  <si>
    <t>WHSU2088342</t>
  </si>
  <si>
    <t>PONU0981062</t>
  </si>
  <si>
    <t>WHSU2052479</t>
  </si>
  <si>
    <t>FCIU5273878</t>
  </si>
  <si>
    <t>TRHU3295389</t>
  </si>
  <si>
    <t>WHSU2716140</t>
  </si>
  <si>
    <t>Nho Quan, Ninh Bình</t>
  </si>
  <si>
    <t>KCN Phố Nối A, Văn Lâm, Hưng Yên</t>
  </si>
  <si>
    <t>Gia Minh, Thủy Nguyên, Hải Phòng</t>
  </si>
  <si>
    <t>Thanh toán tiền sửa xe 15C-070.63 (sửa 2 quả lốc kê đầu kéo, thay 1 đế van nhôm, 4 bát phanh, công thợ)</t>
  </si>
  <si>
    <t>Bơm mỡ</t>
  </si>
  <si>
    <t>Anh Phụng mua lọc diesel xe 15C-070.63</t>
  </si>
  <si>
    <t>Anh Phụng mua nước lọc (pha nước làm mát)</t>
  </si>
  <si>
    <t>Lọc dầu nhớt P552100</t>
  </si>
  <si>
    <t>Lọc nước làm mát P552071</t>
  </si>
  <si>
    <t>Thanh toán tiền nước làm mát P502648</t>
  </si>
  <si>
    <t>Thay dầu nhớt Total Rubia Tir 7400 15W-40</t>
  </si>
  <si>
    <t>THÁNG 05.2020</t>
  </si>
  <si>
    <t>Trả hàng Vietsun sáng 05/05</t>
  </si>
  <si>
    <t>Trả hàng NK sáng 08/05</t>
  </si>
  <si>
    <t>Đóng hàng phân sáng 10/05</t>
  </si>
  <si>
    <t>Đóng hàng phân sáng 11/05</t>
  </si>
  <si>
    <t>Đóng hàng phân sáng 12/05</t>
  </si>
  <si>
    <t>Đóng hàng phân sáng 13/05</t>
  </si>
  <si>
    <t>Đóng hàng chè sáng 14/05</t>
  </si>
  <si>
    <t>Trả hàng NK sáng 15/05</t>
  </si>
  <si>
    <t>Trả hàng NK sáng 16/05</t>
  </si>
  <si>
    <t>Đóng hàng phân sáng 19/05</t>
  </si>
  <si>
    <t>Đóng hàng phân sáng 20/05</t>
  </si>
  <si>
    <t>Trả hàng NK sáng 21/05</t>
  </si>
  <si>
    <t>Đóng hàng phân sáng 24/05</t>
  </si>
  <si>
    <t>Đóng hàng phân sáng 25/05</t>
  </si>
  <si>
    <t>Đóng hàng phân sáng 26/05</t>
  </si>
  <si>
    <t>Đóng hàng phân sáng 27/05</t>
  </si>
  <si>
    <t>Trả hàng NK sáng 29/05</t>
  </si>
  <si>
    <t>GAOU2112090</t>
  </si>
  <si>
    <t>DFSU2813235</t>
  </si>
  <si>
    <t>WHSU2311163</t>
  </si>
  <si>
    <t>KOCU2112367</t>
  </si>
  <si>
    <t>TSSU2019777</t>
  </si>
  <si>
    <t>EISU2167281</t>
  </si>
  <si>
    <t>EISU2115544</t>
  </si>
  <si>
    <t>TRLU8930947</t>
  </si>
  <si>
    <t>MRKU8506133</t>
  </si>
  <si>
    <t>WHSU2493704</t>
  </si>
  <si>
    <t>CMAU0332231</t>
  </si>
  <si>
    <t>CSNU1763584</t>
  </si>
  <si>
    <t>MSKU5668370</t>
  </si>
  <si>
    <t>MSKU3987233</t>
  </si>
  <si>
    <t>WHSU2269968</t>
  </si>
  <si>
    <t>EITU0430556</t>
  </si>
  <si>
    <t>DRYU2571399</t>
  </si>
  <si>
    <t>PONU2049540</t>
  </si>
  <si>
    <t>MSKU2675884</t>
  </si>
  <si>
    <t>TRHU1521682</t>
  </si>
  <si>
    <t>NSSU0151290</t>
  </si>
  <si>
    <t>KCN Quế Võ, Bắc Ninh</t>
  </si>
  <si>
    <t>Cẩm Phả, Quảng Ninh</t>
  </si>
  <si>
    <t>Kiện Khê, Phủ Lý, Hà Nam</t>
  </si>
  <si>
    <t>Đông Anh, Hà Nội - Văn Điển, Hà Nội</t>
  </si>
  <si>
    <t>Thanh toán tiền sửa xe 15C-070.63 ngày 3/5 (Tháo lắp, thay lọc nước, hàn bịt đường sấy nóng, hàn chảy ống nước, xả nước)</t>
  </si>
  <si>
    <t>Anh Phụng thay lốc điều hòa, thay phin lọc gas, bơm gas lạnh, công thợ xe 15C-070.63 (CH Hùng Trung, BH 6 tháng)</t>
  </si>
  <si>
    <t>Thanh toán tiền sửa xe 15C-070.63 ngày 3/5 (thay phớt đầu cầu sau)</t>
  </si>
  <si>
    <t>Hải Dương</t>
  </si>
  <si>
    <t>THÁNG 06.2020</t>
  </si>
  <si>
    <t>Trả hàng NK sáng 01/06</t>
  </si>
  <si>
    <t>Trả hàng NK chiều 02/06</t>
  </si>
  <si>
    <t>Đóng hàng chè sáng 03/06</t>
  </si>
  <si>
    <t>Trả hàng NK sáng 04/06</t>
  </si>
  <si>
    <t>Trả hàng NK sáng 05/06</t>
  </si>
  <si>
    <t>Trả hàng NK sáng 06/06</t>
  </si>
  <si>
    <t>Trả hàng NK sáng 08/06</t>
  </si>
  <si>
    <t>Đóng hàng phân sáng 09/06</t>
  </si>
  <si>
    <t>Đóng hàng phân chiều 10/06</t>
  </si>
  <si>
    <t>Đóng hàng XK sáng 11/06</t>
  </si>
  <si>
    <t>Đóng hàng XK sáng 12/06</t>
  </si>
  <si>
    <t>Đóng hàng XK sáng 14/06</t>
  </si>
  <si>
    <t>Đóng hàng XK sáng 16/06</t>
  </si>
  <si>
    <t>Trả hàng NK sáng 16/06</t>
  </si>
  <si>
    <t>Đóng hàng phân chiều 17/06</t>
  </si>
  <si>
    <t>Đóng hàng chè sáng 18/06</t>
  </si>
  <si>
    <t>Trả hàng NK sáng 20/06</t>
  </si>
  <si>
    <t>Đóng hàng XK sáng 21/06</t>
  </si>
  <si>
    <t>Trả hàng NK sáng 22/06</t>
  </si>
  <si>
    <t>Đóng hàng KH sáng 23/06</t>
  </si>
  <si>
    <t>Trả hàng NK sáng 24/06</t>
  </si>
  <si>
    <t>Đóng hàng phân chiều 25/06</t>
  </si>
  <si>
    <t>Đóng hàng phân sáng 26/06</t>
  </si>
  <si>
    <t>Trả hàng NK sáng 27/06</t>
  </si>
  <si>
    <t>CSNU1283564</t>
  </si>
  <si>
    <t>VOSU1803970</t>
  </si>
  <si>
    <t>BMOU1216362</t>
  </si>
  <si>
    <t>DFSU1921045</t>
  </si>
  <si>
    <t>FCIU4793221</t>
  </si>
  <si>
    <t>BEAU2875159</t>
  </si>
  <si>
    <t>CSNU1070321</t>
  </si>
  <si>
    <t>EISU3917734</t>
  </si>
  <si>
    <t>TEMU0626582</t>
  </si>
  <si>
    <t>BMOU2770580</t>
  </si>
  <si>
    <t>MEDU1060964</t>
  </si>
  <si>
    <t>MEDU1008605</t>
  </si>
  <si>
    <t>TCLU2558140</t>
  </si>
  <si>
    <t>62 Rolls</t>
  </si>
  <si>
    <t>MSKU5206520</t>
  </si>
  <si>
    <t>WHSU2696023</t>
  </si>
  <si>
    <t>DFSU1840684</t>
  </si>
  <si>
    <t>MEDU2440146</t>
  </si>
  <si>
    <t>GAOU2063626</t>
  </si>
  <si>
    <t>SKLU1631810</t>
  </si>
  <si>
    <t>PONU0144493</t>
  </si>
  <si>
    <t>HASU1066610</t>
  </si>
  <si>
    <t>VSCU2000263</t>
  </si>
  <si>
    <t>Mỹ Đồng, Thủy Nguyên, Hải Phòng</t>
  </si>
  <si>
    <t>Phú Xuyên, Hà Nội</t>
  </si>
  <si>
    <t>Cẩm Giàng, Hải Dương</t>
  </si>
  <si>
    <t>KCN Yên Phong, Bắc Ninh</t>
  </si>
  <si>
    <t>Như Quỳnh, Hưng Yên</t>
  </si>
  <si>
    <t>An Dương, Hải Phòng</t>
  </si>
  <si>
    <t>01/06/2020</t>
  </si>
  <si>
    <t>02/06/2020</t>
  </si>
  <si>
    <t>03/06/2020</t>
  </si>
  <si>
    <t>04/06/2020</t>
  </si>
  <si>
    <t>05/06/2020</t>
  </si>
  <si>
    <t>06/06/2020</t>
  </si>
  <si>
    <t>08/06/2020</t>
  </si>
  <si>
    <t>09/06/2020</t>
  </si>
  <si>
    <t>10/06/2020</t>
  </si>
  <si>
    <t>11/06/2020</t>
  </si>
  <si>
    <t>12/06/2020</t>
  </si>
  <si>
    <t>14/06/2020</t>
  </si>
  <si>
    <t>16/06/2020</t>
  </si>
  <si>
    <t>17/06/2020</t>
  </si>
  <si>
    <t>18/06/2020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</si>
  <si>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</si>
  <si>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</si>
  <si>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</si>
  <si>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</si>
  <si>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</si>
  <si>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</si>
  <si>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</si>
  <si>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</si>
  <si>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Thanh toán tiền sửa xe 15C-070.63 ngày 2/6 (thay 3 đèn su lét hậu mooc, thay 1 đèn pha bé, thay 1 bộ rơ le pha bé, thay 1 rơ le đèn vàng, công làm)</t>
  </si>
  <si>
    <t>Thanh toán tiền sửa xe 15C-070.63 ngày 06/06( Cắm + chạy điện cánh quạt)</t>
  </si>
  <si>
    <t>Thanh toán tiền sửa xe 15C-070.63 ngày 24/06 (tháo lắp thông két nước, két gió, két nước cắt, nhân, hàn, hàn chống 1 góc két nước)</t>
  </si>
  <si>
    <t>THÁNG 07.2020</t>
  </si>
  <si>
    <t>Đóng hàng phân sáng 01/07</t>
  </si>
  <si>
    <t>Đóng hàng chè sáng 02/07</t>
  </si>
  <si>
    <t>Trả hàng NK sáng 03/07</t>
  </si>
  <si>
    <t>Trả hàng NK sáng 04/07</t>
  </si>
  <si>
    <t>Trả hàng bình khí chiều 06/07</t>
  </si>
  <si>
    <t>Đóng hàng vỏ bình khí sáng 07/07</t>
  </si>
  <si>
    <t>Trả hàng NK sáng 08/07</t>
  </si>
  <si>
    <t>Đóng hàng chè sáng 09/07</t>
  </si>
  <si>
    <t>Đóng hàng phân sáng 10/07</t>
  </si>
  <si>
    <t>Đóng hàng XK chiều 13/07</t>
  </si>
  <si>
    <t>Trả hàng Vietsun sáng 14/07</t>
  </si>
  <si>
    <t>Trả hàng NK sáng 15/07</t>
  </si>
  <si>
    <t>Đóng hàng bình khí sáng 16/07</t>
  </si>
  <si>
    <t>Trả hàng Vietsun sáng 18/07</t>
  </si>
  <si>
    <t>Đóng hàng XK sáng 20/07</t>
  </si>
  <si>
    <t>Đóng hàng chè sáng 21/07</t>
  </si>
  <si>
    <t>Trả hàng NK sáng 22/07</t>
  </si>
  <si>
    <t>Trả hàng NK sáng 23/07</t>
  </si>
  <si>
    <t>Trả hàng Vietsun sáng 24/07</t>
  </si>
  <si>
    <t>Đóng hàng phân chiều 25/07</t>
  </si>
  <si>
    <t>Trả hàng Vietsun sáng 27/07</t>
  </si>
  <si>
    <t>Đóng hàng XK sáng 30/07</t>
  </si>
  <si>
    <t>Trả hàng NK sáng 31/07 - 01/08</t>
  </si>
  <si>
    <t>EISU3948838</t>
  </si>
  <si>
    <t>WHSU2361035</t>
  </si>
  <si>
    <t>EITU0476114</t>
  </si>
  <si>
    <t>BEAU2674344</t>
  </si>
  <si>
    <t>DRYU3052865</t>
  </si>
  <si>
    <t>YMLU3437512</t>
  </si>
  <si>
    <t>WHSU2491342</t>
  </si>
  <si>
    <t>EITU0151952</t>
  </si>
  <si>
    <t>FCIU6505495</t>
  </si>
  <si>
    <t>HACU2161246</t>
  </si>
  <si>
    <t>FCIU5389282</t>
  </si>
  <si>
    <t>SEGU2804521</t>
  </si>
  <si>
    <t>DRYU3093484</t>
  </si>
  <si>
    <t>SUDU7918527</t>
  </si>
  <si>
    <t>CAXU6700324</t>
  </si>
  <si>
    <t>WHSU2359402</t>
  </si>
  <si>
    <t>TEMU0545048</t>
  </si>
  <si>
    <t>MRKU8817351</t>
  </si>
  <si>
    <t>DRYU3094916</t>
  </si>
  <si>
    <t>MSKU7851374</t>
  </si>
  <si>
    <t>CAIU6871074</t>
  </si>
  <si>
    <t>EITU0330583</t>
  </si>
  <si>
    <t>YMLU3641510</t>
  </si>
  <si>
    <t>PASU2017012</t>
  </si>
  <si>
    <t>Cẩm Thạch, Cẩm Phả, Quảng Ninh</t>
  </si>
  <si>
    <t>Nhật Tân, Hà Nội</t>
  </si>
  <si>
    <t>Kho DDC, Hải Phòng - HCM</t>
  </si>
  <si>
    <t>Thanh Liêm, Hà Nam</t>
  </si>
  <si>
    <t>Song Khê, Yên Dũng, Bắc Giang</t>
  </si>
  <si>
    <t>Cự Khê, Thanh Oai, Hà Nội</t>
  </si>
  <si>
    <t>Tam Giang, Yên Phong, Bắc Ninh</t>
  </si>
  <si>
    <t>Châu Sơn, Phủ Lý, Hà Nam</t>
  </si>
  <si>
    <t>Lê Lai, Hải Phòng + Tân Quang, Văn Lâm, HY</t>
  </si>
  <si>
    <t>Minh Hải, Văn Lâm, Hưng Yên</t>
  </si>
  <si>
    <t>Quỳ Hợp, Nghệ An</t>
  </si>
  <si>
    <t xml:space="preserve">TT tiền mua bóng đế nhôm GY cho xe 15C-070.63 </t>
  </si>
  <si>
    <t>TT tiền bên bảo hiểm TNDS xe 15C-070.63 ngày 22/06</t>
  </si>
  <si>
    <t xml:space="preserve">Thanh toán tiền mua BH vật chất xe 15C-070.63 ngày 23/07 </t>
  </si>
  <si>
    <t>THÁNG 08.2020</t>
  </si>
  <si>
    <t>Trả hàng NK sáng 04/08</t>
  </si>
  <si>
    <t>Trả hàng NK sáng 05/08</t>
  </si>
  <si>
    <t>Đóng hàng phân sáng 06/08</t>
  </si>
  <si>
    <t>Trả hàng Vietsun sáng 11/08</t>
  </si>
  <si>
    <t>Trả hàng NK sáng 12/08</t>
  </si>
  <si>
    <t>Trả hàng Vietsun sáng 13/08</t>
  </si>
  <si>
    <t>Trả hàng Vietsun chiều 13/08</t>
  </si>
  <si>
    <t>Trả hàng Vietsun tối 14/08</t>
  </si>
  <si>
    <t>Đóng hàng KH sáng 15/08</t>
  </si>
  <si>
    <t>Trả hàng sáng 17/08</t>
  </si>
  <si>
    <t>Đóng hàng KH tối 17/08</t>
  </si>
  <si>
    <t>Đóng hàng phân sáng 18/08</t>
  </si>
  <si>
    <t>Đóng hàng phân sáng 19/08</t>
  </si>
  <si>
    <t>Đóng hàng chè sáng 20/08</t>
  </si>
  <si>
    <t>Trả hàng NK chiều 21/08 - 22/08</t>
  </si>
  <si>
    <t>Đa Hội, Bắc Ninh</t>
  </si>
  <si>
    <t>Tĩnh Gia, Thanh Hóa</t>
  </si>
  <si>
    <t>KCN Quang Minh, Hà Nội</t>
  </si>
  <si>
    <t>670, Trần Nhân Tông, Kiến An, Hải Phòng</t>
  </si>
  <si>
    <t>Cổ Loa, Đông Anh, Hà Nội</t>
  </si>
  <si>
    <t>Thạch Cầu, Long Biên, Hà Nội</t>
  </si>
  <si>
    <t>KCN Đồng Văn, Hà Nam</t>
  </si>
  <si>
    <t>???, Thái Nguyên</t>
  </si>
  <si>
    <t>TT Đông Anh, Hà Nội</t>
  </si>
  <si>
    <t>TCKU1263661</t>
  </si>
  <si>
    <t>TCKU1257057</t>
  </si>
  <si>
    <t>EITU0056662</t>
  </si>
  <si>
    <t>VOSU1808122</t>
  </si>
  <si>
    <t>GLDU5224302</t>
  </si>
  <si>
    <t>FSCU7597622</t>
  </si>
  <si>
    <t>GAOU2112628</t>
  </si>
  <si>
    <t>TRHU3295835</t>
  </si>
  <si>
    <t>GAOU2109645</t>
  </si>
  <si>
    <t>TRHU1698410</t>
  </si>
  <si>
    <t>MSKU7264865</t>
  </si>
  <si>
    <t>MRKU7546390</t>
  </si>
  <si>
    <t>WHSU2405869</t>
  </si>
  <si>
    <t>DFSU1547001</t>
  </si>
  <si>
    <t>Trả hàng NK sáng 24/08</t>
  </si>
  <si>
    <t>Trả hàng NK sáng 25/08</t>
  </si>
  <si>
    <t>Trả hàng Vietsun sáng 26/08</t>
  </si>
  <si>
    <t>Đóng hàng KH chiều 26/08</t>
  </si>
  <si>
    <t>Trả hàng NK sáng 27/08</t>
  </si>
  <si>
    <t>Trả hàng sáng 28/08</t>
  </si>
  <si>
    <t>Đóng hàng KH chiều 28/08</t>
  </si>
  <si>
    <t>Đóng hàng XK sáng 29/08</t>
  </si>
  <si>
    <t>Đóng hàng XK sáng 31/08</t>
  </si>
  <si>
    <t>DRYU3052994</t>
  </si>
  <si>
    <t>CSNU1792469</t>
  </si>
  <si>
    <t>DRYU3095770</t>
  </si>
  <si>
    <t>TRHU3460992</t>
  </si>
  <si>
    <t>VOSU1807960</t>
  </si>
  <si>
    <t>CAIU2997948</t>
  </si>
  <si>
    <t>MEDU2931520</t>
  </si>
  <si>
    <t>Minh Trí, Sóc Sơn, Hà Nội</t>
  </si>
  <si>
    <t>CCN Từ Liêm, Hà Nội</t>
  </si>
  <si>
    <t>Văn Giang, Hưng Yên + KCN Phố Nối A, HY</t>
  </si>
  <si>
    <t>KCN Khai Quang, Vĩnh Yên, Vĩnh Phúc</t>
  </si>
  <si>
    <t>Thanh toán tiền bơm mỡ xe 15C-070.63 ngày 08/08</t>
  </si>
  <si>
    <t>Thanh toán tiền thay lọc dầu P552100, lọc thả xe 15C-070.63 ngày 10/08</t>
  </si>
  <si>
    <t>Thanh toán tiền sửa xe 15C-070.63 ngày 12/8 ( Dây điện, dây hơi mooc nguyên bộ, ổ điện mooc)</t>
  </si>
  <si>
    <t>Thanh toán tiền sửa xe 15C-070.63 ngày 12/8 (02 c ngáo hơi, 04 c gioăng ngáo hơi)</t>
  </si>
  <si>
    <t>Thanh toán tiền sửa xe 15C-070.63 ngày 12/08 (Tháo lắp dây hơi mooc)</t>
  </si>
  <si>
    <t>Thay dầu nhớt Total 20w-50CI-4</t>
  </si>
  <si>
    <t>THÁNG 09.2020</t>
  </si>
  <si>
    <t>Đóng hàng XK sáng 01/09</t>
  </si>
  <si>
    <t>Đóng hàng chè sáng 03/09</t>
  </si>
  <si>
    <t>Đóng hàng XK sáng 04/09</t>
  </si>
  <si>
    <t>Trả hàng NK sáng 08/09</t>
  </si>
  <si>
    <t>Trả hàng NK sáng 09/09</t>
  </si>
  <si>
    <t>Trả hàng Vietsun sáng 10/09</t>
  </si>
  <si>
    <t>Trả hàng NK sáng 11 + 12/09</t>
  </si>
  <si>
    <t>Đóng hàng XK sáng 14/09</t>
  </si>
  <si>
    <t>Đóng hàng XK chiều 15/09</t>
  </si>
  <si>
    <t>Đóng hàng chè sáng 17/09</t>
  </si>
  <si>
    <t>Trả hàng NK sáng 19/09</t>
  </si>
  <si>
    <t>Đóng hàng chè chiều 21/09</t>
  </si>
  <si>
    <t>Đóng hàng + trả hàng KH 22 - 23/09</t>
  </si>
  <si>
    <t>Đóng hàng chè sáng 24/09</t>
  </si>
  <si>
    <t>Đóng hàng phân chiều 25/09</t>
  </si>
  <si>
    <t>Trả hàng Vietsun sáng 26/09</t>
  </si>
  <si>
    <t>Đóng hàng vỏ bình chứa khí 28/09</t>
  </si>
  <si>
    <t>Trả hàng NK sáng 29/09</t>
  </si>
  <si>
    <t>Trả hàng NK sáng 30/09</t>
  </si>
  <si>
    <t>MEDU2060758</t>
  </si>
  <si>
    <t>BSIU3183999</t>
  </si>
  <si>
    <t>DFSU2481676</t>
  </si>
  <si>
    <t>FCIU5791136</t>
  </si>
  <si>
    <t>DRYU2923144</t>
  </si>
  <si>
    <t>PASU0000258</t>
  </si>
  <si>
    <t>MEDU3079470</t>
  </si>
  <si>
    <t>MEDU2011310</t>
  </si>
  <si>
    <t>WHSU2225358</t>
  </si>
  <si>
    <t>FCIU6259278</t>
  </si>
  <si>
    <t>FFAU1878457</t>
  </si>
  <si>
    <t>CRSU1112758</t>
  </si>
  <si>
    <t>DFSU3026086</t>
  </si>
  <si>
    <t>WHLU0595609</t>
  </si>
  <si>
    <t>CRXU3356375</t>
  </si>
  <si>
    <t>TRHU2915757</t>
  </si>
  <si>
    <t>TCLU3496417</t>
  </si>
  <si>
    <t>SITU2774106</t>
  </si>
  <si>
    <t>Yên Viên, Gia Lâm, Hà Nội</t>
  </si>
  <si>
    <t>KCN Bá Thiện 2, Bình Xuyên, Vĩnh Phúc</t>
  </si>
  <si>
    <t>Đức Giang, Long Biên, Hà Nội</t>
  </si>
  <si>
    <t>Thanh Sơn, Phú Thọ</t>
  </si>
  <si>
    <t>Sơn Cẩm, Phú Lương, Thái Nguyên</t>
  </si>
  <si>
    <t>Nhật Tân, Hà Nội - Củ Chi, HCM</t>
  </si>
  <si>
    <t>Cẩm Giàng, Hải  Dương</t>
  </si>
  <si>
    <t>Thanh toán tiền sửa xe 15C-070.63 ngày 01/9 ( 3 đèn sườn, 1 đui-bóng 2 tóc, công, bóng xinnhan cắm, cân lốp)</t>
  </si>
  <si>
    <t>Thanh toán tiền sửa xe 15C-070.63 ngày 04/09 (Fa oto)</t>
  </si>
  <si>
    <t>Nộp phí dịch vụ kiểm định xe 15C-070.63</t>
  </si>
  <si>
    <t>Chi tiền cho nhân viên đăng kiểm</t>
  </si>
  <si>
    <t xml:space="preserve">Thanh toán tiền chỉnh phanh xe 15C-070.63 </t>
  </si>
  <si>
    <t>Thanh toán tiền sửa xe 15C-070.63 ngày 05/9 ( Bơm mỡ)</t>
  </si>
  <si>
    <t>Thanh toán tiền cho xe 15C-070.63 ngày 11/09 ( Áo phản quang, cục chèn xe)</t>
  </si>
  <si>
    <t>Thanh toán tiền sửa xe 15C-070.63 ngày 22/09 ( thay săm )</t>
  </si>
  <si>
    <t>Thanh toán tiền mua lốp Good Ride 11.00-20 cho xe 15C-070.63 ngày 25/09</t>
  </si>
  <si>
    <t>Thanh toán tiền sửa xe 15C-070.63 ngày 05/09 ( thay bán phanh đầu, xăng đích thay và sửa mayơ chảy dầu)</t>
  </si>
  <si>
    <t>Chi tiền thưởng mùng 2/9</t>
  </si>
  <si>
    <t>Thanh toán tiền sửa xe 15C-070.63 ngày 30/08 ( Thay bộ quay kính cửa L, tháo lắp)</t>
  </si>
  <si>
    <t>Thanh toán tiền sửa xe 15C-070.63 ngày 30/08 (Thay tay gương soi đầu CA bô, xương, bắt đầu bđs, hàn chắn bùn sau LP)</t>
  </si>
  <si>
    <t>Thanh toán tiền sửa xe 15C-070.63 ngày 30/08 (Hàn chắn bùn + đinh mooc của mooc 15R-128.07)</t>
  </si>
  <si>
    <t>THÁNG 10.2020</t>
  </si>
  <si>
    <t>Trả hàng NK sáng 01/10 - 02/10</t>
  </si>
  <si>
    <t>Trả hàng Vietsun sáng 05/10</t>
  </si>
  <si>
    <t>Đóng hàng phân sáng 06/10</t>
  </si>
  <si>
    <t>Đóng hàng phân sáng 07/10</t>
  </si>
  <si>
    <t>Đóng hàng chè sáng 08/10</t>
  </si>
  <si>
    <t>Đóng hàng XK sáng 09/10</t>
  </si>
  <si>
    <t>Trả hàng NK chiều 12/10</t>
  </si>
  <si>
    <t>Đóng hàng chè sáng 13/10</t>
  </si>
  <si>
    <t>Trả hàng NK sáng 14/10 - 15/10</t>
  </si>
  <si>
    <t>Trả hàng Vietsun sáng 16/10</t>
  </si>
  <si>
    <t>Trả hàng NK sáng 17/10</t>
  </si>
  <si>
    <t>Trả hàng NK sáng 19/10</t>
  </si>
  <si>
    <t>Trả hàng NK sáng 20/10</t>
  </si>
  <si>
    <t>Trả hàng NK sáng 21/10 - 22/10</t>
  </si>
  <si>
    <t>Đóng hàng chè sáng 23/10</t>
  </si>
  <si>
    <t>Trả hàng về kho DDC chiều 24/10</t>
  </si>
  <si>
    <t>Đóng hàng XK sáng 26/10</t>
  </si>
  <si>
    <t>Đóng hàng XK sáng 27/10</t>
  </si>
  <si>
    <t>Đóng hàng bentonite sáng 28/10</t>
  </si>
  <si>
    <t>Trả hàng Vietsun sáng 29/10</t>
  </si>
  <si>
    <t>Đóng hàng KH chiều 29/10</t>
  </si>
  <si>
    <t>Trả hàng đường ngắn đêm 29/10</t>
  </si>
  <si>
    <t>Trả hàng Vietsun sáng 30/10</t>
  </si>
  <si>
    <t>Đóng hàng KH chiều 30/10</t>
  </si>
  <si>
    <t>PASU2017054</t>
  </si>
  <si>
    <t>DRYU3094460</t>
  </si>
  <si>
    <t>EITU0405759</t>
  </si>
  <si>
    <t>EGHU3361289</t>
  </si>
  <si>
    <t>MRKU3058247</t>
  </si>
  <si>
    <t>YMMU1057435</t>
  </si>
  <si>
    <t>MRKU7538373</t>
  </si>
  <si>
    <t>WHSU2596301</t>
  </si>
  <si>
    <t>PASU2017115</t>
  </si>
  <si>
    <t>GAOU2114805</t>
  </si>
  <si>
    <t>WHSU2035804</t>
  </si>
  <si>
    <t>WHSU2525890</t>
  </si>
  <si>
    <t>TLLU2604773</t>
  </si>
  <si>
    <t>OOLU0441277</t>
  </si>
  <si>
    <t>PASU0000242</t>
  </si>
  <si>
    <t>WHSU2807256</t>
  </si>
  <si>
    <t>FSCU3988085</t>
  </si>
  <si>
    <t>MEDU6175713</t>
  </si>
  <si>
    <t>CLHU3954787</t>
  </si>
  <si>
    <t>TCKU3198436</t>
  </si>
  <si>
    <t>DRYU3094270</t>
  </si>
  <si>
    <t>POLU2011337</t>
  </si>
  <si>
    <t>DRYU2852251</t>
  </si>
  <si>
    <t>GAOU2114512</t>
  </si>
  <si>
    <t>Văn Môn, Yên Phong, Bắc Ninh</t>
  </si>
  <si>
    <t>KCN Nam Cấm, Nghệ An</t>
  </si>
  <si>
    <t>Phổ Yên, Thái Nguyên</t>
  </si>
  <si>
    <t>Kim Động, Hưng Yên</t>
  </si>
  <si>
    <t>tt. Đông Anh, Hà Nội</t>
  </si>
  <si>
    <t>KCN Đại An, Hải Dương</t>
  </si>
  <si>
    <t>Triệu Sơn, Thanh Hóa - Trảng Bom, Đồng Nai</t>
  </si>
  <si>
    <t>Tứ Kỳ, Hải Dương</t>
  </si>
  <si>
    <t>BV Phụ sản Hải Phòng</t>
  </si>
  <si>
    <t>KCN Đông La, Đông Hưng + Kiến Xương, Thái Bình</t>
  </si>
  <si>
    <t xml:space="preserve">Thanh toán tiền mua bóng tải goodyear ( casca) cho xe 15C-070.63 - 1 quả </t>
  </si>
  <si>
    <t>Thanh toán vé cầu đường đi cứu hộ xe 15C-070.63 ngày 03/10</t>
  </si>
  <si>
    <t>Thanh toán tiền công cứu hộ trả cho thợ xe 15C-070.63 ngày 03/10</t>
  </si>
  <si>
    <t>Thanh toán tiền sửa xe 15C-070.63 ngày 07/10 ( Công tắc Facos, Fa O bé , công lắp)</t>
  </si>
  <si>
    <t>Thanh toán tiền sửa xe 15C-070.63 ngày 06/10 ( Vệ sinh điện đề)</t>
  </si>
  <si>
    <t xml:space="preserve">Thanh toán tiền sửa xe 15C-070.63 (Thay block điều hòa và vỉ mạch điều khiển đóng mở cánh quạt) - Bh 6 tháng </t>
  </si>
  <si>
    <t>Thanh toán tiển sửa xe 15C-070.63 (mua vỉ điện đóng mở cánh quạt)</t>
  </si>
  <si>
    <t>Thanh toán tiền sửa xe 15C-070.63 ngày 03/10 ( Đắp dáu về dầu P, Hàu táp đai, nắn hàu bắt xương, thay kính chắn gió)</t>
  </si>
  <si>
    <t>TT  tiền sửa xe 15C-070.63 ngày 03/10 ( Thay phớt pitong nhanh, phớt mayơ bên lái, dầu mỗi mayơ, công )</t>
  </si>
  <si>
    <t>Thanh toán tiền sửa xe 15C-070.63 ngày 18/10 ( Công thợ tháo cánh quạt , thay phớt)</t>
  </si>
  <si>
    <t>Thanh toán tiền sửa xe 15C-070.63 ngày 19/10 ( Sửa tổng dật lốc kê, thay 2 cối ôm, zoăng phớt, công thợ)</t>
  </si>
  <si>
    <t>THÁNG 11.2020</t>
  </si>
  <si>
    <t>Trả hàng NK sáng 02/11 - 03/11</t>
  </si>
  <si>
    <t>Trả hàng NK sáng 04/11 - 05/11</t>
  </si>
  <si>
    <t>Trả hàng NK sáng 06/11 - 07/11</t>
  </si>
  <si>
    <t>Trả hàng Vietsun sáng 09/11</t>
  </si>
  <si>
    <t>Đóng hàng chè sáng 10/11</t>
  </si>
  <si>
    <t>Đóng hàng Vietsun sáng 11/11</t>
  </si>
  <si>
    <t>Đóng hàng chè sáng 12/11</t>
  </si>
  <si>
    <t>Trả hàng Vietsun sáng 13/11</t>
  </si>
  <si>
    <t>Đóng hàng KH chiều 13/11</t>
  </si>
  <si>
    <t>Trả hàng Vietsun sáng 14/11</t>
  </si>
  <si>
    <t>Trả hàng Vietsun sáng 17/11</t>
  </si>
  <si>
    <t>Trả hàng Vietsun sáng 18/11</t>
  </si>
  <si>
    <t>Đóng hàng KH chiều 18/11</t>
  </si>
  <si>
    <t>Đóng hàng chè sáng 19/11</t>
  </si>
  <si>
    <t>Trả hàng NK sáng 20/11 - 21/11</t>
  </si>
  <si>
    <t>Trả hàng NK sáng 23/11 - 24/11</t>
  </si>
  <si>
    <t>Đóng hàng XK sáng 25/11</t>
  </si>
  <si>
    <t>Đóng hàng XK sáng 26/11</t>
  </si>
  <si>
    <t>Trả hàng Vietsun sáng 27/11</t>
  </si>
  <si>
    <t>Đóng hàng kết hợp chiều 27/11</t>
  </si>
  <si>
    <t>Trả hàng Vietsun sáng 28/11</t>
  </si>
  <si>
    <t>TT Đông Anh, Hà Nội + Lạng Giang, Bắc Giang</t>
  </si>
  <si>
    <t>Quốc Oai, Hà Nội</t>
  </si>
  <si>
    <t>Bình Đà, Thanh Oai, Hà Nội</t>
  </si>
  <si>
    <t>Yên Sở, Hoàng Mai, Hà Nội</t>
  </si>
  <si>
    <t>xã Hồng Nam, TP. Hưng Yên</t>
  </si>
  <si>
    <t>P. Hà Khánh, TP. Hạ Long, Quảng Ninh</t>
  </si>
  <si>
    <t>CCN Liên Phương-Quất Động, Thường Tín,HN</t>
  </si>
  <si>
    <t>PASU2017007</t>
  </si>
  <si>
    <t>PASU2017162</t>
  </si>
  <si>
    <t>GLDU5295918</t>
  </si>
  <si>
    <t>WHSU5189423</t>
  </si>
  <si>
    <t>TLLU2921588</t>
  </si>
  <si>
    <t>WHSU2636148</t>
  </si>
  <si>
    <t>DRYU3094393</t>
  </si>
  <si>
    <t>FCIU6337473</t>
  </si>
  <si>
    <t>TRHU3295917</t>
  </si>
  <si>
    <t>DRYU2902347</t>
  </si>
  <si>
    <t>WHSU2295000</t>
  </si>
  <si>
    <t>PASU0000284</t>
  </si>
  <si>
    <t>PASU2017120</t>
  </si>
  <si>
    <t>TEMU5553010</t>
  </si>
  <si>
    <t>IPXU3876569</t>
  </si>
  <si>
    <t>GAOU2113590</t>
  </si>
  <si>
    <t>CLHU3941054</t>
  </si>
  <si>
    <t>Thanh toán tiền sửa xe 15C-070.63 ngày 30/11 (Lọc thô, lọc nhớt Đtroy)</t>
  </si>
  <si>
    <t>Mua bóng hơi cabin, bộ cờ lê + kìm + tô vít + hoa thị xe 15C-070.63</t>
  </si>
  <si>
    <t>Thanh toán tiền dầu nhớt Total 20w-50CI-4  cho 15C-070.63 tháng 11/20</t>
  </si>
  <si>
    <t>THÁNG 12.2020</t>
  </si>
  <si>
    <t>Trả hàng NK sáng 01/12 + đóng hàng KH</t>
  </si>
  <si>
    <t>Trả hàng NK sáng 02/12 - 03/12</t>
  </si>
  <si>
    <t>Trả hàng Vietsun sáng 04/12</t>
  </si>
  <si>
    <t>Đóng hàng XK sáng 07/12</t>
  </si>
  <si>
    <t>Đóng hàng XK sáng 08/12</t>
  </si>
  <si>
    <t>Đóng hàng phân sáng 09/12</t>
  </si>
  <si>
    <t>Trả hàng Vietsun sáng 10/12</t>
  </si>
  <si>
    <t>Trả hàng NK sáng 11/12 - 14/12</t>
  </si>
  <si>
    <t>Trả hàng Vietsun sáng 15/12</t>
  </si>
  <si>
    <t>Đóng hàng KH chiều 15/12</t>
  </si>
  <si>
    <t>Trả hàng Vietsun tối 16/12</t>
  </si>
  <si>
    <t>Đóng hàng KH sáng 17/12</t>
  </si>
  <si>
    <t>Đóng hàng chè sáng 18/12</t>
  </si>
  <si>
    <t>Trả hàng Vietsun sáng 19/12</t>
  </si>
  <si>
    <t>Đóng hàng KH chiều 19/12</t>
  </si>
  <si>
    <t>Trả hàng Vietsun sáng 21/12</t>
  </si>
  <si>
    <t>Trả hàng NK sáng 22/12</t>
  </si>
  <si>
    <t>Trả hàng Vietsun sáng 23/12</t>
  </si>
  <si>
    <t>Trả hàng Vietsun sáng 24/12</t>
  </si>
  <si>
    <t>Đóng hàng KH Vietsun chiều 24/12</t>
  </si>
  <si>
    <t>Trả hàng NK sáng 25/12 - 26/12</t>
  </si>
  <si>
    <t>Trả hàng Vietsun sáng 28/12</t>
  </si>
  <si>
    <t>Đóng hàng KH chiều 28/12</t>
  </si>
  <si>
    <t>Đóng hàng XK sáng 29/12</t>
  </si>
  <si>
    <t>Đóng hàng XK sáng 30/12</t>
  </si>
  <si>
    <t>Trả hàng Vietsun sáng 31/12</t>
  </si>
  <si>
    <t>Minh Trí, Sóc Sơn, Hà Nội - Tiên Du, Bắc Ninh</t>
  </si>
  <si>
    <t>P. Đông Tân, TP. Thanh Hóa</t>
  </si>
  <si>
    <t>Kho Masan, KCN Đại An, Hải Dương</t>
  </si>
  <si>
    <t>Ninh Giang, Hải Dương</t>
  </si>
  <si>
    <t>Ngọc Hòa, Chương Mỹ, Hà Nội</t>
  </si>
  <si>
    <t>Yên Bình, Yên Bái</t>
  </si>
  <si>
    <t>Vĩnh Tuy, Hà Nội</t>
  </si>
  <si>
    <t>CCN Đồng Côi, Nam Giang, Nam Trực, Nam Định</t>
  </si>
  <si>
    <t>KCN Đông Thọ, Yên Phong, Bắc Ninh</t>
  </si>
  <si>
    <t>KCN Hải Hà, Móng Cái, Quảng Ninh</t>
  </si>
  <si>
    <t>Trôi, Hoài Đức, Hà Nội</t>
  </si>
  <si>
    <t>DRYU3044197</t>
  </si>
  <si>
    <t>CBHU5551029</t>
  </si>
  <si>
    <t>DRYU2924412</t>
  </si>
  <si>
    <t>BHCU3106978</t>
  </si>
  <si>
    <t>CMAU1256922</t>
  </si>
  <si>
    <t>EGHU3554755</t>
  </si>
  <si>
    <t>GAOU2210100</t>
  </si>
  <si>
    <t>PASU0000221</t>
  </si>
  <si>
    <t>DRYU2851851</t>
  </si>
  <si>
    <t>DRYU3093340</t>
  </si>
  <si>
    <t>TLLU2362582</t>
  </si>
  <si>
    <t>DRYU2851928</t>
  </si>
  <si>
    <t>FCIU6260200</t>
  </si>
  <si>
    <t>OOLU1431170</t>
  </si>
  <si>
    <t>FCIU4220847</t>
  </si>
  <si>
    <t>GAOU2111220</t>
  </si>
  <si>
    <t>GAOU2110081</t>
  </si>
  <si>
    <t>EISU2085558</t>
  </si>
  <si>
    <t>MSCU6489997</t>
  </si>
  <si>
    <t>BSIU2444594</t>
  </si>
  <si>
    <t xml:space="preserve">Thanh toán tiền lốp 295/75R22.5 Deestone ngày 17/12 cho xe  15C-070.63 </t>
  </si>
  <si>
    <t>Mua bóng đèn xi-nhan xe 15C-070.63 (5 chiếc)</t>
  </si>
  <si>
    <t>Thưởng tết dương lịch</t>
  </si>
  <si>
    <t>Thanh toán tiền rửa xe 15C-070.63 ngày 30/12/20</t>
  </si>
  <si>
    <t xml:space="preserve">Thanh toán tiền sửa xe 15C-070.63 ngày 27/12 ( Thay 2 bánh răng tầng nhanh, chậm, 2 tháp số, đồng téc sê) </t>
  </si>
  <si>
    <t xml:space="preserve">Thanh toán tiền sửa xe 15C-070.63 ngày 27/12 ( Mua dầu rửa, giẻ, công thợ làm đồng tốc, thay phớt bét lái, mua dầu đổ)  </t>
  </si>
  <si>
    <t xml:space="preserve">Thanh toán tiền sửa xe 15C-070.63 ngày 27/12 (Thay bạc tay dằng đầu kéo, kép bạc, công tháo lắp tay dằng)  </t>
  </si>
  <si>
    <t>Mua hộp chì tạm cho lái xe 15C-070.63</t>
  </si>
  <si>
    <t>Thanh toán tiền xử phạt hành chính xe 15C-070.63 ngày 30/12/20</t>
  </si>
  <si>
    <t>.</t>
  </si>
  <si>
    <t>THÁNG 01.2021</t>
  </si>
  <si>
    <t>Trả hàng NK sáng 02/01</t>
  </si>
  <si>
    <t>Đóng hàng kết hợp chiều 04/01</t>
  </si>
  <si>
    <t>Trả hàng Vietsun sáng 05/01</t>
  </si>
  <si>
    <t>Đóng hàng kết hợp chiều 05/01</t>
  </si>
  <si>
    <t>Trả hàng NK sáng 06/01 - 07/01</t>
  </si>
  <si>
    <t>Trả hàng Vietsun sáng 08/01</t>
  </si>
  <si>
    <t>Đóng hàng KH Vietsun chiều 08/01</t>
  </si>
  <si>
    <t>Trả hàng NK sáng 09/01</t>
  </si>
  <si>
    <t>Trả hàng Vietsun sáng 11/01</t>
  </si>
  <si>
    <t>Đóng hàng KH Vietsun chiều 11/01</t>
  </si>
  <si>
    <t>Trả hàng Vietsun sáng 12/01</t>
  </si>
  <si>
    <t>Đóng hàng KH Vietsun chiều 12/01</t>
  </si>
  <si>
    <t>Trả hàng NK chiều 13/01</t>
  </si>
  <si>
    <t>Trả hàng Vietsun sáng 14/01</t>
  </si>
  <si>
    <t>Đóng hàng KH chiều 14/01</t>
  </si>
  <si>
    <t>Trả hàng Vietsun sáng 18/01</t>
  </si>
  <si>
    <t>Đóng hàng KH chiều 18/01</t>
  </si>
  <si>
    <t>Trả hàng NK sáng 20/01</t>
  </si>
  <si>
    <t>Trả hàng Vietsun sáng 21/01</t>
  </si>
  <si>
    <t>Trả hàng Vietsun chiều 21/01</t>
  </si>
  <si>
    <t>Trả hàng Vietsun sáng 22/01</t>
  </si>
  <si>
    <t>Trả hàng Vietsun sáng 23/01</t>
  </si>
  <si>
    <t>Đóng hàng KH chiều 23/01</t>
  </si>
  <si>
    <t>Trả hàng Vietsun sáng 25/01</t>
  </si>
  <si>
    <t>Đóng hàng KH chiều 25/01</t>
  </si>
  <si>
    <t>Đóng hàng phân sáng 26/01</t>
  </si>
  <si>
    <t>Trả hàng NK sáng 27/01</t>
  </si>
  <si>
    <t>Đóng hàng KH 27/01 - 28/01</t>
  </si>
  <si>
    <t>Đóng hàng XK sáng 29/01</t>
  </si>
  <si>
    <t>Trả hàng Vietsun sáng 30/01</t>
  </si>
  <si>
    <t>Đóng hàng KH chiều 30/01</t>
  </si>
  <si>
    <t>BSIU2599472</t>
  </si>
  <si>
    <t>GAOU2132769</t>
  </si>
  <si>
    <t>TRHU3295028</t>
  </si>
  <si>
    <t>PASU2017028</t>
  </si>
  <si>
    <t>GAOU2114092</t>
  </si>
  <si>
    <t>GCXU2213749</t>
  </si>
  <si>
    <t>TRHU1343750</t>
  </si>
  <si>
    <t>DRYU2923313</t>
  </si>
  <si>
    <t>SEGU1918849</t>
  </si>
  <si>
    <t>DRYU2902028</t>
  </si>
  <si>
    <t>CAAU2031653</t>
  </si>
  <si>
    <t>EGHU3428166</t>
  </si>
  <si>
    <t>TRHU3295429</t>
  </si>
  <si>
    <t>SUDU7499565</t>
  </si>
  <si>
    <t>VNLU2090726</t>
  </si>
  <si>
    <t>GAOU2108227</t>
  </si>
  <si>
    <t>GAOU2108968</t>
  </si>
  <si>
    <t>GESU1221823</t>
  </si>
  <si>
    <t>CAIU6871325</t>
  </si>
  <si>
    <t>DRYU2924080</t>
  </si>
  <si>
    <t>MAGU2539803</t>
  </si>
  <si>
    <t>TRHU2171193</t>
  </si>
  <si>
    <t>MEDU3421794</t>
  </si>
  <si>
    <t>GAOU2114410</t>
  </si>
  <si>
    <t>TP. Bắc Giang, Bắc Giang</t>
  </si>
  <si>
    <t>CCN Quang Vinh, Ân Thi, Hưng Yên</t>
  </si>
  <si>
    <t>Đạo Đức, Bình Xuyên, Vĩnh Phúc</t>
  </si>
  <si>
    <t>Phố Nối, ngã tư Bần, Hưng Yên</t>
  </si>
  <si>
    <t>TT Bích Động, Việt Yên, Bắc Giang</t>
  </si>
  <si>
    <t>Ngã 4 Kế, Bắc Giang</t>
  </si>
  <si>
    <t>Dị Sử, Hưng Yên</t>
  </si>
  <si>
    <t>CCN Trung Hưng, Yên Mỹ, Hưng Yên</t>
  </si>
  <si>
    <t>Thanh toán tiền mua dây +sủy + tam giác phản quang cho xe 15C-070.63</t>
  </si>
  <si>
    <t>Thanh toán tiền sửa xe 15C-070.63 ngày 14/01 ( thay ốc giằng cầu 02 con, công thay lắp)</t>
  </si>
  <si>
    <t>Thanh toán tiền cứu hộ xe 15C-070.63 ở Hà Nam (thay 1 mặt bơm hơi ngày 18/01)</t>
  </si>
  <si>
    <t>Thanh toán tiền mua pha o to, o nhỏ cho xe 15C-070.63 ngày 21/1</t>
  </si>
  <si>
    <t>Thanh toán tiền TL thông két nước, thay hộp nhôm dưới, hàn 2 mã đỡ két nước xe 15C-070.63 ngày 10/01</t>
  </si>
  <si>
    <t>Thanh toán tiền mua 2 bóng pha tròn bé xe 15C-070.63 ngày 31/01</t>
  </si>
  <si>
    <t>Thanh toán tiền sửa xe 15C-070.63 ngày 26/01 ( Sửa tổng phanh ABS , thay 1 zoăng phớt, công )</t>
  </si>
  <si>
    <t>Thanh toán tiền sửa xe 15C-070.63 ngày 22/01 ( Sửa tổng phanh chân, thay 1 bộ zoăng phớt,1 ống tuy o nước,1 bát phanh lốc kê đầu )</t>
  </si>
  <si>
    <t>Thanh toán tiền sửa xe 15C-070.63 ngày 02/1 (Sửa tổng xả hơi + điều tiết hơi, chế 1 rắc co đồng tán táo phi 10)</t>
  </si>
  <si>
    <t>THÁNG 02.2021</t>
  </si>
  <si>
    <t>Trả hàng Vietsun sáng 01/02</t>
  </si>
  <si>
    <t>Đóng hàng KH chiều 01/02</t>
  </si>
  <si>
    <t>Đóng hàng Vietsun sáng 02/02</t>
  </si>
  <si>
    <t>Trả hàng NK sáng 03/02</t>
  </si>
  <si>
    <t>Đóng hàng KH chiều 03/02</t>
  </si>
  <si>
    <t>Đóng hàng chè sáng 04/02</t>
  </si>
  <si>
    <t>Trả hàng NK sáng 06/02</t>
  </si>
  <si>
    <t>Trả hàng Vietsun chiều 08/02</t>
  </si>
  <si>
    <t>Trả hàng Vietsun sáng 17/02</t>
  </si>
  <si>
    <t>Trả hàng Vietsun sáng 18/02</t>
  </si>
  <si>
    <t>Trả hàng Vietsun sáng 19/02</t>
  </si>
  <si>
    <t>Đóng hàng phân sáng 21/02</t>
  </si>
  <si>
    <t>Trả hàng Vietsun sáng 23/02</t>
  </si>
  <si>
    <t>Đóng hàng KH Vietsun chiều 23/02</t>
  </si>
  <si>
    <t>Trả hàng NK sáng 24/02</t>
  </si>
  <si>
    <t>Trả hàng NK sáng 25/02</t>
  </si>
  <si>
    <t>Trả hàng Vietsun sáng 26/02</t>
  </si>
  <si>
    <t>Trả hàng Vietsun chiều 26/02</t>
  </si>
  <si>
    <t>Trả hàng Vietsun sáng 27/02</t>
  </si>
  <si>
    <t>GAOU2114744</t>
  </si>
  <si>
    <t>YMMU1102154</t>
  </si>
  <si>
    <t>UETU2492914</t>
  </si>
  <si>
    <t>CAIU6322270</t>
  </si>
  <si>
    <t>OOLU1738737</t>
  </si>
  <si>
    <t>CSLU2415858</t>
  </si>
  <si>
    <t>GAOU2108490</t>
  </si>
  <si>
    <t>GAOU2209942</t>
  </si>
  <si>
    <t>GAOU2111128</t>
  </si>
  <si>
    <t>GAOU2109666</t>
  </si>
  <si>
    <t>EITU0434206</t>
  </si>
  <si>
    <t>EMCU6035790</t>
  </si>
  <si>
    <t>FCIU5956940</t>
  </si>
  <si>
    <t>DRYU2852164</t>
  </si>
  <si>
    <t>TEMU0741056</t>
  </si>
  <si>
    <t>NLLU9000234</t>
  </si>
  <si>
    <t>GAOU2107386</t>
  </si>
  <si>
    <t>GAOU2112058</t>
  </si>
  <si>
    <t>CAIU2234360</t>
  </si>
  <si>
    <t>TT Bần, Mỹ Hào, Hưng Yên</t>
  </si>
  <si>
    <t>Yên Sơn, Quốc Oai, Hà Nội</t>
  </si>
  <si>
    <t>Phường Phú Xá, TP. Thái Nguyên</t>
  </si>
  <si>
    <t>Dịch Vọng Hậu, Cầu Giấy, Hà Nội</t>
  </si>
  <si>
    <t>KCN Thụy Vân, Việt Trì</t>
  </si>
  <si>
    <t>Kho Tiến Mạnh, Hùng Vương, Hồng Bàng, Hải Phòng</t>
  </si>
  <si>
    <t>TT Hùng Sơn, Đại Từ, Thái Nguyên</t>
  </si>
  <si>
    <t xml:space="preserve">Thanh toán tiền rửa xe </t>
  </si>
  <si>
    <t>Tiền lì xì đầu năm</t>
  </si>
  <si>
    <t>Thanh toán tiền mua nước làm mát xe 15C-070.63</t>
  </si>
  <si>
    <t xml:space="preserve">Thanh toán tiền thay săm + công xe 15C-070.63 </t>
  </si>
  <si>
    <t>Thanh toán tiền sửa xe 15C-070.63 ngày 25/02 ( Mua zô tuyn ba ngang + công thợ)</t>
  </si>
  <si>
    <t>THÁNG 03.2021</t>
  </si>
  <si>
    <t>Trả hàng Vietsun sáng 01/03</t>
  </si>
  <si>
    <t>Đóng hàng Vietssun chiều 01/03</t>
  </si>
  <si>
    <t>Đóng hàng sáng 02/03</t>
  </si>
  <si>
    <t>Đóng hàng chiều 02/03</t>
  </si>
  <si>
    <t>Trả hàng Vietsun sáng 03/03</t>
  </si>
  <si>
    <t>Trả hàng Vietsun sáng 04/03</t>
  </si>
  <si>
    <t>Đóng hàng Vietsun chiều 04/03</t>
  </si>
  <si>
    <t>Trả hàng NK sáng 05/03</t>
  </si>
  <si>
    <t>Vận chuyển hàng bình khí sáng 06/03</t>
  </si>
  <si>
    <t>Đóng hàng phân chiều 06/03</t>
  </si>
  <si>
    <t>Đóng hàng phân sáng 09/03</t>
  </si>
  <si>
    <t>Trả hàng Vietsun sáng 10/03</t>
  </si>
  <si>
    <t>Đóng hàng chè sáng 11/03</t>
  </si>
  <si>
    <t>Đóng hàng phân sáng 13/03</t>
  </si>
  <si>
    <t>Đóng hàng bình khí sáng 15/03</t>
  </si>
  <si>
    <t>Đóng hàng chè sáng 16/03</t>
  </si>
  <si>
    <t>Trả hàng Vietsun sáng 17/03</t>
  </si>
  <si>
    <t>Trả hàng NK sáng 18/03</t>
  </si>
  <si>
    <t>Đóng hàng KH chiều 18/03</t>
  </si>
  <si>
    <t>Trả hàng NK sáng 19/03</t>
  </si>
  <si>
    <t>Trả hàng NK sáng 20/03</t>
  </si>
  <si>
    <t>Trả hàng Vietsun sáng 22/03</t>
  </si>
  <si>
    <t>Đóng hàng chè sáng 25/03</t>
  </si>
  <si>
    <t>Trả hàng NK chiều 27/03</t>
  </si>
  <si>
    <t>Trả hàng Vietsun sáng 29/03</t>
  </si>
  <si>
    <t>Đóng hàng chè sáng 30/03</t>
  </si>
  <si>
    <t>Đóng hàng phân sáng 31/03</t>
  </si>
  <si>
    <t>DRYU2923993</t>
  </si>
  <si>
    <t>TRHU1344756</t>
  </si>
  <si>
    <t>GAOU2115210</t>
  </si>
  <si>
    <t>GAOU2109408</t>
  </si>
  <si>
    <t>GAOU2210080</t>
  </si>
  <si>
    <t>CAIU6869755</t>
  </si>
  <si>
    <t>CRXU3410732</t>
  </si>
  <si>
    <t>MRKU8371254</t>
  </si>
  <si>
    <t>WHSU2735644</t>
  </si>
  <si>
    <t>MSKU7420952</t>
  </si>
  <si>
    <t>GAOU2116080</t>
  </si>
  <si>
    <t>FFAU3446956</t>
  </si>
  <si>
    <t>GLDU5787630</t>
  </si>
  <si>
    <t>EITU0463842</t>
  </si>
  <si>
    <t>TCKU2031850</t>
  </si>
  <si>
    <t>MRKU3918396</t>
  </si>
  <si>
    <t>GAOU2114934</t>
  </si>
  <si>
    <t>TCLU1931984</t>
  </si>
  <si>
    <t>TSTU0230038</t>
  </si>
  <si>
    <t>TEMU5804141</t>
  </si>
  <si>
    <t>CAIU6864856</t>
  </si>
  <si>
    <t>EMCU3976267</t>
  </si>
  <si>
    <t>TEMU0622864</t>
  </si>
  <si>
    <t>WHSU2857473</t>
  </si>
  <si>
    <t>MRKU8355628</t>
  </si>
  <si>
    <t>SNCU2918934</t>
  </si>
  <si>
    <t>DRYU2901628</t>
  </si>
  <si>
    <t>WHSU2259548</t>
  </si>
  <si>
    <t>EMCU6054399</t>
  </si>
  <si>
    <t>Kiến Thụy, Hải Phòng</t>
  </si>
  <si>
    <t>Đông Triều, Quảng Ninh</t>
  </si>
  <si>
    <t>Tân Yên, Bắc Giang</t>
  </si>
  <si>
    <t>CCN Minh Khai, Như Quỳnh, Hưng Yên</t>
  </si>
  <si>
    <t>Kho DDC Hải Phòng</t>
  </si>
  <si>
    <t>Quỳnh Phụ, Thái Bình</t>
  </si>
  <si>
    <t>Xuân Trường, Nam Định</t>
  </si>
  <si>
    <t>Vĩnh Tường, Vĩnh Phúc</t>
  </si>
  <si>
    <t>xã Tân Bình, Vũ Thư, Thái Bình</t>
  </si>
  <si>
    <t>Chi tiền cho nhân viên đăng kiểm xe 15C-070.63</t>
  </si>
  <si>
    <t>Thanh toán tiền mua lốp xe 15C-070.63</t>
  </si>
  <si>
    <t>Thanh toán tiền sửa xe 15C-070.63 ( Thay lọc gió ngoài, lọc nhớt detroit, lọc nhiên liệu)</t>
  </si>
  <si>
    <t>Thanh toán tiền bơm mỡ xe 15C-070.63 ngày 10/3</t>
  </si>
  <si>
    <t>Thanh toán tiền thay lốp + săm yếm cho xe 15C-070.63 ngày 27/03</t>
  </si>
  <si>
    <t>Thanh toán tiền dầu nhớt Total Rubia 20W50  cho 15C-070.63 tháng 03/21</t>
  </si>
  <si>
    <t>Thanh toán tiền thay 1 ống tuy ô bọc inox chịu nhiệt + công xe 15C-070.63 ngày 26/03</t>
  </si>
  <si>
    <t>Thanh toán tiền lốp xe 15C-070.63 ngày 27/03</t>
  </si>
  <si>
    <t>Thanh toán tiền thay phớt nóc bét lái, cao su quang treo, thay bạc nhíp, mua dầu trơ lái, chống xả nhíp ngày 13/3</t>
  </si>
  <si>
    <t>THÁNG 04.2021</t>
  </si>
  <si>
    <t>Trả hàng Vietsun sáng 01/04</t>
  </si>
  <si>
    <t>Trả hàng Vietsun sáng 02/04</t>
  </si>
  <si>
    <t>Đóng hàng KH chiều 02/04</t>
  </si>
  <si>
    <t>Trả hàng Vietsun sáng 05/04</t>
  </si>
  <si>
    <t>Trả hàng NK sáng 06/04</t>
  </si>
  <si>
    <t>Đóng hàng KH chiều 06/04</t>
  </si>
  <si>
    <t>Đóng hàng phân sáng 07/04</t>
  </si>
  <si>
    <t>Đóng hàng chè chiều 08/04</t>
  </si>
  <si>
    <t>Trả hàng NK chiều 10/04</t>
  </si>
  <si>
    <t>Trả hàng Vietsun sáng 13/04</t>
  </si>
  <si>
    <t>Trả hàng Vietsun sáng 14/04</t>
  </si>
  <si>
    <t>Đóng hàng KH chiều 14/04</t>
  </si>
  <si>
    <t>Đóng hàng chè chiều 15/04</t>
  </si>
  <si>
    <t>Đóng hàng phân sáng 17/04</t>
  </si>
  <si>
    <t>Đóng hàng phân sáng 18/04</t>
  </si>
  <si>
    <t>Đóng hàng XK chiều 19/04</t>
  </si>
  <si>
    <t>Đóng hàng XK sáng 20/04</t>
  </si>
  <si>
    <t>Đóng hàng chè sáng 22/04</t>
  </si>
  <si>
    <t>Đóng hàng phân sáng 23/04</t>
  </si>
  <si>
    <t>Trả hàng sáng NK 24/04</t>
  </si>
  <si>
    <t>Trả hàng Vietsun sáng 26/04</t>
  </si>
  <si>
    <t>Trả hàng Vietsun sáng 27/04</t>
  </si>
  <si>
    <t>Trả hàng NK sáng 28/04</t>
  </si>
  <si>
    <t>CBHU5516943</t>
  </si>
  <si>
    <t>DRYU3095682</t>
  </si>
  <si>
    <t>TLLU8310713</t>
  </si>
  <si>
    <t>GAOU2209937</t>
  </si>
  <si>
    <t>MEDU6272400</t>
  </si>
  <si>
    <t>EITU0251479</t>
  </si>
  <si>
    <t>WHSU2874465</t>
  </si>
  <si>
    <t>CSNU1582164</t>
  </si>
  <si>
    <t>PONU0041577</t>
  </si>
  <si>
    <t>CAIU6863320</t>
  </si>
  <si>
    <t>TRHU3295347</t>
  </si>
  <si>
    <t>WHSU2705280</t>
  </si>
  <si>
    <t>TCKU1750130</t>
  </si>
  <si>
    <t>MRKU8229189</t>
  </si>
  <si>
    <t>MEDU1749573</t>
  </si>
  <si>
    <t>DFSU1521970</t>
  </si>
  <si>
    <t>BMOU1238490</t>
  </si>
  <si>
    <t>MSKU7790140</t>
  </si>
  <si>
    <t>GAOU2195812</t>
  </si>
  <si>
    <t>DRYU3095810</t>
  </si>
  <si>
    <t>GAOU2114852</t>
  </si>
  <si>
    <t>SEGU3120349</t>
  </si>
  <si>
    <t>MSCU3615047</t>
  </si>
  <si>
    <t>Nga Sơn, Thanh Hóa</t>
  </si>
  <si>
    <t>CCN Quất Động, Thường Tín, Hà Nội</t>
  </si>
  <si>
    <t>Thuận Châu, Sơn La</t>
  </si>
  <si>
    <t>Nguyễn Văn Linh, Long Biên, Hà Nội</t>
  </si>
  <si>
    <t>KCN Tân Trường, Hải Dương</t>
  </si>
  <si>
    <t>Bạch Sam, Mỹ Hào, Hưng Yên - Ân Thi, Hưng Yên</t>
  </si>
  <si>
    <t>Ba Vì, Hà Nội</t>
  </si>
  <si>
    <t xml:space="preserve">Chi tiền thưởng lái xe </t>
  </si>
  <si>
    <t>Thanh toán tiền bảo dưỡng đề, máy phát, giá than, láng cổ, sửa rơ le xe 15C-070.63 ngày 29/3</t>
  </si>
  <si>
    <t>THÁNG 05.2021</t>
  </si>
  <si>
    <t>Đóng hàng phân sáng 03/05</t>
  </si>
  <si>
    <t>Đóng hàng phân sáng 04/05</t>
  </si>
  <si>
    <t>Vận chuyển hàng bình khí chiều 04/05</t>
  </si>
  <si>
    <t>Trả hàng NK sáng 05/05</t>
  </si>
  <si>
    <t>Đóng hàng chè sáng 06/05</t>
  </si>
  <si>
    <t>Trả hàng NK chiều 07/05</t>
  </si>
  <si>
    <t>Trả hàng Vietsun sáng 12/05</t>
  </si>
  <si>
    <t>Đóng hàng KH chiều 12/05</t>
  </si>
  <si>
    <t>Đóng hàng chè chiều 13/05</t>
  </si>
  <si>
    <t>Trả hàng Vietsun chiều 14/05</t>
  </si>
  <si>
    <t>Đóng hàng phân sáng 18/05</t>
  </si>
  <si>
    <t>Trả hàng NK sáng 20/05</t>
  </si>
  <si>
    <t>Đóng hàng KH chiều 20/05</t>
  </si>
  <si>
    <t>Trả hàng Vietsun sáng 21/05</t>
  </si>
  <si>
    <t>Trả hàng NK sáng 22/05 - 23/05</t>
  </si>
  <si>
    <t>Đóng hàng chiều 24/05</t>
  </si>
  <si>
    <t>Trả hàng NK sáng 25/05</t>
  </si>
  <si>
    <t>Trả hàng NK sáng 28/05</t>
  </si>
  <si>
    <t>Đóng hàng phân sáng 29/05</t>
  </si>
  <si>
    <t>Đóng hàng phân sáng 31/05</t>
  </si>
  <si>
    <t>Hải Phòng - Kho DDC Hải Phòng</t>
  </si>
  <si>
    <t>Bích Hòa, Thanh Oai, Hà Nội</t>
  </si>
  <si>
    <t>Ngã 3 Đa Phúc, Kiến An, Hải Phòng</t>
  </si>
  <si>
    <t>KCN Khai Quang, Vĩnh Yên - Bình Xuyên, Vĩnh Phúc</t>
  </si>
  <si>
    <t>Uy Nỗ, Đông Anh, Hà Nội</t>
  </si>
  <si>
    <t>Xuân Tiến, Xuân Trường, Nam Định</t>
  </si>
  <si>
    <t>TEMU0661080</t>
  </si>
  <si>
    <t>EITU0009763</t>
  </si>
  <si>
    <t>FSCU7416236</t>
  </si>
  <si>
    <t>TEMU4781118</t>
  </si>
  <si>
    <t>WHSU2325948</t>
  </si>
  <si>
    <t>MRKU7696297</t>
  </si>
  <si>
    <t>EISU2074471</t>
  </si>
  <si>
    <t>EITU0081351</t>
  </si>
  <si>
    <t>TEMU3951159</t>
  </si>
  <si>
    <t>DRYU2851888</t>
  </si>
  <si>
    <t>WHSU2243500</t>
  </si>
  <si>
    <t>GAOU2210199</t>
  </si>
  <si>
    <t>TRHU3009192</t>
  </si>
  <si>
    <t>EGSU3056381</t>
  </si>
  <si>
    <t>EGSU3008948</t>
  </si>
  <si>
    <t>DRYU2885126</t>
  </si>
  <si>
    <t>OOLU1097633</t>
  </si>
  <si>
    <t>CAIU6537283</t>
  </si>
  <si>
    <t>GESU1348401</t>
  </si>
  <si>
    <t>CLHU3400960</t>
  </si>
  <si>
    <t>EMCU6039100</t>
  </si>
  <si>
    <t>EITU0138138</t>
  </si>
  <si>
    <t>BMOU1000630</t>
  </si>
  <si>
    <t>MRKU7447571</t>
  </si>
  <si>
    <t>TCKU1743254</t>
  </si>
  <si>
    <t>Thanh toán tiền thay áp cao điều hòa, zơ le ngắt lạnh xe 15C-070.63</t>
  </si>
  <si>
    <t>Thanh toán tiền đấu điện quạt gió điều hòa và thay công tắc chế quạt xe 15C-070.63</t>
  </si>
  <si>
    <t xml:space="preserve">Mua áo bảo hộ </t>
  </si>
  <si>
    <t xml:space="preserve">Mua chì tạm cho lái xe </t>
  </si>
  <si>
    <t>Thanh toán tiền mua mỡ may ơ mooc, dầu rửa, giẻ, công bảo dưỡng may ơ mooc, chỉnh côn xe 15C-070.63 ngày 14/5</t>
  </si>
  <si>
    <t>Thanh toán tiền bơm mỡ xe 15C-070.63 ngày 21/5</t>
  </si>
  <si>
    <t>THÁNG 06.2021</t>
  </si>
  <si>
    <t>Đóng hàng chè chiều 03/06</t>
  </si>
  <si>
    <t>Vận chuyển hàng lẻ sáng 03/06</t>
  </si>
  <si>
    <t>Trả hàng Vietsun sáng 04/06</t>
  </si>
  <si>
    <t>Đóng hàng XK sáng 05/06</t>
  </si>
  <si>
    <t>Trả hàng Vietsun sáng 07/06</t>
  </si>
  <si>
    <t>Đóng hàng KH chiều 07/06</t>
  </si>
  <si>
    <t>Đóng hàng XK sáng 08/06</t>
  </si>
  <si>
    <t>Đóng hàng chè sáng 09/06</t>
  </si>
  <si>
    <t>Đóng hàng chè chiều 10/06</t>
  </si>
  <si>
    <t>Trả hàng NK sáng 12/06</t>
  </si>
  <si>
    <t>Đóng hàng chè chiều 14/06</t>
  </si>
  <si>
    <t>Trả hàng NK + qua máy soi 15/06</t>
  </si>
  <si>
    <t>Đóng hàng KH chiều 16/06</t>
  </si>
  <si>
    <t>Đóng hàng chè sáng 17/06</t>
  </si>
  <si>
    <t>Vận chuyển hàng chuyển cảng 22/06</t>
  </si>
  <si>
    <t>Đóng hàng XK sáng 23/06</t>
  </si>
  <si>
    <t>Đóng hàng XK sáng 24/06</t>
  </si>
  <si>
    <t>Đóng hàng XK sáng 25/06</t>
  </si>
  <si>
    <t>Đóng hàng XK sáng 28/06</t>
  </si>
  <si>
    <t>Đóng hàng XK sáng 29/06</t>
  </si>
  <si>
    <t>Trả hàng NK sáng 30/06 - 01/07</t>
  </si>
  <si>
    <t>CMAU1162401</t>
  </si>
  <si>
    <t>WHSU2048186</t>
  </si>
  <si>
    <t>1 kiện gỗ</t>
  </si>
  <si>
    <t>GAOU2116855</t>
  </si>
  <si>
    <t>JSSU1443081</t>
  </si>
  <si>
    <t>DRYU3095039</t>
  </si>
  <si>
    <t>FCIU5921646</t>
  </si>
  <si>
    <t>WHSU2765211</t>
  </si>
  <si>
    <t>WHSU2648180</t>
  </si>
  <si>
    <t>TCLU3795640</t>
  </si>
  <si>
    <t>DFSU2759561</t>
  </si>
  <si>
    <t>MRKU7273546</t>
  </si>
  <si>
    <t>TRHU1404480</t>
  </si>
  <si>
    <t>WHSU2595521</t>
  </si>
  <si>
    <t>FCIU3424569</t>
  </si>
  <si>
    <t>TLLU2020640</t>
  </si>
  <si>
    <t>BMOU1248457</t>
  </si>
  <si>
    <t>TEMU0732265</t>
  </si>
  <si>
    <t>MSKU5996738</t>
  </si>
  <si>
    <t>IAAU2750755</t>
  </si>
  <si>
    <t>FCIU4237963</t>
  </si>
  <si>
    <t>MXCU0034610</t>
  </si>
  <si>
    <t>ZIMU1415037</t>
  </si>
  <si>
    <t>CCN Liên Phương, Thường Tín, Hà Nội</t>
  </si>
  <si>
    <t>KCN Kiện Khê, Hà Nam</t>
  </si>
  <si>
    <t>Trương Định, Hoàng Mai, Hà Nội</t>
  </si>
  <si>
    <t>VIP Green Port - Hải An</t>
  </si>
  <si>
    <t>Nam Hải Đình Vũ - Hải An</t>
  </si>
  <si>
    <t>Đa Phúc, Sóc Sơn, Hà Nội - Phổ Yên, Thái Nguyên</t>
  </si>
  <si>
    <t>Thanh toán tiền phí duy trì định vị xe</t>
  </si>
  <si>
    <t>Thanh toán tiền nắn, hàn má đinh công xe 15C-070.6363</t>
  </si>
  <si>
    <t>Thanh toán tiền tháo cáp đăng + láp xe 15C-070.63</t>
  </si>
  <si>
    <t>Thanh toán tiền mua lọc nhớt Detroit xe 15C-070.63</t>
  </si>
  <si>
    <t xml:space="preserve">Đổi biển số màu vàng cho xe </t>
  </si>
  <si>
    <t>Thanh toán tiền mua bảo hiểm TNDS xe 15C-070.63 ngày 21/06</t>
  </si>
  <si>
    <t>Thanh toán tiền dầu nhớt xe 15C-136.31, 15C-139.82, 15C-070.63, 15C-119.57</t>
  </si>
  <si>
    <t>Chuyến này chưa nhảy tiền dầu</t>
  </si>
  <si>
    <t>Đơn giá này là 16110</t>
  </si>
  <si>
    <t>THÁNG 07.2021</t>
  </si>
  <si>
    <t>Đóng hàng XK sáng 02/07</t>
  </si>
  <si>
    <t>IAAU2752845</t>
  </si>
  <si>
    <t>Trả hàng NK tối 03/07</t>
  </si>
  <si>
    <t>TCLU7202043</t>
  </si>
  <si>
    <t>Linh Đàm, Hà Nội</t>
  </si>
  <si>
    <t>Đóng hàng XK sáng 05/07</t>
  </si>
  <si>
    <t>SEGU3259967</t>
  </si>
  <si>
    <t>Đóng hàng chè chiều 06/07</t>
  </si>
  <si>
    <t>WHSU2415949</t>
  </si>
  <si>
    <t>Đóng hàng chè chiều 07/07</t>
  </si>
  <si>
    <t>WHSU2487722</t>
  </si>
  <si>
    <t>Trả hàng NK chiều 08/07</t>
  </si>
  <si>
    <t>WHSU2690350</t>
  </si>
  <si>
    <t>Đóng hàng KH trả sáng 09/07</t>
  </si>
  <si>
    <t>Vifon, KCN Tân Trường, Hải Dương</t>
  </si>
  <si>
    <t>Trả hàng NK sáng 10/07</t>
  </si>
  <si>
    <t>PCIU3099725</t>
  </si>
  <si>
    <t>Đóng hàng phân sáng 12/07</t>
  </si>
  <si>
    <t>MSKU7405900</t>
  </si>
  <si>
    <t>Đóng hàng phân sáng 13/07</t>
  </si>
  <si>
    <t>MRKU9358977</t>
  </si>
  <si>
    <t>Đóng hàng XK sáng 14/07</t>
  </si>
  <si>
    <t>TEMU1068335</t>
  </si>
  <si>
    <t>Đóng hàng XK sáng 15/07</t>
  </si>
  <si>
    <t>PRKU0100198</t>
  </si>
  <si>
    <t>xã Phú Nhuận, huyện Bảo Thắng, Lào Cai</t>
  </si>
  <si>
    <t>BEAU2865607</t>
  </si>
  <si>
    <t>Trả hàng NK sáng 17/07</t>
  </si>
  <si>
    <t>SUDU7336022</t>
  </si>
  <si>
    <t>Đóng hàng XK sáng 19/07</t>
  </si>
  <si>
    <t>BSIU2724050</t>
  </si>
  <si>
    <t>RFCU2107288</t>
  </si>
  <si>
    <t>Đóng hàng XK sáng 21/07</t>
  </si>
  <si>
    <t>TRHU3308510</t>
  </si>
  <si>
    <t>SEGU1705191</t>
  </si>
  <si>
    <t>Đóng hàng XK sáng 23/07</t>
  </si>
  <si>
    <t>BEAU2571691</t>
  </si>
  <si>
    <t>Đóng hàng XK sáng 24/07</t>
  </si>
  <si>
    <t>BEAU2404396</t>
  </si>
  <si>
    <t>MSKU7529429</t>
  </si>
  <si>
    <t>Đóng hàng chè sáng 29/07</t>
  </si>
  <si>
    <t>WHSU2438902</t>
  </si>
  <si>
    <t>Thanh toán tiền câu bình xe 15C-070.63</t>
  </si>
  <si>
    <t>Thanh toán tiền mua 04 bình ắc quy 1006S cho xe 15C-070.63</t>
  </si>
  <si>
    <t>Thanh toán tiền mua chổi gạt mưa xe 15C-070.63</t>
  </si>
  <si>
    <t>Thanh toán tiền tháo lắp sửa khóa mâm, đóng bạc gối mâm, hàn chặn dịch, gối mâm xe 15C-070.63</t>
  </si>
  <si>
    <t>Thay sọ cầu, vi san láp cầu, căn đồng, dầu cân, dầu rửa , ốc cắt đăng, giảm sóc .. xe 15C-070.63 ngày 11/6</t>
  </si>
  <si>
    <t>Thanh toán tiền mua bảo hiểm TNVC xe 15C-070.63 ngày 22/7</t>
  </si>
  <si>
    <t>Chi tiền taxi test covid cho anh Lâm cont SEGU3259967</t>
  </si>
  <si>
    <t>Chi tiền taxi test covid cho anh Lâm cont WHSU2690350</t>
  </si>
  <si>
    <t>Trả tiền anh Lâm test covid xe 15C-070.63</t>
  </si>
  <si>
    <t>Trả tiền anh Lâm test covid PCR ngày 26/7, Test nhanh 26/7</t>
  </si>
  <si>
    <t>Trả tiền anh Lâm test covid nhanh ngày 30/7</t>
  </si>
  <si>
    <t xml:space="preserve">Lương lái xe </t>
  </si>
  <si>
    <t>THÁNG 08.2021</t>
  </si>
  <si>
    <t>Đóng hàng XK sáng 02/08</t>
  </si>
  <si>
    <t>EXFU5584165</t>
  </si>
  <si>
    <t>Đóng hàng XK 03/08</t>
  </si>
  <si>
    <t>FCIU6151597</t>
  </si>
  <si>
    <t>Tân Dĩnh, Lạng Giang, Bắc Giang</t>
  </si>
  <si>
    <t>Đóng hàng XK sáng 05/08</t>
  </si>
  <si>
    <t>UTCU4980249</t>
  </si>
  <si>
    <t>Trả hàng NK sáng 06/08</t>
  </si>
  <si>
    <t>MXCU0016154</t>
  </si>
  <si>
    <t>Như Quỳnh, Văn Lâm, Hưng Yên</t>
  </si>
  <si>
    <t>MXCU0056481</t>
  </si>
  <si>
    <t>Trả hàng NK sáng 09/08</t>
  </si>
  <si>
    <t>TLLU2578490</t>
  </si>
  <si>
    <t>Đóng hàng KH trả sáng 10/08</t>
  </si>
  <si>
    <t>DRYU3095379</t>
  </si>
  <si>
    <t>QL5, Sở Dầu, Hồng Bàng - QL10, Quốc Tuấn, An Lão</t>
  </si>
  <si>
    <t>Đóng hàng XK sáng 12/08</t>
  </si>
  <si>
    <t>PRKU0110540</t>
  </si>
  <si>
    <t>Đóng hàng XK sáng 13/08</t>
  </si>
  <si>
    <t>PRKU0110679</t>
  </si>
  <si>
    <t>Đóng hàng chè sáng 16/08</t>
  </si>
  <si>
    <t>YMLU8621965</t>
  </si>
  <si>
    <t>Bình Xuyên, Vĩnh Phúc</t>
  </si>
  <si>
    <t>Trả hàng NK sáng 17/08</t>
  </si>
  <si>
    <t>BEAU5406920</t>
  </si>
  <si>
    <t>Trả hàng NK sáng 18/08</t>
  </si>
  <si>
    <t>NSSU0094210</t>
  </si>
  <si>
    <t>An Đồng, An Dương, Hải Phòng</t>
  </si>
  <si>
    <t>Đóng hàng chè sáng 19/08</t>
  </si>
  <si>
    <t>WHSU2187068</t>
  </si>
  <si>
    <t>Đóng hàng XK sáng 20/08</t>
  </si>
  <si>
    <t>TGBU2024120</t>
  </si>
  <si>
    <t>Đóng hàng ván ép sáng 21/08</t>
  </si>
  <si>
    <t>SITU9079997</t>
  </si>
  <si>
    <t>xã Phúc Thịnh, Chiêm Hóa, Tuyên Quang</t>
  </si>
  <si>
    <t>Đóng hàng XK sáng 24/08</t>
  </si>
  <si>
    <t>PRKU0100095</t>
  </si>
  <si>
    <t>Trả hàng Vietsun sáng 25/08</t>
  </si>
  <si>
    <t>VNLU3097237</t>
  </si>
  <si>
    <t>Bạch Sam, Mỹ Hào, Hưng Yên</t>
  </si>
  <si>
    <t>Đóng hàng XK sáng 26/08</t>
  </si>
  <si>
    <t>PRKU0110684</t>
  </si>
  <si>
    <t>Đóng hàng XK sáng 27/08</t>
  </si>
  <si>
    <t>TSSU2006722</t>
  </si>
  <si>
    <t>Trả hàng NK sáng 28/08</t>
  </si>
  <si>
    <t>TTNU1221473</t>
  </si>
  <si>
    <t>Trả hàng NK sáng 30/08</t>
  </si>
  <si>
    <t>BEAU2465771</t>
  </si>
  <si>
    <t>Đóng hàng chè sáng 31/08</t>
  </si>
  <si>
    <t>WHSU2443637</t>
  </si>
  <si>
    <t>Thanh toán tiền mua áo bảo hộ xe 15C-119.57, 15C-136.31, 15C-139.82, 15C-070.63</t>
  </si>
  <si>
    <t>Thanh toán 2 lốp lái đầu kéo hiệu Pirrel Ý 295/75R22.5 xe 15C-070.63</t>
  </si>
  <si>
    <t>Thanh toán tiền mua lốp 11.00R20-18PR xe 15C-070.63</t>
  </si>
  <si>
    <t>Chi tiền đảo lốp mooc lên đầu xe 15C-070.63 ngày 24/8</t>
  </si>
  <si>
    <t>Thanh toán tiền bơm mỡ xe 15C-070.63 ngày 01/7</t>
  </si>
  <si>
    <t xml:space="preserve">Trả tiền anh Lâm test covid PCR ngày 1/8 </t>
  </si>
  <si>
    <t>Trả tiền anh Lâm test covid PCR ngày 2/8</t>
  </si>
  <si>
    <t>Trả tiền anh Lâm test covid ngày 4/8</t>
  </si>
  <si>
    <t>Trả tiền anh Lâm test covid ngày 5/8</t>
  </si>
  <si>
    <t>Đưa tiền anh Lâm test covid ngày 11/8</t>
  </si>
  <si>
    <t>Trả tiền anh Lâm test covid ngày 14/8</t>
  </si>
  <si>
    <t>Trả tiền test covid anh Lâm ngày 18/8</t>
  </si>
  <si>
    <t>Trả tiền test covid anh Lâm ngày 23/8</t>
  </si>
  <si>
    <t xml:space="preserve">Trả tiền anh Lâm test covid ngày 25/8 </t>
  </si>
  <si>
    <t xml:space="preserve">Trả tiền anh Lâm test covid ngày 29/8 </t>
  </si>
  <si>
    <t>THÁNG 09.2021</t>
  </si>
  <si>
    <t>Trả hàng Vietsun sáng 04/09</t>
  </si>
  <si>
    <t>Đóng hàng XK sáng 06/09</t>
  </si>
  <si>
    <t>Trả hàng NK sáng 07/09</t>
  </si>
  <si>
    <t>Trả hàng NK sáng 10/09</t>
  </si>
  <si>
    <t>Trả hàng NK sáng 14/09</t>
  </si>
  <si>
    <t>Đóng hàng chè chiều 15/09</t>
  </si>
  <si>
    <t>Đóng hàng XK sáng 18/09</t>
  </si>
  <si>
    <t>Trả hàng Vietsun sáng 20/09</t>
  </si>
  <si>
    <t>Trả hàng Vietsun sáng 21/09</t>
  </si>
  <si>
    <t>Trả hàng Vietsun chiều 21/09</t>
  </si>
  <si>
    <t>Đóng hàng phân sáng 22/09</t>
  </si>
  <si>
    <t>Trả hàng NK sáng 23/09</t>
  </si>
  <si>
    <t>Trả hàng NK sáng 24/09</t>
  </si>
  <si>
    <t>Trả hàng NK sáng 25/09</t>
  </si>
  <si>
    <t>Đóng hàng XK sáng 28/09</t>
  </si>
  <si>
    <t>Đóng hàng phân sáng 29/09</t>
  </si>
  <si>
    <t>Đóng hàng XK sáng 30/09</t>
  </si>
  <si>
    <t>Kho Masan Dị Sử, Hưng Yên</t>
  </si>
  <si>
    <t>KCN Thăng Long 2, Yên Mỹ, Hưng Yên</t>
  </si>
  <si>
    <t>Quất Động, Thường Tín, Hà Nội</t>
  </si>
  <si>
    <t>Cty chè Thành Đạt, Thanh Chương, Nghệ An</t>
  </si>
  <si>
    <t>Sobek, xã An Đồng, An Dương, Hải Phòng</t>
  </si>
  <si>
    <t>GAOU2109305</t>
  </si>
  <si>
    <t>BEAU2898513</t>
  </si>
  <si>
    <t>DFSU2485033</t>
  </si>
  <si>
    <t>YMLU3534235</t>
  </si>
  <si>
    <t>TGHU0370980</t>
  </si>
  <si>
    <t>EGHU3301612</t>
  </si>
  <si>
    <t>TEMU0733127</t>
  </si>
  <si>
    <t>WHSU2810305</t>
  </si>
  <si>
    <t>WHSU2550698</t>
  </si>
  <si>
    <t>FBLU0148691</t>
  </si>
  <si>
    <t>PRKU0120390</t>
  </si>
  <si>
    <t>TRHU1344720</t>
  </si>
  <si>
    <t>CAIU6865338</t>
  </si>
  <si>
    <t>CAIU2318409</t>
  </si>
  <si>
    <t>TCLU1403729</t>
  </si>
  <si>
    <t>IALU2122740</t>
  </si>
  <si>
    <t>IALU2203631</t>
  </si>
  <si>
    <t>TEMU3589250</t>
  </si>
  <si>
    <t>MSKU8576404</t>
  </si>
  <si>
    <t>PRKU0120928</t>
  </si>
  <si>
    <t>MRKU6837929</t>
  </si>
  <si>
    <t>PRKU0130649</t>
  </si>
  <si>
    <t xml:space="preserve">Chi tiền thưởng 2/9 </t>
  </si>
  <si>
    <t>Đưa tiền anh Lâm đi đăng kiểm xe 15C-070.63</t>
  </si>
  <si>
    <t>Chi tiền ngoài đăng kiểm xe 15C-070.63</t>
  </si>
  <si>
    <t>Thanh toán tiền lắp đèn hậu, công làm điện xe 15C-070.63</t>
  </si>
  <si>
    <t>Thanh toán tiền mua lọc nhớ Detroit, lọc nước, lọc nhiên liệu xe 15C-070.63</t>
  </si>
  <si>
    <t>Thanh toán tiền thay săm mới xe 15C-070.63 ngày 16/9</t>
  </si>
  <si>
    <t>Thanh toán tiền bơm mỡ xe 15C-070.63 ngày 28/9</t>
  </si>
  <si>
    <t>Chi tiền thay ống lạnh, áp cao điều hòa, bơm ga + dầu lạnh xe 15C-070.63 ngày 27/9</t>
  </si>
  <si>
    <t>Thanh toán tiền gia công bạc ắc quy, mua may ơ, bì tỳ ắc quy, phớt may ơ, dầu, dầu may ơ xe 15C-070.63 ngày 8/8</t>
  </si>
  <si>
    <t>Thanh toán tiền thay bô mô tơ cửa, mã bát xương, mãu hày táp xương, đay bắt bình hồi, chắn bùn xe 15C-070.63 ngày 13/6</t>
  </si>
  <si>
    <t>Trả tiền anh Lâm test covid ngày 3/9</t>
  </si>
  <si>
    <t>Trả tiền anh Lâm test covid ngày 5/9</t>
  </si>
  <si>
    <t>Trả tiền anh Lâm test covid ngày 7/9</t>
  </si>
  <si>
    <t>Trả tiền anh Lâm test covid ngày 12/9</t>
  </si>
  <si>
    <t>Trả tiền anh Lâm test covid ngày 14/9</t>
  </si>
  <si>
    <t>Trả tiền anh Lâm test covid ngày 16/9</t>
  </si>
  <si>
    <t>Trả tiền anh Lâm test covid ngày 19/9</t>
  </si>
  <si>
    <t>Trả tiền anh Lâm test covid ngày 21/9</t>
  </si>
  <si>
    <t>Trả tiền anh Lâm test covid ngày 23/9</t>
  </si>
  <si>
    <t>Trả tiền anh Lâm test covid ngày 26/9</t>
  </si>
  <si>
    <t>Trả tiền anh Lâm test covid ngày 29/9</t>
  </si>
  <si>
    <t>Trả hàng Vietsun sáng 02/10</t>
  </si>
  <si>
    <t>Trả hàng NK sáng 04/10</t>
  </si>
  <si>
    <t>Trả hàng Vietsun sáng 05/10 - 06/10</t>
  </si>
  <si>
    <t>Đóng hàng XK chiều 07/10</t>
  </si>
  <si>
    <t>Trả hàng NK sáng 09/10</t>
  </si>
  <si>
    <t>Trả hàng Vietsun sáng 11/10</t>
  </si>
  <si>
    <t>Trả hàng + đóng hàng KH 13/10</t>
  </si>
  <si>
    <t>Trả hàng NK chiều 14/10</t>
  </si>
  <si>
    <t>Đóng hàng chè chiều 16/10</t>
  </si>
  <si>
    <t>Đóng hàng quặng sáng 18/10</t>
  </si>
  <si>
    <t>Đóng hàng XK sáng 20/10</t>
  </si>
  <si>
    <t>Đóng hàng chè chiều 21/10</t>
  </si>
  <si>
    <t>Trả hàng Vietsun sáng 23/10</t>
  </si>
  <si>
    <t>Đóng hàng KH Vietsun chiều 23/10</t>
  </si>
  <si>
    <t>GAOU2113049</t>
  </si>
  <si>
    <t>UETU2779442</t>
  </si>
  <si>
    <t>GAOU2210619</t>
  </si>
  <si>
    <t>FCIU3506461</t>
  </si>
  <si>
    <t>TRHU3051931</t>
  </si>
  <si>
    <t>OOLU1660330</t>
  </si>
  <si>
    <t>GAOU2110564</t>
  </si>
  <si>
    <t>TCKU1834251</t>
  </si>
  <si>
    <t>WHLU2763044</t>
  </si>
  <si>
    <t>DFSU2003152</t>
  </si>
  <si>
    <t>VNLU3091080</t>
  </si>
  <si>
    <t>DYLU2116486</t>
  </si>
  <si>
    <t>VNLU2090032</t>
  </si>
  <si>
    <t>WHSU2441640</t>
  </si>
  <si>
    <t>DRYU2924285</t>
  </si>
  <si>
    <t>CAIU2553455</t>
  </si>
  <si>
    <t>APZU3224003</t>
  </si>
  <si>
    <t>APZU3994792</t>
  </si>
  <si>
    <t>CMAU1080772</t>
  </si>
  <si>
    <t>GAOU2112274</t>
  </si>
  <si>
    <t>KCN Hòa Xá, Nam Định - Thanh Liêm, Hà Nam</t>
  </si>
  <si>
    <t>NM Vifon Hải Dương, KCN Tân Trường, Hải Dương</t>
  </si>
  <si>
    <t>KCN Nam Sách, Hải Dương - Kim Bảng, Hà Nam</t>
  </si>
  <si>
    <t>Phố Nối, Mỹ Hào, Hưng Yên - Hà Nam</t>
  </si>
  <si>
    <t>Cầu Bầu, Ứng Hòa, Hà Nội</t>
  </si>
  <si>
    <t>Lương Điền, Cẩm Giàng, Hải Dương</t>
  </si>
  <si>
    <t>An Hồng, An Dương, Hải Phòng</t>
  </si>
  <si>
    <t>Phố Nối, Hưng Yên - Phủ Lý, Hà Nam</t>
  </si>
  <si>
    <t>Yên Ninh, Ý Yên, Nam Định</t>
  </si>
  <si>
    <t>Thanh toán tiền mua 4 hộp chì tạm cho Xe 15C-136.31, 15C-139.82, 15C-070.63, 15C-119.57</t>
  </si>
  <si>
    <t xml:space="preserve">Thanh toán tiền mua 1 quả bóng hơi tải Firestone cho xe 15C-070.63 </t>
  </si>
  <si>
    <t>Thanh toán tiền mua pha tròn nhỏ xe 15C-070.63</t>
  </si>
  <si>
    <t>Thanh toán thay chắn bùn sau, hàn + thay xương vè BH (L +P) mooc 15R-128.07 của xe 15C-070.63  ngày 13/6</t>
  </si>
  <si>
    <t>Trả tiền anh Lâm test covid ngày 3/10 xe 15C-070.63</t>
  </si>
  <si>
    <t>Trả tiền anh Lâm test covid ngày 6/10 xe 15C-070.63</t>
  </si>
  <si>
    <t>Trả tiền anh Lâm test covid ngày 10/10 Xe 15C-070.63</t>
  </si>
  <si>
    <t>Trả tiền anh Lâm test covid ngày 12/10 Xe 15C-070.63</t>
  </si>
  <si>
    <t>Trả tiền anh Lâm test coivd ngày 15/10 Xe 15C-070.63</t>
  </si>
  <si>
    <t>Trả tiền anh Lâm test covid ngày 17/10 Xe 15C-070.63</t>
  </si>
  <si>
    <t>Thanh toán tiền thay bạc tay giằng sau mooc, công căn chỉnh xe 15C-070.63 ngày 9/10</t>
  </si>
  <si>
    <t>Thanh toán tiền thay côn mới, thay trung gian côn, bi bánh đà, phớt trục cơ, dầu hộp số xe 15C-070.63 ngày 30/10</t>
  </si>
  <si>
    <t>THÁNG 11.2021</t>
  </si>
  <si>
    <t>THÁNG 10.2021</t>
  </si>
  <si>
    <t>Trả hàng Vietsun sáng 01/11</t>
  </si>
  <si>
    <t>Trả hàng + đóng hàng KH sáng 02/11</t>
  </si>
  <si>
    <t>Đóng hàng chè sáng 04/11</t>
  </si>
  <si>
    <t>Trả hàng NK sáng 05/11</t>
  </si>
  <si>
    <t>Đóng hàng XK sáng 08/11</t>
  </si>
  <si>
    <t>Trả hàng NK sáng 10/11</t>
  </si>
  <si>
    <t>Trả hàng + đóng hàng KH 11/11</t>
  </si>
  <si>
    <t>Trả hàng + đóng hàng KH 12/11</t>
  </si>
  <si>
    <t>Trả hàng NK chiều 15/11</t>
  </si>
  <si>
    <t>Trả hàng Vietsun sáng 17/11 - 18/11</t>
  </si>
  <si>
    <t>Trả hàng NK sáng 20/11</t>
  </si>
  <si>
    <t>Trả hàng Vietsun sáng 22/11</t>
  </si>
  <si>
    <t>Trả hàng NK sáng 23/11</t>
  </si>
  <si>
    <t>Trả hàng NK sáng 24/11</t>
  </si>
  <si>
    <t>Trả hàng Vietsun sáng 25/11</t>
  </si>
  <si>
    <t>Trả hàng + đóng hàng KH sáng 27/11</t>
  </si>
  <si>
    <t>Trả hàng Vietsun sáng 29/11</t>
  </si>
  <si>
    <t>GAOU2109460</t>
  </si>
  <si>
    <t>TCKU3237390</t>
  </si>
  <si>
    <t>HACU2213308</t>
  </si>
  <si>
    <t>WHSU2753993</t>
  </si>
  <si>
    <t>WHSU2605661</t>
  </si>
  <si>
    <t>SGRU2118703</t>
  </si>
  <si>
    <t>GAOU2110121</t>
  </si>
  <si>
    <t>PCIU0097210</t>
  </si>
  <si>
    <t>TCKU3311990</t>
  </si>
  <si>
    <t>TCKU2041210</t>
  </si>
  <si>
    <t>CAIU3285552</t>
  </si>
  <si>
    <t>TEMU5271269</t>
  </si>
  <si>
    <t>TRHU3999726</t>
  </si>
  <si>
    <t>GAOU2210136</t>
  </si>
  <si>
    <t>GLDU9382348</t>
  </si>
  <si>
    <t>FCIU6232636</t>
  </si>
  <si>
    <t>GAOU2115118</t>
  </si>
  <si>
    <t>EITU0134045</t>
  </si>
  <si>
    <t>CMAU0825599</t>
  </si>
  <si>
    <t>GAOU2108485</t>
  </si>
  <si>
    <t>TCLU3309769</t>
  </si>
  <si>
    <t>GLDU5691251</t>
  </si>
  <si>
    <t>GAOU2107597</t>
  </si>
  <si>
    <t>YMMU1139322</t>
  </si>
  <si>
    <t>Năng Tĩnh, TP. Nam Định + Việt Hùng, Trực Ninh, NĐ</t>
  </si>
  <si>
    <t>Tứ Kỳ, Hải Dương - Phủ Lý, Hà Nam</t>
  </si>
  <si>
    <t>TP. Thái Bình - Phủ Lý, Hà Nam</t>
  </si>
  <si>
    <t>H. Vương, Hồng Bàng, HP + Kim Thành, Hải Dương</t>
  </si>
  <si>
    <t>Triệu Quang Phục, TP. Hải Dương</t>
  </si>
  <si>
    <t>Kim Bảng, Hà Nam - Tam Điệp, Ninh Bình</t>
  </si>
  <si>
    <t>Châu Sơn, Phủ Lý, Hà Nam - Tam Điệp, Ninh Bình</t>
  </si>
  <si>
    <t>Mỹ Hưng, Mỹ Lộc, Nam Định - Phủ Lý, Hà Nam</t>
  </si>
  <si>
    <t>La Phù, Hoài Đức, Hà Nội</t>
  </si>
  <si>
    <t>KCN Phố Nối A, Hưng Yên - Phủ Lý, Hà Nam</t>
  </si>
  <si>
    <t>Phùng Xá, Thạch Thất, Hà Nội</t>
  </si>
  <si>
    <t>CCN Vừa và nhỏ Từ Liêm, Hà Nội</t>
  </si>
  <si>
    <t>CCN Tam Quang, Vũ Thư, Thái Bình</t>
  </si>
  <si>
    <t>Gia Thanh, Gia Viễn, Ninh Bình</t>
  </si>
  <si>
    <t>KCN Hà Bình Phương, Hà Nội - Phủ Lý, Hà Nam</t>
  </si>
  <si>
    <t>Trả tiền anh Lâm test covid ngày 22/10 xe 15C-070.63</t>
  </si>
  <si>
    <t xml:space="preserve">Thanh toán tiền bơm mỡ xe 15C-070.63 </t>
  </si>
  <si>
    <t>Trả tiền anh Lâm test covid 15/11 Xe 15C-070.63</t>
  </si>
  <si>
    <t>Thanh toán tiền đấu điện mooc + dây điện xe 15C-070.63</t>
  </si>
  <si>
    <t>Trả tiền anh Lâm test covid + taxi ngày 19/11 Xe 15C-070.63</t>
  </si>
  <si>
    <t>Trả tiền anh Lâm test covid ngày 25/11 Xe 15C-070.63</t>
  </si>
  <si>
    <t>Trả tiền anh Lâm test covid ngày 29/11 Xe 15C-070.63</t>
  </si>
  <si>
    <t>Thanh toán tiền tháo lắp ép thủy lực 1 đầu ống tuy ô, 2 chế độ 3 bộ ban khóa xả nước xe 15C-070.63 ngày 26/11</t>
  </si>
  <si>
    <t>THÁNG 12.2021</t>
  </si>
  <si>
    <t>Đóng hàng XK sáng 01/12</t>
  </si>
  <si>
    <t>Trả hàng NK sáng 02/12</t>
  </si>
  <si>
    <t>Đóng hàng KH chiều 02/12</t>
  </si>
  <si>
    <t>Đóng hàng chè sáng 03/12</t>
  </si>
  <si>
    <t>Trả hàng NK đêm 07/12</t>
  </si>
  <si>
    <t>Trả hàng Vietsun sáng 09/12</t>
  </si>
  <si>
    <t>Đóng hàng KH Vietsun chiều 09/12</t>
  </si>
  <si>
    <t>Trả hàng Vietsun sáng 13/12</t>
  </si>
  <si>
    <t>Đóng hàng chè chiều 14/12</t>
  </si>
  <si>
    <t>Trả hàng NK sáng 16/12</t>
  </si>
  <si>
    <t>Trả hàng đêm 17/12</t>
  </si>
  <si>
    <t>Trả hàng Vietsun sáng 20/12</t>
  </si>
  <si>
    <t>Đóng hàng chè sáng 22/12</t>
  </si>
  <si>
    <t>Trả hàng NK sáng 24/12</t>
  </si>
  <si>
    <t>Trả hàng NK chiều 25/12</t>
  </si>
  <si>
    <t>Trả hàng Vietsun sáng 27/12</t>
  </si>
  <si>
    <t>Trả hàng NK tối 28/12</t>
  </si>
  <si>
    <t>Trả hàng NK tối 29/12</t>
  </si>
  <si>
    <t>Trả hàng NK sáng 31/12</t>
  </si>
  <si>
    <t>DFSU1325350</t>
  </si>
  <si>
    <t>APZU3472099</t>
  </si>
  <si>
    <t>HDMU2837929</t>
  </si>
  <si>
    <t>IAAU2813766</t>
  </si>
  <si>
    <t>GAOU2108248</t>
  </si>
  <si>
    <t>EMCU1728908</t>
  </si>
  <si>
    <t>TGHU0860714</t>
  </si>
  <si>
    <t>WHSU2716182</t>
  </si>
  <si>
    <t>TEMU4940225</t>
  </si>
  <si>
    <t>DFSU1741871</t>
  </si>
  <si>
    <t>GVCU2163257</t>
  </si>
  <si>
    <t>DRYU3025406</t>
  </si>
  <si>
    <t>CAIU6870993</t>
  </si>
  <si>
    <t>MEDU4824834</t>
  </si>
  <si>
    <t>DRYU3092981</t>
  </si>
  <si>
    <t>VNLU3091202</t>
  </si>
  <si>
    <t>SEGU2559002</t>
  </si>
  <si>
    <t>DRYU3094942</t>
  </si>
  <si>
    <t>DRYU3094710</t>
  </si>
  <si>
    <t>BMOU1007059</t>
  </si>
  <si>
    <t>BMOU2381799</t>
  </si>
  <si>
    <t>FCIU6126439</t>
  </si>
  <si>
    <t>xã Thạch Khôi, TP. Hải Dương</t>
  </si>
  <si>
    <t>KCN Vân Trung, Việt Yên, Bắc Giang</t>
  </si>
  <si>
    <t>Tôn Thất Thuyết, Cầu Giấy, Hà Nội</t>
  </si>
  <si>
    <t>Cảng nội địa, Việt Hòa, TP. Hải Dương</t>
  </si>
  <si>
    <t>Vân Hà, Đông Anh, Hà Nội</t>
  </si>
  <si>
    <t>Yên Phong, Bắc Ninh</t>
  </si>
  <si>
    <t>Vân Canh, Từ Liêm, Hà Nội</t>
  </si>
  <si>
    <t>Ninh Hiệp, Gia Lâm, Hà Nội</t>
  </si>
  <si>
    <t>Phúc Yên, Vĩnh Phúc</t>
  </si>
  <si>
    <t>Tam Hiệp, Thanh Trì, Hà Nội</t>
  </si>
  <si>
    <t>Chi phí phát sinh tiền cont Mỹ Lâm có mùi không đóng được ngày 16/10</t>
  </si>
  <si>
    <t>Thanh toán tiền bảo dưỡng đề + máy phát xe 15C-070.63 ngày 30/10</t>
  </si>
  <si>
    <t>Trả tiền anh Lâm test covid ngày 9/12 Xe 15C-070.63</t>
  </si>
  <si>
    <t xml:space="preserve">Chi tiền thưởng tết dương lịch </t>
  </si>
  <si>
    <t>Trả tiền anh Lâm test covid ngày 29/10 xe 15C-070.63</t>
  </si>
  <si>
    <t>Trả tiền anh Lâm test covid ngày 11/12 Xe 15C-070.63</t>
  </si>
  <si>
    <t>Mua 01 phuy dầu nhớt Total 20w-50 CI4 208L, chia đều cho 4 xe</t>
  </si>
  <si>
    <t>Trả tiền anh Lâm test covid ngày 8/8</t>
  </si>
  <si>
    <t>Test Covid PCR 17/07 (cùng với Hoàn, tổng 834k)</t>
  </si>
  <si>
    <t>Sửa xe: Đầu béc, cối kim, lò xo nấm, gioăng kim, cân kim, nhớt máy, lọc nhớt, công</t>
  </si>
  <si>
    <t>THÁNG 01.2022</t>
  </si>
  <si>
    <t>Đóng hàng XK sáng 03/01</t>
  </si>
  <si>
    <t>Trả hàng Vietsun sáng 04/01</t>
  </si>
  <si>
    <t>Trả hàng NK chiều 05/01</t>
  </si>
  <si>
    <t>Trả hàng Vietsun sáng 06/01</t>
  </si>
  <si>
    <t>Đóng hàng KH chiều 06/01</t>
  </si>
  <si>
    <t>Đóng hàng XK sáng 07/01</t>
  </si>
  <si>
    <t>Trả hàng Vietsun sáng 10/01</t>
  </si>
  <si>
    <t>Đóng hàng KH chiều 10/01</t>
  </si>
  <si>
    <t>Trả  hàng Vietsun sáng 11/01</t>
  </si>
  <si>
    <t>Đóng hàng KH chiều 11/01</t>
  </si>
  <si>
    <t>Trả hàng Vietsun sáng 13/01</t>
  </si>
  <si>
    <t>Đóng hàng KH Vietsun chiều 13/01</t>
  </si>
  <si>
    <t>Trả hàng NK sáng 14/01</t>
  </si>
  <si>
    <t>Trả hàng Vietsun sáng 17/01</t>
  </si>
  <si>
    <t>Trả hàng NK sáng 18/01</t>
  </si>
  <si>
    <t>Trả hàng NK đêm 19/01</t>
  </si>
  <si>
    <t>Trả hàng NK sáng 21/01</t>
  </si>
  <si>
    <t>Đóng hàng KH 21/01 trả sáng 22/01</t>
  </si>
  <si>
    <t>Trả hàng Vietsun sáng 24/01</t>
  </si>
  <si>
    <t>Đóng hàng KH Vietsun chiều 24/01</t>
  </si>
  <si>
    <t>Trả hàng NK đêm 25/01</t>
  </si>
  <si>
    <t>Đóng hàng XK sáng 27/01</t>
  </si>
  <si>
    <t>Trả hàng NK sáng 28/01</t>
  </si>
  <si>
    <t>TCKU2606261</t>
  </si>
  <si>
    <t>DRYU3094670</t>
  </si>
  <si>
    <t>GESU1402056</t>
  </si>
  <si>
    <t>GAOU2111241</t>
  </si>
  <si>
    <t>TRHU1057437</t>
  </si>
  <si>
    <t>DRYU3095260</t>
  </si>
  <si>
    <t>GAOU2213310</t>
  </si>
  <si>
    <t>GAOU2112119</t>
  </si>
  <si>
    <t>HMMU2097374</t>
  </si>
  <si>
    <t>TRHU3295820</t>
  </si>
  <si>
    <t>PCIU1250642</t>
  </si>
  <si>
    <t>VOSU1809160</t>
  </si>
  <si>
    <t>GAOU2115606</t>
  </si>
  <si>
    <t>SKLU1917887</t>
  </si>
  <si>
    <t>ZIMU1056282</t>
  </si>
  <si>
    <t>ZIMU1030272</t>
  </si>
  <si>
    <t>IRNU3686388</t>
  </si>
  <si>
    <t>GAOU2108382</t>
  </si>
  <si>
    <t>GAOU2114153</t>
  </si>
  <si>
    <t>TCKU2484836</t>
  </si>
  <si>
    <t>BEAU2976853</t>
  </si>
  <si>
    <t>BMOU1258938</t>
  </si>
  <si>
    <t>Chỉ Đạo, Văn Lâm, Hưng Yên</t>
  </si>
  <si>
    <t>Trịnh Xá, Thủy Nguyên, Hải Phòng</t>
  </si>
  <si>
    <t>KCN Đồng Văn 2, Duy Tiên, Hà Nam</t>
  </si>
  <si>
    <t>Kim Bảng, Hà Nam</t>
  </si>
  <si>
    <t>An Lạc, Trưng Trắc, Văn Lâm, Hưng Yên</t>
  </si>
  <si>
    <t>Tân Quang, Văn Lâm, Hưng Yên</t>
  </si>
  <si>
    <t>Cargill KCN Phố Nối A, HY + Đồng Văn, Hà Nam</t>
  </si>
  <si>
    <t>KCN Đồng Văn, Duy Tiên, Hà Nam</t>
  </si>
  <si>
    <t>KCN Hòa Mạc, Hà Nam</t>
  </si>
  <si>
    <t>Cargill KCN Phố Nối A, HY + Tân Trường, Hải Dương</t>
  </si>
  <si>
    <t>Kim Chung, Hoài Đức, Hà Nội</t>
  </si>
  <si>
    <t>Yên Hòa, Cầu Giấy, Hà Nội</t>
  </si>
  <si>
    <t>Đồng Mai, Hà Đông, Hà Nội</t>
  </si>
  <si>
    <t>Big C Thăng Long, Trung Hòa, Cầu Giấy, Hà Nội</t>
  </si>
  <si>
    <t>Thường Tín, Hà Nội + Hoài Đức, Hà Nội</t>
  </si>
  <si>
    <t xml:space="preserve">Chi tiền thay săm xe 15C-070.63 </t>
  </si>
  <si>
    <t>Trả tiền anh Lâm test covid + taxi 17/1 xe 15C-070.63</t>
  </si>
  <si>
    <t>Thanh toán tiền bơm mỡ, chỉnh phanh xe 15C-070.63 ngày 5/1</t>
  </si>
  <si>
    <t>THÁNG 02.2022</t>
  </si>
  <si>
    <t>Trả hàng NK sáng 08/02</t>
  </si>
  <si>
    <t>Trả hàng Vietsun sáng 09/02</t>
  </si>
  <si>
    <t>Trả hàng NK sáng 11/02</t>
  </si>
  <si>
    <t>Trả hàng NK sáng 14/02</t>
  </si>
  <si>
    <t>Đóng hàng chè chiều 15/02</t>
  </si>
  <si>
    <t>Trả hàng NK đêm 17/02</t>
  </si>
  <si>
    <t>Đóng hàng XK sáng 21/02</t>
  </si>
  <si>
    <t>Trả hàng Vietsun sáng 22/02</t>
  </si>
  <si>
    <t>Trả hàng Vietsun sáng 28/02</t>
  </si>
  <si>
    <t>Đóng hàng KH Vietsun chiều 28/02</t>
  </si>
  <si>
    <t>TRLU9611950</t>
  </si>
  <si>
    <t>GAOU2109310</t>
  </si>
  <si>
    <t>TEMU1705217</t>
  </si>
  <si>
    <t>EITU3015477</t>
  </si>
  <si>
    <t>RRSU2913967</t>
  </si>
  <si>
    <t>WHSU2549660</t>
  </si>
  <si>
    <t>GAOU2210692</t>
  </si>
  <si>
    <t>SKLU1101759</t>
  </si>
  <si>
    <t>MEDU5325260</t>
  </si>
  <si>
    <t>CAIU6871618</t>
  </si>
  <si>
    <t>GAOU2114955</t>
  </si>
  <si>
    <t>CAXU3208136</t>
  </si>
  <si>
    <t>TWCU2098921</t>
  </si>
  <si>
    <t>GAOU2209752</t>
  </si>
  <si>
    <t>DRYU2923165</t>
  </si>
  <si>
    <t>Kim Long, Tam Dương, Vĩnh Phúc</t>
  </si>
  <si>
    <t>KCN Sài Đồng B, Gia Lâm, Hà Nội</t>
  </si>
  <si>
    <t>Vạn Phúc, Thanh Trì, Hà Nội</t>
  </si>
  <si>
    <t>Phong Khê, Yên Phong, BN + Khoái Châu, Hưng Yên</t>
  </si>
  <si>
    <t>Nghĩa Lâm, Nghĩa Hưng, Nam Định</t>
  </si>
  <si>
    <t>Kỳ Sơn, TP. Hoà Bình</t>
  </si>
  <si>
    <t>Phúc Thành, TP. Ninh Bình</t>
  </si>
  <si>
    <t>TT. Chờ, Yên Phong, Bắc Ninh</t>
  </si>
  <si>
    <t>Kim Bảng, Hà Nam (đóng hàng 2 điểm)</t>
  </si>
  <si>
    <t>Thanh toán tiền dầu nhớt cho xe 15C-136.31; 15C-139.82; 15C-070.63; 15C-119.57</t>
  </si>
  <si>
    <t>Thanh toán tiền đảo lốp 3 cái xe 15C-070.63</t>
  </si>
  <si>
    <t>Chi tiền đăng kiểm xe 15C-070.63</t>
  </si>
  <si>
    <t>Chi tiền phí sử dụng đường bộ xe  15C-070.63</t>
  </si>
  <si>
    <t>Chi ngoài tiền đăng kiểm xe  15C-070.63</t>
  </si>
  <si>
    <t>Thanh toán tiền mua lốp 1100R20 xe 15C-070.63 ngày 11/2</t>
  </si>
  <si>
    <t>Chi tiền tết âm lịch</t>
  </si>
  <si>
    <t xml:space="preserve">Chi tiền lì xì đầu năm </t>
  </si>
  <si>
    <t>Lương lái xe (26 ngày)</t>
  </si>
  <si>
    <t>Lương lái xe (23/24 ngày)</t>
  </si>
  <si>
    <t>THÁNG 03.2022</t>
  </si>
  <si>
    <t>Trả hàng NK sáng 01/03</t>
  </si>
  <si>
    <t>EITU3034353</t>
  </si>
  <si>
    <t>Yên Dũng, Bắc Giang</t>
  </si>
  <si>
    <t>Trả hàng NK sáng 02/03</t>
  </si>
  <si>
    <t>EISU2091592</t>
  </si>
  <si>
    <t>GAOU2113347</t>
  </si>
  <si>
    <t>Đóng hàng KH Vietsun chiều 03/03</t>
  </si>
  <si>
    <t>Trả hàng NK sáng 04/03</t>
  </si>
  <si>
    <t>EITU0291208</t>
  </si>
  <si>
    <t>Trả hàng NK đêm 04/03</t>
  </si>
  <si>
    <t>CSNU1929823</t>
  </si>
  <si>
    <t>Hà Đông, Hà Nội</t>
  </si>
  <si>
    <t>Đóng hàng chè sáng 09/03</t>
  </si>
  <si>
    <t>YMLU3641315</t>
  </si>
  <si>
    <t>JZPU4097427</t>
  </si>
  <si>
    <t>TGBU6896158</t>
  </si>
  <si>
    <t>Trả hàng Vietsun sáng 12/03</t>
  </si>
  <si>
    <t>GAOU2110939</t>
  </si>
  <si>
    <t>Đóng hàng KH Vietsun chiều 12/03</t>
  </si>
  <si>
    <t>Trả hàng Vietsun sáng 14/03</t>
  </si>
  <si>
    <t>CAIU6869138</t>
  </si>
  <si>
    <t>TT.  Chờ, Yên Phong, Bắc Ninh</t>
  </si>
  <si>
    <t>Đóng hàng KH Vietsun chiều 14/03</t>
  </si>
  <si>
    <t>Trả hàng Vietsun sáng 15/03</t>
  </si>
  <si>
    <t>GAOU2110055</t>
  </si>
  <si>
    <t>Lai Vu, Thanh Hà, Hải Dương + KCN Tân Hồng, BN</t>
  </si>
  <si>
    <t>Đóng hàng KH Vietsun chiều 15/03</t>
  </si>
  <si>
    <t>Trả hàng Vietsun sáng 16/03</t>
  </si>
  <si>
    <t>cảng nội địa, Việt Hòa, TP. Hải Dương</t>
  </si>
  <si>
    <t>Trả hàng NK sáng 17/03</t>
  </si>
  <si>
    <t>SEGU6673163</t>
  </si>
  <si>
    <t>Đóng hàng XK chiều 18/03</t>
  </si>
  <si>
    <t>HMMU5408741</t>
  </si>
  <si>
    <t>BEAU2708296</t>
  </si>
  <si>
    <t>Phố Nối, Hưng Yên</t>
  </si>
  <si>
    <t>Đóng hàng chè sáng 22/03</t>
  </si>
  <si>
    <t>CMAU6430805</t>
  </si>
  <si>
    <t>KCN Cầu Gáo, Đan Phượng, Hà Nội</t>
  </si>
  <si>
    <t>Xe anh Chính chạy</t>
  </si>
  <si>
    <t>Đóng hàng XK sáng 22/03</t>
  </si>
  <si>
    <t>NYKU3839520</t>
  </si>
  <si>
    <t>Trả hàng NK sáng 23/03</t>
  </si>
  <si>
    <t>WHLU0690611</t>
  </si>
  <si>
    <t>Trả hàng NK sáng 24/03</t>
  </si>
  <si>
    <t>CCLU2858813</t>
  </si>
  <si>
    <t>Hải Quang, Hải Hậu, Nam Định</t>
  </si>
  <si>
    <t>Trả hàng NK đêm 24/03</t>
  </si>
  <si>
    <t>FCIU3371690</t>
  </si>
  <si>
    <t>FBIU0353449</t>
  </si>
  <si>
    <t>Đình Bảng, Bắc Ninh</t>
  </si>
  <si>
    <t>Trả hàng Vietsun sáng 28/03</t>
  </si>
  <si>
    <t>DRYU2852499</t>
  </si>
  <si>
    <t>Đóng hàng XK sáng 29/03</t>
  </si>
  <si>
    <t>TGBU3206330</t>
  </si>
  <si>
    <t>Đóng hàng XK sáng 30/03</t>
  </si>
  <si>
    <t>MEDU6777393</t>
  </si>
  <si>
    <t>Đóng hàng chè sáng 31/03</t>
  </si>
  <si>
    <t>WHSU2629051</t>
  </si>
  <si>
    <t>Thanh toán tiền hệ thống camera giám sát xe 15C-136.31; 15C-139.82; 15C-070.63; 15C-119.57</t>
  </si>
  <si>
    <t>Thanh toán tiền mua đèn hậu led xe 15C-070.63</t>
  </si>
  <si>
    <t>Thanh toán tiền thay dầu bơm mỡ xe 15C-070.63 ngày 14/3</t>
  </si>
  <si>
    <t>Thanh toán thay áp ga điều hòa, bơm ga , công thợ xe 15C-070.63</t>
  </si>
  <si>
    <t>Thanh toán tiền sửa kính lên xuống tay lái, chế tay mỡ trong, thay ngậm cửa cánh phụ xe 15C-070.63</t>
  </si>
  <si>
    <t>Thay 1 tổng moóc 2 giàn, 1 bọ zoăng phớt, công xe 15C-070.63 ngày 25/3</t>
  </si>
  <si>
    <t>Thanh toán tiền tán má phanh đầu kéo, công tháo lắp má phanh, mua sang tích, gia công xe 15C-070.63 ngày 19/3</t>
  </si>
  <si>
    <t>Thanh toán tiền mua giảm sóc cabin, lá nhíp lái , mua xăng nhíp, dầu tự lái, công xe 15C-070.63 ngày 12/2</t>
  </si>
  <si>
    <t>Lương lái xe (27/26ngày)</t>
  </si>
  <si>
    <t>THÁNG 04.2022</t>
  </si>
  <si>
    <t>Trả hàng NK đêm 01/04</t>
  </si>
  <si>
    <t>MSKU7146306</t>
  </si>
  <si>
    <t>Đóng hàng XK sáng 05/04</t>
  </si>
  <si>
    <t>FCIU3480135</t>
  </si>
  <si>
    <t>Trả hàng Vietsun sáng 06/04</t>
  </si>
  <si>
    <t>GAOU2116114</t>
  </si>
  <si>
    <t>Đóng hàng KH Vietsun chiều 06/04</t>
  </si>
  <si>
    <t>Phường Đa Mai, TP. Bắc Giang</t>
  </si>
  <si>
    <t>Trả hàng NK sáng 07/04</t>
  </si>
  <si>
    <t>PCIU1196372</t>
  </si>
  <si>
    <t>VNLU3091898</t>
  </si>
  <si>
    <t>Kim Bảng, Hà Nam - Phủ Lý, Hà Nam</t>
  </si>
  <si>
    <t>Trả hàng NK sáng 09/04</t>
  </si>
  <si>
    <t>CLHU3896356</t>
  </si>
  <si>
    <t>Trả hàng sáng 12/04 - 13/04</t>
  </si>
  <si>
    <t>GAOU2112675</t>
  </si>
  <si>
    <t>KCN Tiên Sơn, Bắc Ninh - Cẩm Giàng, HD - Bắc Ninh</t>
  </si>
  <si>
    <t>Đóng hàng chè sáng 14/04</t>
  </si>
  <si>
    <t>WHSU2550825</t>
  </si>
  <si>
    <t>GESU2974441</t>
  </si>
  <si>
    <t>NSSU0120176</t>
  </si>
  <si>
    <t>TT. Quốc Oai, Quốc Oai, Hà Nội</t>
  </si>
  <si>
    <t>Trả hàng NK chiều 19/04</t>
  </si>
  <si>
    <t>WHSU2256180</t>
  </si>
  <si>
    <t>Nam Đồng, TP. Hải Dương</t>
  </si>
  <si>
    <t>TRHU1700034</t>
  </si>
  <si>
    <t>Trả hàng NK sáng 21/04</t>
  </si>
  <si>
    <t>WHSU2845744</t>
  </si>
  <si>
    <t>Đóng hàng KH chiều 21/04 trả 22/04</t>
  </si>
  <si>
    <t>Trả hàng NK sáng 23/04</t>
  </si>
  <si>
    <t>TLLU2898512</t>
  </si>
  <si>
    <t>WHSU2562359</t>
  </si>
  <si>
    <t>Sài Đồng, Long Biên, Hà Nội</t>
  </si>
  <si>
    <t>Đóng hàng XK sáng 26/04</t>
  </si>
  <si>
    <t>CAIU6137918</t>
  </si>
  <si>
    <t>Đóng hàng XK chiều 27/04</t>
  </si>
  <si>
    <t>GLDU5161020</t>
  </si>
  <si>
    <t>Đóng hàng chè chiều 28/04</t>
  </si>
  <si>
    <t>WHSU2505723</t>
  </si>
  <si>
    <t>Thanh toán mua đèn omet, đèn sưởi to cho xe 15C-070.63</t>
  </si>
  <si>
    <t>Thay bộ rơle pha bé, công làm đèn pha, bơm nước gạt mưa, tay gạt xinhan, điện moóc xe 15C-070.63</t>
  </si>
  <si>
    <t>Thanh toán tiền thay săm, công làm lốp xe 15C-070.63 ngày 15/4</t>
  </si>
  <si>
    <t>Thanh toán tiền tháo vè xe 15C-070.63 (lắp cảm biến dầu)</t>
  </si>
  <si>
    <t>Mua cầu chì xe 15C-070.63</t>
  </si>
  <si>
    <t>"Thanh toán tiền thay 1 cút tàn táo măng xông 2 đầu, 1 củ van 1 chiều đồng, 1 tổng chia hơi, hàn bình hơi đầu xe 15C-070.63
ngày 22/4"</t>
  </si>
  <si>
    <t>Lương lái xe (26/26)</t>
  </si>
  <si>
    <t>Thanh toán tiền lọc nhiên liệu, lọc nhớt detroit xe 15C-070.63</t>
  </si>
  <si>
    <t>Vietsun</t>
  </si>
  <si>
    <t xml:space="preserve">Thanh toán tiền điện bãi xe lấp cảm biến dầu xe 15C-070.63 </t>
  </si>
  <si>
    <t>THÁNG 05.2022</t>
  </si>
  <si>
    <t>Trả hàng Vietsun sáng 04/05</t>
  </si>
  <si>
    <t>Đóng hàng chè sáng 05/05</t>
  </si>
  <si>
    <t>Vận chuyển qua máy soi + trả hàng 7/5</t>
  </si>
  <si>
    <t>Trả hàng Vietsun sáng 09/05</t>
  </si>
  <si>
    <t>Đóng hàng XK sáng 11/05</t>
  </si>
  <si>
    <t>Đóng hàng chè sáng 12/05</t>
  </si>
  <si>
    <t>Đóng hàng XK sáng 17/05</t>
  </si>
  <si>
    <t>Đóng hàng chè sáng 18/05</t>
  </si>
  <si>
    <t>Đóng hàng chè sáng 19/05</t>
  </si>
  <si>
    <t>Trả hàng + đóng hàng XK 21/05</t>
  </si>
  <si>
    <t>Đóng hàng Vietsun chiều 23/05</t>
  </si>
  <si>
    <t>Trả hàng NK sáng 24/05</t>
  </si>
  <si>
    <t>Trả hàng + đóng hàng KH 25/05</t>
  </si>
  <si>
    <t>Trả hàng NK sáng 26/05</t>
  </si>
  <si>
    <t>Trả hàng NK sáng 27/05</t>
  </si>
  <si>
    <t>Đóng hàng XK chiều 30/05</t>
  </si>
  <si>
    <t>Đóng hàng XK sáng 31/05</t>
  </si>
  <si>
    <t>GAOU2115632</t>
  </si>
  <si>
    <t>WHSU2882033</t>
  </si>
  <si>
    <t>TLLU8320917</t>
  </si>
  <si>
    <t>EGHU3666082</t>
  </si>
  <si>
    <t>GAOU2210671</t>
  </si>
  <si>
    <t>HMCU3098333</t>
  </si>
  <si>
    <t>MEDU6571885</t>
  </si>
  <si>
    <t>WHSU2064295</t>
  </si>
  <si>
    <t>TCLU6932896</t>
  </si>
  <si>
    <t>OOLU1981114</t>
  </si>
  <si>
    <t>OCGU2091655</t>
  </si>
  <si>
    <t>WHSU2177162</t>
  </si>
  <si>
    <t>BEAU2385763</t>
  </si>
  <si>
    <t>DRYU2924325</t>
  </si>
  <si>
    <t>CSNU1481723</t>
  </si>
  <si>
    <t>HACU2214243</t>
  </si>
  <si>
    <t>YMMU1174909</t>
  </si>
  <si>
    <t>TRHU1479556</t>
  </si>
  <si>
    <t>TCKU2999600</t>
  </si>
  <si>
    <t>BEAU2820599</t>
  </si>
  <si>
    <t>MSCU2464265</t>
  </si>
  <si>
    <t>An Tràng, Quỳnh Phụ, Thái Bình</t>
  </si>
  <si>
    <t>Nam Hải Đình Vũ - Long Biên, Hà Nội</t>
  </si>
  <si>
    <t>KCN Yên Mỹ, Hưng Yên</t>
  </si>
  <si>
    <t>Vĩnh Yên, Vĩnh Phúc + Hoàng Mai, Hà Nội</t>
  </si>
  <si>
    <t>TT Nam Giang, Nam Trực, Nam Định</t>
  </si>
  <si>
    <t>KCN Tiên Sơn, Bắc Ninh - Bình Xuyên, Vĩnh Phúc</t>
  </si>
  <si>
    <t>Nghi Văn, Nghi Lộc, Nghệ An</t>
  </si>
  <si>
    <t>KCN Tiên Sơn, Bắc Ninh - KCN Quế Võ 2, Bắc Ninh</t>
  </si>
  <si>
    <t>Thanh toán tiền thay ống giảm rung, đai bô, tay giằng gương hàn đinh mooc xe 15C-070.63</t>
  </si>
  <si>
    <t>Thay 2 bộ lọc rơ le , đèn pha bé + công làm điện lên xuống kính và đấu ổ moóc tiền sửa xe 15C-070.63</t>
  </si>
  <si>
    <t>THÁNG 06.2022</t>
  </si>
  <si>
    <t>Lương lái xe (23/26)</t>
  </si>
  <si>
    <t>Đóng hàng chè sáng 02/06</t>
  </si>
  <si>
    <t>Đóng hàng chè chiều 08/06</t>
  </si>
  <si>
    <t>Trả hàng NK sáng 09/06</t>
  </si>
  <si>
    <t>Trả hàng NK chiều 10/06</t>
  </si>
  <si>
    <t>Trả hàng NK sáng 11/06</t>
  </si>
  <si>
    <t>Trả hàng + đóng hàng KH 14/06</t>
  </si>
  <si>
    <t>Trả hàng Vietsun sáng 15/06</t>
  </si>
  <si>
    <t>Đóng hàng chè sáng 16/06</t>
  </si>
  <si>
    <t>Trả hàng NK sáng 18/06</t>
  </si>
  <si>
    <t>Trả hàng + đóng hàng KH 20/06</t>
  </si>
  <si>
    <t>Đóng hàng chè sáng 21/06</t>
  </si>
  <si>
    <t>Trả hàng NK sáng 23/06</t>
  </si>
  <si>
    <t>Trả hàng NK đêm 24/06</t>
  </si>
  <si>
    <t>Đóng hàng chè sáng 30/06</t>
  </si>
  <si>
    <t>WHSU2665439</t>
  </si>
  <si>
    <t>EITU0338650</t>
  </si>
  <si>
    <t>TEMU0085493</t>
  </si>
  <si>
    <t>TCLU7303558</t>
  </si>
  <si>
    <t>WHSU2500193</t>
  </si>
  <si>
    <t>CSNU1453336</t>
  </si>
  <si>
    <t>OOLU0105014</t>
  </si>
  <si>
    <t>DFSU3040654</t>
  </si>
  <si>
    <t>GLDU5354800</t>
  </si>
  <si>
    <t>GAOU2111508</t>
  </si>
  <si>
    <t>WHSU2795812</t>
  </si>
  <si>
    <t>MAGU2353871</t>
  </si>
  <si>
    <t>TRHU2464910</t>
  </si>
  <si>
    <t>WHSU2682668</t>
  </si>
  <si>
    <t>WHSU2244810</t>
  </si>
  <si>
    <t>WHLU0352701</t>
  </si>
  <si>
    <t>WHSU2986254</t>
  </si>
  <si>
    <t>CBHU5968590</t>
  </si>
  <si>
    <t>MAGU2430108</t>
  </si>
  <si>
    <t>WHSU2172366</t>
  </si>
  <si>
    <t>TT. Lai  Cách, Cẩm Giàng, Hải Dương</t>
  </si>
  <si>
    <t>Quán Gỏi, Hải Dương</t>
  </si>
  <si>
    <t>Mỹ Xá, TP. Nam Định - Phủ Lý, Hà Nam</t>
  </si>
  <si>
    <t>Cargill KCN Phố Nối A, Văn Lâm, Hưng Yên</t>
  </si>
  <si>
    <t>KCN Tam Quang, Vũ Thư, Thái Bình</t>
  </si>
  <si>
    <t>Phủ Lý, Hà Nam - Phủ Lý, Hà Nam</t>
  </si>
  <si>
    <t>Phú Minh, Sóc Sơn, Hà Nội</t>
  </si>
  <si>
    <t>Thanh toán tiền Epass tháng 5</t>
  </si>
  <si>
    <t>Thanh toán tiền Epass tháng 6</t>
  </si>
  <si>
    <t>Thanh toán tiền bơm mỡ xe15C-070.63 ngày 15/6</t>
  </si>
  <si>
    <t>Thanh toán tiền lắp cảm biến dầu xe 15C-070.63 + tiền VAT hđ số 2409</t>
  </si>
  <si>
    <t>Thanh toán tiền mua bộ phanh cánh quạt, vòng bi, bộ li cánh quạt + công thợ xe 15C-070.63 ngày 29/6</t>
  </si>
  <si>
    <t>Thanh toán tiền mua dây coro + công xe 15C-070.63 ngày 14/6</t>
  </si>
  <si>
    <t>Thanh toán tiền mua dầu total Rubia Tir 7400 cho xe 15C-136.31, 15C-139.82, 15C-070.63,15C180.99 ngày 13/6</t>
  </si>
  <si>
    <t xml:space="preserve">Mua bảo hiểm TNDS xe 15C-070.63 ngày 22/6 </t>
  </si>
  <si>
    <t>Trả hàng + đóng hàng KH 02/07</t>
  </si>
  <si>
    <t>Đóng hàng Vietsun chiều 04/07</t>
  </si>
  <si>
    <t>Trả hàng NK sáng 06/07</t>
  </si>
  <si>
    <t>Trả hàng NK sáng 07/07</t>
  </si>
  <si>
    <t>Trả hàng NK sáng 11/07</t>
  </si>
  <si>
    <t>Trả hàng Vietsun sáng 12/07</t>
  </si>
  <si>
    <t>Đóng hàng KH chiều 12/07</t>
  </si>
  <si>
    <t>Trả hàng NK sáng 13/07</t>
  </si>
  <si>
    <t>Trả hàng NK sáng 18/07</t>
  </si>
  <si>
    <t>Trả hàng NK sáng 20/07</t>
  </si>
  <si>
    <t>Trả hàng NK sáng 25/07</t>
  </si>
  <si>
    <t>Trả hàng NK chiều 26/07</t>
  </si>
  <si>
    <t>Đóng hàng chè sáng 28/07</t>
  </si>
  <si>
    <t>Trả hàng NK sáng 30/07</t>
  </si>
  <si>
    <t>TCLU2271777</t>
  </si>
  <si>
    <t>CAIU6055110</t>
  </si>
  <si>
    <t>FCIU5764402</t>
  </si>
  <si>
    <t>BSIU2404380</t>
  </si>
  <si>
    <t>XRCU6576853</t>
  </si>
  <si>
    <t>OOLU1497563</t>
  </si>
  <si>
    <t>TRHU3425754</t>
  </si>
  <si>
    <t>DRYU2923397</t>
  </si>
  <si>
    <t>TLLU2474788</t>
  </si>
  <si>
    <t>GAOU2112166</t>
  </si>
  <si>
    <t>UESU2382620</t>
  </si>
  <si>
    <t>CAAU2002830</t>
  </si>
  <si>
    <t>VSBU2013499</t>
  </si>
  <si>
    <t>MRKU7534296</t>
  </si>
  <si>
    <t>TRHU1365050</t>
  </si>
  <si>
    <t>WHSU2368786</t>
  </si>
  <si>
    <t>SEGU2228200</t>
  </si>
  <si>
    <t>CMAU1185710</t>
  </si>
  <si>
    <t>DFSU1694553</t>
  </si>
  <si>
    <t>CSLU1630835</t>
  </si>
  <si>
    <t>BMOU1042316</t>
  </si>
  <si>
    <t>NSSU0115740</t>
  </si>
  <si>
    <t>FBIU0111759</t>
  </si>
  <si>
    <t>XYLU1127969</t>
  </si>
  <si>
    <t>WHSU2315214</t>
  </si>
  <si>
    <t>Đông Anh, Hà Nội - Phúc Yên, Vĩnh Phúc</t>
  </si>
  <si>
    <t>Nam Giang, Nam Trực, Nam Định</t>
  </si>
  <si>
    <t>KCN Tiên Sơn, Bắc Ninh - Phủ Lý, Hà Nam</t>
  </si>
  <si>
    <t>Bãi Cháy, Hạ Long, Quảng Ninh</t>
  </si>
  <si>
    <t>Xuân Đình, Phúc Thọ, Hà Nội</t>
  </si>
  <si>
    <t>KCN Đình Trám, Việt Yên, Bắc Giang</t>
  </si>
  <si>
    <t>Bần Yên Nhân, Mỹ Hào, Hưng Yên</t>
  </si>
  <si>
    <t>Cargill KCN Phố Nối A + Lạc Hồng, Mỹ Hào, HY</t>
  </si>
  <si>
    <t>Quang Trung, Vụ Bản, Nam Định</t>
  </si>
  <si>
    <t>Nam Sách, Hải Dương</t>
  </si>
  <si>
    <t>Hoàng Mai, Hà Nội</t>
  </si>
  <si>
    <t>CCN Thạch Thất, Quốc Oai, Hà Nội</t>
  </si>
  <si>
    <t>Thanh toán tiền lốc lạnh, phi lọc ga, zơle đóng lốc, bơm ga + dầu lạnh xe 15C-070.63 ngày 1/7</t>
  </si>
  <si>
    <t>Thanh toán tiền sửa điều tiết hơi thay 1 bộ zoăng phớt xe 15C-070.63 ngày 1/7</t>
  </si>
  <si>
    <t>Thanh toán tiền công tắc pha, chạy dây xung 1708 xe 15C-070.63 ngày 12/7</t>
  </si>
  <si>
    <t>THÁNG 07.2022</t>
  </si>
  <si>
    <t xml:space="preserve">Thanh toán tiền bảo hiểm vật chất xe 15C-070.63 ngày 26/7 </t>
  </si>
  <si>
    <t>Thanh toán tiền Epass tháng 7</t>
  </si>
  <si>
    <t>Đóng hàng bình khí chiều 12/10</t>
  </si>
  <si>
    <t>Trả hàng NK tối 14/10</t>
  </si>
  <si>
    <t>Đóng hàng XK sáng 17/10</t>
  </si>
  <si>
    <t>Đóng hàng XK sáng 18/10</t>
  </si>
  <si>
    <t>Đóng hàng chè sáng 20/10</t>
  </si>
  <si>
    <t>Đóng hàng chè sáng 22/10</t>
  </si>
  <si>
    <t>Trả hàng + đóng hàng KH 24/10</t>
  </si>
  <si>
    <t>Trả hàng NK chiều 26/10</t>
  </si>
  <si>
    <t>Trả hàng NK sáng 27/10</t>
  </si>
  <si>
    <t>Trả hàng + đóng hàng KH 28/10</t>
  </si>
  <si>
    <t>Đóng hàng XK sáng 29/10</t>
  </si>
  <si>
    <t>Đóng hàng XK sáng 31/10</t>
  </si>
  <si>
    <t>THÁNG 10.2022</t>
  </si>
  <si>
    <t>TCKU2010420</t>
  </si>
  <si>
    <t>WHSU2451289</t>
  </si>
  <si>
    <t>AXEU2005106</t>
  </si>
  <si>
    <t>TGHU1990841</t>
  </si>
  <si>
    <t>APZU3973070</t>
  </si>
  <si>
    <t>TLLU3124526</t>
  </si>
  <si>
    <t>OOLU0791465</t>
  </si>
  <si>
    <t>XINU1584677</t>
  </si>
  <si>
    <t>TCKU3652554</t>
  </si>
  <si>
    <t>CSNU2010559</t>
  </si>
  <si>
    <t>EISU3945187</t>
  </si>
  <si>
    <t>EMCU6095079</t>
  </si>
  <si>
    <t>TCKU2324252</t>
  </si>
  <si>
    <t>TCLU3835254</t>
  </si>
  <si>
    <t>MSDU2701139</t>
  </si>
  <si>
    <t>An Dương, Hải Phòng - Kho DDC Hải Phòng - HCM</t>
  </si>
  <si>
    <t>Tam Điệp, Ninh Bình</t>
  </si>
  <si>
    <t>TT Tân Uyên, Tân Uyên, Lai Châu</t>
  </si>
  <si>
    <t>Đông Anh, Hà Nội - Phủ Lý, Hà Nam</t>
  </si>
  <si>
    <t>KCN Gia Lễ, Đông Hưng, Thái Bình</t>
  </si>
  <si>
    <t>CCN Phong Phú, TP. Thái Bình</t>
  </si>
  <si>
    <t>Văn Giang, Hưng Yên - Chí Linh, Hải Dương</t>
  </si>
  <si>
    <t xml:space="preserve">Kiểm định rơ moóc 15R-128.07 xe 15C-070.63 </t>
  </si>
  <si>
    <t>Thanh toán tiền làm biển số xe 15C-070.63 ngày 15/9</t>
  </si>
  <si>
    <t>Thanh toán tiền chi ngoài làm biển số xe 15C-070.63</t>
  </si>
  <si>
    <t>Chi phí đăng kiểm xe 15C-070.63</t>
  </si>
  <si>
    <t>Chi phí bồi dưỡng ngoài đăng kiểm xe 15C-070.63</t>
  </si>
  <si>
    <t>Thanh toán tiền sửa xe 15C-070.63 (Nẹp táp lô, ốp chân điều hòa, ốp hốc, màng loa, ốp chân gương...) ngày 22/9</t>
  </si>
  <si>
    <t>Thanh toán tiền thay săm, yếm, làm lốp xe 15C-070.63 ngày 14/10</t>
  </si>
  <si>
    <t>Thanh toán tiền sửa củ motơ gạt mưa, cắm máy kiểm tra, sửa điện moóc xe 15C-070.63 ngày 19/10</t>
  </si>
  <si>
    <t xml:space="preserve">Thanh toán tiền mua súng hơi xe 15C-070.63 </t>
  </si>
  <si>
    <t>Thanh toán tiền thùng dầu cho Việt Phát cho xe 15C-139.82; 15C-070.63; 15C-136.31, 15C-180.99 ngày 10/9</t>
  </si>
  <si>
    <t>Lương lái xe (17/26)</t>
  </si>
  <si>
    <t>THÁNG 11.2022</t>
  </si>
  <si>
    <t>Trả hàng + đóng hàng KH 01/11</t>
  </si>
  <si>
    <t>Trả hàng NK chiều 02/11</t>
  </si>
  <si>
    <t>Trả hàng NK sáng 03/11</t>
  </si>
  <si>
    <t>Trả hàng NK sáng 04/11</t>
  </si>
  <si>
    <t>Trả hàng NK sáng 09/11</t>
  </si>
  <si>
    <t>Đóng hàng chè sáng 14/11</t>
  </si>
  <si>
    <t>Trả hàng sáng 16/11</t>
  </si>
  <si>
    <t>Đóng hàng KH chiều 16/11</t>
  </si>
  <si>
    <t>Trả hàng NK đêm 17/11</t>
  </si>
  <si>
    <t>Trả hàng NK tối 18/11</t>
  </si>
  <si>
    <t>Đóng hàng XK sáng 21/11</t>
  </si>
  <si>
    <t>Trả hàng NK đêm 23/11</t>
  </si>
  <si>
    <t>Trả hàng NK đêm 24/11</t>
  </si>
  <si>
    <t>Trả hàng NK tối 25/11</t>
  </si>
  <si>
    <t>Đóng hàng XK sáng 28/11</t>
  </si>
  <si>
    <t>Trả hàng NK sáng 29/11</t>
  </si>
  <si>
    <t>Kim Bảng, Hà Nam - Kim Bảng, Hà Nam</t>
  </si>
  <si>
    <t>Gia Lộc, Hải Dương</t>
  </si>
  <si>
    <t>Ân Thi, Hưng Yên</t>
  </si>
  <si>
    <t>Ân Thi, Hưng Yên + Tân Dân, Khoái Châu, Hưng Yên</t>
  </si>
  <si>
    <t>Hồng Vân, Thường Tín, Hà Nội</t>
  </si>
  <si>
    <t>Trần Thái Thông, TP. Thái Bình</t>
  </si>
  <si>
    <t>Nguyễn Hoàng Tôn, Xuân Đỉnh, Tây Hồ, Hà Nội</t>
  </si>
  <si>
    <t>KCN Lại Yên, Hoài Đức, Hà Nội</t>
  </si>
  <si>
    <t>HACU2215065</t>
  </si>
  <si>
    <t>BEAU2683876</t>
  </si>
  <si>
    <t>CAIU6574728</t>
  </si>
  <si>
    <t>YMMU1199933</t>
  </si>
  <si>
    <t xml:space="preserve">MSDU1867151 </t>
  </si>
  <si>
    <t>TCKU1744501</t>
  </si>
  <si>
    <t>CAIU6107174</t>
  </si>
  <si>
    <t>TCLU7452968</t>
  </si>
  <si>
    <t>WHSU2581641</t>
  </si>
  <si>
    <t>NYKU3687604</t>
  </si>
  <si>
    <t>HMCU3091730</t>
  </si>
  <si>
    <t>GAOU2116460</t>
  </si>
  <si>
    <t>WHSU2915590</t>
  </si>
  <si>
    <t>XYLU1284248</t>
  </si>
  <si>
    <t>TGHU1669472</t>
  </si>
  <si>
    <t>TFLU2924563</t>
  </si>
  <si>
    <t>CBHU3952491</t>
  </si>
  <si>
    <t>WHSU2848698</t>
  </si>
  <si>
    <t>KOCU2179930</t>
  </si>
  <si>
    <t>DFSU2814951</t>
  </si>
  <si>
    <t>MRKU9360892</t>
  </si>
  <si>
    <t>KKTU7798195</t>
  </si>
  <si>
    <t>FCIU5200450</t>
  </si>
  <si>
    <t>FCIU4792760</t>
  </si>
  <si>
    <t>Thanh toán tiền Epass tháng 10</t>
  </si>
  <si>
    <t>Thanh toán tiền Epass tháng 11</t>
  </si>
  <si>
    <t xml:space="preserve">Thanh toán tiền mua GS trước ngao xe 15C-070.63 </t>
  </si>
  <si>
    <t>Thanh toán tiền bảo dưỡng đề và máy phát thay ic xe 15C-070.63 ngày 09/11</t>
  </si>
  <si>
    <t>Thanh toán tiền thay giảm sóc xe 15C-070.63 ngày 8/11</t>
  </si>
  <si>
    <t>Thanh toán tiền mua 3 hộp chì tạm cho xe 15C-070.63 (120k)</t>
  </si>
  <si>
    <t>Thanh toán tiền làm lốp, thay yếm cũ 15C-070.63</t>
  </si>
  <si>
    <t>Thanh toán tiền sửa máy phát, làm lốp xe 15C-070.63 ngày 15/11</t>
  </si>
  <si>
    <t>Thanh toán tiền săm, yếm xe 15C-070.63 ngày 14/10</t>
  </si>
  <si>
    <t>Thanh toán tiền mua lốp 1100R20 casu/881 + săm yếm xe 15C-070.63 ngày 21/10</t>
  </si>
  <si>
    <t>THÁNG 12.2022</t>
  </si>
  <si>
    <t>Đóng hàng XK chiều 01/12</t>
  </si>
  <si>
    <t>Trả hàng NK sáng 03/12</t>
  </si>
  <si>
    <t>Trả hàng NK sáng 06/12</t>
  </si>
  <si>
    <t>Đóng hàng XK sáng 09/12</t>
  </si>
  <si>
    <t>Trả hàng NK chiều 10/12</t>
  </si>
  <si>
    <t>Trả hàng NK sáng 14/12</t>
  </si>
  <si>
    <t>Trả hàng NK đêm 14/12</t>
  </si>
  <si>
    <t>Trả hàng NK sáng 19 - 20/12</t>
  </si>
  <si>
    <t>Trả hàng NK sáng 21/12</t>
  </si>
  <si>
    <t>Đóng hàng XK sáng 22/12</t>
  </si>
  <si>
    <t>Đóng hàng chè sáng 26/12</t>
  </si>
  <si>
    <t>Trả hàng NK sáng 29/12</t>
  </si>
  <si>
    <t>Trả hàng + đóng hàng KH 30/12</t>
  </si>
  <si>
    <t>Trung Thành, Vụ Bản, Nam Định</t>
  </si>
  <si>
    <t>Văn Môn, Yên Phong, Bắc Ninh - Phủ Lý, Hà Nam</t>
  </si>
  <si>
    <t>Cổ Dũng, Kim Thành, Hải Dương</t>
  </si>
  <si>
    <t>Lạng Giang, Bắc Giang</t>
  </si>
  <si>
    <t>Ngũ Hiệp, Thanh Trì, Hà Nội</t>
  </si>
  <si>
    <t>KCN Hòa Xá, Nam Định - Kim Bảng, Hà Nam</t>
  </si>
  <si>
    <t>KKTU8035963</t>
  </si>
  <si>
    <t>BMOU1689241</t>
  </si>
  <si>
    <t>WHSU2884191</t>
  </si>
  <si>
    <t>DRYU2851954</t>
  </si>
  <si>
    <t>MSDU1378660</t>
  </si>
  <si>
    <t>TCLU3711016</t>
  </si>
  <si>
    <t>MRKU9356594</t>
  </si>
  <si>
    <t>CSNU1619366</t>
  </si>
  <si>
    <t>WHSU2472070</t>
  </si>
  <si>
    <t>NSSU0081110</t>
  </si>
  <si>
    <t>FCIU3980399</t>
  </si>
  <si>
    <t>EGHU3568569</t>
  </si>
  <si>
    <t>CULU1940135</t>
  </si>
  <si>
    <t>TFLU2924202</t>
  </si>
  <si>
    <t>BMOU2790502</t>
  </si>
  <si>
    <t>TCKU1492919</t>
  </si>
  <si>
    <t>WHSU0013684</t>
  </si>
  <si>
    <t>GLDU5658994</t>
  </si>
  <si>
    <t>Thanh toán tiền vá lốp, đảo lốp xe 15C-070.63 ngày 15/12</t>
  </si>
  <si>
    <t>Thanh toán tiền làm lốp moóc + thay săm xe 15C-070.63 ngày 22/12</t>
  </si>
  <si>
    <t>Thanh toán tiền thay 1 bộ còi hơi đôi xe 15C-070.63 ngày 11/11</t>
  </si>
  <si>
    <t>Thanh toán tiền đóng bạc 3 dọc, công làm xe 15C-070.63 ngày 15/12</t>
  </si>
  <si>
    <t>Thanh toán tiền Epass tháng 12</t>
  </si>
  <si>
    <t>Lương lái xe (25/26)</t>
  </si>
  <si>
    <t>Thanh toán tiền mua dầu Total Quartz 7000 5w30 ngày 25/11xe 15C-136.31; 15C-180.99; 15C-070.63; 15C-139.82</t>
  </si>
  <si>
    <t>Thưởng Tết</t>
  </si>
  <si>
    <t>IAAU2718305</t>
  </si>
  <si>
    <t>THÁNG 01.2023</t>
  </si>
  <si>
    <t>Trả hàng + đóng hàng KH 02/01</t>
  </si>
  <si>
    <t>TCKU1982006</t>
  </si>
  <si>
    <t>Yên Mỹ, Hưng Yên - Thanh Liêm, Hà Nam</t>
  </si>
  <si>
    <t>Trả hàng sáng 03/01</t>
  </si>
  <si>
    <t>YMLU3449236</t>
  </si>
  <si>
    <t>P. Phú Xá, TP. Thái Nguyên</t>
  </si>
  <si>
    <t>Trả hàng sáng 04/01</t>
  </si>
  <si>
    <t>YMLU1100439</t>
  </si>
  <si>
    <t>Trả hàng NK đêm 04/01</t>
  </si>
  <si>
    <t>SKLU2067279</t>
  </si>
  <si>
    <t>Trả hàng + đóng hàng KH 06/01</t>
  </si>
  <si>
    <t>GAOU2114873</t>
  </si>
  <si>
    <t>Hồng Vân, Thường Tín, Hà Nội - Phủ Lý, Hà Nam</t>
  </si>
  <si>
    <t>AMFU3280085</t>
  </si>
  <si>
    <t>HALU2026432</t>
  </si>
  <si>
    <t>CCN Ninh Hiệp, Gia Lâm, Hà Nội</t>
  </si>
  <si>
    <t>Trả hàng NK sáng 11/01</t>
  </si>
  <si>
    <t>ZIMU3058319</t>
  </si>
  <si>
    <t>TP. Hải Dương, Hải Dương</t>
  </si>
  <si>
    <t>Trả hàng NK sáng 12/01 - 13/01</t>
  </si>
  <si>
    <t>ZIMU3186304</t>
  </si>
  <si>
    <t>Dân Hòa, Kỳ Sơn, Hòa Bình</t>
  </si>
  <si>
    <t>Vận chuyển hàng qua máy soi 14/01</t>
  </si>
  <si>
    <t>NLLU2053232</t>
  </si>
  <si>
    <t>Máy soi container Hải Phòng</t>
  </si>
  <si>
    <t>QL17, Thuận Thành, Bắc Ninh</t>
  </si>
  <si>
    <t>Lương lái xe (15/26)</t>
  </si>
  <si>
    <t>THÁNG 04.2023</t>
  </si>
  <si>
    <t>Đóng hàng chè chiều 04/04</t>
  </si>
  <si>
    <t>Trả hàng + đóng hàng KH 07/04</t>
  </si>
  <si>
    <t>Đóng hàng XK sáng 08/04</t>
  </si>
  <si>
    <t>Đóng hàng XK sáng 10/04</t>
  </si>
  <si>
    <t>Tiền Phong, Mê Linh, Hà Nội</t>
  </si>
  <si>
    <t>Đông Hưng, Thái Bình - Phủ Lý, Hà Nam</t>
  </si>
  <si>
    <t>WHSU2901529</t>
  </si>
  <si>
    <t>ZIMU1386155</t>
  </si>
  <si>
    <t>CIPU2003794</t>
  </si>
  <si>
    <t>TCLU3655801</t>
  </si>
  <si>
    <t>EITU0370971</t>
  </si>
  <si>
    <t>TCLU3627944</t>
  </si>
  <si>
    <t>Đóng hàng XK chiều 22/04</t>
  </si>
  <si>
    <t>Đóng hàng chè chiều 23/04</t>
  </si>
  <si>
    <t>Trả hàng + đóng hàng KH 25/04</t>
  </si>
  <si>
    <t>Trả hàng NK sáng 26/04</t>
  </si>
  <si>
    <t>Trả hàng NK sáng 27/04</t>
  </si>
  <si>
    <t>Nghi Sơn, Thanh Hóa - Đông Sơn, Thanh Hóa</t>
  </si>
  <si>
    <t>TT Trâu Quỳ, Gia Lâm, Hà Nội</t>
  </si>
  <si>
    <t>SUDU1394206</t>
  </si>
  <si>
    <t>TLLU3536380</t>
  </si>
  <si>
    <t>HACU2220631</t>
  </si>
  <si>
    <t>TRHU2645461</t>
  </si>
  <si>
    <t>DRYU2276032</t>
  </si>
  <si>
    <t>SEGU2821494</t>
  </si>
  <si>
    <t>Thanh toán tiền mua bóng cabin dài + dây hơi cho xe 15C-070.63</t>
  </si>
  <si>
    <t>Mua nắp bầu lọc gió xe 15C-070.63</t>
  </si>
  <si>
    <t>Thanh toán tiền rửa xe cont 15C-070.63</t>
  </si>
  <si>
    <t>Thanh toán tiền lắp đèn lùi cont xe 15C-070.63</t>
  </si>
  <si>
    <t>Thanh toán tiền sửa điện xe 15C-070.63</t>
  </si>
  <si>
    <t>Thanh toán tiền thay rơle ngắt, bơm ga, công thợ làm điện xe 15C-070.63</t>
  </si>
  <si>
    <t>Mua dây cơ roa, công thay con tăng, dây cơ roa xe 15C-070.63 ngày 31/3</t>
  </si>
  <si>
    <t xml:space="preserve">Thanh toán tiền làm mâm moóc, thanh chèn, nâng mâm, sửa khóa hãm , gối mâm xe 15C-070.63 </t>
  </si>
  <si>
    <t>Thanh toán tiền bọc sàn da chống nóng xe 15C-070.63</t>
  </si>
  <si>
    <t>Thanh toán tiền bắn tam giác, phản quang moóc, sửa điện đèn hiệu moóc xe 15C-070.63</t>
  </si>
  <si>
    <t>Thanh toán tiền mua bình cứu hỏa, búa thoát hiểm cho xe 15C-136.31; 15C-139.82; 15C-070.63; 15C-180.99</t>
  </si>
  <si>
    <t>Thanh toán tiền mua tam giác moóc, tem cẩm lửa  cho xe 15C-136.31; 15C-139.82; 15C-070.63; 15C-180.99</t>
  </si>
  <si>
    <t>Chi tiền thưởng nghỉ lễ 30/4-1/5</t>
  </si>
  <si>
    <t xml:space="preserve">Thanh toán tiền Epass </t>
  </si>
  <si>
    <t>Tiền Epass</t>
  </si>
  <si>
    <t>THÁNG 02.2023</t>
  </si>
  <si>
    <t>Thanh toán tiền dầu total rubia tir 7400 20W50-208L xe 15C-139.82; 15C-180.99; 15C-136.31; 15C-070.63</t>
  </si>
  <si>
    <t>THÁNG 03.2023</t>
  </si>
  <si>
    <t xml:space="preserve">Thanh toán bọc ghế da, dọn nội thất, thay mút ngồi xe 15C-070.63 </t>
  </si>
  <si>
    <t>Thanh toán tiền sửa kính lên xuống, thay công tắc xe 15C-070.63</t>
  </si>
  <si>
    <t>Thanh toán con tăng xịn dây curoa máy phát xe 15C-070.63</t>
  </si>
  <si>
    <t>Phí đường bộ đăng kiểm xe 15C-070.63</t>
  </si>
  <si>
    <t>Thanh toán tiền sửa chữa cho cty Thế Quân ( hđ 197 ngày 26/4)</t>
  </si>
  <si>
    <t>Thanh toán tiền thay dây phanh lái xe 15C-070.63 ngày 30/3</t>
  </si>
  <si>
    <t>Thanh toán tiền thay ống tuy ô, chế cút đồng, lắp cút đồng xe 15C-070.63 ngày 01/4</t>
  </si>
  <si>
    <t>Thanh toán tiền thay bình hơi moóc, sửa quả lốc kề moóc xe 15C-070.63 ngày 10/4</t>
  </si>
  <si>
    <t>Thanh toán tiền lốp 1100R20 casu 881/275 ( cả săm yếm) cho xe 15C-070.63 ngày 31/3</t>
  </si>
  <si>
    <t>Thanh toán tiền lốp 295/75/16 casu /111/275 cho xe 15C-070.63 ngày 31/3</t>
  </si>
  <si>
    <t>THÁNG 05.2023</t>
  </si>
  <si>
    <t>Trả hàng + đóng hàng KH 04/05</t>
  </si>
  <si>
    <t>Đóng hàng XK sáng 06/05</t>
  </si>
  <si>
    <t>Đóng hàng chè chiều 09/05</t>
  </si>
  <si>
    <t>Đóng hàng chè chiều 10/05</t>
  </si>
  <si>
    <t>Trả hàng NK sáng 12/05</t>
  </si>
  <si>
    <t>Đóng hàng XK sáng 13/05</t>
  </si>
  <si>
    <t>Trả hàng + đóng hàng KH 17/05</t>
  </si>
  <si>
    <t>Trả hàng + đóng hàng KH 18/05</t>
  </si>
  <si>
    <t>Trả hàng + đóng hàng KH 19/05</t>
  </si>
  <si>
    <t>Trả hàng NK tối 20/05</t>
  </si>
  <si>
    <t>Đóng hàng XK sáng 22/05</t>
  </si>
  <si>
    <t>Đóng hàng XK sáng 23/05</t>
  </si>
  <si>
    <t>Đóng hàng XK sáng 24/05 - 25/05</t>
  </si>
  <si>
    <t>Trả hàng + đóng hàng KH 26/05</t>
  </si>
  <si>
    <t>Đóng hàng XK sáng 27/05</t>
  </si>
  <si>
    <t>Trả hàng + đóng hàng KH sáng 30/05</t>
  </si>
  <si>
    <t>TCLU3098780</t>
  </si>
  <si>
    <t>YMLU3503358</t>
  </si>
  <si>
    <t>MRKU7714770</t>
  </si>
  <si>
    <t>TCKU3721315</t>
  </si>
  <si>
    <t>YMMU1192501</t>
  </si>
  <si>
    <t>IAAU2804168</t>
  </si>
  <si>
    <t>CAIU6421570</t>
  </si>
  <si>
    <t>TGBU3513867</t>
  </si>
  <si>
    <t>TEMU0502072</t>
  </si>
  <si>
    <t>GLDU5595617</t>
  </si>
  <si>
    <t>TCKU3616095</t>
  </si>
  <si>
    <t>GLDU9723423</t>
  </si>
  <si>
    <t>FTAU1607540</t>
  </si>
  <si>
    <t>GCXU2200910</t>
  </si>
  <si>
    <t>IAAU2717382</t>
  </si>
  <si>
    <t>EGHU3904935</t>
  </si>
  <si>
    <t>TRHU2811834</t>
  </si>
  <si>
    <t>DRYU2853601</t>
  </si>
  <si>
    <t>TDTU0728084</t>
  </si>
  <si>
    <t>Gia Lâm, Hà Nội - Kim Bảng, Hà Nam</t>
  </si>
  <si>
    <t>Văn Lâm, Hưng Yên - Kim Bảng, Hà Nam</t>
  </si>
  <si>
    <t>Nghi Phú, TP. Vinh, Nghệ An</t>
  </si>
  <si>
    <t>Mỹ Lộc, Nam Định - Tam Điệp, Ninh Bình</t>
  </si>
  <si>
    <t>xã Vân Lĩnh, Thanh Ba, Phú Thọ</t>
  </si>
  <si>
    <t>KCN Tân Trường, Cẩm Giàng, Hải Dương</t>
  </si>
  <si>
    <t>Mạo Khê, Đông Triều, Quảng Ninh</t>
  </si>
  <si>
    <t>Phổ Yên, Thái Nguyên - Phổ Yên, Thái Nguyên</t>
  </si>
  <si>
    <t>KCN Phố Nối A, Văn Lâm, Hưng Yên - Kim Bảng, HN</t>
  </si>
  <si>
    <t>KCN Đông Mai, Quảng Yên, Quảng Ninh</t>
  </si>
  <si>
    <t>Nam Trực, Nam Định</t>
  </si>
  <si>
    <t>KCN Bình Xuyên, Vĩnh Phúc - ICD Long Biên, Hà Nội</t>
  </si>
  <si>
    <t>Tào Xuyên, TP. Thanh Hóa - KCN Lễ Môn, Thanh Hóa</t>
  </si>
  <si>
    <t>Chỉ Đạo, Văn Lâm, Hưng Yên - Phủ Lý, Hà Nam</t>
  </si>
  <si>
    <t>Xuân Đỉnh, Từ Liêm, Hà Nội</t>
  </si>
  <si>
    <t>Thanh toán tiền kiểm tra sửa điện fa cốt, thay 2 giá chì, cầu chì xe 15C-070.63 ngày 4/5</t>
  </si>
  <si>
    <t xml:space="preserve">Thanh toán tiền mua nước xanh cho xe </t>
  </si>
  <si>
    <t>Thanh toán tiền thay lọc gió, lọc nhớt, bi tăng.. xe 15C-070.63</t>
  </si>
  <si>
    <t>Thanh toán mua dầu Texas xe 15C-070.63</t>
  </si>
  <si>
    <t>Thanh toán tiền mua BR 31 x34; đồng tóc enten... xe 15C-070.63 ngày 28/5</t>
  </si>
  <si>
    <t>Thanh toán tiền mua đèn pha tròn nhỏ, ổ moóc ngắn, công làm điện xe 15C-070.63</t>
  </si>
  <si>
    <t xml:space="preserve">Thanh toán tiền gương 981 cho xe 15C-070.63 </t>
  </si>
  <si>
    <t>Thanh toán tiền sửa bảng công tắc xe 15C-070.63 ngày 21/4</t>
  </si>
  <si>
    <t>Thanh toán tiền công làm đuôi hộp số xe 15C-070.63 ngày 28/5</t>
  </si>
  <si>
    <t>Trả hàng + đóng hàng KH 01/06</t>
  </si>
  <si>
    <t>Đóng hàng XK sáng 02/06</t>
  </si>
  <si>
    <t>Trả hàng + đóng hàng KH 03/06</t>
  </si>
  <si>
    <t>Trả hàng + đóng hàng KH 05/06</t>
  </si>
  <si>
    <t>Đóng hàng chè chiều 07/06</t>
  </si>
  <si>
    <t>Trả hàng + đóng hàng KH 09/06</t>
  </si>
  <si>
    <t>Trả hàng NK sáng 19/06</t>
  </si>
  <si>
    <t>Đóng hàng XK sáng 22/06</t>
  </si>
  <si>
    <t>Đóng hàng chè chiều 23/06</t>
  </si>
  <si>
    <t>Đóng hàng chè sáng 27/06</t>
  </si>
  <si>
    <t>Trả hàng NK sáng 28/06</t>
  </si>
  <si>
    <t>Đóng hàng XK sáng 30/06</t>
  </si>
  <si>
    <t>THÁNG 06.2023</t>
  </si>
  <si>
    <t>GAOU2112762</t>
  </si>
  <si>
    <t>TEMU1762095</t>
  </si>
  <si>
    <t>HACU2161605</t>
  </si>
  <si>
    <t>VNLU3093186</t>
  </si>
  <si>
    <t>MSKU7258029</t>
  </si>
  <si>
    <t>CAAU2137394</t>
  </si>
  <si>
    <t>DRYU3094984</t>
  </si>
  <si>
    <t>GAOU2107719</t>
  </si>
  <si>
    <t>GAOU2113305</t>
  </si>
  <si>
    <t>GAOU2110570</t>
  </si>
  <si>
    <t>CRXU3202261</t>
  </si>
  <si>
    <t>ZIMU2770674</t>
  </si>
  <si>
    <t>CSNU1769448</t>
  </si>
  <si>
    <t>TEMU1874942</t>
  </si>
  <si>
    <t>CAAU2138404</t>
  </si>
  <si>
    <t>WHSU2905545</t>
  </si>
  <si>
    <t>SLSU2116074</t>
  </si>
  <si>
    <t>FCIU6129058</t>
  </si>
  <si>
    <t>CXDU1409139</t>
  </si>
  <si>
    <t>Hồng Vân, Thường Tín, Hà Nội - Bình Xuyên, VP</t>
  </si>
  <si>
    <t>Phú Diễn, Từ Liêm, Hà Nội - Phủ Lý, Hà Nam</t>
  </si>
  <si>
    <t>Hoằng Hóa, Thanh Hóa - Đông Sơn - Hà Trung, TH</t>
  </si>
  <si>
    <t>Lại Yên, Hoài Đức, Hà Nội</t>
  </si>
  <si>
    <t>Gia Thụy, Long Biên, Hà Nội - Kim Bảng, Hà Nam</t>
  </si>
  <si>
    <t>Hồng Vân. Thường Tín, Hà Nội - Kỳ Sơn, Hòa Bình</t>
  </si>
  <si>
    <t>Xuân Mai, Chương Mỹ, Hà Nội - Kim Bảng, Hà Nam</t>
  </si>
  <si>
    <t>KCN Phúc Khánh, Thái Bình - Kiện Khê, Hà Nam</t>
  </si>
  <si>
    <t>Đền Trần, Nam Định</t>
  </si>
  <si>
    <t>Sóc Sơn, Hà Nội</t>
  </si>
  <si>
    <t>Thiệu Hóa, Thanh Hóa</t>
  </si>
  <si>
    <t>Thanh toán tiền thay bóng cầu chì, công làm điện xe 15C-070.63</t>
  </si>
  <si>
    <t>Thanh toán tiền bảo hiểm TNDS xe 15C-070.63</t>
  </si>
  <si>
    <t>Thanh toán tiền mua tam giác phản quang cho xe 15C-136.31; 15C-136.31; 15C-180.99; 15C-070.63</t>
  </si>
  <si>
    <t>Thanh toán tiền phục hồi bơm nước, công tháo lắp, ống nước nhỏ xe 15C-070.63 ngày 17/6</t>
  </si>
  <si>
    <t>Sửa củ van 1 chiều xuống moóc xe 15C-070.63 ngày 22/5</t>
  </si>
  <si>
    <t>THÁNG 07.2023</t>
  </si>
  <si>
    <t>Trả hàng NK sáng 01/07</t>
  </si>
  <si>
    <t>Đóng hàng XK sáng 03/07</t>
  </si>
  <si>
    <t>Trả hàng + đóng hàng KH 04/07</t>
  </si>
  <si>
    <t>Trả hàng NK sáng 05/07</t>
  </si>
  <si>
    <t>Đóng hàng KH chiều 05/07</t>
  </si>
  <si>
    <t>Đóng hàng chè sáng 07/07</t>
  </si>
  <si>
    <t>Đóng hàng chè sáng 11/07</t>
  </si>
  <si>
    <t>Trả hàng NK chiều 12/07</t>
  </si>
  <si>
    <t>Trả hàng NK sáng 14/07</t>
  </si>
  <si>
    <t>Trả hàng + đóng hàng KH 17/07</t>
  </si>
  <si>
    <t>Đóng hàng XK sáng 18/07</t>
  </si>
  <si>
    <t>Trả hàng + đóng hàng KH 20/07</t>
  </si>
  <si>
    <t>Trả hàng NK sáng 21/07</t>
  </si>
  <si>
    <t>Trả hàng NK chiều 29/07</t>
  </si>
  <si>
    <t>Đóng hàng XK sáng 31/07</t>
  </si>
  <si>
    <t>Minh Nông, TP. Việt Trì, Phú Thọ</t>
  </si>
  <si>
    <t>Yên Mỹ, Hưng Yên - Kim Bảng, Hà Nam</t>
  </si>
  <si>
    <t>Nghi Sơn, Tĩnh Gia, Thanh Hóa - KCN Lễ Môn, TH</t>
  </si>
  <si>
    <t>TP. Uông Bí, Quảng Ninh</t>
  </si>
  <si>
    <t>Hồng Vân, Thường Tín, Hà Nội - Kỳ Sơn, Hòa Bình</t>
  </si>
  <si>
    <t>TT Hương Canh, Bình Xuyên, VP - Kiện Khê, Hà Nam</t>
  </si>
  <si>
    <t>KCN Phố Nối B, Hưng Yên - Phủ Lý, Hà Nam</t>
  </si>
  <si>
    <t>Lương Sơn, Hòa Bình</t>
  </si>
  <si>
    <t>Hoàn Sơn, Tiên Du, Bắc Ninh</t>
  </si>
  <si>
    <t>Đông Trù, Đông Anh, Hà Nội</t>
  </si>
  <si>
    <t>Bình Xuyên, Vĩnh Phúc + Uông Bí, Quảng Ninh</t>
  </si>
  <si>
    <t>Phủ Lý, Hà Nam + Hoàng Mai, Hà Nội - đảo cont LB</t>
  </si>
  <si>
    <t>Uông Bí, Quảng Ninh</t>
  </si>
  <si>
    <t>TCLU2457653</t>
  </si>
  <si>
    <t>MSDU1768930</t>
  </si>
  <si>
    <t>DRYU2923967</t>
  </si>
  <si>
    <t>GAOU2116768</t>
  </si>
  <si>
    <t>TRHU3067990</t>
  </si>
  <si>
    <t>SEGU1741434</t>
  </si>
  <si>
    <t>IPXU3249743</t>
  </si>
  <si>
    <t>GAOU2113985</t>
  </si>
  <si>
    <t>WHSU2954431</t>
  </si>
  <si>
    <t>MRKU9354478</t>
  </si>
  <si>
    <t>WHLU0301622</t>
  </si>
  <si>
    <t>VNLU2090921</t>
  </si>
  <si>
    <t>MRKU7501055</t>
  </si>
  <si>
    <t>HACU2221140</t>
  </si>
  <si>
    <t>OOLU0574650</t>
  </si>
  <si>
    <t>GESU3908634</t>
  </si>
  <si>
    <t>UETU2358510</t>
  </si>
  <si>
    <t>CAAU2225469</t>
  </si>
  <si>
    <t xml:space="preserve">OOLU0777770 </t>
  </si>
  <si>
    <t>TEMU2241949</t>
  </si>
  <si>
    <t>YMMU1221805</t>
  </si>
  <si>
    <t>CSNU1574889</t>
  </si>
  <si>
    <t>SUDU1882833</t>
  </si>
  <si>
    <t xml:space="preserve">Thanh toán tiền mua chì tạm cho xe 15C-136.31; 15C-139.82; 15C-180.99; 15C-070.63 </t>
  </si>
  <si>
    <t>Thanh toán tiền đổi các đề + công, bảo dưỡng máy phát xe 15C-070.63 ngày 15/7</t>
  </si>
  <si>
    <t>Thanh toán tiền tán 4 bộ phanh moóc, thay 2 vòng bi moóc, bảo dưỡng 4 may ơ moóc, tán phanh, mỡ xe 15C-070.63 ngày 9/7</t>
  </si>
  <si>
    <t>THÁNG 08.2023</t>
  </si>
  <si>
    <t>Trả hàng + đóng hàng KH 01/08</t>
  </si>
  <si>
    <t>Đóng hàng chè sáng 02/08</t>
  </si>
  <si>
    <t>Đóng hàng chè chiều 03/08</t>
  </si>
  <si>
    <t>Trả hàng NK tối 04/08</t>
  </si>
  <si>
    <t>Trả hàng + đóng hàng KH 09/08</t>
  </si>
  <si>
    <t>Trả hàng + đóng hàng KH 11/08</t>
  </si>
  <si>
    <t>Đóng hàng chè sáng 14/08</t>
  </si>
  <si>
    <t>Đóng hàng XK sáng 15/08</t>
  </si>
  <si>
    <t>Đóng hàng XK sáng 19/08</t>
  </si>
  <si>
    <t>Trả hàng + đóng hàng KH 21/08</t>
  </si>
  <si>
    <t>Trả hàng NK sáng 22/08</t>
  </si>
  <si>
    <t>Đóng hàng chè sáng 27/08</t>
  </si>
  <si>
    <t>Đóng hàng chè chiều 28/08</t>
  </si>
  <si>
    <t>Đóng hàng XK sáng 30/08</t>
  </si>
  <si>
    <t>CAIU2574252</t>
  </si>
  <si>
    <t>EGHU3460954</t>
  </si>
  <si>
    <t>BEAU2678226</t>
  </si>
  <si>
    <t>TRHU1620915</t>
  </si>
  <si>
    <t>DFSU1704013</t>
  </si>
  <si>
    <t>VOSU1805519</t>
  </si>
  <si>
    <t>SEGU3881970</t>
  </si>
  <si>
    <t>GAOU2212709</t>
  </si>
  <si>
    <t>WHSU2565316</t>
  </si>
  <si>
    <t>NYKU3195055</t>
  </si>
  <si>
    <t>TEMU5280445</t>
  </si>
  <si>
    <t>WHSU2009908</t>
  </si>
  <si>
    <t>WHSU2681912</t>
  </si>
  <si>
    <t>IAAU2788339</t>
  </si>
  <si>
    <t>CAIU6863211</t>
  </si>
  <si>
    <t>TRHU3830084</t>
  </si>
  <si>
    <t>HACU2212699</t>
  </si>
  <si>
    <t>TLLU2986059</t>
  </si>
  <si>
    <t xml:space="preserve">CSNU2018544 </t>
  </si>
  <si>
    <t>CAIU3892854</t>
  </si>
  <si>
    <t>IAAU2742430</t>
  </si>
  <si>
    <t>TGHU1437590</t>
  </si>
  <si>
    <t>TCKU3778753</t>
  </si>
  <si>
    <t>Mai Lâm, Tĩnh Gia, Thanh Hóa - Kim Bảng, Hà Nam</t>
  </si>
  <si>
    <t>Ngã 4 Tân Quang, Bắc Quang, Hà Giang</t>
  </si>
  <si>
    <t>Duyên Thái, Thường Tín, Hà Nội</t>
  </si>
  <si>
    <t>Thanh Liệt, Thanh Trì, HN - Thanh Liêm, Hà Nam</t>
  </si>
  <si>
    <t>KCN Khai Quang, Vĩnh Yên - Kim Bảng, Hà Nam</t>
  </si>
  <si>
    <t>Cẩm Giàng, Hải Dương - Thanh Liêm, Hà Nam</t>
  </si>
  <si>
    <t>Hồng Vân, Thường Tín, Hà Nội - Thanh Sơn, Phú Thọ</t>
  </si>
  <si>
    <t>Liên Lộc, Hậu Lộc, Thanh Hóa</t>
  </si>
  <si>
    <t>Nông Tiến, TP. Tuyên Quang</t>
  </si>
  <si>
    <t>Từ Sơn, Bắc Ninh - ???, Bắc Giang</t>
  </si>
  <si>
    <t>Cao Thượng, Tân Yên, Bắc Giang</t>
  </si>
  <si>
    <t>KCN Quang Minh, Mê Linh, Hà Nội - Bình Xuyên, VP</t>
  </si>
  <si>
    <t>TP. Hưng Yên, Hưng Yên</t>
  </si>
  <si>
    <t>Trần Phú, Chương Mỹ, Hà Nội - KCN Thụy Vân, PT</t>
  </si>
  <si>
    <t>Thanh Lâm, Mê Linh, Hà Nội</t>
  </si>
  <si>
    <t>KCN Đình Trám, Bắc Giang</t>
  </si>
  <si>
    <t>Thanh toán tiền 4 bình ắc quy xe 15C-070.63</t>
  </si>
  <si>
    <t>Thanh toán tiền thay đai cổ, đai bô xe 15C-070.63 ngày 12/8</t>
  </si>
  <si>
    <t>Thanh toán tiền BH vật chất xe 15C-070.63</t>
  </si>
  <si>
    <t>Thay pha to, pha nhỏ bóng xin nhan, sửa điện xe 15C-070.63 ngày 18/8</t>
  </si>
  <si>
    <t>Lương lái xe (27/26)</t>
  </si>
  <si>
    <t>Thanh toán tiền lọc nhớt, lọc nước xe 15C-136.31; 15C-139.82; 15C-070.63; 15C-180.99</t>
  </si>
  <si>
    <t xml:space="preserve">Thanh toán tiền mua dầu ATF </t>
  </si>
  <si>
    <t>Lương lái xe (24/26 ngày)</t>
  </si>
  <si>
    <t>THÁNG 09.2023</t>
  </si>
  <si>
    <t>Trả hàng bình khí sáng 04/09</t>
  </si>
  <si>
    <t>Đóng hàng chè sáng 07/09</t>
  </si>
  <si>
    <t>Đóng hàng chè sáng 09/09</t>
  </si>
  <si>
    <t>Trả hàng NK sáng 12/09</t>
  </si>
  <si>
    <t>Trả hàng + đóng hàng KH 13/09</t>
  </si>
  <si>
    <t>Trả hàng + đóng hàng KH 15/09</t>
  </si>
  <si>
    <t>Trả hàng NK sáng 16/09</t>
  </si>
  <si>
    <t>Trả hàng NK sáng 20/09</t>
  </si>
  <si>
    <t>Trả hàng + đóng hàng KH 21/09</t>
  </si>
  <si>
    <t>Trả hàng NK chiều 22/09 - 23/09</t>
  </si>
  <si>
    <t>Trả hàng Vietsun sáng 25/09</t>
  </si>
  <si>
    <t>Trả hàng NK sáng 28/09</t>
  </si>
  <si>
    <t>FTAU1008120</t>
  </si>
  <si>
    <t>IPXU2161555</t>
  </si>
  <si>
    <t>WHSU0021782</t>
  </si>
  <si>
    <t>BEAU2503716</t>
  </si>
  <si>
    <t>IAAU2852870</t>
  </si>
  <si>
    <t>FCIU5321786</t>
  </si>
  <si>
    <t>VNLU3092528</t>
  </si>
  <si>
    <t>GLDU5784544</t>
  </si>
  <si>
    <t>DRYU3022460</t>
  </si>
  <si>
    <t>CSNU2035243</t>
  </si>
  <si>
    <t>IAAU2894916</t>
  </si>
  <si>
    <t>EGHU3200387</t>
  </si>
  <si>
    <t>SEGU3882874</t>
  </si>
  <si>
    <t>FCIU2918037</t>
  </si>
  <si>
    <t>GAOU2110395</t>
  </si>
  <si>
    <t>GAOU2113239</t>
  </si>
  <si>
    <t>DRYU2852483</t>
  </si>
  <si>
    <t>OOLU2198361</t>
  </si>
  <si>
    <t>CSNU1789824</t>
  </si>
  <si>
    <t>Hóc Môn, HCM - kho DDC - Messer Hải Phòng</t>
  </si>
  <si>
    <t>Trưng Trắc, Văn Lâm, Hưng Yên - Kiện Khê, Hà Nam</t>
  </si>
  <si>
    <t>Trâu Quỳ, Gia Lâm, HN - Đan Phượng, Hà Nội</t>
  </si>
  <si>
    <t>TP. Tuyên Quang</t>
  </si>
  <si>
    <t>Thanh Oai, Hà Nội</t>
  </si>
  <si>
    <t>KCN Yên Phong, Bắc Ninh - Vân Trung, Bắc Giang</t>
  </si>
  <si>
    <t>KCN Phú Thị, Gia Lâm, HN - Thuận Thành, Bắc Ninh</t>
  </si>
  <si>
    <t>KCN Đại Đồng, Bắc Ninh - KCN Vân Trung, Bắc Giang</t>
  </si>
  <si>
    <t>Quang Trung, TP. Tuyên Quang</t>
  </si>
  <si>
    <t>Đoan Hùng, Phú Thọ</t>
  </si>
  <si>
    <t>Thanh toán tiền lọc dầu nhớt P55210, lọc nhiên liệu P550757 cho xe 15C-070.63</t>
  </si>
  <si>
    <t xml:space="preserve">Thanh toán tiền dầu nhớt cho 4 xe 15C-136.31; 15C-139.82; 15C-070.63; 15C-180.99 </t>
  </si>
  <si>
    <t>Thanh toán tiền thuê lốp đăng kiểm xe 15C-070.63</t>
  </si>
  <si>
    <t xml:space="preserve">Thanh toán tiền phí kiểm định rơ moóc 15R-128.07 xe 15C-070.63 </t>
  </si>
  <si>
    <t>Thanh toán tiền thay đà Phato , bắn PK đăng kiểm xe 15C-070.63 ngày 24/9</t>
  </si>
  <si>
    <t>Thanh toán tiền phí sử dụng đường bộ xe 15C-070.63</t>
  </si>
  <si>
    <t>Thanh toán tiền kiểm định đầu kéo 15C-070.63 ngày 29/9</t>
  </si>
  <si>
    <t>THÁNG 10.2023</t>
  </si>
  <si>
    <t>Trả hàng NK sáng 02/10</t>
  </si>
  <si>
    <t>Trả hàng NK sáng 03/10 - 04/10</t>
  </si>
  <si>
    <t>Trả hàng NK sáng 07/10</t>
  </si>
  <si>
    <t>Trả hàng + đóng hàng KH 11/10</t>
  </si>
  <si>
    <t>Trả hàng + đóng hàng KH 14/10</t>
  </si>
  <si>
    <t>Đóng hàng chè sáng 18/10</t>
  </si>
  <si>
    <t>Đóng hàng chè sáng 19/10</t>
  </si>
  <si>
    <t>Đóng hàng bình khí sáng 20/10</t>
  </si>
  <si>
    <t>Trả hàng NK sáng 21/10</t>
  </si>
  <si>
    <t>Trả hàng NK chiều 23/10</t>
  </si>
  <si>
    <t>Trả hàng NK chiều 25/10</t>
  </si>
  <si>
    <t>Đóng hàng chè chiều 26/10</t>
  </si>
  <si>
    <t>Đóng hàng chè sáng 28/10</t>
  </si>
  <si>
    <t>Cẩm Khê, Phú Thọ - Đoan Hùng, Phú Thọ</t>
  </si>
  <si>
    <t>Thổ Tang, Vĩnh Tường, VP - Phủ Lý, Hà Nam</t>
  </si>
  <si>
    <t>Hát Môn, Phúc Thọ, Hà Nội</t>
  </si>
  <si>
    <t>Ngũ Hiệp, Thanh Trì, Hà Nội - Thanh Sơn, Phú Thọ</t>
  </si>
  <si>
    <t>Ngũ Hiệp, Thanh Trì, Hà Nội - Kim Bảng, Hà Nam</t>
  </si>
  <si>
    <t>Ngũ Hiệp, Thanh Trì, Hà Nội - Tam Nông, Phú Thọ</t>
  </si>
  <si>
    <t>Long Biên, Hà Nội - Quốc Oai, Hà Nội</t>
  </si>
  <si>
    <t>KCN Nam Thăng Long, Hà Nội - KCN Khai Quang, VP</t>
  </si>
  <si>
    <t>Messer An Dương - Kho DDC - HCM - Củ Chi</t>
  </si>
  <si>
    <t>Thanh Ba, Phú Thọ</t>
  </si>
  <si>
    <t>Hương Canh, B Xuyên, VP - KCN Thụy Vân, Việt Trì</t>
  </si>
  <si>
    <t>TEMU0081728</t>
  </si>
  <si>
    <t>BMOU1057635</t>
  </si>
  <si>
    <t>VNLU2090407</t>
  </si>
  <si>
    <t>IAAU2873894</t>
  </si>
  <si>
    <t>DRYU3087373</t>
  </si>
  <si>
    <t>DRYU3087286</t>
  </si>
  <si>
    <t>GAOU2196172</t>
  </si>
  <si>
    <t>TCLU2307714</t>
  </si>
  <si>
    <t>GLDU5713664</t>
  </si>
  <si>
    <t>WHSU0043478</t>
  </si>
  <si>
    <t>TLLU2939870</t>
  </si>
  <si>
    <t>WHSU2975244</t>
  </si>
  <si>
    <t>TRHU3062392</t>
  </si>
  <si>
    <t>TRHU2025305</t>
  </si>
  <si>
    <t>SEGU2325236</t>
  </si>
  <si>
    <t>OOLU1335201</t>
  </si>
  <si>
    <t>WHSU2392822</t>
  </si>
  <si>
    <t>WHSU2861827</t>
  </si>
  <si>
    <t>TGBU3712236</t>
  </si>
  <si>
    <t>TCKU3382464</t>
  </si>
  <si>
    <t>Thanh toán tiền lọc dầu nhớt P552100; lọc gió ngoài P527682 cho xe 15C-070.63 ngày 07/10</t>
  </si>
  <si>
    <t>Thanh toán tiền thay săm xe 15C-070.63 ngày 03/10</t>
  </si>
  <si>
    <t xml:space="preserve">Thanh toán tiền sửa kính, khóa xe 15C-070.63 </t>
  </si>
  <si>
    <t>Thanh toán tiền lốp L1100R20 casu 881 cho xe 15C-070.63 ngày 25/10</t>
  </si>
  <si>
    <t>Thanh toán tiền thay Rơ le, cầu chì xe 15C-070.63 ngày 31/10</t>
  </si>
  <si>
    <t>Thanh toán tiền đóng bạc 3 dọc, tán 4 bộ phanh đầu kèo, thay 8 con lăn phanh và công thay xe 15C-070.63 ngày 29/9</t>
  </si>
  <si>
    <t>Thanh toán tiền mua bi chữ thập, công thay xe 15C-070.63 ngày 11/9</t>
  </si>
  <si>
    <t>Thanh toán tiền chèn cần số, mua đầu máy khâu, công làm xe 15C-070.63 ngày 05/8</t>
  </si>
  <si>
    <t>Thanh toán tiền thay sàu giữa, nắn hàu, thay vè BH, thay chắn bùn sau P xe 15C-070.63ngày 11/9</t>
  </si>
  <si>
    <t>Thanh toán tiền thay 3 quả lốc kê đầu, ép 2 ống tuy o, cút đồng xe 15C-070.63 ngày 15/10</t>
  </si>
  <si>
    <t>THÁNG 11.2023</t>
  </si>
  <si>
    <t>Trả hàng NK tối 04/11</t>
  </si>
  <si>
    <t>Đóng hàng XK sáng 10/11</t>
  </si>
  <si>
    <t>Đóng hàng XK sáng 15/11</t>
  </si>
  <si>
    <t>Trả hàng + đóng hàng KH 16/11</t>
  </si>
  <si>
    <t>Trả hàng NK sáng 18/11</t>
  </si>
  <si>
    <t>Đóng hàng XK sáng 20/11</t>
  </si>
  <si>
    <t>Trả hàng Vietsun sáng 21/11</t>
  </si>
  <si>
    <t>Trả hàng + đóng hàng KH 22/11</t>
  </si>
  <si>
    <t>Trả hàng + đóng hàng KH 23/11</t>
  </si>
  <si>
    <t>Trả hàng + đóng hàng KH 24/11</t>
  </si>
  <si>
    <t>Trả hàng Vietsun chiều 27/11</t>
  </si>
  <si>
    <t>HACU2210905</t>
  </si>
  <si>
    <t>CAAU2134440</t>
  </si>
  <si>
    <t>TRHU3259714</t>
  </si>
  <si>
    <t>VNLU3097284</t>
  </si>
  <si>
    <t>TCKU3623448</t>
  </si>
  <si>
    <t>TCKU2756106</t>
  </si>
  <si>
    <t>ZIMU3141763</t>
  </si>
  <si>
    <t>EMCU6277279</t>
  </si>
  <si>
    <t>HACU2213118</t>
  </si>
  <si>
    <t>HASU1068300</t>
  </si>
  <si>
    <t>GAOU2212910</t>
  </si>
  <si>
    <t>CSNU1033890</t>
  </si>
  <si>
    <t>CSNU1534633</t>
  </si>
  <si>
    <t>MSMU3368158</t>
  </si>
  <si>
    <t>GAOU2108042</t>
  </si>
  <si>
    <t>HNSU2011348</t>
  </si>
  <si>
    <t>GAOU2131335</t>
  </si>
  <si>
    <t>CAIU3536200</t>
  </si>
  <si>
    <t>GAOU2115397</t>
  </si>
  <si>
    <t>GAOU2213243</t>
  </si>
  <si>
    <t>MRSU0090309</t>
  </si>
  <si>
    <t>GMDU2152828</t>
  </si>
  <si>
    <t>EMCU6316170</t>
  </si>
  <si>
    <t>CCN Lại Yên, Hoài Đức, HN - Thanh Liêm, Hà Nam</t>
  </si>
  <si>
    <t>KCN Khai Quang, Vĩnh Yên, VP - Thanh Sơn, Phú Thọ</t>
  </si>
  <si>
    <t>Thạch Thất, Hà Nội - Mông Hóa, Kỳ Sơn, Hòa Bình</t>
  </si>
  <si>
    <t>Đại Mỗ, Từ Liêm, Hà Nội</t>
  </si>
  <si>
    <t>KCN Đài Tư, Long Biên, HN - KCN Quế Võ 2, B Ninh</t>
  </si>
  <si>
    <t>Thường Tín, Hà Nội - Khai Quang + Bình Xuyên, VP</t>
  </si>
  <si>
    <t>Đức Giang, Long Biên, HN - Tam Hiệp, Phúc Thọ, HN</t>
  </si>
  <si>
    <t>KCN Tân Trường, Hải Dương - Kim Bảng, Hà Nam</t>
  </si>
  <si>
    <t>Hồng Vân, Thường Tín, Hà Nội - TP. Nam Định, NĐ</t>
  </si>
  <si>
    <t>Đồng Bẩm, TP. Thái Nguyên, Thái Nguyên</t>
  </si>
  <si>
    <t>Hồng Tiến, Phổ Yên, Thái Nguyên - Yên Dũng, BGiang</t>
  </si>
  <si>
    <t>Hồng Vân, Thường Tín, Hà Nội - Kim Bảng, Hà Nam</t>
  </si>
  <si>
    <t>KCN VSIP, Bắc Ninh - Thanh Sơn, Phú Thọ</t>
  </si>
  <si>
    <t>KCN Hà Bình Phương, Thường Tín, Hà Nội</t>
  </si>
  <si>
    <t xml:space="preserve">Thanh toán tiền dầu nhớt cho xe 15C-136.31; 15C-139.82; 15C-180.99; 15C-070.63 </t>
  </si>
  <si>
    <t>THÁNG 12.2023</t>
  </si>
  <si>
    <t>Đóng hàng chè sáng 01/12</t>
  </si>
  <si>
    <t>Trả hàng + đóng hàng KH 02/12</t>
  </si>
  <si>
    <t>Trả hàng Vietsun sáng 06/12</t>
  </si>
  <si>
    <t>Trả hàng NK sáng 07/12</t>
  </si>
  <si>
    <t>Đóng hàng chè sáng 11/12</t>
  </si>
  <si>
    <t>Trả hàng sáng 13/12</t>
  </si>
  <si>
    <t>Đóng hàng chè sáng 14/12</t>
  </si>
  <si>
    <t>Trả hàng + đóng hàng KH 16/12</t>
  </si>
  <si>
    <t>Trả hàng + đóng hàng KH 18/12</t>
  </si>
  <si>
    <t>Trả hàng + đóng hàng KH 20/12 - 21/12</t>
  </si>
  <si>
    <t>Trả hàng NK sáng 23/12</t>
  </si>
  <si>
    <t>Trả hàng sáng 25/12</t>
  </si>
  <si>
    <t>Trả hàng + đóng hàng KH 26/12</t>
  </si>
  <si>
    <t>Đóng hàng XK chiều 29/12</t>
  </si>
  <si>
    <t>Đóng hàng chè chiều 30/12</t>
  </si>
  <si>
    <t>KCN Khai Quang, Vĩnh Yên, VP - Kiện Khê, Hà Nam</t>
  </si>
  <si>
    <t>KCN Phố Nối B, Hưng Yên - Kim Bảng, Hà Nam</t>
  </si>
  <si>
    <t>Giai Phạm, Yên Mỹ, Hưng Yên</t>
  </si>
  <si>
    <t>TT Yên Mỹ, Yên Mỹ, Hưng Yên</t>
  </si>
  <si>
    <t>Yên Nghĩa, Hà Đông, Hà Nội</t>
  </si>
  <si>
    <t>Giai Phạm, Yên Mỹ, Hưng Yên - Thanh Liêm, Hà Nam</t>
  </si>
  <si>
    <t>Sài Đồng, Long Biên, HNội - Tam Hiệp, Phúc Thọ, HN</t>
  </si>
  <si>
    <t>KCN Hà Bình Phương, Thường Tín, HNội - KBảng, HN</t>
  </si>
  <si>
    <t>Lại Yên, Hoài Đức, Hà Nội - Hoa Sơn, Lập Thạch, VP</t>
  </si>
  <si>
    <t>KCN Hà Bình Phương, HN - Mông Hóa, Kỳ Sơn, HB</t>
  </si>
  <si>
    <t>TT Cẩm Khê, Phú Thọ - Thanh Sơn, Phú Thọ</t>
  </si>
  <si>
    <t>KCN Khai Quang, Vĩnh Phúc - Tử Du, Lập Thạch, VP</t>
  </si>
  <si>
    <t>KCN Điềm Thụy, Phổ Yên, Thái Nguyên</t>
  </si>
  <si>
    <t>Chỉ Đạo, Văn Lâm, Hưng Yên - Kinh Môn, Hải Dương</t>
  </si>
  <si>
    <t>Điềm Thụy, Phổ Yên, Thái Nguyên - Sông Công, TN</t>
  </si>
  <si>
    <t>KCN Hà Bình Phương, T Tín, HN - Kim Bảng, HN</t>
  </si>
  <si>
    <t>EMCU6205880</t>
  </si>
  <si>
    <t>TTNU1447964</t>
  </si>
  <si>
    <t>HACU2215609</t>
  </si>
  <si>
    <t>TEMU3863633</t>
  </si>
  <si>
    <t>GAOU2133209</t>
  </si>
  <si>
    <t>GMDU2152242</t>
  </si>
  <si>
    <t>CAAU2156413</t>
  </si>
  <si>
    <t>VNLU2092380</t>
  </si>
  <si>
    <t>GAOU2107703</t>
  </si>
  <si>
    <t>TLLU8380650</t>
  </si>
  <si>
    <t>SEGU3881353</t>
  </si>
  <si>
    <t>TGCU0119452</t>
  </si>
  <si>
    <t>BMOU1232960</t>
  </si>
  <si>
    <t>GMDU2181488</t>
  </si>
  <si>
    <t>TTNU1138369</t>
  </si>
  <si>
    <t>HNSU2023478</t>
  </si>
  <si>
    <t>TCKU3531681</t>
  </si>
  <si>
    <t>TCKU1486731</t>
  </si>
  <si>
    <t>SEGU3883607</t>
  </si>
  <si>
    <t>MOAU1409877</t>
  </si>
  <si>
    <t>TLLU3624060</t>
  </si>
  <si>
    <t>Thanh toán tiền tiện bạc, hàn vai sửa lỗ, công làm xe 15C-070.63 ngày 09/10</t>
  </si>
  <si>
    <t>Thanh toán tiền mua phớt đuôi cá cầu+ công thay xe 15C-070.63 ngày 15/10</t>
  </si>
  <si>
    <t>Thanh toán tiền bơm mỡ xe 15C-070.63 ngày 19/9</t>
  </si>
  <si>
    <t>Thanh toán tiền lốp 1100R20 881 xe 15C-070.63 ngày 13/11</t>
  </si>
  <si>
    <t>Thanh toán tiền mua chì tạm cho xe 15C-136.31; 15C-139.82; 15C-180.99; 15C-070.63</t>
  </si>
  <si>
    <t>Thanh toán tiền thay pha to xe 15C-070.63 ngày 24/12</t>
  </si>
  <si>
    <t>Thanh toán tiền bơm mỡ xe 15C-070.63 ngày 15/12</t>
  </si>
  <si>
    <t>Thanh toán tiền lọc nhớt detroit , lọc nhiên liệu xe 15C-070.63 ngày 26/12</t>
  </si>
  <si>
    <t>WFHU1352396</t>
  </si>
  <si>
    <t>THÁNG 01.2024</t>
  </si>
  <si>
    <t>BISU2834015</t>
  </si>
  <si>
    <t>Việt Hùng, Đông Anh, Hà Nội - Kim Bảng, Hà Nam</t>
  </si>
  <si>
    <t>GLDU5703389</t>
  </si>
  <si>
    <t>Thạch Thất, Hà Nội - Kim Bảng, Hà Nam</t>
  </si>
  <si>
    <t>LEGU1235928</t>
  </si>
  <si>
    <t>KCN Minh Phương, Đình Vũ - KCN VSIP Bắc Ninh</t>
  </si>
  <si>
    <t>Trả hàng 05/01</t>
  </si>
  <si>
    <t>TCKU3630909</t>
  </si>
  <si>
    <t>Điềm Thụy, Phổ Yên, Thái Nguyên</t>
  </si>
  <si>
    <t>HACU2212549</t>
  </si>
  <si>
    <t>Khu CN cao Hòa Lạc, Thạch Thất, HN - Thụy Vân, VT</t>
  </si>
  <si>
    <t>CAIU2566278</t>
  </si>
  <si>
    <t>KCN Đại Đồng, Bắc Ninh - Kinh Môn, Hải Dương</t>
  </si>
  <si>
    <t>Trả hàng + đóng hàng KH 09/01</t>
  </si>
  <si>
    <t>GAOU2212463</t>
  </si>
  <si>
    <t>KCN Tây Bắc Ga, Thanh Hóa - Phủ Lý, Hà Nam</t>
  </si>
  <si>
    <t>Trả hàng NK sáng 10/01 - 11/01</t>
  </si>
  <si>
    <t>TLLU3346502</t>
  </si>
  <si>
    <t>Trả hàng NK chiều 12/01</t>
  </si>
  <si>
    <t>TCLU7246714</t>
  </si>
  <si>
    <t>Trả hàng NK sáng 13/01</t>
  </si>
  <si>
    <t>IAAU2839333</t>
  </si>
  <si>
    <t>Phú Sơn, Ba Vì, Hà Nội</t>
  </si>
  <si>
    <t>Đóng hàng XK sáng 15/01</t>
  </si>
  <si>
    <t>FCIU6265901</t>
  </si>
  <si>
    <t>Bối Khê, Ân Thi, Hưng Yên</t>
  </si>
  <si>
    <t>BMOU1210702</t>
  </si>
  <si>
    <t>Thường Tín, Hà Nội - Thụy Vân, Việt Trì, Phú Thọ</t>
  </si>
  <si>
    <t>Trả hàng NK sáng 17/01</t>
  </si>
  <si>
    <t>TGBU2548339</t>
  </si>
  <si>
    <t>Trả hàng NK sáng 18/01 + hàng KH 19/01</t>
  </si>
  <si>
    <t>OOLU0654185</t>
  </si>
  <si>
    <t>KCN VSIP Bắc Ninh - Hoài Đức, Hà Nội</t>
  </si>
  <si>
    <t>GMDU2144289</t>
  </si>
  <si>
    <t>Bích Động, Việt Yên, Bắc Giang</t>
  </si>
  <si>
    <t>Trả hàng sáng 22/01</t>
  </si>
  <si>
    <t>GMDU2184960</t>
  </si>
  <si>
    <t>KCN Phúc Khánh, TP. Thái Bình</t>
  </si>
  <si>
    <t>Trả hàng NK sáng 23/01</t>
  </si>
  <si>
    <t>FTAU1655759</t>
  </si>
  <si>
    <t>Trả hàng NK sáng 24/01</t>
  </si>
  <si>
    <t>SKLU0411533</t>
  </si>
  <si>
    <t>KCN Phú Nghĩa, Chương Mỹ, Hà Nội</t>
  </si>
  <si>
    <t>Đóng hàng XK sáng 25/01</t>
  </si>
  <si>
    <t>TRHU3846603</t>
  </si>
  <si>
    <t>Trả hàng NK sáng 26/01</t>
  </si>
  <si>
    <t>TEMU4170607</t>
  </si>
  <si>
    <t>DFSU1429117</t>
  </si>
  <si>
    <t>Trả hàng NK chiều 29/01</t>
  </si>
  <si>
    <t>SEGU1342028</t>
  </si>
  <si>
    <t>Tân Dân, Chí Linh, Hải Dương</t>
  </si>
  <si>
    <t>THÁNG 02.2024</t>
  </si>
  <si>
    <t>Trả hàng NK sáng 15/02</t>
  </si>
  <si>
    <t>Đóng hàng chè sáng 16/02</t>
  </si>
  <si>
    <t>Trả hàng NK sáng 17/02</t>
  </si>
  <si>
    <t>Trả hàng + đóng hàng KH 21/02</t>
  </si>
  <si>
    <t>Trả hàng + đóng hàng KH 26/02 - 27/02</t>
  </si>
  <si>
    <t>Trả hàng + đóng hàng KH 29/02</t>
  </si>
  <si>
    <t>Trả hàng + đóng hàng KH 06/03</t>
  </si>
  <si>
    <t>Trả hàng + đóng hàng KH 07/03</t>
  </si>
  <si>
    <t>Trả hàng + đóng hàng KH 08/03</t>
  </si>
  <si>
    <t>Trả hàng + đóng hàng KH 14/03</t>
  </si>
  <si>
    <t>Trả hàng + đóng hàng KH 15/03</t>
  </si>
  <si>
    <t>Trả hàng + đóng hàng KH 16/03</t>
  </si>
  <si>
    <t>Trả hàng + đóng hàng KH 20/03</t>
  </si>
  <si>
    <t>Đóng hàng XK sáng 21/03</t>
  </si>
  <si>
    <t>Trả hàng + đóng hàng KH 26/03</t>
  </si>
  <si>
    <t>Trả hàng Vietsun sáng 27/03</t>
  </si>
  <si>
    <t>Đóng hàng KH Vietsun chiều 27/03</t>
  </si>
  <si>
    <t>Trả hàng + đóng hàng KH 29/03</t>
  </si>
  <si>
    <t>Trả hàng + đóng hàng KH 30/03</t>
  </si>
  <si>
    <t>Võ Cường, TP. Bắc Ninh, Bắc Ninh</t>
  </si>
  <si>
    <t>Phú Minh, Phú Xuyên, Hà Nội - Thanh Liêm, Hà Nam</t>
  </si>
  <si>
    <t>Bình Giang, Hải Dương - Kiện Khê, Hà Nam</t>
  </si>
  <si>
    <t>Cổ Nhuế, Từ Liêm, Hà Nội - Kiện Khê, Hà Nam</t>
  </si>
  <si>
    <t>KCN Nghi Sơn 1, Tĩnh Gia, TH - Tam Điiệp, Ninh Bình</t>
  </si>
  <si>
    <t>Thường Tín, Hà Nội - Kiện Khê, Hà Nam</t>
  </si>
  <si>
    <t>Việt Hùng, Đông Anh, Hà Nội - Thường Tín, Hà Nội</t>
  </si>
  <si>
    <t>Nguyên Bình, Tĩnh Gia, Thanh Hóa - Nông Cống, TH</t>
  </si>
  <si>
    <t>KCN Phố Nối B, Hưng Yên - Kiện Khê, Hà Nam</t>
  </si>
  <si>
    <t>Tiên Du, Bắc Ninh - tt. Phùng, Đan Phượng, Hà Nội</t>
  </si>
  <si>
    <t>KCN Thạch Thất, Hà Nội - Kiện Khê, Hà Nam</t>
  </si>
  <si>
    <t>Sơn Lôi, Bình Xuyên, VP - Thanh Sơn, Phú Thọ</t>
  </si>
  <si>
    <t>Thanh Trì, Hà Nội - Trung Thành, Phổ Yên, T Nguyên</t>
  </si>
  <si>
    <t>KCN Trung Thành, Phổ Yên, TN - KCN Quế Võ II, BN</t>
  </si>
  <si>
    <t>Nam Thanh, Nam Trực, Nam Định</t>
  </si>
  <si>
    <t>NM Dầu Cái Lân, KCN Cái Lân, Quảng Ninh</t>
  </si>
  <si>
    <t>Tân Lĩnh, Ba Vì, Hà Nội - KCN Thụy Vân, Việt Trì</t>
  </si>
  <si>
    <t>Đông Tân. tp. Thanh Hóa - Kiện Khê, Hà Nam</t>
  </si>
  <si>
    <t>Bích Hòa, Thanh Oai, Hà Nội - Kim Bảng, Hà Nam</t>
  </si>
  <si>
    <t>Chỉ Đạo, Văn Lâm, Hưng Yên - Kim Bảng, Hà Nam</t>
  </si>
  <si>
    <t xml:space="preserve">Chi tiền thưởng tết dương lịch 01/2024 </t>
  </si>
  <si>
    <t>Thanh toán tiền BD đề + MF xe 15C-070.63 ngày 15/1</t>
  </si>
  <si>
    <t>Thanh toán Việt phát tiền thùng dầu cho xe 15C-136.31; 15C-180.99; 15C-139.82; 15C-070.63</t>
  </si>
  <si>
    <t xml:space="preserve">Chi tiền thưởng tết âm lịch </t>
  </si>
  <si>
    <t>Chi tiền lì xì đầu năm</t>
  </si>
  <si>
    <t xml:space="preserve">Thanh toán tiền mua đèn </t>
  </si>
  <si>
    <t xml:space="preserve">Thanh toán Cty định vị bách khoa tiền thu phí duy trì camera </t>
  </si>
  <si>
    <t>Thanh toán tiền lọc gió xe 15C-070.63 ngày 20/2</t>
  </si>
  <si>
    <t>Lương lái xe (25/27)</t>
  </si>
  <si>
    <t>Lương lái xe (19/25)</t>
  </si>
  <si>
    <t>EMCU3983522</t>
  </si>
  <si>
    <t>HACU2212852</t>
  </si>
  <si>
    <t>CAIU6545709</t>
  </si>
  <si>
    <t>VNLU2093643</t>
  </si>
  <si>
    <t>HACU2160872</t>
  </si>
  <si>
    <t>TCKU3253699</t>
  </si>
  <si>
    <t>GMDU2180394</t>
  </si>
  <si>
    <t>GMDU2414907</t>
  </si>
  <si>
    <t>HACU2221290</t>
  </si>
  <si>
    <t>GAOU2114111</t>
  </si>
  <si>
    <t>GMDU2181765</t>
  </si>
  <si>
    <t>VNLU3098697</t>
  </si>
  <si>
    <t>GAOU2112079</t>
  </si>
  <si>
    <t>TCKU2820740</t>
  </si>
  <si>
    <t>SKLU1935134</t>
  </si>
  <si>
    <t>CAIU6863633</t>
  </si>
  <si>
    <t>VNLU2093999</t>
  </si>
  <si>
    <t>GMDU2417249</t>
  </si>
  <si>
    <t>GAOU2108377</t>
  </si>
  <si>
    <t>FFAU1655131</t>
  </si>
  <si>
    <t>BISU2841020</t>
  </si>
  <si>
    <t>GMDU2140447</t>
  </si>
  <si>
    <t>GMDU2185591</t>
  </si>
  <si>
    <t>EGSU3460897</t>
  </si>
  <si>
    <t>WHLU0474103</t>
  </si>
  <si>
    <t>TCKU3628007</t>
  </si>
  <si>
    <t>GMDU2150548</t>
  </si>
  <si>
    <t>FCIU5988233</t>
  </si>
  <si>
    <t>EMCU6417766</t>
  </si>
  <si>
    <t>GMDU2181786</t>
  </si>
  <si>
    <t>TRHU1436826</t>
  </si>
  <si>
    <t>CAAU2137959</t>
  </si>
  <si>
    <t>Thiện Kế, Bình Xuyên, V Phúc - Lâm Thao, Phú Thọ</t>
  </si>
  <si>
    <t>Đường D2, KCN Yên Mỹ II, Hưng Yên</t>
  </si>
  <si>
    <t>KCN Trung Thành, Phổ Yên, TN - Từ Sơn, Bắc Ninh</t>
  </si>
  <si>
    <t>Đức Giang, Long Biên, Hà Nội - Kiện Khê, Hà Nam</t>
  </si>
  <si>
    <t>KCN Nam Sách, Hải Dương</t>
  </si>
  <si>
    <t>Dị Sử, Mỹ Hào, Hưng Yên - Kiện Khê, Hà Nam</t>
  </si>
  <si>
    <t>THÁNG 03.2024</t>
  </si>
  <si>
    <t>Thanh toán tiền bơm mỡ xe 15C-070.63</t>
  </si>
  <si>
    <t xml:space="preserve">Thanh toán tiền đăng kiểm xe 15C-070.63 </t>
  </si>
  <si>
    <t xml:space="preserve">Thanh toán tiền mua chì </t>
  </si>
  <si>
    <t>Thanh toán tiền sửa bàn đạp ga, Delta, công thợ xe 15C-070.63 ngày 01/3</t>
  </si>
  <si>
    <t>THÁNG 04.2024</t>
  </si>
  <si>
    <t>Trả hàng + đóng hàng KH 02/04 - 03/04</t>
  </si>
  <si>
    <t>Trả hàng + đóng hàng KH 05/04</t>
  </si>
  <si>
    <t>Đóng hàng KH chiều 09/04</t>
  </si>
  <si>
    <t>Trả hàng Vietsun sáng 10/04</t>
  </si>
  <si>
    <t>Đóng hàng KH chiều 10/04</t>
  </si>
  <si>
    <t>Đóng hàng chè sáng 11/04</t>
  </si>
  <si>
    <t>Đóng hàng XK sáng 13/04</t>
  </si>
  <si>
    <t>Trả hàng + đóng hàng KH 15/04</t>
  </si>
  <si>
    <t>Đóng hàng XK sáng 16/04</t>
  </si>
  <si>
    <t>Đóng hàng chè sáng 17/04</t>
  </si>
  <si>
    <t>Trả hàng Vietsun sáng 19/04</t>
  </si>
  <si>
    <t>Trả hàng + đóng hàng KH 20/04</t>
  </si>
  <si>
    <t>Đóng hàng XK sáng 24/04</t>
  </si>
  <si>
    <t>Trả hàng + đóng hàng KH 29/04</t>
  </si>
  <si>
    <t>GMDU2183541</t>
  </si>
  <si>
    <t>GMDU2152957</t>
  </si>
  <si>
    <t>SKLU1993130</t>
  </si>
  <si>
    <t>TCLU2316927</t>
  </si>
  <si>
    <t>OOCU0389249</t>
  </si>
  <si>
    <t>VIMU2240963</t>
  </si>
  <si>
    <t>GAOU2112340</t>
  </si>
  <si>
    <t>WHSU0263132</t>
  </si>
  <si>
    <t>HACU2214238</t>
  </si>
  <si>
    <t>TRHU3075506</t>
  </si>
  <si>
    <t>TCLU3487734</t>
  </si>
  <si>
    <t>CSNU1213720</t>
  </si>
  <si>
    <t>WHSU0256811</t>
  </si>
  <si>
    <t>CAIU6871351</t>
  </si>
  <si>
    <t>TCKU1846988</t>
  </si>
  <si>
    <t>GMDU2140200</t>
  </si>
  <si>
    <t>WHSU0091917</t>
  </si>
  <si>
    <t>HBLU1185900</t>
  </si>
  <si>
    <t>TCLU3435371</t>
  </si>
  <si>
    <t>Hùng Vương, Phúc Yên, Vĩnh Phúc - Thanh Sơn, PT</t>
  </si>
  <si>
    <t>KCN Thanh Thúy, Thanh Oai, HN - Thanh Sơn, PT</t>
  </si>
  <si>
    <t>Phú Nghĩa, Chương Mỹ, Hà Nội - Kiện Khê, Hà Nam</t>
  </si>
  <si>
    <t>Thanh Thủy, Thanh Liêm, Hà Nam</t>
  </si>
  <si>
    <t>Phố Mới, Dị Sử, Hưng Yên</t>
  </si>
  <si>
    <t>Thường Tín, Hà Nội - Bát Tràng, Gia Lâm, Hà Nội</t>
  </si>
  <si>
    <t>Vĩnh Quỳnh, Thanh Trì, Hà Nội</t>
  </si>
  <si>
    <t>KCN Hà Bình Phương, Hà Nội - TP. Thái Nguyên</t>
  </si>
  <si>
    <t>Giải Phóng, Đống Đa, HN - Phúc Thắng, Phúc Yên, VP</t>
  </si>
  <si>
    <t>Văn Điển, Thanh Trì, Hà Nội - KCN Khai Quang, VP</t>
  </si>
  <si>
    <t>THÁNG 05.2024</t>
  </si>
  <si>
    <t>Đóng hàng chè sáng 04/05</t>
  </si>
  <si>
    <t>Trả hàng + đóng hàng KH 06/05</t>
  </si>
  <si>
    <t>Trả hàng + đóng hàng KH 07/05</t>
  </si>
  <si>
    <t>Trả hàng + đóng hàng KH 09/05</t>
  </si>
  <si>
    <t>Trả hàng + đóng hàng KH 10/05</t>
  </si>
  <si>
    <t>Trả hàng NK sáng 11/05</t>
  </si>
  <si>
    <t>Trả hàng + đóng hàng KH 14/05</t>
  </si>
  <si>
    <t>Đóng hàng chè sáng 16/05</t>
  </si>
  <si>
    <t>Đóng hàng chè chiều 17/05</t>
  </si>
  <si>
    <t>Trả hàng Vietsun sáng 20/05</t>
  </si>
  <si>
    <t>Trả hàng + đóng hàng KH Vietsun 21/05</t>
  </si>
  <si>
    <t>Trả hàng + đóng hàng KH 22/05</t>
  </si>
  <si>
    <t>Trả hàng NK sáng 23/05</t>
  </si>
  <si>
    <t>Đóng hàng XK sáng 24/05</t>
  </si>
  <si>
    <t>TCLU2530374</t>
  </si>
  <si>
    <t>GAOU2110728</t>
  </si>
  <si>
    <t>OOLU1693843</t>
  </si>
  <si>
    <t>VNLU3093653</t>
  </si>
  <si>
    <t>CAAU2139490</t>
  </si>
  <si>
    <t>CAAU2137820</t>
  </si>
  <si>
    <t>GMDU2183011</t>
  </si>
  <si>
    <t>GMDU2150888</t>
  </si>
  <si>
    <t>CBHU5637781</t>
  </si>
  <si>
    <t>HACU2215018</t>
  </si>
  <si>
    <t>HACU2162026</t>
  </si>
  <si>
    <t>DRYU2976416</t>
  </si>
  <si>
    <t>WHSU2394846</t>
  </si>
  <si>
    <t>TEMU0548480</t>
  </si>
  <si>
    <t>VSGU2230065</t>
  </si>
  <si>
    <t>GAOU2210645</t>
  </si>
  <si>
    <t>SEGU3881008</t>
  </si>
  <si>
    <t>WHSU2628796</t>
  </si>
  <si>
    <t>IAAU2749097</t>
  </si>
  <si>
    <t>BEAU2722611</t>
  </si>
  <si>
    <t>GMDU2181770</t>
  </si>
  <si>
    <t>VNLU3097319</t>
  </si>
  <si>
    <t>TCKU1455730</t>
  </si>
  <si>
    <t>GAOU2130920</t>
  </si>
  <si>
    <t>Vân Hòa, Ba Vì, Hà Nội - Thanh Liêm, Hà Nam</t>
  </si>
  <si>
    <t>Hồng Vân, Thường Tín, Hà Nội - Chương Mỹ, Hà Nội</t>
  </si>
  <si>
    <t>Văn Luông, Tân Sơn, Phú Thọ</t>
  </si>
  <si>
    <t>KCN Thái Hòa, Lập Thạch, VP - KCN Thụy Vân, V Trì</t>
  </si>
  <si>
    <t>KCN Trung Thành, Phổ Yên - Điềm Thụy, Phổ Yên, TN</t>
  </si>
  <si>
    <t>Vĩnh Hưng, Hoàng Mai, Hà Nội</t>
  </si>
  <si>
    <t>Như Quỳnh, Văn Lâm, HY - Phủ Lý, Hà Nam</t>
  </si>
  <si>
    <t>Hiền Giang, Thường Tín, HN - Phủ Lý, Hà Nam</t>
  </si>
  <si>
    <t>KCN Thạch Thất, Hà Nội</t>
  </si>
  <si>
    <t>Hoàn Long, Yên Mỹ, Hưng Yên</t>
  </si>
  <si>
    <t>Lạc Đạo, Văn Lâm, HY - Thanh Liêm, Hà Nam</t>
  </si>
  <si>
    <t>Phú Diễn, Từ Liêm, Hà Nội - Kim Bảng, Hà Nam</t>
  </si>
  <si>
    <t>Võ Cường, TP. Bắc Ninh</t>
  </si>
  <si>
    <t>Vạn Phúc, Hà Đông, Hà Nội - Kiện Khê, Hà Nam</t>
  </si>
  <si>
    <t>Kiến Xương, Thái Bình - Tam Điệp, Ninh Bình</t>
  </si>
  <si>
    <t>KCN Đồng Văn, Hà Nam - Thanh Trì, HN - Phủ Lý, HN</t>
  </si>
  <si>
    <t>Trả hàng + đóng hàng KH 04/06</t>
  </si>
  <si>
    <t>Đóng hàng chè sáng 06/06</t>
  </si>
  <si>
    <t>Trả hàng NK chiều 08/06</t>
  </si>
  <si>
    <t>Đóng hàng Vietsun chiều 10/06</t>
  </si>
  <si>
    <t>Trả hàng Vietsun sáng 11/06</t>
  </si>
  <si>
    <t>Đóng hàng KH chiều 11/06</t>
  </si>
  <si>
    <t>Đóng hàng chè chiều 13/06</t>
  </si>
  <si>
    <t>Trả hàng NK sáng 15/06</t>
  </si>
  <si>
    <t>Trả hàng + đóng hàng KH 17/06</t>
  </si>
  <si>
    <t>Trả hàng Vietsun sáng 21/06</t>
  </si>
  <si>
    <t>Đóng hàng KH Vietsun chiều 21/06</t>
  </si>
  <si>
    <t>Trả hàng Vietsun sáng 24/06</t>
  </si>
  <si>
    <t>Đóng hàng KH chiều 24/06</t>
  </si>
  <si>
    <t>Trả hàng Vietsun sáng 25/06</t>
  </si>
  <si>
    <t>Đóng hàng chè chiều 26/06</t>
  </si>
  <si>
    <t>Trả hàng Vietsun sáng 28/06</t>
  </si>
  <si>
    <t>Đóng hàng KH Vietsun chiều 28/06</t>
  </si>
  <si>
    <t>Trả hàng Vietsun sáng 29/06</t>
  </si>
  <si>
    <t>Đóng hàng KH Vietsun chiều 29/06</t>
  </si>
  <si>
    <t>KCN Từ Sơn, Bắc Ninh - KCN Quế Võ II, Bắc Ninh</t>
  </si>
  <si>
    <t>Liên Trung, Từ Liêm, Hà Nội - Kim Bảng, Hà Nam</t>
  </si>
  <si>
    <t>QL3, Phổ Yên, Thái Nguyên</t>
  </si>
  <si>
    <t>Nhị Khê, Thường Tín, Hà Nội</t>
  </si>
  <si>
    <t>Lai Cách, Cẩm Giàng, Hải Dương</t>
  </si>
  <si>
    <t>KCN Đại An, Hải Dương - Khai Quang, Vĩnh Yên, VP</t>
  </si>
  <si>
    <t>TP. Hải Dương - Kim Bảng, Hà Nam</t>
  </si>
  <si>
    <t>Từ Liêm, Hà Nội - KCN Khai Quang, Vĩnh Yên, VP</t>
  </si>
  <si>
    <t>Ngọc Long + Giai Phạm, Yên Mỹ, Hưng Yên</t>
  </si>
  <si>
    <t>Cẩm Thượng, TP. Hải Dương</t>
  </si>
  <si>
    <t>780 Minh Khai, Vĩnh Tuy, Hà Nội</t>
  </si>
  <si>
    <t>Đào Xá, Thanh Thủy, Phú Thọ</t>
  </si>
  <si>
    <t>Thanh Sơn, Kim Bảng, Hà Nam</t>
  </si>
  <si>
    <t>HACU2210248</t>
  </si>
  <si>
    <t>GMDU2150975</t>
  </si>
  <si>
    <t>CAIU6671857</t>
  </si>
  <si>
    <t>MAGU2512021</t>
  </si>
  <si>
    <t>SITU2749280</t>
  </si>
  <si>
    <t>TCLU3656222</t>
  </si>
  <si>
    <t>TCKU2635932</t>
  </si>
  <si>
    <t>WHSU2918630</t>
  </si>
  <si>
    <t>OOCU0722133</t>
  </si>
  <si>
    <t>DRYU2923524</t>
  </si>
  <si>
    <t>TRHU3295291</t>
  </si>
  <si>
    <t>REGU3225457</t>
  </si>
  <si>
    <t>BEAU2375549</t>
  </si>
  <si>
    <t>GAOU2209639</t>
  </si>
  <si>
    <t>ZIMU1021373</t>
  </si>
  <si>
    <t>DRYU2924433</t>
  </si>
  <si>
    <t>VSGU2230506</t>
  </si>
  <si>
    <t>BHCU3234644</t>
  </si>
  <si>
    <t>GAOU2108090</t>
  </si>
  <si>
    <t>TRHU1344360</t>
  </si>
  <si>
    <t>THÁNG 06.2024</t>
  </si>
  <si>
    <t>Thanh toán tiền lọc dầu nhớt P552100 cho xe 15C-070.63</t>
  </si>
  <si>
    <t>Thanh toán tiền sửa cửa bên lái xe 15C-070.63 ngày 03/4</t>
  </si>
  <si>
    <t>Thanh toán tiền lốp 11.00R20 CSM881 cho xe 15C-070.63 ngày 08/4</t>
  </si>
  <si>
    <t>Thanh toán tiền lốp 295/75R22.5/16 CSM 111/275 cho xe 15C-070.63 ngày 27/5</t>
  </si>
  <si>
    <t>Thanh toán tiền mua bạc nhíp tải, đóng bạc 3 ngang 3 dọc, ép ống dầu lái công thay xe 15C-070.63 ngày 22/3</t>
  </si>
  <si>
    <t>Thanh toán tiền lọc nhớt Detroit , lọc nhiên liệu xe 15C-070.63 ngày 18/6</t>
  </si>
  <si>
    <t>Thanh toán tiền mua 1 bạc nhíp tải, 2 bu lông, công thay bạc nhíp xe 15C-070.63 ngày 21/4</t>
  </si>
  <si>
    <t>Thanh toán thay két nước mới, thay cao su giá đỡ két nước, thông két gió, công xe 15C-070.63 ngày 07/4</t>
  </si>
  <si>
    <t>Thanh toán tiền đường ống nước, lá nhíp, 2 bạc nhíp lái, ép bạc ra vào, 2 van nhíp lái, công xe 15C-070.63 ngày 21/1</t>
  </si>
  <si>
    <t>THÁNG 07.2024</t>
  </si>
  <si>
    <t>Trả hàng Vietsun sáng 02/07</t>
  </si>
  <si>
    <t>Đóng hàng KH Vietsun chiều 02/07</t>
  </si>
  <si>
    <t>Trả hàng Vietsun sáng 06/07</t>
  </si>
  <si>
    <t>Đóng hàng KH Vietsun chiều 06/07</t>
  </si>
  <si>
    <t>Trả hàng + đóng hàng KH 08/07</t>
  </si>
  <si>
    <t>Đóng hàng chè sáng 12/07</t>
  </si>
  <si>
    <t>Trả hàng Vietsun sáng 15/07</t>
  </si>
  <si>
    <t>Đóng hàng KH chiều 15/07</t>
  </si>
  <si>
    <t>Trả hàng + đóng hàng KH 16/07</t>
  </si>
  <si>
    <t>Trả hàng Vietsun sáng 19/07</t>
  </si>
  <si>
    <t>Đóng hàng KH Vietsun chiều 19/07</t>
  </si>
  <si>
    <t>Trả hàng Vietsun sáng 22/07</t>
  </si>
  <si>
    <t>Đóng hàng KH Vietsun chiều 22/07</t>
  </si>
  <si>
    <t>Trả hàng + đóng hàng KH 23/07</t>
  </si>
  <si>
    <t>Đóng hàng KH chiều 24/07</t>
  </si>
  <si>
    <t>Đóng hàng XK sáng 25/07</t>
  </si>
  <si>
    <t>Đóng hàng chè sáng 26/07</t>
  </si>
  <si>
    <t>Đóng hàng XK sáng 27/07</t>
  </si>
  <si>
    <t>Đóng hàng chè ngày 30/07</t>
  </si>
  <si>
    <t>Bãi 1, Lê Thánh Tông, Hải Phòng + Yên Sở, Hà Nội</t>
  </si>
  <si>
    <t>Hương Lạc, Lạng Giang, Bắc Giang</t>
  </si>
  <si>
    <t>KCN Tiên Sơn, Tiên Du, Bắc Ninh</t>
  </si>
  <si>
    <t>KCN Tiên Sơn, Tiên Du, Bắc Ninh - Từ Sơn, Bắc Ninh</t>
  </si>
  <si>
    <t>Trường Yên, Chương Mỹ, Hà Nội - Kim Bảng, Hà Nam</t>
  </si>
  <si>
    <t>KCN Tiên Sơn, Bắc Ninh - Sông Công, Thái Nguyên</t>
  </si>
  <si>
    <t>KCN Sài Đồng, Long Biên, HN + Chúc Sơn, Hà Đông</t>
  </si>
  <si>
    <t>Như Quỳnh, Văn Lâm, Hưng Yên - Kim Bảng, Hà Nam</t>
  </si>
  <si>
    <t>Xuân Lôi, Lập Thạch, Vĩnh Phúc</t>
  </si>
  <si>
    <t>Kinh Môn, Hải Dương</t>
  </si>
  <si>
    <t>Bình Phú, Phù Ninh, Phú Thọ - KCN Thụy Vân, V Trì</t>
  </si>
  <si>
    <t>Cargill Phố Nối, Hưng Yên + KCN Đồng Văn, Hà Nam</t>
  </si>
  <si>
    <t>Thi Sơn, Kim Bảng, Hà Nam</t>
  </si>
  <si>
    <t>Cao Sơn, Mường Khương, Lào Cai</t>
  </si>
  <si>
    <t>Biên Giang, Hà Đông, Hà Nội</t>
  </si>
  <si>
    <t>Mộc Châu, Sơn La + Thanh Sơn, Phú Thọ</t>
  </si>
  <si>
    <t>GAOU2111576</t>
  </si>
  <si>
    <t>MRKU9011463</t>
  </si>
  <si>
    <t>SEGU2732355</t>
  </si>
  <si>
    <t>WHLU0410921</t>
  </si>
  <si>
    <t>GAOU2212735</t>
  </si>
  <si>
    <t>GMDU2184825</t>
  </si>
  <si>
    <t>FCIU4222412</t>
  </si>
  <si>
    <t>DRYU3095229</t>
  </si>
  <si>
    <t>WHSU0039185</t>
  </si>
  <si>
    <t>YMMU1198290</t>
  </si>
  <si>
    <t>GMDU2182247</t>
  </si>
  <si>
    <t>GAOU2107299</t>
  </si>
  <si>
    <t>SEGU3972406</t>
  </si>
  <si>
    <t>SEKU1015652</t>
  </si>
  <si>
    <t>KKTU8015756</t>
  </si>
  <si>
    <t>DRYU3094222</t>
  </si>
  <si>
    <t>SEGU2161636</t>
  </si>
  <si>
    <t>DRYU2902352</t>
  </si>
  <si>
    <t>HACU2212180</t>
  </si>
  <si>
    <t>DRYU3024605</t>
  </si>
  <si>
    <t>SEGU2948848</t>
  </si>
  <si>
    <t>YMMU1181831</t>
  </si>
  <si>
    <t>TGSU2292900</t>
  </si>
  <si>
    <t>TRHU3811762</t>
  </si>
  <si>
    <t>UETU2708500</t>
  </si>
  <si>
    <t>CMAU0797692</t>
  </si>
  <si>
    <t>Trả hàng Vietsun sáng 02/08</t>
  </si>
  <si>
    <t>Trả hàng Vietsun sáng 05/08</t>
  </si>
  <si>
    <t>Đóng hàng KH Vietsun chiều 5/8</t>
  </si>
  <si>
    <t>Trả hàng Vietsun sáng 6/8</t>
  </si>
  <si>
    <t>Trả hàng NK sáng 7/8</t>
  </si>
  <si>
    <t>Trả hàng Vietsun sáng 8/8</t>
  </si>
  <si>
    <t>Đóng hàng KH chiều 8/8</t>
  </si>
  <si>
    <t>Trả hàng NK sáng 9/8</t>
  </si>
  <si>
    <t>Trả hàng NK sáng 10/8</t>
  </si>
  <si>
    <t>Trả hàng Vietsun sáng 12/8</t>
  </si>
  <si>
    <t>Đóng hàng KH chiều 12/8</t>
  </si>
  <si>
    <t>Trả hàng Vietsun sáng 13/8</t>
  </si>
  <si>
    <t>Trả hàng Vietsun sáng 14/8</t>
  </si>
  <si>
    <t>Đóng hàng KH Vietsun chiều 14/8</t>
  </si>
  <si>
    <t>Trả hàng NK sáng 15/8</t>
  </si>
  <si>
    <t>Đóng hàng chè sáng 16/8</t>
  </si>
  <si>
    <t>Trả hàng NK sáng 17/8</t>
  </si>
  <si>
    <t>Trả hàng Vietsun sáng 19/8</t>
  </si>
  <si>
    <t>Trả hàng Vietsun sáng 20/8</t>
  </si>
  <si>
    <t>Đóng hàng chè sáng 21/8</t>
  </si>
  <si>
    <t>Trả hàng NK sáng 22/8</t>
  </si>
  <si>
    <t>Trả hàng NK sáng 23/8</t>
  </si>
  <si>
    <t>Đóng hàng bình khí sáng 27/8</t>
  </si>
  <si>
    <t>Đóng hàng chè sáng 28/8</t>
  </si>
  <si>
    <t>Đóng hàng chè chiều 29/8</t>
  </si>
  <si>
    <t>Trả hàng NK sáng 31/8</t>
  </si>
  <si>
    <t>HACU2214876</t>
  </si>
  <si>
    <t>DRYU2851770</t>
  </si>
  <si>
    <t>GAOU2108356</t>
  </si>
  <si>
    <t>DRYU3094650</t>
  </si>
  <si>
    <t>FCIU4383227</t>
  </si>
  <si>
    <t>DRYU2853812</t>
  </si>
  <si>
    <t>TBJU4455908</t>
  </si>
  <si>
    <t>UETU2351897</t>
  </si>
  <si>
    <t>GAOU2107982</t>
  </si>
  <si>
    <t>DRYU2851661</t>
  </si>
  <si>
    <t>GAOU2113028</t>
  </si>
  <si>
    <t>NBYU0102196</t>
  </si>
  <si>
    <t>WHSU0252544</t>
  </si>
  <si>
    <t>TCKU2701485</t>
  </si>
  <si>
    <t>DRYU2885912</t>
  </si>
  <si>
    <t>GAOU2108422</t>
  </si>
  <si>
    <t>EGSU3344264</t>
  </si>
  <si>
    <t>IAAU2854148</t>
  </si>
  <si>
    <t>WHLU0646687</t>
  </si>
  <si>
    <t>TCLU3152221</t>
  </si>
  <si>
    <t>EMCU6247192</t>
  </si>
  <si>
    <t>EGSU3212972</t>
  </si>
  <si>
    <t>SEGU3095462</t>
  </si>
  <si>
    <t>Tân Chi, Tiên Du, Bắc Ninh - Tứ Hiệp, Thanh Trì, HN</t>
  </si>
  <si>
    <t>Cụm KT-XH, Hợp Thịnh, Tam Dương, Vĩnh Phúc</t>
  </si>
  <si>
    <t>KCN Nam Sách, Hải Dương + Yên Mỹ, Hưng Yên</t>
  </si>
  <si>
    <t>Dị Sử, Mỹ Hào, Hưng Yên</t>
  </si>
  <si>
    <t>Chí Minh, Chí Linh, Hải Dương</t>
  </si>
  <si>
    <t>Xuân Phương, Từ Liêm, Hà Nội</t>
  </si>
  <si>
    <t>Xuân Lâm, Thuận Thành, Bắc Ninh</t>
  </si>
  <si>
    <t>Kho DDC Hải Phòng - Kho Vinagas Củ Chi, HCM</t>
  </si>
  <si>
    <t>THÁNG 08.2024</t>
  </si>
  <si>
    <t>THÁNG 09.2024</t>
  </si>
  <si>
    <t>Trả hàng Vietsun 4/9 - 5/9</t>
  </si>
  <si>
    <t>Đóng hàng chè chiều 6/9</t>
  </si>
  <si>
    <t>Đóng hàng chè chiều 9/9</t>
  </si>
  <si>
    <t>Trả hàng NK chiều 10/9</t>
  </si>
  <si>
    <t>Trả hàng NK sáng 11/9</t>
  </si>
  <si>
    <t>Đóng hàng XK sáng 12/9</t>
  </si>
  <si>
    <t>Trả hàng Vietsun sáng 13/9</t>
  </si>
  <si>
    <t>Trả hàng Vietsun sáng 17/9</t>
  </si>
  <si>
    <t>Đóng hàng KH Vietsun chiều 17/9</t>
  </si>
  <si>
    <t>Đóng hàng XK sáng 18/9</t>
  </si>
  <si>
    <t>Trả hàng + đóng hàng KH 19/9</t>
  </si>
  <si>
    <t>Đóng hàng XK sáng 21/9</t>
  </si>
  <si>
    <t>Trả hàng Vietsun sáng 23/9</t>
  </si>
  <si>
    <t>Trả hàng + đóng hàng KH 24/9</t>
  </si>
  <si>
    <t>Trả hàng + đóng hàng KH 25/9</t>
  </si>
  <si>
    <t>Trả hàng + đóng hàng KH 26/9</t>
  </si>
  <si>
    <t>Trả hàng + đóng hàng KH 27/9</t>
  </si>
  <si>
    <t>Trả hàng + đóng hàng KH 28/9</t>
  </si>
  <si>
    <t>Trả hàng + đóng hàng KH 30/9</t>
  </si>
  <si>
    <t>KCN Phú Thị, Gia Lâm, Hà Nội</t>
  </si>
  <si>
    <t>Cargill Phố Nối, Hưng Yên + Tân Quang, Văn Lâm, HY</t>
  </si>
  <si>
    <t>Kim Nỗ, Đông Anh, Hà Nội - KCN Bình Xuyên, V Phúc</t>
  </si>
  <si>
    <t>Việt Hùng, Đông Anh, HN - Kim Long, Tam Dương, VP</t>
  </si>
  <si>
    <t>Lạc Đạo, Văn Lâm, H Yên - Thạch Khôi, Hải Dương</t>
  </si>
  <si>
    <t>Việt Hùng, Đông Anh, HN - Kiện Khê, Hà Nam</t>
  </si>
  <si>
    <t>GAOU2112443</t>
  </si>
  <si>
    <t>WHSU0160005</t>
  </si>
  <si>
    <t>EGSU3249009</t>
  </si>
  <si>
    <t>GAOU2070435</t>
  </si>
  <si>
    <t>REGU3215865</t>
  </si>
  <si>
    <t>MRKU7620497</t>
  </si>
  <si>
    <t>GAOU2108037</t>
  </si>
  <si>
    <t>DRYU2923484</t>
  </si>
  <si>
    <t>SUDU1392081</t>
  </si>
  <si>
    <t>GAOU2116351</t>
  </si>
  <si>
    <t>CRSU1109414</t>
  </si>
  <si>
    <t>TRHU3295162</t>
  </si>
  <si>
    <t>DFSU3044768</t>
  </si>
  <si>
    <t>GMDU2142244</t>
  </si>
  <si>
    <t>SEKU1473038</t>
  </si>
  <si>
    <t>GMDU2153969</t>
  </si>
  <si>
    <t>GAOU2107637</t>
  </si>
  <si>
    <t>THÁNG 10.2024</t>
  </si>
  <si>
    <t>Trả hàng + đóng hàng KH 1/10</t>
  </si>
  <si>
    <t>Trả hàng + đóng hàng KH 2/10</t>
  </si>
  <si>
    <t>Trả hàng NK sáng 3/10</t>
  </si>
  <si>
    <t>Trả hàng + đóng hàng KH 7/10</t>
  </si>
  <si>
    <t>Trả hàng + đóng hàng KH 8/10</t>
  </si>
  <si>
    <t>Trả hàng + đóng hàng KH 9/10</t>
  </si>
  <si>
    <t>Trả hàng NK sáng 11/10 - 12/10</t>
  </si>
  <si>
    <t>Đóng hàng chè chiều 13/10</t>
  </si>
  <si>
    <t>Đóng hàng chè sáng 16/10</t>
  </si>
  <si>
    <t>Trả hàng + đóng hàng KH 18/10</t>
  </si>
  <si>
    <t>Trả hàng + đóng hàng KH 21/10</t>
  </si>
  <si>
    <t>Đóng hàng XK sáng 24/10</t>
  </si>
  <si>
    <t>Trả hàng Vietsun sáng 25/10</t>
  </si>
  <si>
    <t>Đóng hàng KH Vietsun chiều 25/10</t>
  </si>
  <si>
    <t>Đóng hàng chè sáng 30/10 - 31/10</t>
  </si>
  <si>
    <t>HACU2213972</t>
  </si>
  <si>
    <t>TRHU3306251</t>
  </si>
  <si>
    <t>WHSU2569538</t>
  </si>
  <si>
    <t>HACU2162638</t>
  </si>
  <si>
    <t>HACU2244762</t>
  </si>
  <si>
    <t>SEKU1454784</t>
  </si>
  <si>
    <t>OOCU0614524</t>
  </si>
  <si>
    <t>WHSU2508656</t>
  </si>
  <si>
    <t>EGSU3304024</t>
  </si>
  <si>
    <t>SEGU1455390</t>
  </si>
  <si>
    <t>MSKU7899547</t>
  </si>
  <si>
    <t>GMDU2184018</t>
  </si>
  <si>
    <t>CSNU1852378</t>
  </si>
  <si>
    <t>GMDU2140452</t>
  </si>
  <si>
    <t>GMDU2182632</t>
  </si>
  <si>
    <t>MRKU9770135</t>
  </si>
  <si>
    <t>GAOU2113331</t>
  </si>
  <si>
    <t>CMAU2309478</t>
  </si>
  <si>
    <t>TGBU3308749</t>
  </si>
  <si>
    <t>Thanh Lương, Hai Bà Trưng, HN - Kim Bảng, Hà Nam</t>
  </si>
  <si>
    <t>KCN Tiền Hải, Thái Bình - Kim Bảng, Hà Nam</t>
  </si>
  <si>
    <t>Trung Hòa, Yên Mỹ, Hưng Yên</t>
  </si>
  <si>
    <t>Ngũ Hiệp, Thanh Trì + Hà Đông, HN - Phủ Lý, Hà Nam</t>
  </si>
  <si>
    <t>Châu Sơn, Phủ Lý, Hà Nam - Phủ Lý, Hà Nam</t>
  </si>
  <si>
    <t>Kim Nỗ, Đông Anh, Hà Nội - Mỹ Hào, Hưng Yên</t>
  </si>
  <si>
    <t>Mỹ Bằng, Yên Sơn, Tuyên Quang + Ba Vì, Hà Nội</t>
  </si>
  <si>
    <t>Khu 8, Đồng Xuân, Thanh Ba, Phú Thọ</t>
  </si>
  <si>
    <t>KCN Phú Nghĩa, Chương Mỹ, Hà Nội - Phủ Lý, H Nam</t>
  </si>
  <si>
    <t>Đỗ Xá, Thường Tín, Hà Nội</t>
  </si>
  <si>
    <t>Phúc Thắng, Phúc Yên, VP - Văn Lâm, Hưng Yên</t>
  </si>
  <si>
    <t>Dương Xá, Gia Lâm, Hà Nội</t>
  </si>
  <si>
    <t>Phú Nham, Phù Ninh, Phú Thọ</t>
  </si>
  <si>
    <t xml:space="preserve">Thanh toán tiền chèn hậu, thay bóng xin nhan, càu chì, rơle xin nhan và pha xe 15C-070.63 ngày 05/7 </t>
  </si>
  <si>
    <t>Thanh toán tiền Bảo hiểm TNDS xe 15C-070.63 ngày 21/6</t>
  </si>
  <si>
    <t>Thay bộ ray trượt ghế lái xe 15C-070.63 ngày 03/08</t>
  </si>
  <si>
    <t>Thay bóng cabin MF to PW xe 15C-070.63 ngày 4/8</t>
  </si>
  <si>
    <t xml:space="preserve">Thay ngáo hơi cao su non xe 15C-070.63 </t>
  </si>
  <si>
    <t>Thanh toán tiền thay xương u, hàn đinh xe 15C-070.63</t>
  </si>
  <si>
    <t>Thay lốc lạnh, giàn nóng, van điều iết, phin lọc ga, áp cao điều hòa, ống lạnh, gioăng sim, bơm ga+ dầu lạnh xe 15C-070.63 ngày 21/7</t>
  </si>
  <si>
    <t>Thanh toán tiền 01 lốp 11.00R20 Gubao386 ngày 31/7 cho xe 15C-070.63</t>
  </si>
  <si>
    <t>Thanh toán tiền đảo lốp cũ, đóng số xe 15C-070.63 ngày 12/8</t>
  </si>
  <si>
    <t>Thanh tóan 1 bóng pha tròn, 2 bóng cắm xin nhan, 01 bóng 1 rắc xin nhan, 2 giá rơle, công thợ xe 15C-070.63 ngày 19/8</t>
  </si>
  <si>
    <t xml:space="preserve">Thanh toán tiền lốp 1100R20 Black lion 260 xe 15C-070.63 ngày 12/8 </t>
  </si>
  <si>
    <t>Thanh toán tiền đèn sườn xoài 204 đui + bóng đẹp xe 15C-070.63 ngày 27/8</t>
  </si>
  <si>
    <t>Thanh toán tiền hàn đắp 2 đinh đầu, hàn treo tay quay moóc xe 15C-070.63 ngày 27/08</t>
  </si>
  <si>
    <t>Thanh toán tiền mua 2 bạc nhíp lái, 1 chân cabi, công thay xe 15C-070.63 ngày 2/6</t>
  </si>
  <si>
    <t>Thanh toán tiền mua bulong, bách đờ giảm xóc, 1 giảm xóc, bộ nhíp tải, công làm xe 15C-070.63 ngày 23/6</t>
  </si>
  <si>
    <t xml:space="preserve">Thanh toán bạc rotin càng côn, công làm xe 15C-070.63 ngày 12/7 </t>
  </si>
  <si>
    <t>Thanh toán tiền bảo dưỡng 4 mayơ, moóc tán phanh, 4 bộ phanh moóc, 2 vòng bi moóc, 4 bộ lò xo phanh, 
mỡ 8 cân xe 15C-070.63 ngày 14/7</t>
  </si>
  <si>
    <t>Thanh toán tiền ép bạc tay giằng cầu , 4 ốc tay giằng, công làm 1 tay giằng xe 15C-070.63 ngày 02/7</t>
  </si>
  <si>
    <t>Thanh toán tăng bua đầu kéo B18 4 cái xe 15C-070.63 ngày 03/9</t>
  </si>
  <si>
    <t xml:space="preserve">Thanh toán tiền đăng kiểm rơ moóc xe 15R-128.07 cho xe 15C-070.63 </t>
  </si>
  <si>
    <t>Thanh toán tiền lọc nhớt P552100, lọc nhiên liệu P550757 xe 15C-070.63 ngày 09/9</t>
  </si>
  <si>
    <t>Thanh toán tiền thay 1 quả bóng hơi tải, 1 bát phanh moóc xe 15C-070.63 ngày 19/8</t>
  </si>
  <si>
    <t>Thanh toán tiền thay bóng nhôm XM xe 15C-070.63 ngày 13/9</t>
  </si>
  <si>
    <t>Thanh toán tiền mua 2 bóng đèn pha, 3 zắc đèn pha, công làm xe 15C-070.63 ngày 19/9</t>
  </si>
  <si>
    <t>Thanh toán sửa điện xin nhan xe 15C-070.63 ngày 16/9</t>
  </si>
  <si>
    <t>Thanh toán tiền làm điện quạt gió động cơ xe 15C-070.63 ngày 9/9</t>
  </si>
  <si>
    <t>Thanh toán tiền đăng kiểm đầu kéo xe 15C-070.63</t>
  </si>
  <si>
    <t>Thanh toán tiền đèn gầm xe 15C-070.63 ngày 20.9</t>
  </si>
  <si>
    <t>Thanh toán tiền bơm mỡ đầu moóc xe 15C-070.63 ngày 20.9</t>
  </si>
  <si>
    <t>Thanh toán tiền đóng bạc 3 dọc, mua đầu A cơ, phanh A cơ, bánh răng, dầu cầu 5 lít, công làm hộp số xe 15C-070.63 ngày 26/8</t>
  </si>
  <si>
    <t xml:space="preserve">Thanh toán tiền sửa bóng hơi tầm đêm xe 15C-070.63 </t>
  </si>
  <si>
    <t>Thanh toán tiền mua côn 39 WC cho xe 15C-070.63 ngày 19/9</t>
  </si>
  <si>
    <t>Thanh toán tiền phanh a cơ ET cho xe 15C-070.63 ngày 19/9</t>
  </si>
  <si>
    <t>Thanh toán tiền bóng nhôm XM cho xe 15C-070.63 ngày 23/9</t>
  </si>
  <si>
    <t>Thanh toán tiền thay 2 rơle đèn pha bé, công làm điện xe 15C-070.63 ngày 03/10</t>
  </si>
  <si>
    <t>Thanh toán tiền bảo dưỡng của đề máy phát, thay răng đề xe 15C-070.63</t>
  </si>
  <si>
    <t>Thanh toán tiền hàn ốp cầu bi nứt xe 15C-070.63 ngày 10/10</t>
  </si>
  <si>
    <t>Thanh toán tiền lắp pha tròn , pha hậu xe 15C-070.63 ngày 16/10</t>
  </si>
  <si>
    <t>Thanh toán tiền thay 1 Lốp 295/75R225 Balck lion 188 xe 15C-070.63 ngày 11/9</t>
  </si>
  <si>
    <t>Thanh toán tiền nắn bản lề capo, đắp dáu, tháo nắn mặt, bắt quây BĐS xe 15C-070.63 ngày 15/9</t>
  </si>
  <si>
    <t>Thanh toán tiền hàn tay gương, nắm ốp cản sau thay hàn giằng ốp xe 15C-070.63 ngày 07/4</t>
  </si>
  <si>
    <t>Thanh toán thay săm xe 15C-070.63 ngày 23/10</t>
  </si>
  <si>
    <t>Mua 2 phớt mayơ tải, 4 bộ lò xo, tán 4 bộ phanh đầu ké , công làm xe 15C-070.63 ngày 2.9</t>
  </si>
  <si>
    <t>Lóng mâm trung gian, mặt gương bàn ép, hạ côn xe 15C-070.63 ngày 19.9</t>
  </si>
  <si>
    <t>Thanh toán tiền thay bóng đèn pha bé xe 15C-070.63 ngày 28/10</t>
  </si>
  <si>
    <t>Mua phớt sau, bi chữ thập, gạch nhíp, bu lông , ốc tắc kê, công thay xe 15C-070.63 ngày 10/10</t>
  </si>
  <si>
    <t>Thay santan nhíp, bạc nhíp lái, lõi nhíp , công thợ xe 15C-070.63 ngày 03/10</t>
  </si>
  <si>
    <t>Thay phớt mayơ cầu sau, bi may ơ, thay dầu cầu sau, công thợ xe 15C-070.63 ngày 23/10</t>
  </si>
  <si>
    <t>Thanh toán tiền nước làm mát xe 15C-139.82; 15C-136.31; 15C-070.63; 15C-180.99 ngày 16/10</t>
  </si>
  <si>
    <t>Thanh toán tiền bảo dưỡng hộp chia, chế 1 cút đòng, sửa quả lốc kê đầu, thay van khóa bình xe 15C-070.63 ngày 28/10</t>
  </si>
  <si>
    <t>Thanh toán tiền sửa điện chìa khóa đồng hồ táp nô xe 15C-070.63 ngày 29/10</t>
  </si>
  <si>
    <t>Mua bạc tay giằng, công tháo lắp, kéo chỉnh nhíp bóng cầu, thay bóng hơi xe 15C-070.63 ngày 13/9</t>
  </si>
  <si>
    <t>Thanh toán tiền thay zơle ngắt, công thợ xe 15C-070.63 ngày 09/9</t>
  </si>
  <si>
    <t>Thanh toán thay dàn nóng, bơm ga- dầu lạnh, công xe 15C-070.63 ngày 03/9</t>
  </si>
  <si>
    <t>Lương lái xe (24/26)</t>
  </si>
  <si>
    <t>Chi tiền thưởng 2-9</t>
  </si>
  <si>
    <t>THÁNG 11.2024</t>
  </si>
  <si>
    <t>Đóng hàng XK sáng 4/11</t>
  </si>
  <si>
    <t>Trả hàng + đóng hàng KH 5/11</t>
  </si>
  <si>
    <t>Trả hàng + đóng hàng KH 6/11</t>
  </si>
  <si>
    <t>Đóng hàng chè sáng 7/11</t>
  </si>
  <si>
    <t>Trả hàng + đóng hàng KH 8/11</t>
  </si>
  <si>
    <t>Trả hàng + đóng hàng KH 9/11</t>
  </si>
  <si>
    <t>Trả hàng Vietsun sáng 12/11</t>
  </si>
  <si>
    <t>Đóng hàng chè chiều 13/11</t>
  </si>
  <si>
    <t>Đóng hàng chè sáng 15/11</t>
  </si>
  <si>
    <t>Đóng hàng chè chiều 19/11</t>
  </si>
  <si>
    <t>Trả hàng + đóng hàng KH 26/11</t>
  </si>
  <si>
    <t>Đóng hàng bình khí sáng 27/11</t>
  </si>
  <si>
    <t>Vận chuyển hàng đi hạ cảng sáng 27/11</t>
  </si>
  <si>
    <t>Đóng hàng chè sáng 28/11</t>
  </si>
  <si>
    <t>EISU2030093</t>
  </si>
  <si>
    <t>GMDU2153995</t>
  </si>
  <si>
    <t>TCLU2416850</t>
  </si>
  <si>
    <t>WHSU2770080</t>
  </si>
  <si>
    <t>SEGU3972330</t>
  </si>
  <si>
    <t>HACU2245706</t>
  </si>
  <si>
    <t>GAOU2109250</t>
  </si>
  <si>
    <t>TGBU3499012</t>
  </si>
  <si>
    <t>EGSU3606256</t>
  </si>
  <si>
    <t>TGBU2019417</t>
  </si>
  <si>
    <t>TGCU0116670</t>
  </si>
  <si>
    <t>FYCU7128079</t>
  </si>
  <si>
    <t>GMDU2183686</t>
  </si>
  <si>
    <t>GMDU2184384</t>
  </si>
  <si>
    <t>GMDU2185478</t>
  </si>
  <si>
    <t>GMDU2153207</t>
  </si>
  <si>
    <t>DRYU3084060</t>
  </si>
  <si>
    <t>MRKU9007139</t>
  </si>
  <si>
    <t>TRLU9369949</t>
  </si>
  <si>
    <t>YMMU1044504</t>
  </si>
  <si>
    <t>MSDU2705962</t>
  </si>
  <si>
    <t>TT Phùng, Đan Phượng, Hà Nội - Lập Thạch, VP</t>
  </si>
  <si>
    <t>KCN Phố Nối A, Văn Lâm, HY - Kim Bảng, HNam</t>
  </si>
  <si>
    <t>Vĩnh Quỳnh, Thanh Trì, Hà Nội - Kim Bảng, Hà Nam</t>
  </si>
  <si>
    <t>KCN Trung Thành, Phổ Yên, T Nguyên - Tiên Sơn, BN</t>
  </si>
  <si>
    <t>KCN Song Khê - Nội Hoàng, Yên Dũng, Bắc Giang</t>
  </si>
  <si>
    <t>KCN Hà Bình Phương, T Tín, HN - Văn Lâm, HY</t>
  </si>
  <si>
    <t>KCN Thanh Thúy, Thanh Oai, HN - Kiện Khê, Hà Nam</t>
  </si>
  <si>
    <t>KCN Thăng Long 2, Mỹ Hào, HY - Kim Bảng, Hà Nam</t>
  </si>
  <si>
    <t>KCN Thanh Thúy, Thanh Oai, HN - Kim Bảng, Hà Nam</t>
  </si>
  <si>
    <t>KCN Thanh Thúy, Thanh Oai, HN - Chỉ Đạo, Hưng Yên</t>
  </si>
  <si>
    <t>Kho DDC Hải Phòng - HCM - Củ Chi, HCM</t>
  </si>
  <si>
    <t>Cảng Lạch Huyện, Cát Hải, Hải Phòng</t>
  </si>
  <si>
    <t>THÁNG 12.2024</t>
  </si>
  <si>
    <t>Trả hàng + đóng hàng KH 2/12</t>
  </si>
  <si>
    <t>Trả hàng Vietsun sáng 3/12</t>
  </si>
  <si>
    <t>Trả hàng + đóng hàng KH 4/12</t>
  </si>
  <si>
    <t>Trả hàng + đóng hàng KH 5/12</t>
  </si>
  <si>
    <t>Trả hàng Vietsun sáng 6/12</t>
  </si>
  <si>
    <t>Đóng hàng KH chiều 6/12</t>
  </si>
  <si>
    <t>Trả hàng Vietsun sáng 7/12</t>
  </si>
  <si>
    <t>Đóng hàng KH chiều 7/12</t>
  </si>
  <si>
    <t>Đóng hàng chè sáng 9/12</t>
  </si>
  <si>
    <t>Trả hàng + đóng hàng KH 10/12</t>
  </si>
  <si>
    <t>Trả hàng Vietsun sáng 11/12</t>
  </si>
  <si>
    <t>Đóng hàng KH Vietsun chiều 11/12</t>
  </si>
  <si>
    <t>Trả hàng Vietsun sáng 14/12</t>
  </si>
  <si>
    <t>Đóng hàng KH Vietsun chiều 27/12</t>
  </si>
  <si>
    <t>Trả hàng Vietsun sáng 30/12</t>
  </si>
  <si>
    <t>Đóng hàng KH chiều 30/12</t>
  </si>
  <si>
    <t>Trả hàng + đóng hàng KH 31/12</t>
  </si>
  <si>
    <t>GMDU2152387</t>
  </si>
  <si>
    <t>VSGU2242174</t>
  </si>
  <si>
    <t>TCKU1838128</t>
  </si>
  <si>
    <t>CAIU3320519</t>
  </si>
  <si>
    <t>GAOU2111827</t>
  </si>
  <si>
    <t>DRYU2853690</t>
  </si>
  <si>
    <t>EISU2286700</t>
  </si>
  <si>
    <t>VSGU2242657</t>
  </si>
  <si>
    <t>GMDU2184701</t>
  </si>
  <si>
    <t>TRHU3295500</t>
  </si>
  <si>
    <t>GAOU2110538</t>
  </si>
  <si>
    <t>GMDU2180429</t>
  </si>
  <si>
    <t>GMDU2181976</t>
  </si>
  <si>
    <t>GMDU2183840</t>
  </si>
  <si>
    <t>HNSU2074027</t>
  </si>
  <si>
    <t>HACU2212282</t>
  </si>
  <si>
    <t>DFSU1705745</t>
  </si>
  <si>
    <t>GMDU2183768</t>
  </si>
  <si>
    <t>GMDU2183177</t>
  </si>
  <si>
    <t>GAOU2134062</t>
  </si>
  <si>
    <t>DRYU3093632</t>
  </si>
  <si>
    <t>GAOU2113394</t>
  </si>
  <si>
    <t>GAOU2114343</t>
  </si>
  <si>
    <t>GLDU9496166</t>
  </si>
  <si>
    <t>Phan Trọng Tuệ, Thanh Trì,  HN - Phủ Lý, Hà Nam</t>
  </si>
  <si>
    <t>QL 38B, Lộc Vượng, Nam Định - Kim Bảng, Hà Nam</t>
  </si>
  <si>
    <t>Minh Phú, Sóc Sơn, Hà Nội</t>
  </si>
  <si>
    <t>Thanh Sơn, Thanh Liêm, Hà Nam</t>
  </si>
  <si>
    <t>Nông Trang, Việt Trì, Phú Thọ - Tam Nông, Phú Thọ</t>
  </si>
  <si>
    <t>Sài Đồng B, L Biên + Phú Lãm, H Đông + Ch Sơn, HN</t>
  </si>
  <si>
    <t>Phủ Lỗ, Sóc Sơn, Hà Nội - Kiện Khê, Hà Nam</t>
  </si>
  <si>
    <t>KCN Thanh Thúy, Thanh Oai, HNội - Kim Bảng, HNam</t>
  </si>
  <si>
    <t>KCN Thanh Thúy, Thanh Oai, HNội - Kiện Khê, HNam</t>
  </si>
  <si>
    <t>Phúc Thắng, Phúc Yên, VP - KCN Khai Quang, V Phúc</t>
  </si>
  <si>
    <t>TT Phúc Thọ, Phúc Thọ, Hà Nội - Kim Bảng, Hà Nam</t>
  </si>
  <si>
    <t>Tứ Hiệp, Thanh Trì, Hà Nội - Thanh Liêm, Hà Nam</t>
  </si>
  <si>
    <t>KCN Thanh Thúy, Thanh Oai, HN - Văn Lâm, H. Yên</t>
  </si>
  <si>
    <t>Thanh Trì + An Khánh, Hoài Đức, HN - T Liêm, HNam</t>
  </si>
  <si>
    <t>KCN Châu Sơn, Phủ Lý, Hà Nam</t>
  </si>
  <si>
    <t>Bình Phú, Phù Ninh, Phú Thọ - G Lai, Thanh Sơn, PT</t>
  </si>
  <si>
    <t>Thanh toán tiền thay dây hơi xe 15C-070.63</t>
  </si>
  <si>
    <t>Thanh toán tiền làm chắn bùn moóc sau, hàn táp biển số, hàn táp chắn bùn xe 15C-070.63</t>
  </si>
  <si>
    <t>Thanh toán tiền vặn lại ốc chân ghế xe 15C-070.63</t>
  </si>
  <si>
    <t>Thanh toán tiền đèn xe 15C-070.63 ngày 09/11</t>
  </si>
  <si>
    <t>Thanh toán tiền sửa đèn xin nhan xe 15C-070.63</t>
  </si>
  <si>
    <t>Thanh toán tiền Lọc nhớt detroit P552100, lọc nhiên liệu P550757, lọc nhiên liệu P502552 cho xe 15C-070.63 ngày 21/11</t>
  </si>
  <si>
    <t>Thanh toán tiền làm zơle điện xe 15C-070.63 ngày 25.11</t>
  </si>
  <si>
    <t>Thanh toán tiền mua seal tạm cho xe 15C-136.31; 15C-139.82; 15C-070.63; 15C-180.99</t>
  </si>
  <si>
    <t>Thanh toán Săm yếm xe 15C-070.63 ngày 28/10</t>
  </si>
  <si>
    <t>Thanh toán tiền dầu cho xe 15C-136.31; 15C-139.82; 15C-180.99; 15C-070.63</t>
  </si>
  <si>
    <t>Thanh toán tiền thay nhíp ngao, bạc 57 XM, San tan 12 công ép bạc xe 15C-070.63 ngày 10/11</t>
  </si>
  <si>
    <t>Thanh toán tiền làm lốp, thay xăm xe 15C-070.63 ngày 15/12</t>
  </si>
  <si>
    <t>Thanh toán thay zắc bơm nước kính xe 15C-070.63 ngày 15/12</t>
  </si>
  <si>
    <t xml:space="preserve">Thanh toán tiền tháo lắp, hàn, thay chân đỡ két nước xe 15C-070.63 </t>
  </si>
  <si>
    <t>Thanh toán tiền thay đế bóng, tháo lắp xe 15C-070.63 ngày 23.12</t>
  </si>
  <si>
    <t>Thanh toán tiền đảo lốp xe 15C-070.63 ngày 23.12</t>
  </si>
  <si>
    <t>Săm + yếm 1100-20 TSL xe 15C-070.63 ngày 16/12</t>
  </si>
  <si>
    <t>Xe 15C-070.63 thay lốp Lốp 1100R20 Blacklion BA267 ngày 23/12</t>
  </si>
  <si>
    <t>Thanh toán tiền thay 1 con rơle điện, sửa quạt gió xe 15C-070.63 ngày 15/12</t>
  </si>
  <si>
    <t>Thanh toán tiền sửa bộ tay giật lốc kê, 1 van 1 chiều, tháo lắp tay đầm số, chế cút đồng xe 15C-070.63 ngày 16/12</t>
  </si>
  <si>
    <t>Thanh toán tiền mua phớt đuôi cá, công thay phớt xe 15C-070.63 ngày 01/11</t>
  </si>
  <si>
    <t>Thanh toán công làm 1 bộ nhíp lái xe 15C-070.63 ngày 11/11</t>
  </si>
  <si>
    <t>Thanh toán tiền mua 1 bạc nhíp tải, công thay xe 15C-070.63 ngày 20/11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</si>
</sst>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1010000]d/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i/>
      <sz val="10"/>
      <color rgb="FFFF0000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i/>
      <sz val="10"/>
      <name val="Arial Narrow"/>
      <family val="2"/>
    </font>
    <font>
      <i/>
      <sz val="10"/>
      <color rgb="FFFF0000"/>
      <name val="Arial"/>
      <family val="2"/>
    </font>
    <font>
      <i/>
      <strike/>
      <sz val="10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8BFC2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2">
    <xf numFmtId="0" fontId="0" fillId="0" borderId="0" xfId="0"/>
    <xf numFmtId="0" fontId="4" fillId="0" borderId="0" xfId="0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164" fontId="4" fillId="0" borderId="2" xfId="1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7" fillId="0" borderId="2" xfId="0" applyFont="1" applyBorder="1" applyAlignment="1">
      <alignment vertical="center" wrapText="1"/>
    </xf>
    <xf numFmtId="3" fontId="7" fillId="3" borderId="2" xfId="0" applyNumberFormat="1" applyFont="1" applyFill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3" fontId="6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65" fontId="5" fillId="3" borderId="4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165" fontId="4" fillId="0" borderId="2" xfId="0" applyNumberFormat="1" applyFont="1" applyBorder="1" applyAlignment="1">
      <alignment vertical="center"/>
    </xf>
    <xf numFmtId="3" fontId="7" fillId="0" borderId="2" xfId="0" applyNumberFormat="1" applyFont="1" applyBorder="1" applyAlignment="1">
      <alignment vertical="center"/>
    </xf>
    <xf numFmtId="3" fontId="10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13" fillId="0" borderId="3" xfId="0" applyFont="1" applyBorder="1" applyAlignment="1">
      <alignment horizontal="center"/>
    </xf>
    <xf numFmtId="3" fontId="13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3" fontId="0" fillId="0" borderId="3" xfId="0" applyNumberFormat="1" applyBorder="1"/>
    <xf numFmtId="3" fontId="13" fillId="0" borderId="3" xfId="0" applyNumberFormat="1" applyFont="1" applyBorder="1"/>
    <xf numFmtId="10" fontId="0" fillId="0" borderId="0" xfId="0" applyNumberFormat="1"/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3" fontId="0" fillId="3" borderId="3" xfId="0" applyNumberFormat="1" applyFill="1" applyBorder="1"/>
    <xf numFmtId="165" fontId="4" fillId="0" borderId="2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3" fontId="7" fillId="4" borderId="2" xfId="0" applyNumberFormat="1" applyFont="1" applyFill="1" applyBorder="1" applyAlignment="1">
      <alignment vertical="center"/>
    </xf>
    <xf numFmtId="3" fontId="4" fillId="5" borderId="2" xfId="0" applyNumberFormat="1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vertical="center"/>
    </xf>
    <xf numFmtId="3" fontId="3" fillId="6" borderId="3" xfId="0" applyNumberFormat="1" applyFont="1" applyFill="1" applyBorder="1" applyAlignment="1">
      <alignment vertical="center"/>
    </xf>
    <xf numFmtId="164" fontId="3" fillId="6" borderId="3" xfId="1" applyNumberFormat="1" applyFont="1" applyFill="1" applyBorder="1" applyAlignment="1">
      <alignment vertical="center"/>
    </xf>
    <xf numFmtId="3" fontId="4" fillId="0" borderId="11" xfId="0" applyNumberFormat="1" applyFont="1" applyBorder="1" applyAlignment="1">
      <alignment vertical="center"/>
    </xf>
    <xf numFmtId="3" fontId="4" fillId="0" borderId="12" xfId="0" applyNumberFormat="1" applyFont="1" applyBorder="1" applyAlignment="1">
      <alignment vertical="center"/>
    </xf>
    <xf numFmtId="3" fontId="4" fillId="0" borderId="13" xfId="0" applyNumberFormat="1" applyFont="1" applyBorder="1" applyAlignment="1">
      <alignment vertical="center"/>
    </xf>
    <xf numFmtId="3" fontId="15" fillId="0" borderId="2" xfId="0" applyNumberFormat="1" applyFont="1" applyBorder="1" applyAlignment="1">
      <alignment horizontal="right" wrapText="1"/>
    </xf>
    <xf numFmtId="3" fontId="4" fillId="4" borderId="2" xfId="0" applyNumberFormat="1" applyFont="1" applyFill="1" applyBorder="1" applyAlignment="1">
      <alignment vertical="center"/>
    </xf>
    <xf numFmtId="3" fontId="15" fillId="3" borderId="2" xfId="0" applyNumberFormat="1" applyFont="1" applyFill="1" applyBorder="1" applyAlignment="1">
      <alignment horizontal="right" wrapText="1"/>
    </xf>
    <xf numFmtId="3" fontId="4" fillId="7" borderId="2" xfId="0" applyNumberFormat="1" applyFont="1" applyFill="1" applyBorder="1" applyAlignment="1">
      <alignment vertical="center"/>
    </xf>
    <xf numFmtId="3" fontId="10" fillId="4" borderId="2" xfId="0" applyNumberFormat="1" applyFont="1" applyFill="1" applyBorder="1" applyAlignment="1">
      <alignment vertical="center"/>
    </xf>
    <xf numFmtId="3" fontId="4" fillId="0" borderId="2" xfId="0" applyNumberFormat="1" applyFont="1" applyBorder="1" applyAlignment="1">
      <alignment horizontal="right" wrapText="1"/>
    </xf>
    <xf numFmtId="0" fontId="4" fillId="0" borderId="14" xfId="0" applyFont="1" applyBorder="1" applyAlignment="1">
      <alignment vertical="center"/>
    </xf>
    <xf numFmtId="165" fontId="5" fillId="3" borderId="13" xfId="0" applyNumberFormat="1" applyFont="1" applyFill="1" applyBorder="1" applyAlignment="1">
      <alignment vertical="center"/>
    </xf>
    <xf numFmtId="0" fontId="5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3" borderId="14" xfId="0" applyFont="1" applyFill="1" applyBorder="1" applyAlignment="1">
      <alignment vertical="center"/>
    </xf>
    <xf numFmtId="3" fontId="4" fillId="0" borderId="14" xfId="0" applyNumberFormat="1" applyFont="1" applyBorder="1" applyAlignment="1">
      <alignment vertical="center"/>
    </xf>
    <xf numFmtId="164" fontId="4" fillId="0" borderId="14" xfId="1" applyNumberFormat="1" applyFont="1" applyBorder="1" applyAlignment="1">
      <alignment vertical="center"/>
    </xf>
    <xf numFmtId="3" fontId="4" fillId="3" borderId="14" xfId="0" applyNumberFormat="1" applyFont="1" applyFill="1" applyBorder="1" applyAlignment="1">
      <alignment vertical="center"/>
    </xf>
    <xf numFmtId="164" fontId="4" fillId="0" borderId="0" xfId="1" applyNumberFormat="1" applyFont="1" applyAlignment="1">
      <alignment vertical="center"/>
    </xf>
    <xf numFmtId="3" fontId="4" fillId="4" borderId="0" xfId="0" applyNumberFormat="1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0" fontId="18" fillId="8" borderId="0" xfId="0" applyFont="1" applyFill="1"/>
    <xf numFmtId="0" fontId="4" fillId="0" borderId="11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3" fontId="19" fillId="3" borderId="2" xfId="0" applyNumberFormat="1" applyFont="1" applyFill="1" applyBorder="1" applyAlignment="1">
      <alignment vertical="center"/>
    </xf>
    <xf numFmtId="164" fontId="4" fillId="0" borderId="14" xfId="1" applyNumberFormat="1" applyFont="1" applyFill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164" fontId="3" fillId="0" borderId="3" xfId="1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3" fontId="7" fillId="6" borderId="2" xfId="0" applyNumberFormat="1" applyFont="1" applyFill="1" applyBorder="1" applyAlignment="1">
      <alignment vertical="center"/>
    </xf>
    <xf numFmtId="3" fontId="15" fillId="0" borderId="0" xfId="0" applyNumberFormat="1" applyFont="1" applyAlignment="1">
      <alignment horizontal="right" wrapText="1"/>
    </xf>
    <xf numFmtId="3" fontId="15" fillId="3" borderId="0" xfId="0" applyNumberFormat="1" applyFont="1" applyFill="1" applyAlignment="1">
      <alignment horizontal="right" wrapText="1"/>
    </xf>
    <xf numFmtId="0" fontId="7" fillId="4" borderId="2" xfId="0" applyFont="1" applyFill="1" applyBorder="1" applyAlignment="1">
      <alignment vertical="center"/>
    </xf>
    <xf numFmtId="3" fontId="5" fillId="3" borderId="2" xfId="0" applyNumberFormat="1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0" fillId="0" borderId="12" xfId="0" applyFont="1" applyBorder="1" applyAlignment="1">
      <alignment wrapText="1"/>
    </xf>
    <xf numFmtId="0" fontId="7" fillId="0" borderId="18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3" fontId="10" fillId="3" borderId="2" xfId="0" applyNumberFormat="1" applyFont="1" applyFill="1" applyBorder="1" applyAlignment="1">
      <alignment vertical="center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3" fontId="4" fillId="4" borderId="11" xfId="0" applyNumberFormat="1" applyFont="1" applyFill="1" applyBorder="1" applyAlignment="1">
      <alignment vertical="center"/>
    </xf>
    <xf numFmtId="3" fontId="4" fillId="4" borderId="12" xfId="0" applyNumberFormat="1" applyFont="1" applyFill="1" applyBorder="1" applyAlignment="1">
      <alignment vertical="center"/>
    </xf>
    <xf numFmtId="165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20" fillId="0" borderId="0" xfId="0" applyFont="1"/>
    <xf numFmtId="0" fontId="20" fillId="0" borderId="2" xfId="0" applyFont="1" applyBorder="1"/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3" fontId="4" fillId="3" borderId="11" xfId="0" applyNumberFormat="1" applyFont="1" applyFill="1" applyBorder="1" applyAlignment="1">
      <alignment vertical="center"/>
    </xf>
    <xf numFmtId="3" fontId="4" fillId="3" borderId="1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164" fontId="5" fillId="3" borderId="2" xfId="1" applyNumberFormat="1" applyFont="1" applyFill="1" applyBorder="1" applyAlignment="1">
      <alignment vertical="center"/>
    </xf>
    <xf numFmtId="3" fontId="3" fillId="9" borderId="3" xfId="0" applyNumberFormat="1" applyFont="1" applyFill="1" applyBorder="1" applyAlignment="1">
      <alignment vertical="center"/>
    </xf>
    <xf numFmtId="0" fontId="7" fillId="0" borderId="11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3" fontId="12" fillId="4" borderId="0" xfId="0" applyNumberFormat="1" applyFont="1" applyFill="1" applyAlignment="1">
      <alignment vertical="center"/>
    </xf>
    <xf numFmtId="164" fontId="3" fillId="3" borderId="3" xfId="1" applyNumberFormat="1" applyFont="1" applyFill="1" applyBorder="1" applyAlignment="1">
      <alignment vertical="center"/>
    </xf>
    <xf numFmtId="0" fontId="7" fillId="3" borderId="21" xfId="0" applyFont="1" applyFill="1" applyBorder="1" applyAlignment="1">
      <alignment horizontal="left" vertical="center" wrapText="1"/>
    </xf>
    <xf numFmtId="164" fontId="4" fillId="0" borderId="0" xfId="0" applyNumberFormat="1" applyFont="1" applyAlignment="1">
      <alignment vertical="center"/>
    </xf>
    <xf numFmtId="3" fontId="5" fillId="6" borderId="2" xfId="0" applyNumberFormat="1" applyFont="1" applyFill="1" applyBorder="1" applyAlignment="1">
      <alignment vertical="center"/>
    </xf>
    <xf numFmtId="3" fontId="3" fillId="7" borderId="3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7" fillId="3" borderId="19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3" fontId="19" fillId="7" borderId="2" xfId="0" applyNumberFormat="1" applyFont="1" applyFill="1" applyBorder="1" applyAlignment="1">
      <alignment vertical="center"/>
    </xf>
    <xf numFmtId="3" fontId="15" fillId="0" borderId="22" xfId="0" applyNumberFormat="1" applyFont="1" applyBorder="1" applyAlignment="1">
      <alignment horizontal="right" wrapText="1"/>
    </xf>
    <xf numFmtId="1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vertical="center"/>
    </xf>
    <xf numFmtId="0" fontId="7" fillId="4" borderId="19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3" fontId="3" fillId="10" borderId="3" xfId="0" applyNumberFormat="1" applyFont="1" applyFill="1" applyBorder="1" applyAlignment="1">
      <alignment vertical="center"/>
    </xf>
    <xf numFmtId="3" fontId="4" fillId="11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3" fontId="12" fillId="6" borderId="0" xfId="0" applyNumberFormat="1" applyFont="1" applyFill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14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20" fillId="0" borderId="11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7" fillId="0" borderId="18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3" borderId="16" xfId="0" applyFont="1" applyFill="1" applyBorder="1" applyAlignment="1">
      <alignment vertical="center" wrapText="1"/>
    </xf>
    <xf numFmtId="0" fontId="7" fillId="3" borderId="17" xfId="0" applyFont="1" applyFill="1" applyBorder="1" applyAlignment="1">
      <alignment vertical="center" wrapText="1"/>
    </xf>
    <xf numFmtId="0" fontId="7" fillId="3" borderId="18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15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21" fillId="3" borderId="11" xfId="0" applyFont="1" applyFill="1" applyBorder="1" applyAlignment="1">
      <alignment horizontal="left" vertical="center" wrapText="1"/>
    </xf>
    <xf numFmtId="0" fontId="21" fillId="3" borderId="15" xfId="0" applyFont="1" applyFill="1" applyBorder="1" applyAlignment="1">
      <alignment horizontal="left" vertical="center" wrapText="1"/>
    </xf>
    <xf numFmtId="0" fontId="21" fillId="3" borderId="12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8B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externalLink" Target="externalLinks/externalLink1.xml"/><Relationship Id="rId85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externalLink" Target="externalLinks/externalLink2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ANH\THEO%20DOI%20DOANH%20THU%20CHI%20PHI%20TUNG%20XE\New%20folder\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H/BANG%20LUONG/BANG%20LUONG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 PHI BAN DAU"/>
      <sheetName val="07-2018"/>
      <sheetName val="08-2018"/>
      <sheetName val="09-2018"/>
      <sheetName val="10-2018"/>
      <sheetName val="11.2018"/>
      <sheetName val="12.2018"/>
      <sheetName val="1.2019"/>
      <sheetName val="2.2019"/>
      <sheetName val="3.2019"/>
      <sheetName val="4.2019"/>
      <sheetName val="5.2019"/>
      <sheetName val="6.2019"/>
      <sheetName val="7.2019"/>
      <sheetName val="8.2019"/>
      <sheetName val="9.2019"/>
      <sheetName val="10.2019"/>
      <sheetName val="11.2019"/>
      <sheetName val="12.2019"/>
      <sheetName val="01.2020"/>
      <sheetName val="02.2020"/>
      <sheetName val="03.2020"/>
      <sheetName val="04.2020"/>
      <sheetName val="05.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4">
          <cell r="Q44">
            <v>121152029.45454545</v>
          </cell>
        </row>
      </sheetData>
      <sheetData sheetId="23">
        <row r="37">
          <cell r="Q37">
            <v>34831047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2020"/>
      <sheetName val="02.2020"/>
      <sheetName val="03.2020"/>
      <sheetName val="04.2020"/>
      <sheetName val="05.2020"/>
      <sheetName val="06.2020 "/>
      <sheetName val="07.2020"/>
      <sheetName val="08.2020"/>
      <sheetName val="09.2020"/>
      <sheetName val="10.2020"/>
      <sheetName val="11.2020"/>
      <sheetName val="12.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K9">
            <v>8307692.307692307</v>
          </cell>
        </row>
        <row r="12">
          <cell r="K12">
            <v>8307692.307692307</v>
          </cell>
        </row>
      </sheetData>
      <sheetData sheetId="9">
        <row r="9">
          <cell r="K9">
            <v>9000000</v>
          </cell>
        </row>
        <row r="12">
          <cell r="K12">
            <v>9692307.692307692</v>
          </cell>
        </row>
      </sheetData>
      <sheetData sheetId="10">
        <row r="9">
          <cell r="K9">
            <v>7615384.615384615</v>
          </cell>
        </row>
        <row r="12">
          <cell r="K12">
            <v>4500000</v>
          </cell>
        </row>
        <row r="13">
          <cell r="K13">
            <v>3807692.3076923075</v>
          </cell>
        </row>
      </sheetData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han Kim Phung" id="{DC6BE70D-41EB-4295-BCE6-E801044FC43D}" userId="acb7a17a75687446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" dT="2023-10-04T08:04:00.61" personId="{DC6BE70D-41EB-4295-BCE6-E801044FC43D}" id="{0F19E6B2-A70B-4328-9F33-FA4E9B69AE5D}">
    <text>Lưu ca xe 200k của chuyến ngày 30 - 31/12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9.bin"/><Relationship Id="rId4" Type="http://schemas.microsoft.com/office/2017/10/relationships/threadedComment" Target="../threadedComments/threadedComment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B21" sqref="B21"/>
    </sheetView>
  </sheetViews>
  <sheetFormatPr defaultRowHeight="15" x14ac:dyDescent="0.25"/>
  <cols>
    <col min="2" max="2" width="74.140625" customWidth="1"/>
    <col min="3" max="3" width="16.28515625" customWidth="1"/>
    <col min="4" max="4" width="23.7109375" customWidth="1"/>
  </cols>
  <sheetData>
    <row r="1" spans="1:4" ht="18.75" x14ac:dyDescent="0.3">
      <c r="A1" s="163" t="s">
        <v>39</v>
      </c>
      <c r="B1" s="163"/>
      <c r="C1" s="163"/>
      <c r="D1" s="163"/>
    </row>
    <row r="2" spans="1:4" x14ac:dyDescent="0.25">
      <c r="A2" s="32"/>
      <c r="C2" s="33"/>
    </row>
    <row r="3" spans="1:4" x14ac:dyDescent="0.25">
      <c r="A3" s="34" t="s">
        <v>1</v>
      </c>
      <c r="B3" s="34" t="s">
        <v>35</v>
      </c>
      <c r="C3" s="35" t="s">
        <v>36</v>
      </c>
      <c r="D3" s="34" t="s">
        <v>37</v>
      </c>
    </row>
    <row r="4" spans="1:4" x14ac:dyDescent="0.25">
      <c r="A4" s="36">
        <v>1</v>
      </c>
      <c r="B4" s="37" t="s">
        <v>40</v>
      </c>
      <c r="C4" s="38">
        <f>249100000+70000000</f>
        <v>319100000</v>
      </c>
      <c r="D4" s="37"/>
    </row>
    <row r="5" spans="1:4" x14ac:dyDescent="0.25">
      <c r="A5" s="36">
        <v>2</v>
      </c>
      <c r="B5" s="37" t="s">
        <v>41</v>
      </c>
      <c r="C5" s="38">
        <v>7200000</v>
      </c>
      <c r="D5" s="37"/>
    </row>
    <row r="6" spans="1:4" x14ac:dyDescent="0.25">
      <c r="A6" s="36">
        <v>3</v>
      </c>
      <c r="B6" s="37" t="s">
        <v>42</v>
      </c>
      <c r="C6" s="38">
        <v>100000</v>
      </c>
      <c r="D6" s="37"/>
    </row>
    <row r="7" spans="1:4" x14ac:dyDescent="0.25">
      <c r="A7" s="36">
        <v>4</v>
      </c>
      <c r="B7" s="37" t="s">
        <v>43</v>
      </c>
      <c r="C7" s="38">
        <v>9120000</v>
      </c>
      <c r="D7" s="37"/>
    </row>
    <row r="8" spans="1:4" x14ac:dyDescent="0.25">
      <c r="A8" s="36">
        <v>5</v>
      </c>
      <c r="B8" s="37" t="s">
        <v>44</v>
      </c>
      <c r="C8" s="38">
        <v>70000</v>
      </c>
      <c r="D8" s="37"/>
    </row>
    <row r="9" spans="1:4" x14ac:dyDescent="0.25">
      <c r="A9" s="36">
        <v>6</v>
      </c>
      <c r="B9" s="37" t="s">
        <v>45</v>
      </c>
      <c r="C9" s="38">
        <v>100000</v>
      </c>
      <c r="D9" s="37"/>
    </row>
    <row r="10" spans="1:4" x14ac:dyDescent="0.25">
      <c r="A10" s="36">
        <v>7</v>
      </c>
      <c r="B10" s="37" t="s">
        <v>46</v>
      </c>
      <c r="C10" s="38">
        <v>200000</v>
      </c>
      <c r="D10" s="37"/>
    </row>
    <row r="11" spans="1:4" x14ac:dyDescent="0.25">
      <c r="A11" s="36">
        <v>8</v>
      </c>
      <c r="B11" s="37" t="s">
        <v>47</v>
      </c>
      <c r="C11" s="38">
        <v>430000</v>
      </c>
      <c r="D11" s="37"/>
    </row>
    <row r="12" spans="1:4" x14ac:dyDescent="0.25">
      <c r="A12" s="36">
        <v>9</v>
      </c>
      <c r="B12" s="37" t="s">
        <v>48</v>
      </c>
      <c r="C12" s="38">
        <v>540000</v>
      </c>
      <c r="D12" s="37"/>
    </row>
    <row r="13" spans="1:4" x14ac:dyDescent="0.25">
      <c r="A13" s="36">
        <v>10</v>
      </c>
      <c r="B13" s="37" t="s">
        <v>55</v>
      </c>
      <c r="C13" s="38">
        <v>50000</v>
      </c>
      <c r="D13" s="37"/>
    </row>
    <row r="14" spans="1:4" x14ac:dyDescent="0.25">
      <c r="A14" s="36">
        <v>11</v>
      </c>
      <c r="B14" s="37" t="s">
        <v>56</v>
      </c>
      <c r="C14" s="38">
        <v>500000</v>
      </c>
      <c r="D14" s="37"/>
    </row>
    <row r="15" spans="1:4" x14ac:dyDescent="0.25">
      <c r="A15" s="36">
        <v>12</v>
      </c>
      <c r="B15" s="37" t="s">
        <v>57</v>
      </c>
      <c r="C15" s="38">
        <v>350000</v>
      </c>
      <c r="D15" s="37"/>
    </row>
    <row r="16" spans="1:4" x14ac:dyDescent="0.25">
      <c r="A16" s="36">
        <v>13</v>
      </c>
      <c r="B16" s="37" t="s">
        <v>58</v>
      </c>
      <c r="C16" s="38">
        <v>500000</v>
      </c>
      <c r="D16" s="37"/>
    </row>
    <row r="17" spans="1:4" x14ac:dyDescent="0.25">
      <c r="A17" s="36">
        <v>14</v>
      </c>
      <c r="B17" s="37" t="s">
        <v>59</v>
      </c>
      <c r="C17" s="38">
        <v>500000</v>
      </c>
      <c r="D17" s="37"/>
    </row>
    <row r="18" spans="1:4" x14ac:dyDescent="0.25">
      <c r="A18" s="36">
        <v>15</v>
      </c>
      <c r="B18" s="37" t="s">
        <v>60</v>
      </c>
      <c r="C18" s="38">
        <v>1200000</v>
      </c>
      <c r="D18" s="37"/>
    </row>
    <row r="19" spans="1:4" x14ac:dyDescent="0.25">
      <c r="A19" s="36">
        <v>16</v>
      </c>
      <c r="B19" s="37" t="s">
        <v>49</v>
      </c>
      <c r="C19" s="38">
        <v>1000000</v>
      </c>
      <c r="D19" s="37"/>
    </row>
    <row r="20" spans="1:4" x14ac:dyDescent="0.25">
      <c r="A20" s="36">
        <v>17</v>
      </c>
      <c r="B20" s="37" t="s">
        <v>50</v>
      </c>
      <c r="C20" s="38">
        <v>350000</v>
      </c>
      <c r="D20" s="37"/>
    </row>
    <row r="21" spans="1:4" x14ac:dyDescent="0.25">
      <c r="A21" s="36">
        <v>18</v>
      </c>
      <c r="B21" s="37" t="s">
        <v>51</v>
      </c>
      <c r="C21" s="38">
        <v>800000</v>
      </c>
      <c r="D21" s="37"/>
    </row>
    <row r="22" spans="1:4" x14ac:dyDescent="0.25">
      <c r="A22" s="36">
        <v>19</v>
      </c>
      <c r="B22" s="37" t="s">
        <v>52</v>
      </c>
      <c r="C22" s="38">
        <v>1200000</v>
      </c>
      <c r="D22" s="37"/>
    </row>
    <row r="23" spans="1:4" x14ac:dyDescent="0.25">
      <c r="A23" s="36">
        <v>20</v>
      </c>
      <c r="B23" s="37" t="s">
        <v>53</v>
      </c>
      <c r="C23" s="38">
        <v>200000</v>
      </c>
      <c r="D23" s="37"/>
    </row>
    <row r="24" spans="1:4" x14ac:dyDescent="0.25">
      <c r="A24" s="36">
        <v>21</v>
      </c>
      <c r="B24" s="37" t="s">
        <v>54</v>
      </c>
      <c r="C24" s="38">
        <v>120000</v>
      </c>
      <c r="D24" s="37"/>
    </row>
    <row r="25" spans="1:4" x14ac:dyDescent="0.25">
      <c r="A25" s="36"/>
      <c r="B25" s="37"/>
      <c r="C25" s="38"/>
      <c r="D25" s="37"/>
    </row>
    <row r="26" spans="1:4" x14ac:dyDescent="0.25">
      <c r="A26" s="36"/>
      <c r="B26" s="37"/>
      <c r="C26" s="38"/>
      <c r="D26" s="37"/>
    </row>
    <row r="27" spans="1:4" x14ac:dyDescent="0.25">
      <c r="A27" s="36"/>
      <c r="B27" s="37"/>
      <c r="C27" s="38"/>
      <c r="D27" s="37"/>
    </row>
    <row r="28" spans="1:4" x14ac:dyDescent="0.25">
      <c r="A28" s="36"/>
      <c r="B28" s="37"/>
      <c r="C28" s="38"/>
      <c r="D28" s="37"/>
    </row>
    <row r="29" spans="1:4" x14ac:dyDescent="0.25">
      <c r="A29" s="41"/>
      <c r="B29" s="42"/>
      <c r="C29" s="43"/>
      <c r="D29" s="43"/>
    </row>
    <row r="30" spans="1:4" x14ac:dyDescent="0.25">
      <c r="A30" s="41"/>
      <c r="B30" s="42"/>
      <c r="C30" s="43"/>
      <c r="D30" s="43"/>
    </row>
    <row r="31" spans="1:4" x14ac:dyDescent="0.25">
      <c r="A31" s="36"/>
      <c r="B31" s="34" t="s">
        <v>38</v>
      </c>
      <c r="C31" s="39">
        <f>SUM(C4:C30)</f>
        <v>343630000</v>
      </c>
      <c r="D31" s="39">
        <f>SUM(D4:D30)</f>
        <v>0</v>
      </c>
    </row>
    <row r="32" spans="1:4" x14ac:dyDescent="0.25">
      <c r="A32" s="32"/>
      <c r="C32" s="33"/>
    </row>
    <row r="33" spans="1:4" x14ac:dyDescent="0.25">
      <c r="A33" s="32"/>
      <c r="C33" s="33"/>
      <c r="D33" s="40"/>
    </row>
    <row r="34" spans="1:4" x14ac:dyDescent="0.25">
      <c r="A34" s="32"/>
      <c r="C34" s="33"/>
      <c r="D34" s="40"/>
    </row>
    <row r="35" spans="1:4" x14ac:dyDescent="0.25">
      <c r="A35" s="32"/>
      <c r="C35" s="33"/>
      <c r="D35" s="40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workbookViewId="0">
      <selection activeCell="Q13" sqref="Q1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28.57031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8.570312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21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15"/>
      <c r="Q7" s="15"/>
    </row>
    <row r="8" spans="1:20" x14ac:dyDescent="0.25">
      <c r="A8" s="25">
        <v>1</v>
      </c>
      <c r="B8" s="44">
        <v>43306</v>
      </c>
      <c r="C8" s="10" t="s">
        <v>23</v>
      </c>
      <c r="D8" s="12" t="s">
        <v>27</v>
      </c>
      <c r="E8" s="10" t="s">
        <v>31</v>
      </c>
      <c r="F8" s="8"/>
      <c r="G8" s="12">
        <v>200</v>
      </c>
      <c r="H8" s="3">
        <v>3448000</v>
      </c>
      <c r="I8" s="12"/>
      <c r="J8" s="3">
        <v>790000</v>
      </c>
      <c r="K8" s="18"/>
      <c r="L8" s="29"/>
      <c r="M8" s="13"/>
      <c r="N8" s="13"/>
      <c r="O8" s="13">
        <f>H8+J8+K8+L8+M8+N8</f>
        <v>4238000</v>
      </c>
      <c r="P8" s="13">
        <v>3300000</v>
      </c>
      <c r="Q8" s="13">
        <f>P8-O8</f>
        <v>-938000</v>
      </c>
      <c r="S8" s="5"/>
      <c r="T8" s="5"/>
    </row>
    <row r="9" spans="1:20" ht="12.75" customHeight="1" x14ac:dyDescent="0.25">
      <c r="A9" s="25">
        <v>2</v>
      </c>
      <c r="B9" s="44">
        <v>43307</v>
      </c>
      <c r="C9" s="10" t="s">
        <v>24</v>
      </c>
      <c r="D9" s="8" t="s">
        <v>28</v>
      </c>
      <c r="E9" s="10" t="s">
        <v>32</v>
      </c>
      <c r="F9" s="8"/>
      <c r="G9" s="12"/>
      <c r="H9" s="3"/>
      <c r="I9" s="12"/>
      <c r="J9" s="3">
        <v>970000</v>
      </c>
      <c r="K9" s="18"/>
      <c r="L9" s="29"/>
      <c r="M9" s="13"/>
      <c r="N9" s="13"/>
      <c r="O9" s="13">
        <f t="shared" ref="O9:O13" si="0">H9+J9+K9+L9+M9+N9</f>
        <v>970000</v>
      </c>
      <c r="P9" s="13">
        <v>3700000</v>
      </c>
      <c r="Q9" s="13">
        <f>P9-O9</f>
        <v>2730000</v>
      </c>
      <c r="S9" s="5"/>
      <c r="T9" s="5"/>
    </row>
    <row r="10" spans="1:20" ht="12.75" customHeight="1" x14ac:dyDescent="0.25">
      <c r="A10" s="25">
        <v>3</v>
      </c>
      <c r="B10" s="44">
        <v>43311</v>
      </c>
      <c r="C10" s="10" t="s">
        <v>25</v>
      </c>
      <c r="D10" s="8" t="s">
        <v>29</v>
      </c>
      <c r="E10" s="10" t="s">
        <v>33</v>
      </c>
      <c r="F10" s="8"/>
      <c r="G10" s="12">
        <v>200</v>
      </c>
      <c r="H10" s="3">
        <v>3448000</v>
      </c>
      <c r="I10" s="12"/>
      <c r="J10" s="3">
        <v>1600000</v>
      </c>
      <c r="K10" s="18"/>
      <c r="L10" s="29"/>
      <c r="M10" s="13"/>
      <c r="N10" s="13"/>
      <c r="O10" s="13">
        <f t="shared" si="0"/>
        <v>5048000</v>
      </c>
      <c r="P10" s="3">
        <v>7227273</v>
      </c>
      <c r="Q10" s="13">
        <f>P10-O10</f>
        <v>2179273</v>
      </c>
      <c r="S10" s="5"/>
      <c r="T10" s="5"/>
    </row>
    <row r="11" spans="1:20" ht="12.75" customHeight="1" x14ac:dyDescent="0.25">
      <c r="A11" s="25">
        <v>4</v>
      </c>
      <c r="B11" s="44">
        <v>43311</v>
      </c>
      <c r="C11" s="10" t="s">
        <v>26</v>
      </c>
      <c r="D11" s="8" t="s">
        <v>30</v>
      </c>
      <c r="E11" s="10" t="s">
        <v>34</v>
      </c>
      <c r="F11" s="8"/>
      <c r="G11" s="12">
        <v>199</v>
      </c>
      <c r="H11" s="3">
        <v>3430760</v>
      </c>
      <c r="I11" s="12"/>
      <c r="J11" s="3">
        <v>750000</v>
      </c>
      <c r="K11" s="18"/>
      <c r="L11" s="29"/>
      <c r="M11" s="13"/>
      <c r="N11" s="13"/>
      <c r="O11" s="13">
        <f t="shared" si="0"/>
        <v>4180760</v>
      </c>
      <c r="P11" s="13">
        <v>4700000</v>
      </c>
      <c r="Q11" s="13">
        <f>P11-O11</f>
        <v>519240</v>
      </c>
      <c r="S11" s="5"/>
      <c r="T11" s="5"/>
    </row>
    <row r="12" spans="1:20" x14ac:dyDescent="0.25">
      <c r="A12" s="25"/>
      <c r="B12" s="27"/>
      <c r="C12" s="10"/>
      <c r="E12" s="10"/>
      <c r="F12" s="8"/>
      <c r="G12" s="12"/>
      <c r="H12" s="3"/>
      <c r="I12" s="12"/>
      <c r="J12" s="3"/>
      <c r="K12" s="18"/>
      <c r="L12" s="29"/>
      <c r="M12" s="13"/>
      <c r="N12" s="13"/>
      <c r="O12" s="13">
        <f t="shared" si="0"/>
        <v>0</v>
      </c>
      <c r="P12" s="13"/>
      <c r="Q12" s="13">
        <f t="shared" ref="Q12:Q13" si="1">P12-O12</f>
        <v>0</v>
      </c>
      <c r="S12" s="5"/>
    </row>
    <row r="13" spans="1:20" x14ac:dyDescent="0.25">
      <c r="A13" s="25"/>
      <c r="B13" s="27"/>
      <c r="C13" s="10" t="s">
        <v>61</v>
      </c>
      <c r="D13" s="8"/>
      <c r="E13" s="10"/>
      <c r="F13" s="8"/>
      <c r="G13" s="12"/>
      <c r="H13" s="3"/>
      <c r="I13" s="12"/>
      <c r="J13" s="3"/>
      <c r="K13" s="18"/>
      <c r="L13" s="29"/>
      <c r="M13" s="13"/>
      <c r="N13" s="13">
        <f>11500000/4</f>
        <v>2875000</v>
      </c>
      <c r="O13" s="13">
        <f t="shared" si="0"/>
        <v>2875000</v>
      </c>
      <c r="P13" s="13"/>
      <c r="Q13" s="13">
        <f t="shared" si="1"/>
        <v>-2875000</v>
      </c>
    </row>
    <row r="14" spans="1:20" x14ac:dyDescent="0.25">
      <c r="A14" s="25"/>
      <c r="B14" s="27"/>
      <c r="C14" s="10"/>
      <c r="D14" s="8"/>
      <c r="E14" s="10"/>
      <c r="F14" s="8"/>
      <c r="G14" s="12"/>
      <c r="H14" s="3"/>
      <c r="I14" s="12"/>
      <c r="J14" s="3"/>
      <c r="K14" s="18"/>
      <c r="L14" s="29"/>
      <c r="M14" s="13"/>
      <c r="N14" s="13"/>
      <c r="O14" s="13"/>
      <c r="P14" s="13"/>
      <c r="Q14" s="13"/>
    </row>
    <row r="15" spans="1:20" x14ac:dyDescent="0.25">
      <c r="A15" s="25"/>
      <c r="B15" s="27"/>
      <c r="C15" s="17"/>
      <c r="D15" s="8"/>
      <c r="E15" s="10"/>
      <c r="F15" s="8"/>
      <c r="G15" s="8"/>
      <c r="H15" s="13"/>
      <c r="I15" s="8"/>
      <c r="J15" s="13"/>
      <c r="K15" s="28"/>
      <c r="L15" s="28"/>
      <c r="M15" s="13"/>
      <c r="N15" s="13"/>
      <c r="O15" s="13"/>
      <c r="P15" s="13"/>
      <c r="Q15" s="13"/>
    </row>
    <row r="16" spans="1:20" x14ac:dyDescent="0.25">
      <c r="A16" s="25"/>
      <c r="B16" s="27"/>
      <c r="C16" s="17"/>
      <c r="D16" s="8"/>
      <c r="E16" s="10"/>
      <c r="F16" s="8"/>
      <c r="G16" s="8"/>
      <c r="H16" s="13"/>
      <c r="I16" s="8"/>
      <c r="J16" s="13"/>
      <c r="K16" s="28"/>
      <c r="L16" s="28"/>
      <c r="M16" s="13"/>
      <c r="N16" s="28"/>
      <c r="O16" s="13"/>
      <c r="P16" s="13"/>
      <c r="Q16" s="13"/>
    </row>
    <row r="17" spans="1:18" x14ac:dyDescent="0.25">
      <c r="A17" s="8"/>
      <c r="B17" s="8"/>
      <c r="C17" s="17"/>
      <c r="D17" s="30"/>
      <c r="E17" s="17"/>
      <c r="F17" s="30"/>
      <c r="G17" s="30"/>
      <c r="H17" s="28"/>
      <c r="I17" s="30"/>
      <c r="J17" s="28"/>
      <c r="K17" s="28"/>
      <c r="L17" s="28"/>
      <c r="M17" s="28"/>
      <c r="N17" s="28"/>
      <c r="O17" s="13"/>
      <c r="P17" s="28"/>
      <c r="Q17" s="13"/>
    </row>
    <row r="18" spans="1:18" x14ac:dyDescent="0.25">
      <c r="A18" s="8"/>
      <c r="B18" s="8"/>
      <c r="C18" s="17"/>
      <c r="D18" s="30"/>
      <c r="E18" s="17"/>
      <c r="F18" s="30"/>
      <c r="G18" s="30"/>
      <c r="H18" s="28"/>
      <c r="I18" s="30"/>
      <c r="J18" s="28"/>
      <c r="K18" s="28"/>
      <c r="L18" s="28"/>
      <c r="M18" s="28"/>
      <c r="N18" s="28"/>
      <c r="O18" s="13"/>
      <c r="P18" s="28"/>
      <c r="Q18" s="13"/>
    </row>
    <row r="19" spans="1:18" x14ac:dyDescent="0.25">
      <c r="A19" s="166" t="s">
        <v>19</v>
      </c>
      <c r="B19" s="167"/>
      <c r="C19" s="167"/>
      <c r="D19" s="167"/>
      <c r="E19" s="167"/>
      <c r="F19" s="168"/>
      <c r="G19" s="19">
        <f t="shared" ref="G19:P19" si="2">SUM(G7:G18)</f>
        <v>599</v>
      </c>
      <c r="H19" s="4">
        <f>SUM(H7:H18)</f>
        <v>10326760</v>
      </c>
      <c r="I19" s="4">
        <f t="shared" si="2"/>
        <v>0</v>
      </c>
      <c r="J19" s="4">
        <f t="shared" si="2"/>
        <v>4110000</v>
      </c>
      <c r="K19" s="4">
        <f t="shared" si="2"/>
        <v>0</v>
      </c>
      <c r="L19" s="4">
        <f t="shared" si="2"/>
        <v>0</v>
      </c>
      <c r="M19" s="4">
        <f t="shared" si="2"/>
        <v>0</v>
      </c>
      <c r="N19" s="4">
        <f t="shared" si="2"/>
        <v>2875000</v>
      </c>
      <c r="O19" s="4">
        <f t="shared" si="2"/>
        <v>17311760</v>
      </c>
      <c r="P19" s="4">
        <f t="shared" si="2"/>
        <v>18927273</v>
      </c>
      <c r="Q19" s="4">
        <f>SUM(Q7:Q18)</f>
        <v>1615513</v>
      </c>
      <c r="R19" s="24"/>
    </row>
    <row r="20" spans="1:18" x14ac:dyDescent="0.25">
      <c r="O20" s="20"/>
      <c r="Q20" s="26"/>
    </row>
    <row r="21" spans="1:18" x14ac:dyDescent="0.25">
      <c r="P21" s="21" t="s">
        <v>20</v>
      </c>
      <c r="Q21" s="26">
        <f>Q19</f>
        <v>1615513</v>
      </c>
    </row>
    <row r="25" spans="1:18" x14ac:dyDescent="0.25">
      <c r="B25" s="6"/>
    </row>
    <row r="26" spans="1:18" x14ac:dyDescent="0.25">
      <c r="B26" s="6"/>
    </row>
    <row r="27" spans="1:18" x14ac:dyDescent="0.25">
      <c r="B27" s="6"/>
    </row>
    <row r="28" spans="1:18" x14ac:dyDescent="0.25">
      <c r="B28" s="6"/>
      <c r="H28" s="6"/>
      <c r="J28" s="6"/>
      <c r="K28" s="6"/>
      <c r="L28" s="6"/>
      <c r="M28" s="6"/>
      <c r="N28" s="6"/>
      <c r="O28" s="6"/>
      <c r="P28" s="6"/>
      <c r="Q28" s="6"/>
    </row>
  </sheetData>
  <mergeCells count="14">
    <mergeCell ref="O5:O6"/>
    <mergeCell ref="P5:P6"/>
    <mergeCell ref="Q5:Q6"/>
    <mergeCell ref="A19:F19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"/>
  <sheetViews>
    <sheetView topLeftCell="A28" workbookViewId="0">
      <selection activeCell="D29" sqref="D29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28.57031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8.570312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134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15"/>
      <c r="Q7" s="15"/>
    </row>
    <row r="8" spans="1:20" x14ac:dyDescent="0.25">
      <c r="A8" s="25">
        <v>1</v>
      </c>
      <c r="B8" s="44">
        <v>43312</v>
      </c>
      <c r="C8" s="10" t="s">
        <v>62</v>
      </c>
      <c r="D8" s="12" t="s">
        <v>85</v>
      </c>
      <c r="E8" s="10" t="s">
        <v>33</v>
      </c>
      <c r="F8" s="8"/>
      <c r="G8" s="12"/>
      <c r="H8" s="3"/>
      <c r="I8" s="12"/>
      <c r="J8" s="49">
        <v>1600000</v>
      </c>
      <c r="K8" s="18"/>
      <c r="L8" s="29"/>
      <c r="M8" s="13"/>
      <c r="N8" s="13"/>
      <c r="O8" s="13">
        <f>H8+J8+K8+L8+M8+N8</f>
        <v>1600000</v>
      </c>
      <c r="P8" s="13">
        <v>7227273</v>
      </c>
      <c r="Q8" s="13">
        <f>P8-O8</f>
        <v>5627273</v>
      </c>
      <c r="S8" s="5"/>
      <c r="T8" s="5"/>
    </row>
    <row r="9" spans="1:20" ht="12.75" customHeight="1" x14ac:dyDescent="0.25">
      <c r="A9" s="25">
        <v>2</v>
      </c>
      <c r="B9" s="44">
        <v>43314</v>
      </c>
      <c r="C9" s="10" t="s">
        <v>63</v>
      </c>
      <c r="D9" s="8" t="s">
        <v>86</v>
      </c>
      <c r="E9" s="10" t="s">
        <v>107</v>
      </c>
      <c r="F9" s="8"/>
      <c r="G9" s="12"/>
      <c r="H9" s="3"/>
      <c r="I9" s="12"/>
      <c r="J9" s="49">
        <v>1260000</v>
      </c>
      <c r="K9" s="18"/>
      <c r="L9" s="29"/>
      <c r="M9" s="13"/>
      <c r="N9" s="13"/>
      <c r="O9" s="13">
        <f t="shared" ref="O9:O40" si="0">H9+J9+K9+L9+M9+N9</f>
        <v>1260000</v>
      </c>
      <c r="P9" s="13">
        <v>6100000</v>
      </c>
      <c r="Q9" s="13">
        <f t="shared" ref="Q9:Q40" si="1">P9-O9</f>
        <v>4840000</v>
      </c>
      <c r="S9" s="5"/>
      <c r="T9" s="5"/>
    </row>
    <row r="10" spans="1:20" ht="12.75" customHeight="1" x14ac:dyDescent="0.25">
      <c r="A10" s="25">
        <v>3</v>
      </c>
      <c r="B10" s="44">
        <v>43315</v>
      </c>
      <c r="C10" s="10" t="s">
        <v>64</v>
      </c>
      <c r="D10" s="8" t="s">
        <v>87</v>
      </c>
      <c r="E10" s="10" t="s">
        <v>108</v>
      </c>
      <c r="F10" s="8"/>
      <c r="G10" s="12">
        <v>247</v>
      </c>
      <c r="H10" s="3">
        <v>4258280</v>
      </c>
      <c r="I10" s="12"/>
      <c r="J10" s="49">
        <v>430000</v>
      </c>
      <c r="K10" s="18"/>
      <c r="L10" s="29"/>
      <c r="M10" s="13"/>
      <c r="N10" s="13"/>
      <c r="O10" s="13">
        <f t="shared" si="0"/>
        <v>4688280</v>
      </c>
      <c r="P10" s="13">
        <v>3200000</v>
      </c>
      <c r="Q10" s="13">
        <f t="shared" si="1"/>
        <v>-1488280</v>
      </c>
      <c r="S10" s="5"/>
      <c r="T10" s="5"/>
    </row>
    <row r="11" spans="1:20" ht="12.75" customHeight="1" x14ac:dyDescent="0.25">
      <c r="A11" s="25">
        <v>4</v>
      </c>
      <c r="B11" s="44">
        <v>43318</v>
      </c>
      <c r="C11" s="10" t="s">
        <v>65</v>
      </c>
      <c r="D11" s="8" t="s">
        <v>88</v>
      </c>
      <c r="E11" s="10" t="s">
        <v>109</v>
      </c>
      <c r="F11" s="8"/>
      <c r="G11" s="12">
        <v>142</v>
      </c>
      <c r="H11" s="3">
        <v>2448080</v>
      </c>
      <c r="I11" s="12"/>
      <c r="J11" s="49">
        <v>1260000</v>
      </c>
      <c r="K11" s="18"/>
      <c r="L11" s="29"/>
      <c r="M11" s="13"/>
      <c r="N11" s="13"/>
      <c r="O11" s="13">
        <f t="shared" si="0"/>
        <v>3708080</v>
      </c>
      <c r="P11" s="13">
        <v>6100000</v>
      </c>
      <c r="Q11" s="13">
        <f t="shared" si="1"/>
        <v>2391920</v>
      </c>
      <c r="S11" s="5"/>
      <c r="T11" s="5"/>
    </row>
    <row r="12" spans="1:20" ht="12.75" customHeight="1" x14ac:dyDescent="0.25">
      <c r="A12" s="25">
        <v>5</v>
      </c>
      <c r="B12" s="44">
        <v>43318</v>
      </c>
      <c r="C12" s="10" t="s">
        <v>66</v>
      </c>
      <c r="D12" s="8" t="s">
        <v>89</v>
      </c>
      <c r="E12" s="10" t="s">
        <v>110</v>
      </c>
      <c r="F12" s="8"/>
      <c r="G12" s="12">
        <v>243</v>
      </c>
      <c r="H12" s="3">
        <v>4189320</v>
      </c>
      <c r="I12" s="12"/>
      <c r="J12" s="49">
        <v>820000</v>
      </c>
      <c r="K12" s="18"/>
      <c r="L12" s="29"/>
      <c r="M12" s="13"/>
      <c r="N12" s="13"/>
      <c r="O12" s="13">
        <f t="shared" si="0"/>
        <v>5009320</v>
      </c>
      <c r="P12" s="13">
        <v>3700000</v>
      </c>
      <c r="Q12" s="13">
        <f t="shared" si="1"/>
        <v>-1309320</v>
      </c>
      <c r="S12" s="5"/>
      <c r="T12" s="5"/>
    </row>
    <row r="13" spans="1:20" ht="12.75" customHeight="1" x14ac:dyDescent="0.25">
      <c r="A13" s="25">
        <v>6</v>
      </c>
      <c r="B13" s="44">
        <v>43319</v>
      </c>
      <c r="C13" s="10" t="s">
        <v>67</v>
      </c>
      <c r="D13" s="8" t="s">
        <v>90</v>
      </c>
      <c r="E13" s="10" t="s">
        <v>111</v>
      </c>
      <c r="F13" s="8"/>
      <c r="G13" s="12">
        <v>91</v>
      </c>
      <c r="H13" s="3">
        <v>1595230</v>
      </c>
      <c r="I13" s="12"/>
      <c r="J13" s="49">
        <v>1360000</v>
      </c>
      <c r="K13" s="18"/>
      <c r="L13" s="29"/>
      <c r="M13" s="13"/>
      <c r="N13" s="13"/>
      <c r="O13" s="13">
        <f t="shared" si="0"/>
        <v>2955230</v>
      </c>
      <c r="P13" s="13">
        <v>8909091</v>
      </c>
      <c r="Q13" s="13">
        <f t="shared" si="1"/>
        <v>5953861</v>
      </c>
      <c r="S13" s="5"/>
      <c r="T13" s="5"/>
    </row>
    <row r="14" spans="1:20" ht="12.75" customHeight="1" x14ac:dyDescent="0.25">
      <c r="A14" s="25">
        <v>7</v>
      </c>
      <c r="B14" s="44">
        <v>43322</v>
      </c>
      <c r="C14" s="10" t="s">
        <v>68</v>
      </c>
      <c r="D14" s="8" t="s">
        <v>91</v>
      </c>
      <c r="E14" s="10" t="s">
        <v>108</v>
      </c>
      <c r="F14" s="8"/>
      <c r="G14" s="12">
        <v>201</v>
      </c>
      <c r="H14" s="3">
        <v>3523530</v>
      </c>
      <c r="I14" s="12"/>
      <c r="J14" s="49">
        <v>430000</v>
      </c>
      <c r="K14" s="18"/>
      <c r="L14" s="29"/>
      <c r="M14" s="13"/>
      <c r="N14" s="13"/>
      <c r="O14" s="13">
        <f t="shared" si="0"/>
        <v>3953530</v>
      </c>
      <c r="P14" s="13">
        <v>3200000</v>
      </c>
      <c r="Q14" s="13">
        <f t="shared" si="1"/>
        <v>-753530</v>
      </c>
      <c r="S14" s="5"/>
      <c r="T14" s="5"/>
    </row>
    <row r="15" spans="1:20" ht="12.75" customHeight="1" x14ac:dyDescent="0.25">
      <c r="A15" s="25">
        <v>8</v>
      </c>
      <c r="B15" s="44">
        <v>43322</v>
      </c>
      <c r="C15" s="10" t="s">
        <v>69</v>
      </c>
      <c r="D15" s="8" t="s">
        <v>92</v>
      </c>
      <c r="E15" s="10" t="s">
        <v>108</v>
      </c>
      <c r="F15" s="8"/>
      <c r="G15" s="12"/>
      <c r="H15" s="3"/>
      <c r="I15" s="12"/>
      <c r="J15" s="49">
        <v>430000</v>
      </c>
      <c r="K15" s="18"/>
      <c r="L15" s="29"/>
      <c r="M15" s="13"/>
      <c r="N15" s="13"/>
      <c r="O15" s="13">
        <f t="shared" si="0"/>
        <v>430000</v>
      </c>
      <c r="P15" s="13">
        <v>3200000</v>
      </c>
      <c r="Q15" s="13">
        <f t="shared" si="1"/>
        <v>2770000</v>
      </c>
      <c r="S15" s="5"/>
      <c r="T15" s="5"/>
    </row>
    <row r="16" spans="1:20" ht="12.75" customHeight="1" x14ac:dyDescent="0.25">
      <c r="A16" s="25">
        <v>9</v>
      </c>
      <c r="B16" s="44">
        <v>43323</v>
      </c>
      <c r="C16" s="10" t="s">
        <v>70</v>
      </c>
      <c r="D16" s="8" t="s">
        <v>93</v>
      </c>
      <c r="E16" s="10" t="s">
        <v>112</v>
      </c>
      <c r="F16" s="8"/>
      <c r="G16" s="12"/>
      <c r="H16" s="3"/>
      <c r="I16" s="12"/>
      <c r="J16" s="49">
        <v>2440000</v>
      </c>
      <c r="K16" s="18"/>
      <c r="L16" s="29"/>
      <c r="M16" s="13"/>
      <c r="N16" s="13"/>
      <c r="O16" s="13">
        <f t="shared" si="0"/>
        <v>2440000</v>
      </c>
      <c r="P16" s="13">
        <v>13181818</v>
      </c>
      <c r="Q16" s="13">
        <f t="shared" si="1"/>
        <v>10741818</v>
      </c>
      <c r="S16" s="5"/>
      <c r="T16" s="5"/>
    </row>
    <row r="17" spans="1:20" ht="12.75" customHeight="1" x14ac:dyDescent="0.25">
      <c r="A17" s="25">
        <v>10</v>
      </c>
      <c r="B17" s="44">
        <v>43325</v>
      </c>
      <c r="C17" s="10" t="s">
        <v>71</v>
      </c>
      <c r="D17" s="8" t="s">
        <v>94</v>
      </c>
      <c r="E17" s="10" t="s">
        <v>113</v>
      </c>
      <c r="F17" s="8"/>
      <c r="G17" s="12">
        <v>191</v>
      </c>
      <c r="H17" s="3">
        <v>3348230</v>
      </c>
      <c r="I17" s="12"/>
      <c r="J17" s="49">
        <v>1260000</v>
      </c>
      <c r="K17" s="18"/>
      <c r="L17" s="29"/>
      <c r="M17" s="13"/>
      <c r="N17" s="13"/>
      <c r="O17" s="13">
        <f t="shared" si="0"/>
        <v>4608230</v>
      </c>
      <c r="P17" s="13">
        <v>6100000</v>
      </c>
      <c r="Q17" s="13">
        <f t="shared" si="1"/>
        <v>1491770</v>
      </c>
      <c r="S17" s="5"/>
      <c r="T17" s="5"/>
    </row>
    <row r="18" spans="1:20" ht="12.75" customHeight="1" x14ac:dyDescent="0.25">
      <c r="A18" s="25">
        <v>11</v>
      </c>
      <c r="B18" s="44">
        <v>43327</v>
      </c>
      <c r="C18" s="10" t="s">
        <v>72</v>
      </c>
      <c r="D18" s="8" t="s">
        <v>95</v>
      </c>
      <c r="E18" s="10" t="s">
        <v>114</v>
      </c>
      <c r="F18" s="8"/>
      <c r="G18" s="12">
        <v>217</v>
      </c>
      <c r="H18" s="3">
        <v>3804010</v>
      </c>
      <c r="I18" s="12"/>
      <c r="J18" s="49">
        <v>680000</v>
      </c>
      <c r="K18" s="18"/>
      <c r="L18" s="29"/>
      <c r="M18" s="13"/>
      <c r="N18" s="13"/>
      <c r="O18" s="13">
        <f t="shared" si="0"/>
        <v>4484010</v>
      </c>
      <c r="P18" s="13">
        <v>3100000</v>
      </c>
      <c r="Q18" s="13">
        <f t="shared" si="1"/>
        <v>-1384010</v>
      </c>
      <c r="S18" s="5"/>
      <c r="T18" s="5"/>
    </row>
    <row r="19" spans="1:20" ht="12.75" customHeight="1" x14ac:dyDescent="0.25">
      <c r="A19" s="25">
        <v>12</v>
      </c>
      <c r="B19" s="44">
        <v>43328</v>
      </c>
      <c r="C19" s="10" t="s">
        <v>73</v>
      </c>
      <c r="D19" s="8" t="s">
        <v>96</v>
      </c>
      <c r="E19" s="10" t="s">
        <v>115</v>
      </c>
      <c r="F19" s="8"/>
      <c r="G19" s="12"/>
      <c r="H19" s="3"/>
      <c r="I19" s="12"/>
      <c r="J19" s="49">
        <v>1200000</v>
      </c>
      <c r="K19" s="18"/>
      <c r="L19" s="29"/>
      <c r="M19" s="13"/>
      <c r="N19" s="13"/>
      <c r="O19" s="13">
        <f t="shared" si="0"/>
        <v>1200000</v>
      </c>
      <c r="P19" s="13">
        <v>5100000</v>
      </c>
      <c r="Q19" s="13">
        <f t="shared" si="1"/>
        <v>3900000</v>
      </c>
      <c r="S19" s="5"/>
      <c r="T19" s="5"/>
    </row>
    <row r="20" spans="1:20" ht="12.75" customHeight="1" x14ac:dyDescent="0.25">
      <c r="A20" s="25">
        <v>13</v>
      </c>
      <c r="B20" s="44">
        <v>43329</v>
      </c>
      <c r="C20" s="10" t="s">
        <v>74</v>
      </c>
      <c r="D20" s="8" t="s">
        <v>97</v>
      </c>
      <c r="E20" s="10" t="s">
        <v>116</v>
      </c>
      <c r="F20" s="8"/>
      <c r="G20" s="12">
        <v>225</v>
      </c>
      <c r="H20" s="3">
        <v>3944250</v>
      </c>
      <c r="I20" s="12"/>
      <c r="J20" s="49">
        <v>820000</v>
      </c>
      <c r="K20" s="18"/>
      <c r="L20" s="29"/>
      <c r="M20" s="13"/>
      <c r="N20" s="13"/>
      <c r="O20" s="13">
        <f t="shared" si="0"/>
        <v>4764250</v>
      </c>
      <c r="P20" s="13">
        <v>3600000</v>
      </c>
      <c r="Q20" s="13">
        <f t="shared" si="1"/>
        <v>-1164250</v>
      </c>
      <c r="S20" s="5"/>
      <c r="T20" s="5"/>
    </row>
    <row r="21" spans="1:20" ht="12.75" customHeight="1" x14ac:dyDescent="0.25">
      <c r="A21" s="25">
        <v>14</v>
      </c>
      <c r="B21" s="44">
        <v>43332</v>
      </c>
      <c r="C21" s="10" t="s">
        <v>75</v>
      </c>
      <c r="D21" s="8" t="s">
        <v>98</v>
      </c>
      <c r="E21" s="10" t="s">
        <v>117</v>
      </c>
      <c r="F21" s="8"/>
      <c r="G21" s="12">
        <v>182</v>
      </c>
      <c r="H21" s="3">
        <v>3190460</v>
      </c>
      <c r="I21" s="12"/>
      <c r="J21" s="49">
        <v>1200000</v>
      </c>
      <c r="K21" s="18"/>
      <c r="L21" s="29"/>
      <c r="M21" s="13"/>
      <c r="N21" s="13"/>
      <c r="O21" s="13">
        <f t="shared" si="0"/>
        <v>4390460</v>
      </c>
      <c r="P21" s="13">
        <v>5300000</v>
      </c>
      <c r="Q21" s="13">
        <f t="shared" si="1"/>
        <v>909540</v>
      </c>
      <c r="S21" s="5"/>
      <c r="T21" s="5"/>
    </row>
    <row r="22" spans="1:20" ht="12.75" customHeight="1" x14ac:dyDescent="0.25">
      <c r="A22" s="25">
        <v>15</v>
      </c>
      <c r="B22" s="44">
        <v>43332</v>
      </c>
      <c r="C22" s="10" t="s">
        <v>76</v>
      </c>
      <c r="D22" s="8" t="s">
        <v>99</v>
      </c>
      <c r="E22" s="10" t="s">
        <v>118</v>
      </c>
      <c r="F22" s="8"/>
      <c r="G22" s="12"/>
      <c r="H22" s="3"/>
      <c r="I22" s="12"/>
      <c r="J22" s="49">
        <v>1130000</v>
      </c>
      <c r="K22" s="18"/>
      <c r="L22" s="29"/>
      <c r="M22" s="13"/>
      <c r="N22" s="13"/>
      <c r="O22" s="13">
        <f t="shared" si="0"/>
        <v>1130000</v>
      </c>
      <c r="P22" s="13">
        <v>5200000</v>
      </c>
      <c r="Q22" s="13">
        <f t="shared" si="1"/>
        <v>4070000</v>
      </c>
      <c r="S22" s="5"/>
      <c r="T22" s="5"/>
    </row>
    <row r="23" spans="1:20" ht="12.75" customHeight="1" x14ac:dyDescent="0.25">
      <c r="A23" s="25">
        <v>16</v>
      </c>
      <c r="B23" s="44">
        <v>43333</v>
      </c>
      <c r="C23" s="10" t="s">
        <v>77</v>
      </c>
      <c r="D23" s="8" t="s">
        <v>100</v>
      </c>
      <c r="E23" s="10" t="s">
        <v>119</v>
      </c>
      <c r="F23" s="8"/>
      <c r="G23" s="12"/>
      <c r="H23" s="3"/>
      <c r="I23" s="12"/>
      <c r="J23" s="49">
        <v>680000</v>
      </c>
      <c r="K23" s="18"/>
      <c r="L23" s="29"/>
      <c r="M23" s="13"/>
      <c r="N23" s="13"/>
      <c r="O23" s="13">
        <f t="shared" si="0"/>
        <v>680000</v>
      </c>
      <c r="P23" s="13">
        <v>3100000</v>
      </c>
      <c r="Q23" s="13">
        <f t="shared" si="1"/>
        <v>2420000</v>
      </c>
      <c r="S23" s="5"/>
      <c r="T23" s="5"/>
    </row>
    <row r="24" spans="1:20" ht="12.75" customHeight="1" x14ac:dyDescent="0.25">
      <c r="A24" s="25">
        <v>17</v>
      </c>
      <c r="B24" s="44">
        <v>43334</v>
      </c>
      <c r="C24" s="10" t="s">
        <v>78</v>
      </c>
      <c r="D24" s="8" t="s">
        <v>124</v>
      </c>
      <c r="E24" s="10" t="s">
        <v>120</v>
      </c>
      <c r="F24" s="8"/>
      <c r="G24" s="12">
        <v>237</v>
      </c>
      <c r="H24" s="3">
        <v>4154610</v>
      </c>
      <c r="I24" s="12"/>
      <c r="J24" s="49">
        <v>750000</v>
      </c>
      <c r="K24" s="18"/>
      <c r="L24" s="29"/>
      <c r="M24" s="13"/>
      <c r="N24" s="13"/>
      <c r="O24" s="13">
        <f t="shared" si="0"/>
        <v>4904610</v>
      </c>
      <c r="P24" s="13">
        <v>4700000</v>
      </c>
      <c r="Q24" s="13">
        <f t="shared" si="1"/>
        <v>-204610</v>
      </c>
      <c r="S24" s="5"/>
      <c r="T24" s="5"/>
    </row>
    <row r="25" spans="1:20" ht="12.75" customHeight="1" x14ac:dyDescent="0.25">
      <c r="A25" s="25">
        <v>18</v>
      </c>
      <c r="B25" s="44">
        <v>43335</v>
      </c>
      <c r="C25" s="10" t="s">
        <v>79</v>
      </c>
      <c r="D25" s="8" t="s">
        <v>101</v>
      </c>
      <c r="E25" s="10" t="s">
        <v>33</v>
      </c>
      <c r="F25" s="8"/>
      <c r="G25" s="12">
        <v>164</v>
      </c>
      <c r="H25" s="3">
        <v>2899520</v>
      </c>
      <c r="I25" s="12"/>
      <c r="J25" s="49">
        <v>1600000</v>
      </c>
      <c r="K25" s="18"/>
      <c r="L25" s="29"/>
      <c r="M25" s="13"/>
      <c r="N25" s="13"/>
      <c r="O25" s="13">
        <f t="shared" si="0"/>
        <v>4499520</v>
      </c>
      <c r="P25" s="13">
        <v>7227273</v>
      </c>
      <c r="Q25" s="13">
        <f t="shared" si="1"/>
        <v>2727753</v>
      </c>
      <c r="S25" s="5"/>
      <c r="T25" s="5"/>
    </row>
    <row r="26" spans="1:20" ht="12.75" customHeight="1" x14ac:dyDescent="0.25">
      <c r="A26" s="25">
        <v>19</v>
      </c>
      <c r="B26" s="44">
        <v>43336</v>
      </c>
      <c r="C26" s="10" t="s">
        <v>80</v>
      </c>
      <c r="D26" s="8" t="s">
        <v>102</v>
      </c>
      <c r="E26" s="10" t="s">
        <v>118</v>
      </c>
      <c r="F26" s="8"/>
      <c r="G26" s="12">
        <v>153</v>
      </c>
      <c r="H26" s="3">
        <v>2705040</v>
      </c>
      <c r="I26" s="12"/>
      <c r="J26" s="49">
        <v>1130000</v>
      </c>
      <c r="K26" s="18"/>
      <c r="L26" s="29"/>
      <c r="M26" s="13"/>
      <c r="N26" s="13"/>
      <c r="O26" s="13">
        <f t="shared" si="0"/>
        <v>3835040</v>
      </c>
      <c r="P26" s="13">
        <v>5200000</v>
      </c>
      <c r="Q26" s="13">
        <f t="shared" si="1"/>
        <v>1364960</v>
      </c>
      <c r="S26" s="5"/>
      <c r="T26" s="5"/>
    </row>
    <row r="27" spans="1:20" ht="12.75" customHeight="1" x14ac:dyDescent="0.25">
      <c r="A27" s="25">
        <v>20</v>
      </c>
      <c r="B27" s="44">
        <v>43339</v>
      </c>
      <c r="C27" s="10" t="s">
        <v>81</v>
      </c>
      <c r="D27" s="8" t="s">
        <v>103</v>
      </c>
      <c r="E27" s="10" t="s">
        <v>118</v>
      </c>
      <c r="F27" s="8"/>
      <c r="G27" s="12"/>
      <c r="H27" s="3"/>
      <c r="I27" s="12"/>
      <c r="J27" s="49">
        <v>1130000</v>
      </c>
      <c r="K27" s="18"/>
      <c r="L27" s="29"/>
      <c r="M27" s="13"/>
      <c r="N27" s="13"/>
      <c r="O27" s="13">
        <f t="shared" si="0"/>
        <v>1130000</v>
      </c>
      <c r="P27" s="13">
        <v>5200000</v>
      </c>
      <c r="Q27" s="13">
        <f t="shared" si="1"/>
        <v>4070000</v>
      </c>
      <c r="S27" s="5"/>
      <c r="T27" s="5"/>
    </row>
    <row r="28" spans="1:20" ht="12.75" customHeight="1" x14ac:dyDescent="0.25">
      <c r="A28" s="25">
        <v>21</v>
      </c>
      <c r="B28" s="44">
        <v>43340</v>
      </c>
      <c r="C28" s="10" t="s">
        <v>82</v>
      </c>
      <c r="D28" s="8" t="s">
        <v>104</v>
      </c>
      <c r="E28" s="10" t="s">
        <v>121</v>
      </c>
      <c r="F28" s="8"/>
      <c r="G28" s="12">
        <v>250</v>
      </c>
      <c r="H28" s="3">
        <v>4420000</v>
      </c>
      <c r="I28" s="12"/>
      <c r="J28" s="49">
        <v>2440000</v>
      </c>
      <c r="K28" s="18"/>
      <c r="L28" s="29"/>
      <c r="M28" s="13"/>
      <c r="N28" s="13"/>
      <c r="O28" s="13">
        <f t="shared" si="0"/>
        <v>6860000</v>
      </c>
      <c r="P28" s="13">
        <v>12000000</v>
      </c>
      <c r="Q28" s="13">
        <f t="shared" si="1"/>
        <v>5140000</v>
      </c>
      <c r="S28" s="5"/>
      <c r="T28" s="5"/>
    </row>
    <row r="29" spans="1:20" ht="12.75" customHeight="1" x14ac:dyDescent="0.25">
      <c r="A29" s="25">
        <v>22</v>
      </c>
      <c r="B29" s="44">
        <v>43341</v>
      </c>
      <c r="C29" s="10" t="s">
        <v>83</v>
      </c>
      <c r="D29" s="45" t="s">
        <v>106</v>
      </c>
      <c r="E29" s="10" t="s">
        <v>122</v>
      </c>
      <c r="F29" s="8"/>
      <c r="G29" s="12"/>
      <c r="H29" s="3"/>
      <c r="I29" s="12"/>
      <c r="J29" s="49">
        <v>680000</v>
      </c>
      <c r="K29" s="18"/>
      <c r="L29" s="29"/>
      <c r="M29" s="13"/>
      <c r="N29" s="13"/>
      <c r="O29" s="13">
        <f t="shared" si="0"/>
        <v>680000</v>
      </c>
      <c r="P29" s="13">
        <v>3400000</v>
      </c>
      <c r="Q29" s="13">
        <f t="shared" si="1"/>
        <v>2720000</v>
      </c>
      <c r="S29" s="5"/>
      <c r="T29" s="5"/>
    </row>
    <row r="30" spans="1:20" ht="12.75" customHeight="1" x14ac:dyDescent="0.25">
      <c r="A30" s="25">
        <v>23</v>
      </c>
      <c r="B30" s="44">
        <v>43342</v>
      </c>
      <c r="C30" s="10" t="s">
        <v>84</v>
      </c>
      <c r="D30" s="8" t="s">
        <v>105</v>
      </c>
      <c r="E30" s="10" t="s">
        <v>123</v>
      </c>
      <c r="F30" s="8"/>
      <c r="G30" s="12">
        <v>205</v>
      </c>
      <c r="H30" s="3">
        <v>3624400</v>
      </c>
      <c r="I30" s="12"/>
      <c r="J30" s="49">
        <v>1260000</v>
      </c>
      <c r="K30" s="18"/>
      <c r="L30" s="29"/>
      <c r="M30" s="13"/>
      <c r="N30" s="13"/>
      <c r="O30" s="13">
        <f t="shared" si="0"/>
        <v>4884400</v>
      </c>
      <c r="P30" s="13">
        <v>5300000</v>
      </c>
      <c r="Q30" s="13">
        <f t="shared" si="1"/>
        <v>415600</v>
      </c>
      <c r="S30" s="5"/>
      <c r="T30" s="5"/>
    </row>
    <row r="31" spans="1:20" ht="12.75" customHeight="1" x14ac:dyDescent="0.25">
      <c r="A31" s="25"/>
      <c r="B31" s="44"/>
      <c r="C31" s="10"/>
      <c r="D31" s="8"/>
      <c r="E31" s="10"/>
      <c r="F31" s="8"/>
      <c r="G31" s="12">
        <v>214</v>
      </c>
      <c r="H31" s="3">
        <f>G31*17680</f>
        <v>3783520</v>
      </c>
      <c r="I31" s="12"/>
      <c r="J31" s="3"/>
      <c r="K31" s="18"/>
      <c r="L31" s="29"/>
      <c r="M31" s="13"/>
      <c r="N31" s="13"/>
      <c r="O31" s="13">
        <f t="shared" si="0"/>
        <v>3783520</v>
      </c>
      <c r="P31" s="3"/>
      <c r="Q31" s="13">
        <f t="shared" si="1"/>
        <v>-3783520</v>
      </c>
      <c r="S31" s="5"/>
      <c r="T31" s="5"/>
    </row>
    <row r="32" spans="1:20" ht="25.5" customHeight="1" x14ac:dyDescent="0.25">
      <c r="A32" s="25"/>
      <c r="B32" s="44"/>
      <c r="C32" s="17" t="s">
        <v>125</v>
      </c>
      <c r="D32" s="30"/>
      <c r="E32" s="17"/>
      <c r="F32" s="30"/>
      <c r="G32" s="46"/>
      <c r="H32" s="18"/>
      <c r="I32" s="46"/>
      <c r="J32" s="18"/>
      <c r="K32" s="18"/>
      <c r="L32" s="28">
        <v>3800000</v>
      </c>
      <c r="M32" s="28"/>
      <c r="N32" s="28"/>
      <c r="O32" s="28">
        <f t="shared" si="0"/>
        <v>3800000</v>
      </c>
      <c r="P32" s="28"/>
      <c r="Q32" s="28">
        <f t="shared" si="1"/>
        <v>-3800000</v>
      </c>
      <c r="S32" s="5"/>
      <c r="T32" s="5"/>
    </row>
    <row r="33" spans="1:19" ht="63.75" x14ac:dyDescent="0.25">
      <c r="A33" s="25"/>
      <c r="B33" s="27"/>
      <c r="C33" s="17" t="s">
        <v>126</v>
      </c>
      <c r="D33" s="47"/>
      <c r="E33" s="17"/>
      <c r="F33" s="30"/>
      <c r="G33" s="46"/>
      <c r="H33" s="18"/>
      <c r="I33" s="46"/>
      <c r="J33" s="18"/>
      <c r="K33" s="18"/>
      <c r="L33" s="28">
        <v>1330000</v>
      </c>
      <c r="M33" s="28"/>
      <c r="N33" s="28"/>
      <c r="O33" s="28">
        <f t="shared" si="0"/>
        <v>1330000</v>
      </c>
      <c r="P33" s="28"/>
      <c r="Q33" s="28">
        <f t="shared" si="1"/>
        <v>-1330000</v>
      </c>
      <c r="S33" s="5"/>
    </row>
    <row r="34" spans="1:19" ht="51" x14ac:dyDescent="0.25">
      <c r="A34" s="25"/>
      <c r="B34" s="27"/>
      <c r="C34" s="17" t="s">
        <v>127</v>
      </c>
      <c r="D34" s="30"/>
      <c r="E34" s="17"/>
      <c r="F34" s="30"/>
      <c r="G34" s="46"/>
      <c r="H34" s="18"/>
      <c r="I34" s="46"/>
      <c r="J34" s="18"/>
      <c r="K34" s="18"/>
      <c r="L34" s="28">
        <v>700000</v>
      </c>
      <c r="M34" s="28"/>
      <c r="N34" s="28"/>
      <c r="O34" s="28">
        <f t="shared" si="0"/>
        <v>700000</v>
      </c>
      <c r="P34" s="28"/>
      <c r="Q34" s="28">
        <f t="shared" si="1"/>
        <v>-700000</v>
      </c>
    </row>
    <row r="35" spans="1:19" ht="63.75" x14ac:dyDescent="0.25">
      <c r="A35" s="25"/>
      <c r="B35" s="27"/>
      <c r="C35" s="17" t="s">
        <v>128</v>
      </c>
      <c r="D35" s="30"/>
      <c r="E35" s="17"/>
      <c r="F35" s="30"/>
      <c r="G35" s="46"/>
      <c r="H35" s="18"/>
      <c r="I35" s="46"/>
      <c r="J35" s="18"/>
      <c r="K35" s="18"/>
      <c r="L35" s="28">
        <v>2000000</v>
      </c>
      <c r="M35" s="28"/>
      <c r="N35" s="28"/>
      <c r="O35" s="28">
        <f t="shared" si="0"/>
        <v>2000000</v>
      </c>
      <c r="P35" s="28"/>
      <c r="Q35" s="28">
        <f t="shared" si="1"/>
        <v>-2000000</v>
      </c>
    </row>
    <row r="36" spans="1:19" ht="38.25" x14ac:dyDescent="0.25">
      <c r="A36" s="25"/>
      <c r="B36" s="27"/>
      <c r="C36" s="17" t="s">
        <v>129</v>
      </c>
      <c r="D36" s="30"/>
      <c r="E36" s="17"/>
      <c r="F36" s="30"/>
      <c r="G36" s="30"/>
      <c r="H36" s="28"/>
      <c r="I36" s="30"/>
      <c r="J36" s="28"/>
      <c r="K36" s="28"/>
      <c r="L36" s="28">
        <v>700000</v>
      </c>
      <c r="M36" s="28"/>
      <c r="N36" s="28"/>
      <c r="O36" s="28">
        <f t="shared" si="0"/>
        <v>700000</v>
      </c>
      <c r="P36" s="28"/>
      <c r="Q36" s="28">
        <f t="shared" si="1"/>
        <v>-700000</v>
      </c>
    </row>
    <row r="37" spans="1:19" ht="38.25" x14ac:dyDescent="0.25">
      <c r="A37" s="25"/>
      <c r="B37" s="27"/>
      <c r="C37" s="17" t="s">
        <v>130</v>
      </c>
      <c r="D37" s="30"/>
      <c r="E37" s="17"/>
      <c r="F37" s="30"/>
      <c r="G37" s="30"/>
      <c r="H37" s="28"/>
      <c r="I37" s="30"/>
      <c r="J37" s="28"/>
      <c r="K37" s="28"/>
      <c r="L37" s="28">
        <v>1800000</v>
      </c>
      <c r="M37" s="28"/>
      <c r="N37" s="28"/>
      <c r="O37" s="28">
        <f t="shared" si="0"/>
        <v>1800000</v>
      </c>
      <c r="P37" s="28"/>
      <c r="Q37" s="28">
        <f t="shared" si="1"/>
        <v>-1800000</v>
      </c>
    </row>
    <row r="38" spans="1:19" ht="25.5" x14ac:dyDescent="0.25">
      <c r="A38" s="25"/>
      <c r="B38" s="27"/>
      <c r="C38" s="17" t="s">
        <v>133</v>
      </c>
      <c r="D38" s="30"/>
      <c r="E38" s="17"/>
      <c r="F38" s="30"/>
      <c r="G38" s="30"/>
      <c r="H38" s="28"/>
      <c r="I38" s="30"/>
      <c r="J38" s="28"/>
      <c r="K38" s="28"/>
      <c r="L38" s="28">
        <v>100000</v>
      </c>
      <c r="M38" s="28"/>
      <c r="N38" s="28"/>
      <c r="O38" s="28">
        <f t="shared" si="0"/>
        <v>100000</v>
      </c>
      <c r="P38" s="28"/>
      <c r="Q38" s="28">
        <f t="shared" si="1"/>
        <v>-100000</v>
      </c>
    </row>
    <row r="39" spans="1:19" x14ac:dyDescent="0.25">
      <c r="A39" s="8"/>
      <c r="B39" s="8"/>
      <c r="C39" s="17" t="s">
        <v>131</v>
      </c>
      <c r="D39" s="30"/>
      <c r="E39" s="17"/>
      <c r="F39" s="30"/>
      <c r="G39" s="30"/>
      <c r="H39" s="28"/>
      <c r="I39" s="30"/>
      <c r="J39" s="28"/>
      <c r="K39" s="28"/>
      <c r="L39" s="28">
        <f>1200000*1.1</f>
        <v>1320000</v>
      </c>
      <c r="M39" s="28"/>
      <c r="N39" s="28"/>
      <c r="O39" s="28">
        <f t="shared" si="0"/>
        <v>1320000</v>
      </c>
      <c r="P39" s="28"/>
      <c r="Q39" s="28">
        <f t="shared" si="1"/>
        <v>-1320000</v>
      </c>
    </row>
    <row r="40" spans="1:19" x14ac:dyDescent="0.25">
      <c r="A40" s="8"/>
      <c r="B40" s="8"/>
      <c r="C40" s="17" t="s">
        <v>132</v>
      </c>
      <c r="D40" s="30"/>
      <c r="E40" s="17"/>
      <c r="F40" s="30"/>
      <c r="G40" s="30"/>
      <c r="H40" s="28"/>
      <c r="I40" s="30"/>
      <c r="J40" s="28"/>
      <c r="K40" s="28"/>
      <c r="L40" s="28"/>
      <c r="M40" s="48">
        <v>8353846</v>
      </c>
      <c r="N40" s="28"/>
      <c r="O40" s="28">
        <f t="shared" si="0"/>
        <v>8353846</v>
      </c>
      <c r="P40" s="28"/>
      <c r="Q40" s="28">
        <f t="shared" si="1"/>
        <v>-8353846</v>
      </c>
    </row>
    <row r="41" spans="1:19" x14ac:dyDescent="0.25">
      <c r="A41" s="166" t="s">
        <v>19</v>
      </c>
      <c r="B41" s="167"/>
      <c r="C41" s="167"/>
      <c r="D41" s="167"/>
      <c r="E41" s="167"/>
      <c r="F41" s="168"/>
      <c r="G41" s="19">
        <f t="shared" ref="G41:P41" si="2">SUM(G7:G40)</f>
        <v>2962</v>
      </c>
      <c r="H41" s="4">
        <f>SUM(H7:H40)</f>
        <v>51888480</v>
      </c>
      <c r="I41" s="4">
        <f t="shared" si="2"/>
        <v>0</v>
      </c>
      <c r="J41" s="4">
        <f t="shared" si="2"/>
        <v>25990000</v>
      </c>
      <c r="K41" s="4">
        <f t="shared" si="2"/>
        <v>0</v>
      </c>
      <c r="L41" s="4">
        <f t="shared" si="2"/>
        <v>11750000</v>
      </c>
      <c r="M41" s="4">
        <f t="shared" si="2"/>
        <v>8353846</v>
      </c>
      <c r="N41" s="4">
        <f t="shared" si="2"/>
        <v>0</v>
      </c>
      <c r="O41" s="4">
        <f t="shared" si="2"/>
        <v>97982326</v>
      </c>
      <c r="P41" s="4">
        <f t="shared" si="2"/>
        <v>129345455</v>
      </c>
      <c r="Q41" s="4">
        <f>SUM(Q7:Q40)</f>
        <v>31363129</v>
      </c>
      <c r="R41" s="24"/>
    </row>
    <row r="42" spans="1:19" x14ac:dyDescent="0.25">
      <c r="O42" s="20"/>
      <c r="Q42" s="26"/>
    </row>
    <row r="43" spans="1:19" x14ac:dyDescent="0.25">
      <c r="P43" s="21" t="s">
        <v>20</v>
      </c>
      <c r="Q43" s="26">
        <f>'07-2018'!Q21+'08-2018'!Q41</f>
        <v>32978642</v>
      </c>
    </row>
    <row r="47" spans="1:19" x14ac:dyDescent="0.25">
      <c r="B47" s="6"/>
    </row>
    <row r="48" spans="1:19" x14ac:dyDescent="0.25">
      <c r="B48" s="6"/>
    </row>
    <row r="49" spans="2:17" x14ac:dyDescent="0.25">
      <c r="B49" s="6"/>
    </row>
    <row r="50" spans="2:17" x14ac:dyDescent="0.25">
      <c r="B50" s="6"/>
      <c r="H50" s="6"/>
      <c r="J50" s="6"/>
      <c r="K50" s="6"/>
      <c r="L50" s="6"/>
      <c r="M50" s="6"/>
      <c r="N50" s="6"/>
      <c r="O50" s="6"/>
      <c r="P50" s="6"/>
      <c r="Q50" s="6"/>
    </row>
  </sheetData>
  <mergeCells count="14">
    <mergeCell ref="O5:O6"/>
    <mergeCell ref="P5:P6"/>
    <mergeCell ref="Q5:Q6"/>
    <mergeCell ref="A41:F41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1"/>
  <sheetViews>
    <sheetView topLeftCell="A19" workbookViewId="0">
      <selection activeCell="N38" sqref="N3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28.57031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8.570312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135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15"/>
      <c r="Q7" s="15"/>
    </row>
    <row r="8" spans="1:20" x14ac:dyDescent="0.25">
      <c r="A8" s="25">
        <v>1</v>
      </c>
      <c r="B8" s="44">
        <v>43343</v>
      </c>
      <c r="C8" s="10" t="s">
        <v>136</v>
      </c>
      <c r="D8" s="12" t="s">
        <v>160</v>
      </c>
      <c r="E8" s="10" t="s">
        <v>108</v>
      </c>
      <c r="F8" s="8"/>
      <c r="G8" s="12"/>
      <c r="H8" s="3"/>
      <c r="I8" s="12"/>
      <c r="J8" s="50">
        <v>430000</v>
      </c>
      <c r="K8" s="18"/>
      <c r="L8" s="29"/>
      <c r="M8" s="13"/>
      <c r="N8" s="13"/>
      <c r="O8" s="13">
        <f>H8+J8+K8+L8+M8+N8</f>
        <v>430000</v>
      </c>
      <c r="P8" s="13">
        <v>3200000</v>
      </c>
      <c r="Q8" s="13">
        <f>P8-O8</f>
        <v>2770000</v>
      </c>
      <c r="S8" s="5"/>
      <c r="T8" s="5"/>
    </row>
    <row r="9" spans="1:20" ht="12.75" customHeight="1" x14ac:dyDescent="0.25">
      <c r="A9" s="25">
        <v>2</v>
      </c>
      <c r="B9" s="44">
        <v>43347</v>
      </c>
      <c r="C9" s="10" t="s">
        <v>137</v>
      </c>
      <c r="D9" s="8" t="s">
        <v>161</v>
      </c>
      <c r="E9" s="10" t="s">
        <v>183</v>
      </c>
      <c r="F9" s="8"/>
      <c r="G9" s="12"/>
      <c r="H9" s="3"/>
      <c r="I9" s="12"/>
      <c r="J9" s="50">
        <v>1200000</v>
      </c>
      <c r="K9" s="18"/>
      <c r="L9" s="29"/>
      <c r="M9" s="13"/>
      <c r="N9" s="13"/>
      <c r="O9" s="13">
        <f t="shared" ref="O9:O41" si="0">H9+J9+K9+L9+M9+N9</f>
        <v>1200000</v>
      </c>
      <c r="P9" s="13">
        <v>6100000</v>
      </c>
      <c r="Q9" s="13">
        <f t="shared" ref="Q9:Q41" si="1">P9-O9</f>
        <v>4900000</v>
      </c>
      <c r="S9" s="5"/>
      <c r="T9" s="5"/>
    </row>
    <row r="10" spans="1:20" ht="12.75" customHeight="1" x14ac:dyDescent="0.25">
      <c r="A10" s="25">
        <v>3</v>
      </c>
      <c r="B10" s="44">
        <v>43347</v>
      </c>
      <c r="C10" s="10" t="s">
        <v>138</v>
      </c>
      <c r="D10" s="8" t="s">
        <v>162</v>
      </c>
      <c r="E10" s="10" t="s">
        <v>184</v>
      </c>
      <c r="F10" s="8"/>
      <c r="G10" s="12"/>
      <c r="H10" s="3"/>
      <c r="I10" s="12"/>
      <c r="J10" s="50">
        <v>1050000</v>
      </c>
      <c r="K10" s="18"/>
      <c r="L10" s="29"/>
      <c r="M10" s="13"/>
      <c r="N10" s="13"/>
      <c r="O10" s="13">
        <f t="shared" si="0"/>
        <v>1050000</v>
      </c>
      <c r="P10" s="13">
        <v>4700000</v>
      </c>
      <c r="Q10" s="13">
        <f t="shared" si="1"/>
        <v>3650000</v>
      </c>
      <c r="S10" s="5"/>
      <c r="T10" s="5"/>
    </row>
    <row r="11" spans="1:20" ht="12.75" customHeight="1" x14ac:dyDescent="0.25">
      <c r="A11" s="25">
        <v>4</v>
      </c>
      <c r="B11" s="44">
        <v>43348</v>
      </c>
      <c r="C11" s="10" t="s">
        <v>139</v>
      </c>
      <c r="D11" s="8" t="s">
        <v>163</v>
      </c>
      <c r="E11" s="10" t="s">
        <v>184</v>
      </c>
      <c r="F11" s="8"/>
      <c r="G11" s="12">
        <v>230</v>
      </c>
      <c r="H11" s="3">
        <v>4066400</v>
      </c>
      <c r="I11" s="12"/>
      <c r="J11" s="50">
        <v>1050000</v>
      </c>
      <c r="K11" s="18"/>
      <c r="L11" s="29"/>
      <c r="M11" s="13"/>
      <c r="N11" s="13"/>
      <c r="O11" s="13">
        <f t="shared" si="0"/>
        <v>5116400</v>
      </c>
      <c r="P11" s="13">
        <v>4700000</v>
      </c>
      <c r="Q11" s="13">
        <f t="shared" si="1"/>
        <v>-416400</v>
      </c>
      <c r="S11" s="5"/>
      <c r="T11" s="5"/>
    </row>
    <row r="12" spans="1:20" ht="12.75" customHeight="1" x14ac:dyDescent="0.25">
      <c r="A12" s="25">
        <v>5</v>
      </c>
      <c r="B12" s="44">
        <v>43349</v>
      </c>
      <c r="C12" s="10" t="s">
        <v>140</v>
      </c>
      <c r="D12" s="8" t="s">
        <v>164</v>
      </c>
      <c r="E12" s="10" t="s">
        <v>185</v>
      </c>
      <c r="F12" s="8"/>
      <c r="G12" s="12"/>
      <c r="H12" s="3"/>
      <c r="I12" s="12"/>
      <c r="J12" s="50">
        <v>1260000</v>
      </c>
      <c r="K12" s="18"/>
      <c r="L12" s="29"/>
      <c r="M12" s="13"/>
      <c r="N12" s="13"/>
      <c r="O12" s="13">
        <f t="shared" si="0"/>
        <v>1260000</v>
      </c>
      <c r="P12" s="13">
        <v>5000000</v>
      </c>
      <c r="Q12" s="13">
        <f t="shared" si="1"/>
        <v>3740000</v>
      </c>
      <c r="S12" s="5"/>
      <c r="T12" s="5"/>
    </row>
    <row r="13" spans="1:20" ht="12.75" customHeight="1" x14ac:dyDescent="0.25">
      <c r="A13" s="25">
        <v>6</v>
      </c>
      <c r="B13" s="44">
        <v>43350</v>
      </c>
      <c r="C13" s="10" t="s">
        <v>141</v>
      </c>
      <c r="D13" s="8" t="s">
        <v>165</v>
      </c>
      <c r="E13" s="10" t="s">
        <v>183</v>
      </c>
      <c r="F13" s="8"/>
      <c r="G13" s="12">
        <v>237</v>
      </c>
      <c r="H13" s="3">
        <v>4280220</v>
      </c>
      <c r="I13" s="12"/>
      <c r="J13" s="50">
        <v>1200000</v>
      </c>
      <c r="K13" s="18"/>
      <c r="L13" s="29"/>
      <c r="M13" s="13"/>
      <c r="N13" s="13"/>
      <c r="O13" s="13">
        <f t="shared" si="0"/>
        <v>5480220</v>
      </c>
      <c r="P13" s="13">
        <v>6100000</v>
      </c>
      <c r="Q13" s="13">
        <f t="shared" si="1"/>
        <v>619780</v>
      </c>
      <c r="S13" s="5"/>
      <c r="T13" s="5"/>
    </row>
    <row r="14" spans="1:20" ht="12.75" customHeight="1" x14ac:dyDescent="0.25">
      <c r="A14" s="25">
        <v>7</v>
      </c>
      <c r="B14" s="44">
        <v>43352</v>
      </c>
      <c r="C14" s="10" t="s">
        <v>142</v>
      </c>
      <c r="D14" s="8" t="s">
        <v>166</v>
      </c>
      <c r="E14" s="10" t="s">
        <v>117</v>
      </c>
      <c r="F14" s="8"/>
      <c r="G14" s="12">
        <v>270</v>
      </c>
      <c r="H14" s="3">
        <v>4876200</v>
      </c>
      <c r="I14" s="12"/>
      <c r="J14" s="50">
        <v>1200000</v>
      </c>
      <c r="K14" s="18"/>
      <c r="L14" s="29"/>
      <c r="M14" s="13"/>
      <c r="N14" s="13"/>
      <c r="O14" s="13">
        <f t="shared" si="0"/>
        <v>6076200</v>
      </c>
      <c r="P14" s="13">
        <v>5300000</v>
      </c>
      <c r="Q14" s="13">
        <f t="shared" si="1"/>
        <v>-776200</v>
      </c>
      <c r="S14" s="5"/>
      <c r="T14" s="5"/>
    </row>
    <row r="15" spans="1:20" ht="12.75" customHeight="1" x14ac:dyDescent="0.25">
      <c r="A15" s="25">
        <v>8</v>
      </c>
      <c r="B15" s="44">
        <v>43353</v>
      </c>
      <c r="C15" s="10" t="s">
        <v>143</v>
      </c>
      <c r="D15" s="8" t="s">
        <v>167</v>
      </c>
      <c r="E15" s="10" t="s">
        <v>112</v>
      </c>
      <c r="F15" s="8"/>
      <c r="G15" s="12">
        <v>118</v>
      </c>
      <c r="H15" s="3">
        <v>2131080</v>
      </c>
      <c r="I15" s="12"/>
      <c r="J15" s="50">
        <v>2440000</v>
      </c>
      <c r="K15" s="18"/>
      <c r="L15" s="29"/>
      <c r="M15" s="13"/>
      <c r="N15" s="13"/>
      <c r="O15" s="13">
        <f t="shared" si="0"/>
        <v>4571080</v>
      </c>
      <c r="P15" s="13">
        <v>13181818</v>
      </c>
      <c r="Q15" s="13">
        <f t="shared" si="1"/>
        <v>8610738</v>
      </c>
      <c r="S15" s="5"/>
      <c r="T15" s="5"/>
    </row>
    <row r="16" spans="1:20" ht="12.75" customHeight="1" x14ac:dyDescent="0.25">
      <c r="A16" s="25">
        <v>9</v>
      </c>
      <c r="B16" s="44">
        <v>43354</v>
      </c>
      <c r="C16" s="10" t="s">
        <v>144</v>
      </c>
      <c r="D16" s="8" t="s">
        <v>168</v>
      </c>
      <c r="E16" s="10" t="s">
        <v>108</v>
      </c>
      <c r="F16" s="8"/>
      <c r="G16" s="12"/>
      <c r="H16" s="3"/>
      <c r="I16" s="12"/>
      <c r="J16" s="50">
        <v>430000</v>
      </c>
      <c r="K16" s="18"/>
      <c r="L16" s="29"/>
      <c r="M16" s="13"/>
      <c r="N16" s="13"/>
      <c r="O16" s="13">
        <f t="shared" si="0"/>
        <v>430000</v>
      </c>
      <c r="P16" s="13">
        <v>3200000</v>
      </c>
      <c r="Q16" s="13">
        <f t="shared" si="1"/>
        <v>2770000</v>
      </c>
      <c r="S16" s="5"/>
      <c r="T16" s="5"/>
    </row>
    <row r="17" spans="1:20" ht="12.75" customHeight="1" x14ac:dyDescent="0.25">
      <c r="A17" s="25">
        <v>10</v>
      </c>
      <c r="B17" s="44">
        <v>43355</v>
      </c>
      <c r="C17" s="10" t="s">
        <v>145</v>
      </c>
      <c r="D17" s="8" t="s">
        <v>169</v>
      </c>
      <c r="E17" s="10" t="s">
        <v>118</v>
      </c>
      <c r="F17" s="8"/>
      <c r="G17" s="12">
        <v>225</v>
      </c>
      <c r="H17" s="3">
        <v>4063500</v>
      </c>
      <c r="I17" s="12"/>
      <c r="J17" s="50">
        <v>1130000</v>
      </c>
      <c r="K17" s="18"/>
      <c r="L17" s="29"/>
      <c r="M17" s="13"/>
      <c r="N17" s="13"/>
      <c r="O17" s="13">
        <f t="shared" si="0"/>
        <v>5193500</v>
      </c>
      <c r="P17" s="13">
        <v>5200000</v>
      </c>
      <c r="Q17" s="13">
        <f t="shared" si="1"/>
        <v>6500</v>
      </c>
      <c r="S17" s="5"/>
      <c r="T17" s="5"/>
    </row>
    <row r="18" spans="1:20" ht="12.75" customHeight="1" x14ac:dyDescent="0.25">
      <c r="A18" s="25">
        <v>11</v>
      </c>
      <c r="B18" s="44">
        <v>43356</v>
      </c>
      <c r="C18" s="10" t="s">
        <v>146</v>
      </c>
      <c r="D18" s="8" t="s">
        <v>170</v>
      </c>
      <c r="E18" s="10" t="s">
        <v>33</v>
      </c>
      <c r="F18" s="8"/>
      <c r="G18" s="12"/>
      <c r="H18" s="3"/>
      <c r="I18" s="12"/>
      <c r="J18" s="50">
        <v>1600000</v>
      </c>
      <c r="K18" s="18"/>
      <c r="L18" s="29"/>
      <c r="M18" s="13"/>
      <c r="N18" s="13"/>
      <c r="O18" s="13">
        <f t="shared" si="0"/>
        <v>1600000</v>
      </c>
      <c r="P18" s="13">
        <v>7227273</v>
      </c>
      <c r="Q18" s="13">
        <f t="shared" si="1"/>
        <v>5627273</v>
      </c>
      <c r="S18" s="5"/>
      <c r="T18" s="5"/>
    </row>
    <row r="19" spans="1:20" ht="12.75" customHeight="1" x14ac:dyDescent="0.25">
      <c r="A19" s="25">
        <v>12</v>
      </c>
      <c r="B19" s="44">
        <v>43357</v>
      </c>
      <c r="C19" s="10" t="s">
        <v>147</v>
      </c>
      <c r="D19" s="8" t="s">
        <v>171</v>
      </c>
      <c r="E19" s="10" t="s">
        <v>122</v>
      </c>
      <c r="F19" s="8"/>
      <c r="G19" s="12">
        <v>220</v>
      </c>
      <c r="H19" s="3">
        <v>3973200</v>
      </c>
      <c r="I19" s="12"/>
      <c r="J19" s="50">
        <v>680000</v>
      </c>
      <c r="K19" s="18"/>
      <c r="L19" s="29"/>
      <c r="M19" s="13"/>
      <c r="N19" s="13"/>
      <c r="O19" s="13">
        <f t="shared" si="0"/>
        <v>4653200</v>
      </c>
      <c r="P19" s="13">
        <v>3400000</v>
      </c>
      <c r="Q19" s="13">
        <f t="shared" si="1"/>
        <v>-1253200</v>
      </c>
      <c r="S19" s="5"/>
      <c r="T19" s="5"/>
    </row>
    <row r="20" spans="1:20" ht="12.75" customHeight="1" x14ac:dyDescent="0.25">
      <c r="A20" s="25">
        <v>13</v>
      </c>
      <c r="B20" s="44">
        <v>43359</v>
      </c>
      <c r="C20" s="10" t="s">
        <v>148</v>
      </c>
      <c r="D20" s="8" t="s">
        <v>172</v>
      </c>
      <c r="E20" s="10" t="s">
        <v>117</v>
      </c>
      <c r="F20" s="8"/>
      <c r="G20" s="12">
        <v>158</v>
      </c>
      <c r="H20" s="3">
        <v>2853480</v>
      </c>
      <c r="I20" s="12"/>
      <c r="J20" s="50">
        <v>1200000</v>
      </c>
      <c r="K20" s="18"/>
      <c r="L20" s="29"/>
      <c r="M20" s="13"/>
      <c r="N20" s="13"/>
      <c r="O20" s="13">
        <f t="shared" si="0"/>
        <v>4053480</v>
      </c>
      <c r="P20" s="13">
        <v>5400000</v>
      </c>
      <c r="Q20" s="13">
        <f t="shared" si="1"/>
        <v>1346520</v>
      </c>
      <c r="S20" s="5"/>
      <c r="T20" s="5"/>
    </row>
    <row r="21" spans="1:20" ht="12.75" customHeight="1" x14ac:dyDescent="0.25">
      <c r="A21" s="25">
        <v>14</v>
      </c>
      <c r="B21" s="44">
        <v>43360</v>
      </c>
      <c r="C21" s="10" t="s">
        <v>149</v>
      </c>
      <c r="D21" s="8" t="s">
        <v>173</v>
      </c>
      <c r="E21" s="10" t="s">
        <v>186</v>
      </c>
      <c r="F21" s="8"/>
      <c r="G21" s="12"/>
      <c r="H21" s="3"/>
      <c r="I21" s="12"/>
      <c r="J21" s="50">
        <f>750000+280000</f>
        <v>1030000</v>
      </c>
      <c r="K21" s="18"/>
      <c r="L21" s="29"/>
      <c r="M21" s="13"/>
      <c r="N21" s="13"/>
      <c r="O21" s="13">
        <f t="shared" si="0"/>
        <v>1030000</v>
      </c>
      <c r="P21" s="13">
        <v>4800000</v>
      </c>
      <c r="Q21" s="13">
        <f t="shared" si="1"/>
        <v>3770000</v>
      </c>
      <c r="S21" s="5"/>
      <c r="T21" s="5"/>
    </row>
    <row r="22" spans="1:20" ht="12.75" customHeight="1" x14ac:dyDescent="0.25">
      <c r="A22" s="25">
        <v>15</v>
      </c>
      <c r="B22" s="44">
        <v>43361</v>
      </c>
      <c r="C22" s="10" t="s">
        <v>150</v>
      </c>
      <c r="D22" s="8" t="s">
        <v>174</v>
      </c>
      <c r="E22" s="10" t="s">
        <v>118</v>
      </c>
      <c r="F22" s="8"/>
      <c r="G22" s="12">
        <v>207</v>
      </c>
      <c r="H22" s="3">
        <v>3738420</v>
      </c>
      <c r="I22" s="12"/>
      <c r="J22" s="50">
        <v>1130000</v>
      </c>
      <c r="K22" s="18"/>
      <c r="L22" s="29"/>
      <c r="M22" s="13"/>
      <c r="N22" s="13"/>
      <c r="O22" s="13">
        <f t="shared" si="0"/>
        <v>4868420</v>
      </c>
      <c r="P22" s="13">
        <v>5200000</v>
      </c>
      <c r="Q22" s="13">
        <f t="shared" si="1"/>
        <v>331580</v>
      </c>
      <c r="S22" s="5"/>
      <c r="T22" s="5"/>
    </row>
    <row r="23" spans="1:20" ht="12.75" customHeight="1" x14ac:dyDescent="0.25">
      <c r="A23" s="25">
        <v>16</v>
      </c>
      <c r="B23" s="44">
        <v>43362</v>
      </c>
      <c r="C23" s="10" t="s">
        <v>151</v>
      </c>
      <c r="D23" s="8" t="s">
        <v>175</v>
      </c>
      <c r="E23" s="10" t="s">
        <v>187</v>
      </c>
      <c r="F23" s="8"/>
      <c r="G23" s="12"/>
      <c r="H23" s="3"/>
      <c r="I23" s="12"/>
      <c r="J23" s="50">
        <v>750000</v>
      </c>
      <c r="K23" s="18"/>
      <c r="L23" s="29"/>
      <c r="M23" s="13"/>
      <c r="N23" s="13"/>
      <c r="O23" s="13">
        <f t="shared" si="0"/>
        <v>750000</v>
      </c>
      <c r="P23" s="13">
        <v>4700000</v>
      </c>
      <c r="Q23" s="13">
        <f t="shared" si="1"/>
        <v>3950000</v>
      </c>
      <c r="S23" s="5"/>
      <c r="T23" s="5"/>
    </row>
    <row r="24" spans="1:20" ht="12.75" customHeight="1" x14ac:dyDescent="0.25">
      <c r="A24" s="25">
        <v>17</v>
      </c>
      <c r="B24" s="44">
        <v>43363</v>
      </c>
      <c r="C24" s="10" t="s">
        <v>152</v>
      </c>
      <c r="D24" s="8" t="s">
        <v>176</v>
      </c>
      <c r="E24" s="10" t="s">
        <v>119</v>
      </c>
      <c r="F24" s="8"/>
      <c r="G24" s="12">
        <v>258</v>
      </c>
      <c r="H24" s="3">
        <v>4659480</v>
      </c>
      <c r="I24" s="12"/>
      <c r="J24" s="50">
        <v>680000</v>
      </c>
      <c r="K24" s="18"/>
      <c r="L24" s="29"/>
      <c r="M24" s="13"/>
      <c r="N24" s="13"/>
      <c r="O24" s="13">
        <f t="shared" si="0"/>
        <v>5339480</v>
      </c>
      <c r="P24" s="13">
        <v>3200000</v>
      </c>
      <c r="Q24" s="13">
        <f t="shared" si="1"/>
        <v>-2139480</v>
      </c>
      <c r="S24" s="5"/>
      <c r="T24" s="5"/>
    </row>
    <row r="25" spans="1:20" ht="12.75" customHeight="1" x14ac:dyDescent="0.25">
      <c r="A25" s="25">
        <v>18</v>
      </c>
      <c r="B25" s="44">
        <v>43364</v>
      </c>
      <c r="C25" s="10" t="s">
        <v>153</v>
      </c>
      <c r="D25" s="8" t="s">
        <v>102</v>
      </c>
      <c r="E25" s="10" t="s">
        <v>118</v>
      </c>
      <c r="F25" s="8"/>
      <c r="G25" s="12"/>
      <c r="H25" s="3"/>
      <c r="I25" s="12"/>
      <c r="J25" s="50">
        <v>1130000</v>
      </c>
      <c r="K25" s="18"/>
      <c r="L25" s="29"/>
      <c r="M25" s="13"/>
      <c r="N25" s="13"/>
      <c r="O25" s="13">
        <f t="shared" si="0"/>
        <v>1130000</v>
      </c>
      <c r="P25" s="13">
        <v>5200000</v>
      </c>
      <c r="Q25" s="13">
        <f t="shared" si="1"/>
        <v>4070000</v>
      </c>
      <c r="S25" s="5"/>
      <c r="T25" s="5"/>
    </row>
    <row r="26" spans="1:20" ht="12.75" customHeight="1" x14ac:dyDescent="0.25">
      <c r="A26" s="25">
        <v>19</v>
      </c>
      <c r="B26" s="44">
        <v>43365</v>
      </c>
      <c r="C26" s="10" t="s">
        <v>154</v>
      </c>
      <c r="D26" s="8" t="s">
        <v>177</v>
      </c>
      <c r="E26" s="10" t="s">
        <v>188</v>
      </c>
      <c r="F26" s="8"/>
      <c r="G26" s="12">
        <v>188</v>
      </c>
      <c r="H26" s="3">
        <v>3406560</v>
      </c>
      <c r="I26" s="12"/>
      <c r="J26" s="50">
        <v>1200000</v>
      </c>
      <c r="K26" s="18"/>
      <c r="L26" s="29"/>
      <c r="M26" s="13"/>
      <c r="N26" s="13"/>
      <c r="O26" s="13">
        <f t="shared" si="0"/>
        <v>4606560</v>
      </c>
      <c r="P26" s="13">
        <v>6100000</v>
      </c>
      <c r="Q26" s="13">
        <f t="shared" si="1"/>
        <v>1493440</v>
      </c>
      <c r="S26" s="5"/>
      <c r="T26" s="5"/>
    </row>
    <row r="27" spans="1:20" ht="12.75" customHeight="1" x14ac:dyDescent="0.25">
      <c r="A27" s="25">
        <v>20</v>
      </c>
      <c r="B27" s="44">
        <v>43367</v>
      </c>
      <c r="C27" s="10" t="s">
        <v>155</v>
      </c>
      <c r="D27" s="8" t="s">
        <v>178</v>
      </c>
      <c r="E27" s="10" t="s">
        <v>189</v>
      </c>
      <c r="F27" s="8"/>
      <c r="G27" s="12"/>
      <c r="H27" s="3"/>
      <c r="I27" s="12"/>
      <c r="J27" s="50">
        <v>1200000</v>
      </c>
      <c r="K27" s="18"/>
      <c r="L27" s="29"/>
      <c r="M27" s="13"/>
      <c r="N27" s="13"/>
      <c r="O27" s="13">
        <f t="shared" si="0"/>
        <v>1200000</v>
      </c>
      <c r="P27" s="13">
        <v>5400000</v>
      </c>
      <c r="Q27" s="13">
        <f t="shared" si="1"/>
        <v>4200000</v>
      </c>
      <c r="S27" s="5"/>
      <c r="T27" s="5"/>
    </row>
    <row r="28" spans="1:20" ht="12.75" customHeight="1" x14ac:dyDescent="0.25">
      <c r="A28" s="25">
        <v>21</v>
      </c>
      <c r="B28" s="44">
        <v>43368</v>
      </c>
      <c r="C28" s="10" t="s">
        <v>156</v>
      </c>
      <c r="D28" s="8" t="s">
        <v>179</v>
      </c>
      <c r="E28" s="10" t="s">
        <v>33</v>
      </c>
      <c r="F28" s="8"/>
      <c r="G28" s="12">
        <v>272</v>
      </c>
      <c r="H28" s="3">
        <v>4928640</v>
      </c>
      <c r="I28" s="12"/>
      <c r="J28" s="50">
        <v>1600000</v>
      </c>
      <c r="K28" s="18"/>
      <c r="L28" s="29"/>
      <c r="M28" s="13"/>
      <c r="N28" s="13"/>
      <c r="O28" s="13">
        <f t="shared" si="0"/>
        <v>6528640</v>
      </c>
      <c r="P28" s="13">
        <v>7227273</v>
      </c>
      <c r="Q28" s="13">
        <f t="shared" si="1"/>
        <v>698633</v>
      </c>
      <c r="S28" s="5"/>
      <c r="T28" s="5"/>
    </row>
    <row r="29" spans="1:20" ht="12.75" customHeight="1" x14ac:dyDescent="0.25">
      <c r="A29" s="25">
        <v>22</v>
      </c>
      <c r="B29" s="44">
        <v>43368</v>
      </c>
      <c r="C29" s="10" t="s">
        <v>157</v>
      </c>
      <c r="D29" s="45" t="s">
        <v>180</v>
      </c>
      <c r="E29" s="10" t="s">
        <v>112</v>
      </c>
      <c r="F29" s="8"/>
      <c r="G29" s="12">
        <v>123</v>
      </c>
      <c r="H29" s="3">
        <v>2228760</v>
      </c>
      <c r="I29" s="12"/>
      <c r="J29" s="50">
        <v>2440000</v>
      </c>
      <c r="K29" s="18"/>
      <c r="L29" s="29"/>
      <c r="M29" s="13"/>
      <c r="N29" s="13"/>
      <c r="O29" s="13">
        <f t="shared" si="0"/>
        <v>4668760</v>
      </c>
      <c r="P29" s="13">
        <v>13181818</v>
      </c>
      <c r="Q29" s="13">
        <f t="shared" si="1"/>
        <v>8513058</v>
      </c>
      <c r="S29" s="5"/>
      <c r="T29" s="5"/>
    </row>
    <row r="30" spans="1:20" ht="12.75" customHeight="1" x14ac:dyDescent="0.25">
      <c r="A30" s="25">
        <v>23</v>
      </c>
      <c r="B30" s="44">
        <v>43370</v>
      </c>
      <c r="C30" s="10" t="s">
        <v>158</v>
      </c>
      <c r="D30" s="8" t="s">
        <v>181</v>
      </c>
      <c r="E30" s="10" t="s">
        <v>190</v>
      </c>
      <c r="F30" s="8"/>
      <c r="G30" s="12">
        <v>160</v>
      </c>
      <c r="H30" s="3">
        <v>2899200</v>
      </c>
      <c r="I30" s="12"/>
      <c r="J30" s="50">
        <v>1050000</v>
      </c>
      <c r="K30" s="18"/>
      <c r="L30" s="29"/>
      <c r="M30" s="13"/>
      <c r="N30" s="13"/>
      <c r="O30" s="13">
        <f t="shared" si="0"/>
        <v>3949200</v>
      </c>
      <c r="P30" s="13">
        <v>4800000</v>
      </c>
      <c r="Q30" s="13">
        <f t="shared" si="1"/>
        <v>850800</v>
      </c>
      <c r="S30" s="5"/>
      <c r="T30" s="5"/>
    </row>
    <row r="31" spans="1:20" ht="12.75" customHeight="1" x14ac:dyDescent="0.25">
      <c r="A31" s="25">
        <v>24</v>
      </c>
      <c r="B31" s="44">
        <v>43371</v>
      </c>
      <c r="C31" s="10" t="s">
        <v>159</v>
      </c>
      <c r="D31" s="8" t="s">
        <v>182</v>
      </c>
      <c r="E31" s="10" t="s">
        <v>191</v>
      </c>
      <c r="F31" s="8"/>
      <c r="G31" s="12">
        <v>240</v>
      </c>
      <c r="H31" s="3">
        <v>4348800</v>
      </c>
      <c r="I31" s="12"/>
      <c r="J31" s="50">
        <v>1050000</v>
      </c>
      <c r="K31" s="18"/>
      <c r="L31" s="29"/>
      <c r="M31" s="13"/>
      <c r="N31" s="13"/>
      <c r="O31" s="13">
        <f t="shared" si="0"/>
        <v>5398800</v>
      </c>
      <c r="P31" s="3">
        <v>4800000</v>
      </c>
      <c r="Q31" s="13">
        <f t="shared" si="1"/>
        <v>-598800</v>
      </c>
      <c r="S31" s="5"/>
      <c r="T31" s="5"/>
    </row>
    <row r="32" spans="1:20" ht="12.75" customHeight="1" x14ac:dyDescent="0.25">
      <c r="A32" s="25"/>
      <c r="B32" s="44"/>
      <c r="C32" s="10"/>
      <c r="D32" s="8"/>
      <c r="E32" s="10"/>
      <c r="F32" s="8"/>
      <c r="G32" s="12">
        <v>215</v>
      </c>
      <c r="H32" s="3">
        <f>G32*18120</f>
        <v>3895800</v>
      </c>
      <c r="I32" s="12"/>
      <c r="J32" s="3"/>
      <c r="K32" s="18"/>
      <c r="L32" s="29"/>
      <c r="M32" s="13"/>
      <c r="N32" s="13"/>
      <c r="O32" s="13">
        <f t="shared" si="0"/>
        <v>3895800</v>
      </c>
      <c r="P32" s="3"/>
      <c r="Q32" s="13">
        <f t="shared" si="1"/>
        <v>-3895800</v>
      </c>
      <c r="S32" s="5"/>
      <c r="T32" s="5"/>
    </row>
    <row r="33" spans="1:20" ht="12.75" customHeight="1" x14ac:dyDescent="0.25">
      <c r="A33" s="25"/>
      <c r="B33" s="44"/>
      <c r="C33" s="10"/>
      <c r="D33" s="8"/>
      <c r="E33" s="10"/>
      <c r="F33" s="8"/>
      <c r="G33" s="12"/>
      <c r="H33" s="3"/>
      <c r="I33" s="12"/>
      <c r="J33" s="3"/>
      <c r="K33" s="18"/>
      <c r="L33" s="29"/>
      <c r="M33" s="13"/>
      <c r="N33" s="13"/>
      <c r="O33" s="13">
        <f t="shared" si="0"/>
        <v>0</v>
      </c>
      <c r="P33" s="3"/>
      <c r="Q33" s="13">
        <f t="shared" si="1"/>
        <v>0</v>
      </c>
      <c r="S33" s="5"/>
      <c r="T33" s="5"/>
    </row>
    <row r="34" spans="1:20" ht="25.5" customHeight="1" x14ac:dyDescent="0.25">
      <c r="A34" s="25"/>
      <c r="B34" s="44"/>
      <c r="C34" s="17" t="s">
        <v>192</v>
      </c>
      <c r="D34" s="30"/>
      <c r="E34" s="17"/>
      <c r="F34" s="30"/>
      <c r="G34" s="46"/>
      <c r="H34" s="18"/>
      <c r="I34" s="46"/>
      <c r="J34" s="18"/>
      <c r="K34" s="18"/>
      <c r="L34" s="28">
        <v>9300000</v>
      </c>
      <c r="M34" s="28"/>
      <c r="N34" s="28"/>
      <c r="O34" s="28">
        <f t="shared" si="0"/>
        <v>9300000</v>
      </c>
      <c r="P34" s="28"/>
      <c r="Q34" s="13">
        <f t="shared" si="1"/>
        <v>-9300000</v>
      </c>
      <c r="S34" s="5"/>
      <c r="T34" s="5"/>
    </row>
    <row r="35" spans="1:20" x14ac:dyDescent="0.25">
      <c r="A35" s="25"/>
      <c r="B35" s="27"/>
      <c r="C35" s="17" t="s">
        <v>193</v>
      </c>
      <c r="D35" s="47"/>
      <c r="E35" s="17"/>
      <c r="F35" s="30"/>
      <c r="G35" s="46"/>
      <c r="H35" s="18"/>
      <c r="I35" s="46"/>
      <c r="J35" s="18"/>
      <c r="K35" s="18"/>
      <c r="L35" s="28">
        <v>150000</v>
      </c>
      <c r="M35" s="28"/>
      <c r="N35" s="28"/>
      <c r="O35" s="28">
        <f t="shared" si="0"/>
        <v>150000</v>
      </c>
      <c r="P35" s="28"/>
      <c r="Q35" s="13">
        <f t="shared" si="1"/>
        <v>-150000</v>
      </c>
      <c r="S35" s="5"/>
    </row>
    <row r="36" spans="1:20" ht="25.5" x14ac:dyDescent="0.25">
      <c r="A36" s="25"/>
      <c r="B36" s="27"/>
      <c r="C36" s="17" t="s">
        <v>194</v>
      </c>
      <c r="D36" s="30"/>
      <c r="E36" s="17"/>
      <c r="F36" s="30"/>
      <c r="G36" s="46"/>
      <c r="H36" s="18"/>
      <c r="I36" s="46"/>
      <c r="J36" s="18"/>
      <c r="K36" s="18"/>
      <c r="L36" s="28">
        <v>8628000</v>
      </c>
      <c r="M36" s="28"/>
      <c r="N36" s="28"/>
      <c r="O36" s="28">
        <f t="shared" si="0"/>
        <v>8628000</v>
      </c>
      <c r="P36" s="28"/>
      <c r="Q36" s="13">
        <f t="shared" si="1"/>
        <v>-8628000</v>
      </c>
    </row>
    <row r="37" spans="1:20" ht="25.5" x14ac:dyDescent="0.25">
      <c r="A37" s="25"/>
      <c r="B37" s="27"/>
      <c r="C37" s="17" t="s">
        <v>195</v>
      </c>
      <c r="D37" s="30"/>
      <c r="E37" s="17"/>
      <c r="F37" s="30"/>
      <c r="G37" s="46"/>
      <c r="H37" s="18"/>
      <c r="I37" s="46"/>
      <c r="J37" s="18"/>
      <c r="K37" s="18"/>
      <c r="L37" s="28">
        <v>610000</v>
      </c>
      <c r="M37" s="28"/>
      <c r="N37" s="28"/>
      <c r="O37" s="28">
        <f t="shared" si="0"/>
        <v>610000</v>
      </c>
      <c r="P37" s="28"/>
      <c r="Q37" s="13">
        <f t="shared" si="1"/>
        <v>-610000</v>
      </c>
    </row>
    <row r="38" spans="1:20" x14ac:dyDescent="0.25">
      <c r="A38" s="25"/>
      <c r="B38" s="27"/>
      <c r="C38" s="17" t="s">
        <v>197</v>
      </c>
      <c r="D38" s="30"/>
      <c r="E38" s="17"/>
      <c r="F38" s="30"/>
      <c r="G38" s="30"/>
      <c r="H38" s="28"/>
      <c r="I38" s="30"/>
      <c r="J38" s="28"/>
      <c r="K38" s="28"/>
      <c r="L38" s="28"/>
      <c r="M38" s="28"/>
      <c r="N38" s="28">
        <f>2760000</f>
        <v>2760000</v>
      </c>
      <c r="O38" s="28">
        <f t="shared" si="0"/>
        <v>2760000</v>
      </c>
      <c r="P38" s="28"/>
      <c r="Q38" s="13">
        <f t="shared" si="1"/>
        <v>-2760000</v>
      </c>
    </row>
    <row r="39" spans="1:20" ht="25.5" x14ac:dyDescent="0.25">
      <c r="A39" s="25"/>
      <c r="B39" s="27"/>
      <c r="C39" s="17" t="s">
        <v>196</v>
      </c>
      <c r="D39" s="30"/>
      <c r="E39" s="17"/>
      <c r="F39" s="30"/>
      <c r="G39" s="30"/>
      <c r="H39" s="28"/>
      <c r="I39" s="30"/>
      <c r="J39" s="28"/>
      <c r="K39" s="28"/>
      <c r="L39" s="28">
        <v>170000</v>
      </c>
      <c r="M39" s="28"/>
      <c r="N39" s="28"/>
      <c r="O39" s="28">
        <f t="shared" si="0"/>
        <v>170000</v>
      </c>
      <c r="P39" s="28"/>
      <c r="Q39" s="13">
        <f t="shared" si="1"/>
        <v>-170000</v>
      </c>
    </row>
    <row r="40" spans="1:20" x14ac:dyDescent="0.25">
      <c r="A40" s="8"/>
      <c r="B40" s="8"/>
      <c r="C40" s="17" t="s">
        <v>131</v>
      </c>
      <c r="D40" s="30"/>
      <c r="E40" s="17"/>
      <c r="F40" s="30"/>
      <c r="G40" s="30"/>
      <c r="H40" s="28"/>
      <c r="I40" s="30"/>
      <c r="J40" s="28"/>
      <c r="K40" s="28"/>
      <c r="L40" s="28">
        <f>1200000*1.1</f>
        <v>1320000</v>
      </c>
      <c r="M40" s="28"/>
      <c r="N40" s="28"/>
      <c r="O40" s="28">
        <f t="shared" si="0"/>
        <v>1320000</v>
      </c>
      <c r="P40" s="28"/>
      <c r="Q40" s="13">
        <f t="shared" si="1"/>
        <v>-1320000</v>
      </c>
    </row>
    <row r="41" spans="1:20" x14ac:dyDescent="0.25">
      <c r="A41" s="8"/>
      <c r="B41" s="8"/>
      <c r="C41" s="17" t="s">
        <v>132</v>
      </c>
      <c r="D41" s="30"/>
      <c r="E41" s="17"/>
      <c r="F41" s="30"/>
      <c r="G41" s="30"/>
      <c r="H41" s="28"/>
      <c r="I41" s="30"/>
      <c r="J41" s="28"/>
      <c r="K41" s="28"/>
      <c r="L41" s="28"/>
      <c r="M41" s="48">
        <v>5975000</v>
      </c>
      <c r="N41" s="28"/>
      <c r="O41" s="28">
        <f t="shared" si="0"/>
        <v>5975000</v>
      </c>
      <c r="P41" s="28"/>
      <c r="Q41" s="13">
        <f t="shared" si="1"/>
        <v>-5975000</v>
      </c>
    </row>
    <row r="42" spans="1:20" x14ac:dyDescent="0.25">
      <c r="A42" s="166" t="s">
        <v>19</v>
      </c>
      <c r="B42" s="167"/>
      <c r="C42" s="167"/>
      <c r="D42" s="167"/>
      <c r="E42" s="167"/>
      <c r="F42" s="168"/>
      <c r="G42" s="19">
        <f t="shared" ref="G42:N42" si="2">SUM(G7:G41)</f>
        <v>3121</v>
      </c>
      <c r="H42" s="4">
        <f>SUM(H7:H41)</f>
        <v>56349740</v>
      </c>
      <c r="I42" s="4">
        <f t="shared" si="2"/>
        <v>0</v>
      </c>
      <c r="J42" s="4">
        <f t="shared" si="2"/>
        <v>28130000</v>
      </c>
      <c r="K42" s="4">
        <f t="shared" si="2"/>
        <v>0</v>
      </c>
      <c r="L42" s="4">
        <f t="shared" si="2"/>
        <v>20178000</v>
      </c>
      <c r="M42" s="4">
        <f t="shared" si="2"/>
        <v>5975000</v>
      </c>
      <c r="N42" s="4">
        <f t="shared" si="2"/>
        <v>2760000</v>
      </c>
      <c r="O42" s="4">
        <f>SUM(O7:O41)</f>
        <v>113392740</v>
      </c>
      <c r="P42" s="4">
        <f>SUM(P7:P41)</f>
        <v>137318182</v>
      </c>
      <c r="Q42" s="4">
        <f>SUM(Q7:Q41)</f>
        <v>23925442</v>
      </c>
      <c r="R42" s="24"/>
    </row>
    <row r="43" spans="1:20" x14ac:dyDescent="0.25">
      <c r="O43" s="20"/>
      <c r="Q43" s="26"/>
    </row>
    <row r="44" spans="1:20" x14ac:dyDescent="0.25">
      <c r="P44" s="21" t="s">
        <v>20</v>
      </c>
      <c r="Q44" s="26">
        <f>'08-2018'!Q43+'09-2018'!Q42</f>
        <v>56904084</v>
      </c>
    </row>
    <row r="48" spans="1:20" x14ac:dyDescent="0.25">
      <c r="B48" s="6"/>
    </row>
    <row r="49" spans="2:17" x14ac:dyDescent="0.25">
      <c r="B49" s="6"/>
    </row>
    <row r="50" spans="2:17" x14ac:dyDescent="0.25">
      <c r="B50" s="6"/>
    </row>
    <row r="51" spans="2:17" x14ac:dyDescent="0.25">
      <c r="B51" s="6"/>
      <c r="H51" s="6"/>
      <c r="J51" s="6"/>
      <c r="K51" s="6"/>
      <c r="L51" s="6"/>
      <c r="M51" s="6"/>
      <c r="N51" s="6"/>
      <c r="O51" s="6"/>
      <c r="P51" s="6"/>
      <c r="Q51" s="6"/>
    </row>
  </sheetData>
  <mergeCells count="14">
    <mergeCell ref="O5:O6"/>
    <mergeCell ref="P5:P6"/>
    <mergeCell ref="Q5:Q6"/>
    <mergeCell ref="A42:F42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4"/>
  <sheetViews>
    <sheetView topLeftCell="A31" workbookViewId="0">
      <selection activeCell="Q47" sqref="Q4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28.57031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8.570312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198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15"/>
      <c r="Q7" s="15"/>
    </row>
    <row r="8" spans="1:20" x14ac:dyDescent="0.25">
      <c r="A8" s="25">
        <v>1</v>
      </c>
      <c r="B8" s="44">
        <v>43374</v>
      </c>
      <c r="C8" s="10" t="s">
        <v>199</v>
      </c>
      <c r="D8" s="12" t="s">
        <v>226</v>
      </c>
      <c r="E8" s="10" t="s">
        <v>184</v>
      </c>
      <c r="F8" s="8"/>
      <c r="G8" s="12"/>
      <c r="H8" s="3"/>
      <c r="I8" s="12"/>
      <c r="J8" s="3">
        <v>1050000</v>
      </c>
      <c r="K8" s="18"/>
      <c r="L8" s="29"/>
      <c r="M8" s="13"/>
      <c r="N8" s="13"/>
      <c r="O8" s="13">
        <f>H8+J8+K8+L8+M8+N8</f>
        <v>1050000</v>
      </c>
      <c r="P8" s="13">
        <v>4800000</v>
      </c>
      <c r="Q8" s="13">
        <f>P8-O8</f>
        <v>3750000</v>
      </c>
      <c r="S8" s="5"/>
      <c r="T8" s="5"/>
    </row>
    <row r="9" spans="1:20" ht="12.75" customHeight="1" x14ac:dyDescent="0.25">
      <c r="A9" s="25">
        <v>2</v>
      </c>
      <c r="B9" s="44">
        <v>43374</v>
      </c>
      <c r="C9" s="10" t="s">
        <v>200</v>
      </c>
      <c r="D9" s="8" t="s">
        <v>227</v>
      </c>
      <c r="E9" s="10" t="s">
        <v>253</v>
      </c>
      <c r="F9" s="8"/>
      <c r="G9" s="12"/>
      <c r="H9" s="3"/>
      <c r="I9" s="12"/>
      <c r="J9" s="3">
        <v>540000</v>
      </c>
      <c r="K9" s="18"/>
      <c r="L9" s="29"/>
      <c r="M9" s="13"/>
      <c r="N9" s="13"/>
      <c r="O9" s="13">
        <f t="shared" ref="O9:O44" si="0">H9+J9+K9+L9+M9+N9</f>
        <v>540000</v>
      </c>
      <c r="P9" s="13">
        <v>2600000</v>
      </c>
      <c r="Q9" s="13">
        <f t="shared" ref="Q9:Q44" si="1">P9-O9</f>
        <v>2060000</v>
      </c>
      <c r="S9" s="5"/>
      <c r="T9" s="5"/>
    </row>
    <row r="10" spans="1:20" ht="12.75" customHeight="1" x14ac:dyDescent="0.25">
      <c r="A10" s="25">
        <v>3</v>
      </c>
      <c r="B10" s="44">
        <v>43374</v>
      </c>
      <c r="C10" s="10" t="s">
        <v>201</v>
      </c>
      <c r="D10" s="8" t="s">
        <v>228</v>
      </c>
      <c r="E10" s="10" t="s">
        <v>253</v>
      </c>
      <c r="F10" s="8"/>
      <c r="G10" s="12"/>
      <c r="H10" s="3"/>
      <c r="I10" s="12"/>
      <c r="J10" s="3">
        <v>540000</v>
      </c>
      <c r="K10" s="18"/>
      <c r="L10" s="29"/>
      <c r="M10" s="13"/>
      <c r="N10" s="13"/>
      <c r="O10" s="13">
        <f t="shared" si="0"/>
        <v>540000</v>
      </c>
      <c r="P10" s="13">
        <v>2600000</v>
      </c>
      <c r="Q10" s="13">
        <f t="shared" si="1"/>
        <v>2060000</v>
      </c>
      <c r="S10" s="5"/>
      <c r="T10" s="5"/>
    </row>
    <row r="11" spans="1:20" ht="12.75" customHeight="1" x14ac:dyDescent="0.25">
      <c r="A11" s="25">
        <v>4</v>
      </c>
      <c r="B11" s="44">
        <v>43375</v>
      </c>
      <c r="C11" s="10" t="s">
        <v>202</v>
      </c>
      <c r="D11" s="8" t="s">
        <v>229</v>
      </c>
      <c r="E11" s="10" t="s">
        <v>117</v>
      </c>
      <c r="F11" s="8"/>
      <c r="G11" s="12">
        <v>220</v>
      </c>
      <c r="H11" s="3">
        <v>3986400</v>
      </c>
      <c r="I11" s="12"/>
      <c r="J11" s="3">
        <v>1200000</v>
      </c>
      <c r="K11" s="18"/>
      <c r="L11" s="29"/>
      <c r="M11" s="13"/>
      <c r="N11" s="13"/>
      <c r="O11" s="13">
        <f t="shared" si="0"/>
        <v>5186400</v>
      </c>
      <c r="P11" s="13">
        <v>5400000</v>
      </c>
      <c r="Q11" s="13">
        <f t="shared" si="1"/>
        <v>213600</v>
      </c>
      <c r="S11" s="5"/>
      <c r="T11" s="5"/>
    </row>
    <row r="12" spans="1:20" ht="12.75" customHeight="1" x14ac:dyDescent="0.25">
      <c r="A12" s="25">
        <v>5</v>
      </c>
      <c r="B12" s="44">
        <v>43376</v>
      </c>
      <c r="C12" s="10" t="s">
        <v>203</v>
      </c>
      <c r="D12" s="8" t="s">
        <v>230</v>
      </c>
      <c r="E12" s="10" t="s">
        <v>184</v>
      </c>
      <c r="F12" s="8"/>
      <c r="G12" s="12"/>
      <c r="H12" s="3"/>
      <c r="I12" s="12"/>
      <c r="J12" s="3">
        <v>1050000</v>
      </c>
      <c r="K12" s="18"/>
      <c r="L12" s="29"/>
      <c r="M12" s="13"/>
      <c r="N12" s="13"/>
      <c r="O12" s="13">
        <f t="shared" si="0"/>
        <v>1050000</v>
      </c>
      <c r="P12" s="13">
        <v>4800000</v>
      </c>
      <c r="Q12" s="13">
        <f t="shared" si="1"/>
        <v>3750000</v>
      </c>
      <c r="S12" s="5"/>
      <c r="T12" s="5"/>
    </row>
    <row r="13" spans="1:20" ht="12.75" customHeight="1" x14ac:dyDescent="0.25">
      <c r="A13" s="25">
        <v>6</v>
      </c>
      <c r="B13" s="44">
        <v>43377</v>
      </c>
      <c r="C13" s="10" t="s">
        <v>204</v>
      </c>
      <c r="D13" s="8" t="s">
        <v>231</v>
      </c>
      <c r="E13" s="10" t="s">
        <v>253</v>
      </c>
      <c r="F13" s="8"/>
      <c r="G13" s="12"/>
      <c r="H13" s="3"/>
      <c r="I13" s="12"/>
      <c r="J13" s="3">
        <v>450000</v>
      </c>
      <c r="K13" s="18"/>
      <c r="L13" s="29"/>
      <c r="M13" s="13"/>
      <c r="N13" s="13"/>
      <c r="O13" s="13">
        <f t="shared" si="0"/>
        <v>450000</v>
      </c>
      <c r="P13" s="13">
        <v>2600000</v>
      </c>
      <c r="Q13" s="13">
        <f t="shared" si="1"/>
        <v>2150000</v>
      </c>
      <c r="S13" s="5"/>
      <c r="T13" s="5"/>
    </row>
    <row r="14" spans="1:20" ht="12.75" customHeight="1" x14ac:dyDescent="0.25">
      <c r="A14" s="25">
        <v>7</v>
      </c>
      <c r="B14" s="44">
        <v>43377</v>
      </c>
      <c r="C14" s="10" t="s">
        <v>205</v>
      </c>
      <c r="D14" s="8" t="s">
        <v>232</v>
      </c>
      <c r="E14" s="10" t="s">
        <v>253</v>
      </c>
      <c r="F14" s="8"/>
      <c r="G14" s="12"/>
      <c r="H14" s="3"/>
      <c r="I14" s="12"/>
      <c r="J14" s="3">
        <v>450000</v>
      </c>
      <c r="K14" s="18"/>
      <c r="L14" s="29"/>
      <c r="M14" s="13"/>
      <c r="N14" s="13"/>
      <c r="O14" s="13">
        <f t="shared" si="0"/>
        <v>450000</v>
      </c>
      <c r="P14" s="13">
        <v>2600000</v>
      </c>
      <c r="Q14" s="13">
        <f t="shared" si="1"/>
        <v>2150000</v>
      </c>
      <c r="S14" s="5"/>
      <c r="T14" s="5"/>
    </row>
    <row r="15" spans="1:20" ht="12.75" customHeight="1" x14ac:dyDescent="0.25">
      <c r="A15" s="25">
        <v>8</v>
      </c>
      <c r="B15" s="44">
        <v>43378</v>
      </c>
      <c r="C15" s="10" t="s">
        <v>206</v>
      </c>
      <c r="D15" s="8" t="s">
        <v>233</v>
      </c>
      <c r="E15" s="10" t="s">
        <v>254</v>
      </c>
      <c r="F15" s="8"/>
      <c r="G15" s="12">
        <v>237</v>
      </c>
      <c r="H15" s="3">
        <v>4294440</v>
      </c>
      <c r="I15" s="12"/>
      <c r="J15" s="3">
        <v>820000</v>
      </c>
      <c r="K15" s="18"/>
      <c r="L15" s="29"/>
      <c r="M15" s="13"/>
      <c r="N15" s="13"/>
      <c r="O15" s="13">
        <f t="shared" si="0"/>
        <v>5114440</v>
      </c>
      <c r="P15" s="13">
        <v>6300000</v>
      </c>
      <c r="Q15" s="13">
        <f t="shared" si="1"/>
        <v>1185560</v>
      </c>
      <c r="S15" s="5"/>
      <c r="T15" s="5"/>
    </row>
    <row r="16" spans="1:20" ht="12.75" customHeight="1" x14ac:dyDescent="0.25">
      <c r="A16" s="25">
        <v>9</v>
      </c>
      <c r="B16" s="44">
        <v>43381</v>
      </c>
      <c r="C16" s="10" t="s">
        <v>207</v>
      </c>
      <c r="D16" s="8" t="s">
        <v>234</v>
      </c>
      <c r="E16" s="10" t="s">
        <v>255</v>
      </c>
      <c r="F16" s="8"/>
      <c r="G16" s="12"/>
      <c r="H16" s="3"/>
      <c r="I16" s="12"/>
      <c r="J16" s="3">
        <v>1200000</v>
      </c>
      <c r="K16" s="18"/>
      <c r="L16" s="29"/>
      <c r="M16" s="13"/>
      <c r="N16" s="13"/>
      <c r="O16" s="13">
        <f t="shared" si="0"/>
        <v>1200000</v>
      </c>
      <c r="P16" s="13">
        <v>5400000</v>
      </c>
      <c r="Q16" s="13">
        <f t="shared" si="1"/>
        <v>4200000</v>
      </c>
      <c r="S16" s="5"/>
      <c r="T16" s="5"/>
    </row>
    <row r="17" spans="1:20" ht="12.75" customHeight="1" x14ac:dyDescent="0.25">
      <c r="A17" s="25">
        <v>10</v>
      </c>
      <c r="B17" s="44">
        <v>43382</v>
      </c>
      <c r="C17" s="10" t="s">
        <v>208</v>
      </c>
      <c r="D17" s="8" t="s">
        <v>235</v>
      </c>
      <c r="E17" s="10" t="s">
        <v>112</v>
      </c>
      <c r="F17" s="8"/>
      <c r="G17" s="12">
        <f>185+125</f>
        <v>310</v>
      </c>
      <c r="H17" s="3">
        <f>3442850+125*18610</f>
        <v>5769100</v>
      </c>
      <c r="I17" s="12"/>
      <c r="J17" s="3">
        <f>2440000-120000</f>
        <v>2320000</v>
      </c>
      <c r="K17" s="18"/>
      <c r="L17" s="29"/>
      <c r="M17" s="13"/>
      <c r="N17" s="13"/>
      <c r="O17" s="13">
        <f t="shared" si="0"/>
        <v>8089100</v>
      </c>
      <c r="P17" s="13">
        <v>13181818</v>
      </c>
      <c r="Q17" s="13">
        <f t="shared" si="1"/>
        <v>5092718</v>
      </c>
      <c r="S17" s="5"/>
      <c r="T17" s="5"/>
    </row>
    <row r="18" spans="1:20" ht="12.75" customHeight="1" x14ac:dyDescent="0.25">
      <c r="A18" s="25">
        <v>11</v>
      </c>
      <c r="B18" s="44">
        <v>43384</v>
      </c>
      <c r="C18" s="10" t="s">
        <v>209</v>
      </c>
      <c r="D18" s="8" t="s">
        <v>236</v>
      </c>
      <c r="E18" s="10" t="s">
        <v>184</v>
      </c>
      <c r="F18" s="8"/>
      <c r="G18" s="12">
        <v>214</v>
      </c>
      <c r="H18" s="3">
        <f>G18*18610</f>
        <v>3982540</v>
      </c>
      <c r="I18" s="12"/>
      <c r="J18" s="3">
        <v>1050000</v>
      </c>
      <c r="K18" s="18"/>
      <c r="L18" s="29"/>
      <c r="M18" s="13"/>
      <c r="N18" s="13"/>
      <c r="O18" s="13">
        <f t="shared" si="0"/>
        <v>5032540</v>
      </c>
      <c r="P18" s="13">
        <v>4900000</v>
      </c>
      <c r="Q18" s="13">
        <f t="shared" si="1"/>
        <v>-132540</v>
      </c>
      <c r="S18" s="5"/>
      <c r="T18" s="5"/>
    </row>
    <row r="19" spans="1:20" ht="12.75" customHeight="1" x14ac:dyDescent="0.25">
      <c r="A19" s="25">
        <v>12</v>
      </c>
      <c r="B19" s="44">
        <v>43385</v>
      </c>
      <c r="C19" s="10" t="s">
        <v>210</v>
      </c>
      <c r="D19" s="8" t="s">
        <v>237</v>
      </c>
      <c r="E19" s="10" t="s">
        <v>108</v>
      </c>
      <c r="F19" s="8"/>
      <c r="G19" s="12"/>
      <c r="H19" s="3"/>
      <c r="I19" s="12"/>
      <c r="J19" s="3">
        <v>430000</v>
      </c>
      <c r="K19" s="18"/>
      <c r="L19" s="29"/>
      <c r="M19" s="13"/>
      <c r="N19" s="13"/>
      <c r="O19" s="13">
        <f t="shared" si="0"/>
        <v>430000</v>
      </c>
      <c r="P19" s="13">
        <v>3200000</v>
      </c>
      <c r="Q19" s="13">
        <f t="shared" si="1"/>
        <v>2770000</v>
      </c>
      <c r="S19" s="5"/>
      <c r="T19" s="5"/>
    </row>
    <row r="20" spans="1:20" ht="12.75" customHeight="1" x14ac:dyDescent="0.25">
      <c r="A20" s="25">
        <v>13</v>
      </c>
      <c r="B20" s="44">
        <v>43388</v>
      </c>
      <c r="C20" s="10" t="s">
        <v>211</v>
      </c>
      <c r="D20" s="8" t="s">
        <v>238</v>
      </c>
      <c r="E20" s="10" t="s">
        <v>33</v>
      </c>
      <c r="F20" s="8"/>
      <c r="G20" s="12">
        <v>220</v>
      </c>
      <c r="H20" s="3">
        <f>G20*18610</f>
        <v>4094200</v>
      </c>
      <c r="I20" s="12"/>
      <c r="J20" s="3">
        <v>1600000</v>
      </c>
      <c r="K20" s="18"/>
      <c r="L20" s="29"/>
      <c r="M20" s="13"/>
      <c r="N20" s="13"/>
      <c r="O20" s="13">
        <f t="shared" si="0"/>
        <v>5694200</v>
      </c>
      <c r="P20" s="13">
        <v>7227273</v>
      </c>
      <c r="Q20" s="13">
        <f t="shared" si="1"/>
        <v>1533073</v>
      </c>
      <c r="S20" s="5"/>
      <c r="T20" s="5"/>
    </row>
    <row r="21" spans="1:20" ht="12.75" customHeight="1" x14ac:dyDescent="0.25">
      <c r="A21" s="25">
        <v>14</v>
      </c>
      <c r="B21" s="44">
        <v>43388</v>
      </c>
      <c r="C21" s="10" t="s">
        <v>212</v>
      </c>
      <c r="D21" s="8" t="s">
        <v>239</v>
      </c>
      <c r="E21" s="10" t="s">
        <v>256</v>
      </c>
      <c r="F21" s="8"/>
      <c r="G21" s="12">
        <v>140</v>
      </c>
      <c r="H21" s="3">
        <f t="shared" ref="H21:H34" si="2">G21*18610</f>
        <v>2605400</v>
      </c>
      <c r="I21" s="12"/>
      <c r="J21" s="3">
        <f>700000+300000</f>
        <v>1000000</v>
      </c>
      <c r="K21" s="18"/>
      <c r="L21" s="29"/>
      <c r="M21" s="13"/>
      <c r="N21" s="13"/>
      <c r="O21" s="13">
        <f t="shared" si="0"/>
        <v>3605400</v>
      </c>
      <c r="P21" s="13">
        <v>6300000</v>
      </c>
      <c r="Q21" s="13">
        <f t="shared" si="1"/>
        <v>2694600</v>
      </c>
      <c r="S21" s="5"/>
      <c r="T21" s="5"/>
    </row>
    <row r="22" spans="1:20" ht="12.75" customHeight="1" x14ac:dyDescent="0.25">
      <c r="A22" s="25">
        <v>15</v>
      </c>
      <c r="B22" s="44">
        <v>43389</v>
      </c>
      <c r="C22" s="10" t="s">
        <v>213</v>
      </c>
      <c r="D22" s="8" t="s">
        <v>240</v>
      </c>
      <c r="E22" s="10" t="s">
        <v>108</v>
      </c>
      <c r="F22" s="8"/>
      <c r="G22" s="12"/>
      <c r="H22" s="3"/>
      <c r="I22" s="12"/>
      <c r="J22" s="3">
        <v>430000</v>
      </c>
      <c r="K22" s="18"/>
      <c r="L22" s="29"/>
      <c r="M22" s="13"/>
      <c r="N22" s="13"/>
      <c r="O22" s="13">
        <f t="shared" si="0"/>
        <v>430000</v>
      </c>
      <c r="P22" s="13">
        <v>3200000</v>
      </c>
      <c r="Q22" s="13">
        <f t="shared" si="1"/>
        <v>2770000</v>
      </c>
      <c r="S22" s="5"/>
      <c r="T22" s="5"/>
    </row>
    <row r="23" spans="1:20" ht="12.75" customHeight="1" x14ac:dyDescent="0.25">
      <c r="A23" s="25">
        <v>16</v>
      </c>
      <c r="B23" s="44">
        <v>43390</v>
      </c>
      <c r="C23" s="10" t="s">
        <v>214</v>
      </c>
      <c r="D23" s="8" t="s">
        <v>241</v>
      </c>
      <c r="E23" s="10" t="s">
        <v>119</v>
      </c>
      <c r="F23" s="8"/>
      <c r="G23" s="12"/>
      <c r="H23" s="3"/>
      <c r="I23" s="12"/>
      <c r="J23" s="3">
        <v>680000</v>
      </c>
      <c r="K23" s="18"/>
      <c r="L23" s="29"/>
      <c r="M23" s="13"/>
      <c r="N23" s="13"/>
      <c r="O23" s="13">
        <f t="shared" si="0"/>
        <v>680000</v>
      </c>
      <c r="P23" s="13">
        <v>3200000</v>
      </c>
      <c r="Q23" s="13">
        <f t="shared" si="1"/>
        <v>2520000</v>
      </c>
      <c r="S23" s="5"/>
      <c r="T23" s="5"/>
    </row>
    <row r="24" spans="1:20" ht="12.75" customHeight="1" x14ac:dyDescent="0.25">
      <c r="A24" s="25">
        <v>17</v>
      </c>
      <c r="B24" s="44">
        <v>43391</v>
      </c>
      <c r="C24" s="10" t="s">
        <v>215</v>
      </c>
      <c r="D24" s="8" t="s">
        <v>242</v>
      </c>
      <c r="E24" s="10" t="s">
        <v>254</v>
      </c>
      <c r="F24" s="8"/>
      <c r="G24" s="12">
        <v>178</v>
      </c>
      <c r="H24" s="3">
        <f t="shared" si="2"/>
        <v>3312580</v>
      </c>
      <c r="I24" s="12"/>
      <c r="J24" s="3">
        <v>810000</v>
      </c>
      <c r="K24" s="18"/>
      <c r="L24" s="29"/>
      <c r="M24" s="13"/>
      <c r="N24" s="13"/>
      <c r="O24" s="13">
        <f t="shared" si="0"/>
        <v>4122580</v>
      </c>
      <c r="P24" s="13">
        <v>4100000</v>
      </c>
      <c r="Q24" s="13">
        <f t="shared" si="1"/>
        <v>-22580</v>
      </c>
      <c r="S24" s="5"/>
      <c r="T24" s="5"/>
    </row>
    <row r="25" spans="1:20" ht="12.75" customHeight="1" x14ac:dyDescent="0.25">
      <c r="A25" s="25">
        <v>18</v>
      </c>
      <c r="B25" s="44">
        <v>43392</v>
      </c>
      <c r="C25" s="10" t="s">
        <v>216</v>
      </c>
      <c r="D25" s="8" t="s">
        <v>243</v>
      </c>
      <c r="E25" s="10" t="s">
        <v>113</v>
      </c>
      <c r="F25" s="8"/>
      <c r="G25" s="12"/>
      <c r="H25" s="3"/>
      <c r="I25" s="12"/>
      <c r="J25" s="3">
        <v>1200000</v>
      </c>
      <c r="K25" s="18"/>
      <c r="L25" s="29"/>
      <c r="M25" s="13"/>
      <c r="N25" s="13"/>
      <c r="O25" s="13">
        <f t="shared" si="0"/>
        <v>1200000</v>
      </c>
      <c r="P25" s="13">
        <v>6100000</v>
      </c>
      <c r="Q25" s="13">
        <f t="shared" si="1"/>
        <v>4900000</v>
      </c>
      <c r="S25" s="5"/>
      <c r="T25" s="5"/>
    </row>
    <row r="26" spans="1:20" ht="12.75" customHeight="1" x14ac:dyDescent="0.25">
      <c r="A26" s="25">
        <v>19</v>
      </c>
      <c r="B26" s="44">
        <v>43393</v>
      </c>
      <c r="C26" s="10" t="s">
        <v>217</v>
      </c>
      <c r="D26" s="8" t="s">
        <v>244</v>
      </c>
      <c r="E26" s="10" t="s">
        <v>254</v>
      </c>
      <c r="F26" s="8"/>
      <c r="G26" s="12">
        <v>158</v>
      </c>
      <c r="H26" s="3">
        <f t="shared" si="2"/>
        <v>2940380</v>
      </c>
      <c r="I26" s="12"/>
      <c r="J26" s="3">
        <v>810000</v>
      </c>
      <c r="K26" s="18"/>
      <c r="L26" s="29"/>
      <c r="M26" s="13"/>
      <c r="N26" s="13"/>
      <c r="O26" s="13">
        <f t="shared" si="0"/>
        <v>3750380</v>
      </c>
      <c r="P26" s="13">
        <v>4100000</v>
      </c>
      <c r="Q26" s="13">
        <f t="shared" si="1"/>
        <v>349620</v>
      </c>
      <c r="S26" s="5"/>
      <c r="T26" s="5"/>
    </row>
    <row r="27" spans="1:20" ht="12.75" customHeight="1" x14ac:dyDescent="0.25">
      <c r="A27" s="25">
        <v>20</v>
      </c>
      <c r="B27" s="44">
        <v>43395</v>
      </c>
      <c r="C27" s="10" t="s">
        <v>218</v>
      </c>
      <c r="D27" s="8" t="s">
        <v>245</v>
      </c>
      <c r="E27" s="10" t="s">
        <v>257</v>
      </c>
      <c r="F27" s="8"/>
      <c r="G27" s="12">
        <v>173</v>
      </c>
      <c r="H27" s="3">
        <f t="shared" si="2"/>
        <v>3219530</v>
      </c>
      <c r="I27" s="12"/>
      <c r="J27" s="3">
        <f>430000+400000</f>
        <v>830000</v>
      </c>
      <c r="K27" s="18"/>
      <c r="L27" s="29"/>
      <c r="M27" s="13"/>
      <c r="N27" s="13"/>
      <c r="O27" s="13">
        <f t="shared" si="0"/>
        <v>4049530</v>
      </c>
      <c r="P27" s="13">
        <v>5100000</v>
      </c>
      <c r="Q27" s="13">
        <f t="shared" si="1"/>
        <v>1050470</v>
      </c>
      <c r="S27" s="5"/>
      <c r="T27" s="5"/>
    </row>
    <row r="28" spans="1:20" ht="12.75" customHeight="1" x14ac:dyDescent="0.25">
      <c r="A28" s="25">
        <v>21</v>
      </c>
      <c r="B28" s="44">
        <v>43396</v>
      </c>
      <c r="C28" s="10" t="s">
        <v>219</v>
      </c>
      <c r="D28" s="8" t="s">
        <v>246</v>
      </c>
      <c r="E28" s="10" t="s">
        <v>258</v>
      </c>
      <c r="F28" s="8"/>
      <c r="G28" s="12">
        <v>191</v>
      </c>
      <c r="H28" s="3">
        <f t="shared" si="2"/>
        <v>3554510</v>
      </c>
      <c r="I28" s="12"/>
      <c r="J28" s="3">
        <v>1970000</v>
      </c>
      <c r="K28" s="18"/>
      <c r="L28" s="29"/>
      <c r="M28" s="13"/>
      <c r="N28" s="13"/>
      <c r="O28" s="13">
        <f t="shared" si="0"/>
        <v>5524510</v>
      </c>
      <c r="P28" s="13">
        <v>9545455</v>
      </c>
      <c r="Q28" s="13">
        <f t="shared" si="1"/>
        <v>4020945</v>
      </c>
      <c r="S28" s="5"/>
      <c r="T28" s="5"/>
    </row>
    <row r="29" spans="1:20" ht="12.75" customHeight="1" x14ac:dyDescent="0.25">
      <c r="A29" s="25">
        <v>22</v>
      </c>
      <c r="B29" s="44">
        <v>43397</v>
      </c>
      <c r="C29" s="10" t="s">
        <v>220</v>
      </c>
      <c r="D29" s="45" t="s">
        <v>247</v>
      </c>
      <c r="E29" s="10" t="s">
        <v>259</v>
      </c>
      <c r="F29" s="8"/>
      <c r="G29" s="12"/>
      <c r="H29" s="3"/>
      <c r="I29" s="12"/>
      <c r="J29" s="3">
        <v>1260000</v>
      </c>
      <c r="K29" s="18"/>
      <c r="L29" s="29"/>
      <c r="M29" s="13"/>
      <c r="N29" s="13"/>
      <c r="O29" s="13">
        <f t="shared" si="0"/>
        <v>1260000</v>
      </c>
      <c r="P29" s="13">
        <v>5400000</v>
      </c>
      <c r="Q29" s="13">
        <f t="shared" si="1"/>
        <v>4140000</v>
      </c>
      <c r="S29" s="5"/>
      <c r="T29" s="5"/>
    </row>
    <row r="30" spans="1:20" ht="12.75" customHeight="1" x14ac:dyDescent="0.25">
      <c r="A30" s="25">
        <v>23</v>
      </c>
      <c r="B30" s="44">
        <v>43398</v>
      </c>
      <c r="C30" s="10" t="s">
        <v>221</v>
      </c>
      <c r="D30" s="8" t="s">
        <v>248</v>
      </c>
      <c r="E30" s="10" t="s">
        <v>254</v>
      </c>
      <c r="F30" s="8"/>
      <c r="G30" s="12">
        <v>180</v>
      </c>
      <c r="H30" s="3">
        <f t="shared" si="2"/>
        <v>3349800</v>
      </c>
      <c r="I30" s="12"/>
      <c r="J30" s="3">
        <v>810000</v>
      </c>
      <c r="K30" s="18"/>
      <c r="L30" s="29"/>
      <c r="M30" s="13"/>
      <c r="N30" s="13"/>
      <c r="O30" s="13">
        <f t="shared" si="0"/>
        <v>4159800</v>
      </c>
      <c r="P30" s="13">
        <v>4100000</v>
      </c>
      <c r="Q30" s="13">
        <f t="shared" si="1"/>
        <v>-59800</v>
      </c>
      <c r="S30" s="5"/>
      <c r="T30" s="5"/>
    </row>
    <row r="31" spans="1:20" ht="12.75" customHeight="1" x14ac:dyDescent="0.25">
      <c r="A31" s="25">
        <v>24</v>
      </c>
      <c r="B31" s="44">
        <v>43399</v>
      </c>
      <c r="C31" s="10" t="s">
        <v>222</v>
      </c>
      <c r="D31" s="8" t="s">
        <v>249</v>
      </c>
      <c r="E31" s="10" t="s">
        <v>260</v>
      </c>
      <c r="F31" s="8"/>
      <c r="G31" s="12">
        <v>225</v>
      </c>
      <c r="H31" s="3">
        <f t="shared" si="2"/>
        <v>4187250</v>
      </c>
      <c r="I31" s="12"/>
      <c r="J31" s="3">
        <v>1200000</v>
      </c>
      <c r="K31" s="18"/>
      <c r="L31" s="29"/>
      <c r="M31" s="13"/>
      <c r="N31" s="13"/>
      <c r="O31" s="13">
        <f t="shared" si="0"/>
        <v>5387250</v>
      </c>
      <c r="P31" s="3">
        <v>5400000</v>
      </c>
      <c r="Q31" s="13">
        <f t="shared" si="1"/>
        <v>12750</v>
      </c>
      <c r="S31" s="5"/>
      <c r="T31" s="5"/>
    </row>
    <row r="32" spans="1:20" ht="12.75" customHeight="1" x14ac:dyDescent="0.25">
      <c r="A32" s="25">
        <v>25</v>
      </c>
      <c r="B32" s="44">
        <v>43402</v>
      </c>
      <c r="C32" s="10" t="s">
        <v>223</v>
      </c>
      <c r="D32" s="8" t="s">
        <v>250</v>
      </c>
      <c r="E32" s="10" t="s">
        <v>117</v>
      </c>
      <c r="F32" s="8"/>
      <c r="G32" s="12"/>
      <c r="H32" s="3"/>
      <c r="I32" s="12"/>
      <c r="J32" s="3">
        <v>1200000</v>
      </c>
      <c r="K32" s="18"/>
      <c r="L32" s="29"/>
      <c r="M32" s="13"/>
      <c r="N32" s="13"/>
      <c r="O32" s="13">
        <f t="shared" si="0"/>
        <v>1200000</v>
      </c>
      <c r="P32" s="3">
        <v>5500000</v>
      </c>
      <c r="Q32" s="13">
        <f t="shared" si="1"/>
        <v>4300000</v>
      </c>
      <c r="S32" s="5"/>
      <c r="T32" s="5"/>
    </row>
    <row r="33" spans="1:20" ht="12.75" customHeight="1" x14ac:dyDescent="0.25">
      <c r="A33" s="25">
        <v>26</v>
      </c>
      <c r="B33" s="44">
        <v>43402</v>
      </c>
      <c r="C33" s="10" t="s">
        <v>224</v>
      </c>
      <c r="D33" s="8" t="s">
        <v>251</v>
      </c>
      <c r="E33" s="10" t="s">
        <v>261</v>
      </c>
      <c r="F33" s="8"/>
      <c r="G33" s="12">
        <v>245</v>
      </c>
      <c r="H33" s="3">
        <f t="shared" si="2"/>
        <v>4559450</v>
      </c>
      <c r="I33" s="12"/>
      <c r="J33" s="3">
        <v>1050000</v>
      </c>
      <c r="K33" s="18"/>
      <c r="L33" s="29"/>
      <c r="M33" s="13"/>
      <c r="N33" s="13"/>
      <c r="O33" s="13">
        <f t="shared" si="0"/>
        <v>5609450</v>
      </c>
      <c r="P33" s="3">
        <v>5400000</v>
      </c>
      <c r="Q33" s="13">
        <f t="shared" si="1"/>
        <v>-209450</v>
      </c>
      <c r="S33" s="5"/>
      <c r="T33" s="5"/>
    </row>
    <row r="34" spans="1:20" ht="12.75" customHeight="1" x14ac:dyDescent="0.25">
      <c r="A34" s="25">
        <v>27</v>
      </c>
      <c r="B34" s="44">
        <v>43403</v>
      </c>
      <c r="C34" s="10" t="s">
        <v>225</v>
      </c>
      <c r="D34" s="8" t="s">
        <v>252</v>
      </c>
      <c r="E34" s="10" t="s">
        <v>262</v>
      </c>
      <c r="F34" s="8"/>
      <c r="G34" s="12">
        <v>145</v>
      </c>
      <c r="H34" s="3">
        <f t="shared" si="2"/>
        <v>2698450</v>
      </c>
      <c r="I34" s="12"/>
      <c r="J34" s="3">
        <v>200000</v>
      </c>
      <c r="K34" s="18"/>
      <c r="L34" s="29"/>
      <c r="M34" s="13"/>
      <c r="N34" s="13"/>
      <c r="O34" s="13">
        <f t="shared" si="0"/>
        <v>2898450</v>
      </c>
      <c r="P34" s="3">
        <v>1372727</v>
      </c>
      <c r="Q34" s="13">
        <f t="shared" si="1"/>
        <v>-1525723</v>
      </c>
      <c r="S34" s="5"/>
      <c r="T34" s="5"/>
    </row>
    <row r="35" spans="1:20" ht="12.75" customHeight="1" x14ac:dyDescent="0.25">
      <c r="A35" s="25"/>
      <c r="B35" s="44"/>
      <c r="C35" s="10"/>
      <c r="D35" s="8"/>
      <c r="E35" s="10"/>
      <c r="F35" s="8"/>
      <c r="G35" s="12"/>
      <c r="H35" s="3"/>
      <c r="I35" s="12"/>
      <c r="J35" s="3"/>
      <c r="K35" s="18"/>
      <c r="L35" s="29"/>
      <c r="M35" s="13"/>
      <c r="N35" s="13"/>
      <c r="O35" s="13">
        <f t="shared" si="0"/>
        <v>0</v>
      </c>
      <c r="P35" s="3"/>
      <c r="Q35" s="13">
        <f t="shared" si="1"/>
        <v>0</v>
      </c>
      <c r="S35" s="5"/>
      <c r="T35" s="5"/>
    </row>
    <row r="36" spans="1:20" ht="12.75" customHeight="1" x14ac:dyDescent="0.25">
      <c r="A36" s="25"/>
      <c r="B36" s="44"/>
      <c r="C36" s="10"/>
      <c r="D36" s="8"/>
      <c r="E36" s="10"/>
      <c r="F36" s="8"/>
      <c r="G36" s="12"/>
      <c r="H36" s="3"/>
      <c r="I36" s="12"/>
      <c r="J36" s="3"/>
      <c r="K36" s="18"/>
      <c r="L36" s="29"/>
      <c r="M36" s="13"/>
      <c r="N36" s="13"/>
      <c r="O36" s="13">
        <f t="shared" si="0"/>
        <v>0</v>
      </c>
      <c r="P36" s="3"/>
      <c r="Q36" s="13">
        <f t="shared" si="1"/>
        <v>0</v>
      </c>
      <c r="S36" s="5"/>
      <c r="T36" s="5"/>
    </row>
    <row r="37" spans="1:20" ht="25.5" customHeight="1" x14ac:dyDescent="0.25">
      <c r="A37" s="25"/>
      <c r="B37" s="6"/>
      <c r="C37" s="17" t="s">
        <v>263</v>
      </c>
      <c r="D37" s="30"/>
      <c r="E37" s="17"/>
      <c r="F37" s="30"/>
      <c r="G37" s="46"/>
      <c r="H37" s="18"/>
      <c r="I37" s="46"/>
      <c r="J37" s="18"/>
      <c r="K37" s="18"/>
      <c r="L37" s="28">
        <v>750000</v>
      </c>
      <c r="M37" s="28"/>
      <c r="N37" s="28"/>
      <c r="O37" s="13">
        <f t="shared" si="0"/>
        <v>750000</v>
      </c>
      <c r="P37" s="28"/>
      <c r="Q37" s="13">
        <f t="shared" si="1"/>
        <v>-750000</v>
      </c>
      <c r="S37" s="5"/>
      <c r="T37" s="5"/>
    </row>
    <row r="38" spans="1:20" x14ac:dyDescent="0.25">
      <c r="A38" s="25"/>
      <c r="B38" s="27"/>
      <c r="C38" s="17" t="s">
        <v>268</v>
      </c>
      <c r="D38" s="47"/>
      <c r="E38" s="17"/>
      <c r="F38" s="30"/>
      <c r="G38" s="46"/>
      <c r="H38" s="18"/>
      <c r="I38" s="46"/>
      <c r="J38" s="18"/>
      <c r="K38" s="18"/>
      <c r="L38" s="28">
        <v>2500000</v>
      </c>
      <c r="M38" s="28"/>
      <c r="N38" s="28"/>
      <c r="O38" s="13">
        <f t="shared" si="0"/>
        <v>2500000</v>
      </c>
      <c r="P38" s="28"/>
      <c r="Q38" s="13">
        <f t="shared" si="1"/>
        <v>-2500000</v>
      </c>
      <c r="S38" s="5"/>
    </row>
    <row r="39" spans="1:20" ht="25.5" x14ac:dyDescent="0.25">
      <c r="A39" s="25"/>
      <c r="B39" s="27"/>
      <c r="C39" s="17" t="s">
        <v>264</v>
      </c>
      <c r="D39" s="30"/>
      <c r="E39" s="17"/>
      <c r="F39" s="30"/>
      <c r="G39" s="46"/>
      <c r="H39" s="18"/>
      <c r="I39" s="46"/>
      <c r="J39" s="18"/>
      <c r="K39" s="18"/>
      <c r="L39" s="28">
        <v>25000</v>
      </c>
      <c r="M39" s="28"/>
      <c r="N39" s="28"/>
      <c r="O39" s="13">
        <f t="shared" si="0"/>
        <v>25000</v>
      </c>
      <c r="P39" s="28"/>
      <c r="Q39" s="13">
        <f t="shared" si="1"/>
        <v>-25000</v>
      </c>
    </row>
    <row r="40" spans="1:20" x14ac:dyDescent="0.25">
      <c r="A40" s="25"/>
      <c r="B40" s="27"/>
      <c r="C40" s="17" t="s">
        <v>265</v>
      </c>
      <c r="D40" s="30"/>
      <c r="E40" s="17"/>
      <c r="F40" s="30"/>
      <c r="G40" s="46"/>
      <c r="H40" s="18"/>
      <c r="I40" s="46"/>
      <c r="J40" s="18"/>
      <c r="K40" s="18"/>
      <c r="L40" s="28">
        <v>500000</v>
      </c>
      <c r="M40" s="28"/>
      <c r="N40" s="28"/>
      <c r="O40" s="13">
        <f t="shared" si="0"/>
        <v>500000</v>
      </c>
      <c r="P40" s="28"/>
      <c r="Q40" s="13">
        <f t="shared" si="1"/>
        <v>-500000</v>
      </c>
    </row>
    <row r="41" spans="1:20" ht="25.5" x14ac:dyDescent="0.25">
      <c r="A41" s="25"/>
      <c r="B41" s="27"/>
      <c r="C41" s="17" t="s">
        <v>266</v>
      </c>
      <c r="D41" s="30"/>
      <c r="E41" s="17"/>
      <c r="F41" s="30"/>
      <c r="G41" s="30"/>
      <c r="H41" s="28"/>
      <c r="I41" s="30"/>
      <c r="J41" s="28"/>
      <c r="K41" s="28"/>
      <c r="L41" s="28">
        <v>100000</v>
      </c>
      <c r="M41" s="28"/>
      <c r="N41" s="28"/>
      <c r="O41" s="13">
        <f t="shared" si="0"/>
        <v>100000</v>
      </c>
      <c r="P41" s="28"/>
      <c r="Q41" s="13">
        <f t="shared" si="1"/>
        <v>-100000</v>
      </c>
    </row>
    <row r="42" spans="1:20" ht="38.25" x14ac:dyDescent="0.25">
      <c r="A42" s="25"/>
      <c r="B42" s="27"/>
      <c r="C42" s="17" t="s">
        <v>267</v>
      </c>
      <c r="D42" s="30"/>
      <c r="E42" s="17"/>
      <c r="F42" s="30"/>
      <c r="G42" s="30"/>
      <c r="H42" s="28"/>
      <c r="I42" s="30"/>
      <c r="J42" s="28"/>
      <c r="K42" s="28"/>
      <c r="L42" s="28">
        <v>170000</v>
      </c>
      <c r="M42" s="28"/>
      <c r="N42" s="28"/>
      <c r="O42" s="13">
        <f t="shared" si="0"/>
        <v>170000</v>
      </c>
      <c r="P42" s="28"/>
      <c r="Q42" s="13">
        <f t="shared" si="1"/>
        <v>-170000</v>
      </c>
    </row>
    <row r="43" spans="1:20" x14ac:dyDescent="0.25">
      <c r="A43" s="8"/>
      <c r="B43" s="8"/>
      <c r="C43" s="17" t="s">
        <v>131</v>
      </c>
      <c r="D43" s="30"/>
      <c r="E43" s="17"/>
      <c r="F43" s="30"/>
      <c r="G43" s="30"/>
      <c r="H43" s="28"/>
      <c r="I43" s="30"/>
      <c r="J43" s="28"/>
      <c r="K43" s="28"/>
      <c r="L43" s="28">
        <f>1200000*1.1</f>
        <v>1320000</v>
      </c>
      <c r="M43" s="28"/>
      <c r="N43" s="28"/>
      <c r="O43" s="13">
        <f t="shared" si="0"/>
        <v>1320000</v>
      </c>
      <c r="P43" s="28"/>
      <c r="Q43" s="13">
        <f t="shared" si="1"/>
        <v>-1320000</v>
      </c>
    </row>
    <row r="44" spans="1:20" x14ac:dyDescent="0.25">
      <c r="A44" s="8"/>
      <c r="B44" s="8"/>
      <c r="C44" s="17" t="s">
        <v>132</v>
      </c>
      <c r="D44" s="30"/>
      <c r="E44" s="17"/>
      <c r="F44" s="30"/>
      <c r="G44" s="30"/>
      <c r="H44" s="28"/>
      <c r="I44" s="30"/>
      <c r="J44" s="28"/>
      <c r="K44" s="28"/>
      <c r="L44" s="28"/>
      <c r="M44" s="48">
        <v>9346154</v>
      </c>
      <c r="N44" s="28"/>
      <c r="O44" s="13">
        <f t="shared" si="0"/>
        <v>9346154</v>
      </c>
      <c r="P44" s="28"/>
      <c r="Q44" s="13">
        <f t="shared" si="1"/>
        <v>-9346154</v>
      </c>
    </row>
    <row r="45" spans="1:20" x14ac:dyDescent="0.25">
      <c r="A45" s="166" t="s">
        <v>19</v>
      </c>
      <c r="B45" s="167"/>
      <c r="C45" s="167"/>
      <c r="D45" s="167"/>
      <c r="E45" s="167"/>
      <c r="F45" s="168"/>
      <c r="G45" s="19">
        <f t="shared" ref="G45:N45" si="3">SUM(G7:G44)</f>
        <v>2836</v>
      </c>
      <c r="H45" s="4">
        <f>SUM(H7:H44)</f>
        <v>52554030</v>
      </c>
      <c r="I45" s="4">
        <f t="shared" si="3"/>
        <v>0</v>
      </c>
      <c r="J45" s="4">
        <f t="shared" si="3"/>
        <v>26150000</v>
      </c>
      <c r="K45" s="4">
        <f t="shared" si="3"/>
        <v>0</v>
      </c>
      <c r="L45" s="4">
        <f t="shared" si="3"/>
        <v>5365000</v>
      </c>
      <c r="M45" s="4">
        <f t="shared" si="3"/>
        <v>9346154</v>
      </c>
      <c r="N45" s="4">
        <f t="shared" si="3"/>
        <v>0</v>
      </c>
      <c r="O45" s="4">
        <f>SUM(O7:O44)</f>
        <v>93415184</v>
      </c>
      <c r="P45" s="4">
        <f>SUM(P7:P44)</f>
        <v>134427273</v>
      </c>
      <c r="Q45" s="4">
        <f>SUM(Q7:Q44)</f>
        <v>41012089</v>
      </c>
      <c r="R45" s="24"/>
    </row>
    <row r="46" spans="1:20" x14ac:dyDescent="0.25">
      <c r="O46" s="20"/>
      <c r="Q46" s="26"/>
    </row>
    <row r="47" spans="1:20" x14ac:dyDescent="0.25">
      <c r="P47" s="21" t="s">
        <v>20</v>
      </c>
      <c r="Q47" s="26">
        <f>'09-2018'!Q44+'10-2018'!Q45</f>
        <v>97916173</v>
      </c>
    </row>
    <row r="51" spans="2:17" x14ac:dyDescent="0.25">
      <c r="B51" s="6"/>
    </row>
    <row r="52" spans="2:17" x14ac:dyDescent="0.25">
      <c r="B52" s="6"/>
    </row>
    <row r="53" spans="2:17" x14ac:dyDescent="0.25">
      <c r="B53" s="6"/>
    </row>
    <row r="54" spans="2:17" x14ac:dyDescent="0.25">
      <c r="B54" s="6"/>
      <c r="H54" s="6"/>
      <c r="J54" s="6"/>
      <c r="K54" s="6"/>
      <c r="L54" s="6"/>
      <c r="M54" s="6"/>
      <c r="N54" s="6"/>
      <c r="O54" s="6"/>
      <c r="P54" s="6"/>
      <c r="Q54" s="6"/>
    </row>
  </sheetData>
  <mergeCells count="14">
    <mergeCell ref="O5:O6"/>
    <mergeCell ref="P5:P6"/>
    <mergeCell ref="Q5:Q6"/>
    <mergeCell ref="A45:F45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0"/>
  <sheetViews>
    <sheetView topLeftCell="B19" workbookViewId="0">
      <selection activeCell="Q43" sqref="Q4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269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15"/>
      <c r="Q7" s="15"/>
    </row>
    <row r="8" spans="1:20" x14ac:dyDescent="0.25">
      <c r="A8" s="25">
        <v>1</v>
      </c>
      <c r="B8" s="44">
        <v>43405</v>
      </c>
      <c r="C8" s="10" t="s">
        <v>270</v>
      </c>
      <c r="D8" s="12" t="s">
        <v>297</v>
      </c>
      <c r="E8" s="10" t="s">
        <v>112</v>
      </c>
      <c r="F8" s="8"/>
      <c r="G8" s="12"/>
      <c r="H8" s="3"/>
      <c r="I8" s="12"/>
      <c r="J8" s="50">
        <v>2200000</v>
      </c>
      <c r="K8" s="18"/>
      <c r="L8" s="29"/>
      <c r="M8" s="13"/>
      <c r="N8" s="13"/>
      <c r="O8" s="13">
        <f>H8+J8+K8+L8+M8+N8</f>
        <v>2200000</v>
      </c>
      <c r="P8" s="13">
        <v>13181818</v>
      </c>
      <c r="Q8" s="13">
        <f>P8-O8</f>
        <v>10981818</v>
      </c>
      <c r="S8" s="5"/>
      <c r="T8" s="5"/>
    </row>
    <row r="9" spans="1:20" ht="12.75" customHeight="1" x14ac:dyDescent="0.25">
      <c r="A9" s="25">
        <v>2</v>
      </c>
      <c r="B9" s="44">
        <v>43406</v>
      </c>
      <c r="C9" s="10" t="s">
        <v>271</v>
      </c>
      <c r="D9" s="8" t="s">
        <v>298</v>
      </c>
      <c r="E9" s="10" t="s">
        <v>324</v>
      </c>
      <c r="F9" s="8"/>
      <c r="G9" s="12">
        <v>233</v>
      </c>
      <c r="H9" s="3">
        <f>G9*18610</f>
        <v>4336130</v>
      </c>
      <c r="I9" s="12"/>
      <c r="J9" s="50">
        <v>1050000</v>
      </c>
      <c r="K9" s="18"/>
      <c r="L9" s="29"/>
      <c r="M9" s="13"/>
      <c r="N9" s="13"/>
      <c r="O9" s="13">
        <f t="shared" ref="O9:O40" si="0">H9+J9+K9+L9+M9+N9</f>
        <v>5386130</v>
      </c>
      <c r="P9" s="13">
        <v>5100000</v>
      </c>
      <c r="Q9" s="13">
        <f t="shared" ref="Q9:Q40" si="1">P9-O9</f>
        <v>-286130</v>
      </c>
      <c r="S9" s="5"/>
      <c r="T9" s="5"/>
    </row>
    <row r="10" spans="1:20" ht="12.75" customHeight="1" x14ac:dyDescent="0.25">
      <c r="A10" s="25">
        <v>3</v>
      </c>
      <c r="B10" s="44">
        <v>43407</v>
      </c>
      <c r="C10" s="10" t="s">
        <v>272</v>
      </c>
      <c r="D10" s="8" t="s">
        <v>299</v>
      </c>
      <c r="E10" s="10" t="s">
        <v>184</v>
      </c>
      <c r="F10" s="8"/>
      <c r="G10" s="12"/>
      <c r="H10" s="3"/>
      <c r="I10" s="12"/>
      <c r="J10" s="50">
        <v>1050000</v>
      </c>
      <c r="K10" s="18"/>
      <c r="L10" s="29"/>
      <c r="M10" s="13"/>
      <c r="N10" s="13"/>
      <c r="O10" s="13">
        <f t="shared" si="0"/>
        <v>1050000</v>
      </c>
      <c r="P10" s="13">
        <v>4900000</v>
      </c>
      <c r="Q10" s="13">
        <f t="shared" si="1"/>
        <v>3850000</v>
      </c>
      <c r="S10" s="5"/>
      <c r="T10" s="5"/>
    </row>
    <row r="11" spans="1:20" ht="12.75" customHeight="1" x14ac:dyDescent="0.25">
      <c r="A11" s="25">
        <v>4</v>
      </c>
      <c r="B11" s="44">
        <v>43409</v>
      </c>
      <c r="C11" s="10" t="s">
        <v>273</v>
      </c>
      <c r="D11" s="8" t="s">
        <v>300</v>
      </c>
      <c r="E11" s="10" t="s">
        <v>123</v>
      </c>
      <c r="F11" s="8"/>
      <c r="G11" s="12">
        <v>235</v>
      </c>
      <c r="H11" s="3">
        <f t="shared" ref="H11" si="2">G11*18610</f>
        <v>4373350</v>
      </c>
      <c r="I11" s="12"/>
      <c r="J11" s="50">
        <v>1200000</v>
      </c>
      <c r="K11" s="18"/>
      <c r="L11" s="29"/>
      <c r="M11" s="13"/>
      <c r="N11" s="13"/>
      <c r="O11" s="13">
        <f t="shared" si="0"/>
        <v>5573350</v>
      </c>
      <c r="P11" s="13">
        <v>5500000</v>
      </c>
      <c r="Q11" s="13">
        <f t="shared" si="1"/>
        <v>-73350</v>
      </c>
      <c r="S11" s="5"/>
      <c r="T11" s="5"/>
    </row>
    <row r="12" spans="1:20" ht="12.75" customHeight="1" x14ac:dyDescent="0.25">
      <c r="A12" s="25">
        <v>5</v>
      </c>
      <c r="B12" s="44">
        <v>43410</v>
      </c>
      <c r="C12" s="10" t="s">
        <v>274</v>
      </c>
      <c r="D12" s="8" t="s">
        <v>301</v>
      </c>
      <c r="E12" s="10" t="s">
        <v>324</v>
      </c>
      <c r="F12" s="8"/>
      <c r="G12" s="12">
        <v>239</v>
      </c>
      <c r="H12" s="3">
        <f>G12*18540</f>
        <v>4431060</v>
      </c>
      <c r="I12" s="12"/>
      <c r="J12" s="50">
        <v>1050000</v>
      </c>
      <c r="K12" s="18"/>
      <c r="L12" s="29"/>
      <c r="M12" s="13"/>
      <c r="N12" s="13"/>
      <c r="O12" s="13">
        <f t="shared" si="0"/>
        <v>5481060</v>
      </c>
      <c r="P12" s="13">
        <v>5100000</v>
      </c>
      <c r="Q12" s="13">
        <f t="shared" si="1"/>
        <v>-381060</v>
      </c>
      <c r="S12" s="5"/>
      <c r="T12" s="5"/>
    </row>
    <row r="13" spans="1:20" ht="12.75" customHeight="1" x14ac:dyDescent="0.25">
      <c r="A13" s="25">
        <v>6</v>
      </c>
      <c r="B13" s="44">
        <v>43411</v>
      </c>
      <c r="C13" s="10" t="s">
        <v>275</v>
      </c>
      <c r="D13" s="8" t="s">
        <v>302</v>
      </c>
      <c r="E13" s="10" t="s">
        <v>184</v>
      </c>
      <c r="F13" s="8"/>
      <c r="G13" s="12"/>
      <c r="H13" s="3"/>
      <c r="I13" s="12"/>
      <c r="J13" s="50">
        <v>1050000</v>
      </c>
      <c r="K13" s="18"/>
      <c r="L13" s="29"/>
      <c r="M13" s="13"/>
      <c r="N13" s="13"/>
      <c r="O13" s="13">
        <f t="shared" si="0"/>
        <v>1050000</v>
      </c>
      <c r="P13" s="13">
        <v>4900000</v>
      </c>
      <c r="Q13" s="13">
        <f t="shared" si="1"/>
        <v>3850000</v>
      </c>
      <c r="S13" s="5"/>
      <c r="T13" s="5"/>
    </row>
    <row r="14" spans="1:20" ht="12.75" customHeight="1" x14ac:dyDescent="0.25">
      <c r="A14" s="25">
        <v>7</v>
      </c>
      <c r="B14" s="44">
        <v>43412</v>
      </c>
      <c r="C14" s="10" t="s">
        <v>276</v>
      </c>
      <c r="D14" s="8" t="s">
        <v>303</v>
      </c>
      <c r="E14" s="10" t="s">
        <v>325</v>
      </c>
      <c r="F14" s="8"/>
      <c r="G14" s="12"/>
      <c r="H14" s="3"/>
      <c r="I14" s="12"/>
      <c r="J14" s="50">
        <v>810000</v>
      </c>
      <c r="K14" s="18"/>
      <c r="L14" s="29"/>
      <c r="M14" s="13"/>
      <c r="N14" s="13"/>
      <c r="O14" s="13">
        <f t="shared" si="0"/>
        <v>810000</v>
      </c>
      <c r="P14" s="13">
        <v>4200000</v>
      </c>
      <c r="Q14" s="13">
        <f t="shared" si="1"/>
        <v>3390000</v>
      </c>
      <c r="S14" s="5"/>
      <c r="T14" s="5"/>
    </row>
    <row r="15" spans="1:20" ht="12.75" customHeight="1" x14ac:dyDescent="0.25">
      <c r="A15" s="25">
        <v>8</v>
      </c>
      <c r="B15" s="44">
        <v>43413</v>
      </c>
      <c r="C15" s="10" t="s">
        <v>277</v>
      </c>
      <c r="D15" s="8" t="s">
        <v>304</v>
      </c>
      <c r="E15" s="10" t="s">
        <v>184</v>
      </c>
      <c r="F15" s="8"/>
      <c r="G15" s="12">
        <v>204</v>
      </c>
      <c r="H15" s="3">
        <f>G15*18540</f>
        <v>3782160</v>
      </c>
      <c r="I15" s="12"/>
      <c r="J15" s="50">
        <v>1050000</v>
      </c>
      <c r="K15" s="18"/>
      <c r="L15" s="29"/>
      <c r="M15" s="13"/>
      <c r="N15" s="13"/>
      <c r="O15" s="13">
        <f t="shared" si="0"/>
        <v>4832160</v>
      </c>
      <c r="P15" s="13">
        <v>4900000</v>
      </c>
      <c r="Q15" s="13">
        <f t="shared" si="1"/>
        <v>67840</v>
      </c>
      <c r="S15" s="5"/>
      <c r="T15" s="5"/>
    </row>
    <row r="16" spans="1:20" ht="12.75" customHeight="1" x14ac:dyDescent="0.25">
      <c r="A16" s="25">
        <v>9</v>
      </c>
      <c r="B16" s="44">
        <v>43414</v>
      </c>
      <c r="C16" s="10" t="s">
        <v>278</v>
      </c>
      <c r="D16" s="8" t="s">
        <v>305</v>
      </c>
      <c r="E16" s="10" t="s">
        <v>254</v>
      </c>
      <c r="F16" s="8"/>
      <c r="G16" s="12"/>
      <c r="H16" s="3"/>
      <c r="I16" s="12"/>
      <c r="J16" s="50">
        <v>810000</v>
      </c>
      <c r="K16" s="18"/>
      <c r="L16" s="29"/>
      <c r="M16" s="13"/>
      <c r="N16" s="13"/>
      <c r="O16" s="13">
        <f t="shared" si="0"/>
        <v>810000</v>
      </c>
      <c r="P16" s="13">
        <v>4100000</v>
      </c>
      <c r="Q16" s="13">
        <f t="shared" si="1"/>
        <v>3290000</v>
      </c>
      <c r="S16" s="5"/>
      <c r="T16" s="5"/>
    </row>
    <row r="17" spans="1:20" ht="12.75" customHeight="1" x14ac:dyDescent="0.25">
      <c r="A17" s="25">
        <v>10</v>
      </c>
      <c r="B17" s="44">
        <v>43415</v>
      </c>
      <c r="C17" s="10" t="s">
        <v>279</v>
      </c>
      <c r="D17" s="8" t="s">
        <v>306</v>
      </c>
      <c r="E17" s="10" t="s">
        <v>121</v>
      </c>
      <c r="F17" s="8"/>
      <c r="G17" s="12">
        <v>193</v>
      </c>
      <c r="H17" s="3">
        <f t="shared" ref="H17:H25" si="3">G17*18540</f>
        <v>3578220</v>
      </c>
      <c r="I17" s="12"/>
      <c r="J17" s="50">
        <v>2380000</v>
      </c>
      <c r="K17" s="18"/>
      <c r="L17" s="29"/>
      <c r="M17" s="13"/>
      <c r="N17" s="13"/>
      <c r="O17" s="13">
        <f t="shared" si="0"/>
        <v>5958220</v>
      </c>
      <c r="P17" s="13">
        <v>12090909</v>
      </c>
      <c r="Q17" s="13">
        <f t="shared" si="1"/>
        <v>6132689</v>
      </c>
      <c r="S17" s="5"/>
      <c r="T17" s="5"/>
    </row>
    <row r="18" spans="1:20" ht="12.75" customHeight="1" x14ac:dyDescent="0.25">
      <c r="A18" s="25">
        <v>11</v>
      </c>
      <c r="B18" s="44">
        <v>43416</v>
      </c>
      <c r="C18" s="10" t="s">
        <v>280</v>
      </c>
      <c r="D18" s="8" t="s">
        <v>307</v>
      </c>
      <c r="E18" s="10" t="s">
        <v>32</v>
      </c>
      <c r="F18" s="8"/>
      <c r="G18" s="12">
        <v>250</v>
      </c>
      <c r="H18" s="3">
        <f t="shared" si="3"/>
        <v>4635000</v>
      </c>
      <c r="I18" s="12"/>
      <c r="J18" s="50">
        <v>970000</v>
      </c>
      <c r="K18" s="18"/>
      <c r="L18" s="29"/>
      <c r="M18" s="13"/>
      <c r="N18" s="13"/>
      <c r="O18" s="13">
        <f t="shared" si="0"/>
        <v>5605000</v>
      </c>
      <c r="P18" s="13">
        <v>4000000</v>
      </c>
      <c r="Q18" s="13">
        <f t="shared" si="1"/>
        <v>-1605000</v>
      </c>
      <c r="S18" s="5"/>
      <c r="T18" s="5"/>
    </row>
    <row r="19" spans="1:20" ht="12.75" customHeight="1" x14ac:dyDescent="0.25">
      <c r="A19" s="25">
        <v>12</v>
      </c>
      <c r="B19" s="44">
        <v>43417</v>
      </c>
      <c r="C19" s="10" t="s">
        <v>281</v>
      </c>
      <c r="D19" s="8" t="s">
        <v>308</v>
      </c>
      <c r="E19" s="10" t="s">
        <v>185</v>
      </c>
      <c r="F19" s="8"/>
      <c r="G19" s="12"/>
      <c r="H19" s="3"/>
      <c r="I19" s="12"/>
      <c r="J19" s="50">
        <f>1050000+210000</f>
        <v>1260000</v>
      </c>
      <c r="K19" s="18"/>
      <c r="L19" s="29"/>
      <c r="M19" s="13"/>
      <c r="N19" s="13"/>
      <c r="O19" s="13">
        <f t="shared" si="0"/>
        <v>1260000</v>
      </c>
      <c r="P19" s="13">
        <v>5100000</v>
      </c>
      <c r="Q19" s="13">
        <f t="shared" si="1"/>
        <v>3840000</v>
      </c>
      <c r="S19" s="5"/>
      <c r="T19" s="5"/>
    </row>
    <row r="20" spans="1:20" ht="12.75" customHeight="1" x14ac:dyDescent="0.25">
      <c r="A20" s="25">
        <v>13</v>
      </c>
      <c r="B20" s="44">
        <v>43418</v>
      </c>
      <c r="C20" s="10" t="s">
        <v>282</v>
      </c>
      <c r="D20" s="8" t="s">
        <v>309</v>
      </c>
      <c r="E20" s="10" t="s">
        <v>326</v>
      </c>
      <c r="F20" s="8"/>
      <c r="G20" s="12">
        <v>222</v>
      </c>
      <c r="H20" s="3">
        <f t="shared" si="3"/>
        <v>4115880</v>
      </c>
      <c r="I20" s="12"/>
      <c r="J20" s="50">
        <v>1200000</v>
      </c>
      <c r="K20" s="18"/>
      <c r="L20" s="29"/>
      <c r="M20" s="13"/>
      <c r="N20" s="13"/>
      <c r="O20" s="13">
        <f t="shared" si="0"/>
        <v>5315880</v>
      </c>
      <c r="P20" s="13">
        <v>5800000</v>
      </c>
      <c r="Q20" s="13">
        <f t="shared" si="1"/>
        <v>484120</v>
      </c>
      <c r="S20" s="5"/>
      <c r="T20" s="5"/>
    </row>
    <row r="21" spans="1:20" ht="12.75" customHeight="1" x14ac:dyDescent="0.25">
      <c r="A21" s="25">
        <v>14</v>
      </c>
      <c r="B21" s="44">
        <v>43419</v>
      </c>
      <c r="C21" s="10" t="s">
        <v>283</v>
      </c>
      <c r="D21" s="8" t="s">
        <v>310</v>
      </c>
      <c r="E21" s="10" t="s">
        <v>327</v>
      </c>
      <c r="F21" s="8"/>
      <c r="G21" s="12"/>
      <c r="H21" s="3"/>
      <c r="I21" s="12"/>
      <c r="J21" s="50">
        <v>1050000</v>
      </c>
      <c r="K21" s="18"/>
      <c r="L21" s="29"/>
      <c r="M21" s="13"/>
      <c r="N21" s="13"/>
      <c r="O21" s="13">
        <f t="shared" si="0"/>
        <v>1050000</v>
      </c>
      <c r="P21" s="13">
        <v>4900000</v>
      </c>
      <c r="Q21" s="13">
        <f t="shared" si="1"/>
        <v>3850000</v>
      </c>
      <c r="S21" s="5"/>
      <c r="T21" s="5"/>
    </row>
    <row r="22" spans="1:20" ht="12.75" customHeight="1" x14ac:dyDescent="0.25">
      <c r="A22" s="25">
        <v>15</v>
      </c>
      <c r="B22" s="44">
        <v>43420</v>
      </c>
      <c r="C22" s="10" t="s">
        <v>284</v>
      </c>
      <c r="D22" s="8" t="s">
        <v>311</v>
      </c>
      <c r="E22" s="10" t="s">
        <v>328</v>
      </c>
      <c r="F22" s="8"/>
      <c r="G22" s="12">
        <v>266</v>
      </c>
      <c r="H22" s="3">
        <f t="shared" si="3"/>
        <v>4931640</v>
      </c>
      <c r="I22" s="12"/>
      <c r="J22" s="50">
        <v>200000</v>
      </c>
      <c r="K22" s="18"/>
      <c r="L22" s="29"/>
      <c r="M22" s="13"/>
      <c r="N22" s="13"/>
      <c r="O22" s="13">
        <f t="shared" si="0"/>
        <v>5131640</v>
      </c>
      <c r="P22" s="13">
        <v>2000000</v>
      </c>
      <c r="Q22" s="13">
        <f t="shared" si="1"/>
        <v>-3131640</v>
      </c>
      <c r="S22" s="5"/>
      <c r="T22" s="5"/>
    </row>
    <row r="23" spans="1:20" ht="12.75" customHeight="1" x14ac:dyDescent="0.25">
      <c r="A23" s="25">
        <v>16</v>
      </c>
      <c r="B23" s="44">
        <v>43421</v>
      </c>
      <c r="C23" s="10" t="s">
        <v>285</v>
      </c>
      <c r="D23" s="8" t="s">
        <v>312</v>
      </c>
      <c r="E23" s="10" t="s">
        <v>122</v>
      </c>
      <c r="F23" s="8"/>
      <c r="G23" s="12"/>
      <c r="H23" s="3"/>
      <c r="I23" s="12"/>
      <c r="J23" s="50">
        <v>680000</v>
      </c>
      <c r="K23" s="18"/>
      <c r="L23" s="29"/>
      <c r="M23" s="13"/>
      <c r="N23" s="13"/>
      <c r="O23" s="13">
        <f t="shared" si="0"/>
        <v>680000</v>
      </c>
      <c r="P23" s="13">
        <v>3500000</v>
      </c>
      <c r="Q23" s="13">
        <f t="shared" si="1"/>
        <v>2820000</v>
      </c>
      <c r="S23" s="5"/>
      <c r="T23" s="5"/>
    </row>
    <row r="24" spans="1:20" ht="12.75" customHeight="1" x14ac:dyDescent="0.25">
      <c r="A24" s="25">
        <v>17</v>
      </c>
      <c r="B24" s="44">
        <v>43423</v>
      </c>
      <c r="C24" s="10" t="s">
        <v>286</v>
      </c>
      <c r="D24" s="8" t="s">
        <v>313</v>
      </c>
      <c r="E24" s="10" t="s">
        <v>184</v>
      </c>
      <c r="F24" s="8"/>
      <c r="G24" s="12"/>
      <c r="H24" s="3"/>
      <c r="I24" s="12"/>
      <c r="J24" s="50">
        <v>1050000</v>
      </c>
      <c r="K24" s="18"/>
      <c r="L24" s="29"/>
      <c r="M24" s="13"/>
      <c r="N24" s="13"/>
      <c r="O24" s="13">
        <f t="shared" si="0"/>
        <v>1050000</v>
      </c>
      <c r="P24" s="13">
        <v>5100000</v>
      </c>
      <c r="Q24" s="13">
        <f t="shared" si="1"/>
        <v>4050000</v>
      </c>
      <c r="S24" s="5"/>
      <c r="T24" s="5"/>
    </row>
    <row r="25" spans="1:20" ht="12.75" customHeight="1" x14ac:dyDescent="0.25">
      <c r="A25" s="25">
        <v>18</v>
      </c>
      <c r="B25" s="44">
        <v>43424</v>
      </c>
      <c r="C25" s="10" t="s">
        <v>287</v>
      </c>
      <c r="D25" s="8" t="s">
        <v>314</v>
      </c>
      <c r="E25" s="10" t="s">
        <v>108</v>
      </c>
      <c r="F25" s="8"/>
      <c r="G25" s="12">
        <v>200</v>
      </c>
      <c r="H25" s="3">
        <f t="shared" si="3"/>
        <v>3708000</v>
      </c>
      <c r="I25" s="12"/>
      <c r="J25" s="50">
        <v>430000</v>
      </c>
      <c r="K25" s="18"/>
      <c r="L25" s="29"/>
      <c r="M25" s="13"/>
      <c r="N25" s="13"/>
      <c r="O25" s="13">
        <f t="shared" si="0"/>
        <v>4138000</v>
      </c>
      <c r="P25" s="13">
        <v>3200000</v>
      </c>
      <c r="Q25" s="13">
        <f t="shared" si="1"/>
        <v>-938000</v>
      </c>
      <c r="S25" s="5"/>
      <c r="T25" s="5"/>
    </row>
    <row r="26" spans="1:20" ht="12.75" customHeight="1" x14ac:dyDescent="0.25">
      <c r="A26" s="25">
        <v>19</v>
      </c>
      <c r="B26" s="44">
        <v>43425</v>
      </c>
      <c r="C26" s="10" t="s">
        <v>288</v>
      </c>
      <c r="D26" s="8" t="s">
        <v>315</v>
      </c>
      <c r="E26" s="10" t="s">
        <v>122</v>
      </c>
      <c r="F26" s="8"/>
      <c r="G26" s="12"/>
      <c r="H26" s="3"/>
      <c r="I26" s="12"/>
      <c r="J26" s="50">
        <v>680000</v>
      </c>
      <c r="K26" s="18"/>
      <c r="L26" s="29"/>
      <c r="M26" s="13"/>
      <c r="N26" s="13"/>
      <c r="O26" s="13">
        <f t="shared" si="0"/>
        <v>680000</v>
      </c>
      <c r="P26" s="13">
        <v>3500000</v>
      </c>
      <c r="Q26" s="13">
        <f t="shared" si="1"/>
        <v>2820000</v>
      </c>
      <c r="S26" s="5"/>
      <c r="T26" s="5"/>
    </row>
    <row r="27" spans="1:20" ht="12.75" customHeight="1" x14ac:dyDescent="0.25">
      <c r="A27" s="25">
        <v>20</v>
      </c>
      <c r="B27" s="44">
        <v>43426</v>
      </c>
      <c r="C27" s="10" t="s">
        <v>289</v>
      </c>
      <c r="D27" s="8" t="s">
        <v>316</v>
      </c>
      <c r="E27" s="10" t="s">
        <v>329</v>
      </c>
      <c r="F27" s="8"/>
      <c r="G27" s="12">
        <v>185</v>
      </c>
      <c r="H27" s="3">
        <f>G27*17630</f>
        <v>3261550</v>
      </c>
      <c r="I27" s="12"/>
      <c r="J27" s="50">
        <v>1200000</v>
      </c>
      <c r="K27" s="18"/>
      <c r="L27" s="29"/>
      <c r="M27" s="13"/>
      <c r="N27" s="13"/>
      <c r="O27" s="13">
        <f t="shared" si="0"/>
        <v>4461550</v>
      </c>
      <c r="P27" s="13">
        <v>6100000</v>
      </c>
      <c r="Q27" s="13">
        <f t="shared" si="1"/>
        <v>1638450</v>
      </c>
      <c r="S27" s="5"/>
      <c r="T27" s="5"/>
    </row>
    <row r="28" spans="1:20" ht="12.75" customHeight="1" x14ac:dyDescent="0.25">
      <c r="A28" s="25">
        <v>21</v>
      </c>
      <c r="B28" s="44">
        <v>43427</v>
      </c>
      <c r="C28" s="10" t="s">
        <v>290</v>
      </c>
      <c r="D28" s="8" t="s">
        <v>317</v>
      </c>
      <c r="E28" s="10" t="s">
        <v>330</v>
      </c>
      <c r="F28" s="8"/>
      <c r="G28" s="12">
        <v>265</v>
      </c>
      <c r="H28" s="3">
        <f t="shared" ref="H28:H33" si="4">G28*17630</f>
        <v>4671950</v>
      </c>
      <c r="I28" s="12"/>
      <c r="J28" s="50">
        <v>430000</v>
      </c>
      <c r="K28" s="18"/>
      <c r="L28" s="29"/>
      <c r="M28" s="13"/>
      <c r="N28" s="13"/>
      <c r="O28" s="13">
        <f t="shared" si="0"/>
        <v>5101950</v>
      </c>
      <c r="P28" s="13">
        <v>3800000</v>
      </c>
      <c r="Q28" s="13">
        <f t="shared" si="1"/>
        <v>-1301950</v>
      </c>
      <c r="S28" s="5"/>
      <c r="T28" s="5"/>
    </row>
    <row r="29" spans="1:20" ht="12.75" customHeight="1" x14ac:dyDescent="0.25">
      <c r="A29" s="25">
        <v>22</v>
      </c>
      <c r="B29" s="44">
        <v>43428</v>
      </c>
      <c r="C29" s="10" t="s">
        <v>291</v>
      </c>
      <c r="D29" s="45" t="s">
        <v>318</v>
      </c>
      <c r="E29" s="10" t="s">
        <v>330</v>
      </c>
      <c r="F29" s="8"/>
      <c r="G29" s="12"/>
      <c r="H29" s="3"/>
      <c r="I29" s="12"/>
      <c r="J29" s="50">
        <v>430000</v>
      </c>
      <c r="K29" s="18"/>
      <c r="L29" s="29"/>
      <c r="M29" s="13"/>
      <c r="N29" s="13"/>
      <c r="O29" s="13">
        <f t="shared" si="0"/>
        <v>430000</v>
      </c>
      <c r="P29" s="13">
        <v>3800000</v>
      </c>
      <c r="Q29" s="13">
        <f t="shared" si="1"/>
        <v>3370000</v>
      </c>
      <c r="S29" s="5"/>
      <c r="T29" s="5"/>
    </row>
    <row r="30" spans="1:20" ht="12.75" customHeight="1" x14ac:dyDescent="0.25">
      <c r="A30" s="25">
        <v>23</v>
      </c>
      <c r="B30" s="44">
        <v>43430</v>
      </c>
      <c r="C30" s="10" t="s">
        <v>292</v>
      </c>
      <c r="D30" s="8" t="s">
        <v>319</v>
      </c>
      <c r="E30" s="10" t="s">
        <v>115</v>
      </c>
      <c r="F30" s="8"/>
      <c r="G30" s="12"/>
      <c r="H30" s="3"/>
      <c r="I30" s="12"/>
      <c r="J30" s="50">
        <v>1200000</v>
      </c>
      <c r="K30" s="18"/>
      <c r="L30" s="29"/>
      <c r="M30" s="13"/>
      <c r="N30" s="13"/>
      <c r="O30" s="13">
        <f t="shared" si="0"/>
        <v>1200000</v>
      </c>
      <c r="P30" s="13">
        <v>5400000</v>
      </c>
      <c r="Q30" s="13">
        <f t="shared" si="1"/>
        <v>4200000</v>
      </c>
      <c r="S30" s="5"/>
      <c r="T30" s="5"/>
    </row>
    <row r="31" spans="1:20" ht="12.75" customHeight="1" x14ac:dyDescent="0.25">
      <c r="A31" s="25">
        <v>24</v>
      </c>
      <c r="B31" s="44">
        <v>43431</v>
      </c>
      <c r="C31" s="10" t="s">
        <v>293</v>
      </c>
      <c r="D31" s="8" t="s">
        <v>320</v>
      </c>
      <c r="E31" s="10" t="s">
        <v>329</v>
      </c>
      <c r="F31" s="8"/>
      <c r="G31" s="12">
        <v>223</v>
      </c>
      <c r="H31" s="3">
        <f t="shared" si="4"/>
        <v>3931490</v>
      </c>
      <c r="I31" s="12"/>
      <c r="J31" s="50">
        <v>1200000</v>
      </c>
      <c r="K31" s="18"/>
      <c r="L31" s="29"/>
      <c r="M31" s="13"/>
      <c r="N31" s="13"/>
      <c r="O31" s="13">
        <f t="shared" si="0"/>
        <v>5131490</v>
      </c>
      <c r="P31" s="3">
        <v>6100000</v>
      </c>
      <c r="Q31" s="13">
        <f t="shared" si="1"/>
        <v>968510</v>
      </c>
      <c r="S31" s="5"/>
      <c r="T31" s="5"/>
    </row>
    <row r="32" spans="1:20" ht="12.75" customHeight="1" x14ac:dyDescent="0.25">
      <c r="A32" s="25">
        <v>25</v>
      </c>
      <c r="B32" s="44">
        <v>43432</v>
      </c>
      <c r="C32" s="10" t="s">
        <v>294</v>
      </c>
      <c r="D32" s="8" t="s">
        <v>321</v>
      </c>
      <c r="E32" s="10" t="s">
        <v>331</v>
      </c>
      <c r="F32" s="8"/>
      <c r="G32" s="12"/>
      <c r="H32" s="3"/>
      <c r="I32" s="12"/>
      <c r="J32" s="50">
        <v>680000</v>
      </c>
      <c r="K32" s="18"/>
      <c r="L32" s="29"/>
      <c r="M32" s="13"/>
      <c r="N32" s="13"/>
      <c r="O32" s="13">
        <f t="shared" si="0"/>
        <v>680000</v>
      </c>
      <c r="P32" s="3">
        <v>3300000</v>
      </c>
      <c r="Q32" s="13">
        <f t="shared" si="1"/>
        <v>2620000</v>
      </c>
      <c r="S32" s="5"/>
      <c r="T32" s="5"/>
    </row>
    <row r="33" spans="1:20" ht="12.75" customHeight="1" x14ac:dyDescent="0.25">
      <c r="A33" s="25">
        <v>26</v>
      </c>
      <c r="B33" s="44">
        <v>43433</v>
      </c>
      <c r="C33" s="10" t="s">
        <v>295</v>
      </c>
      <c r="D33" s="8" t="s">
        <v>322</v>
      </c>
      <c r="E33" s="10" t="s">
        <v>184</v>
      </c>
      <c r="F33" s="8"/>
      <c r="G33" s="12">
        <v>236</v>
      </c>
      <c r="H33" s="3">
        <f t="shared" si="4"/>
        <v>4160680</v>
      </c>
      <c r="I33" s="12"/>
      <c r="J33" s="50">
        <v>1050000</v>
      </c>
      <c r="K33" s="18"/>
      <c r="L33" s="29"/>
      <c r="M33" s="13"/>
      <c r="N33" s="13"/>
      <c r="O33" s="13">
        <f t="shared" si="0"/>
        <v>5210680</v>
      </c>
      <c r="P33" s="3">
        <v>4900000</v>
      </c>
      <c r="Q33" s="13">
        <f t="shared" si="1"/>
        <v>-310680</v>
      </c>
      <c r="S33" s="5"/>
      <c r="T33" s="5"/>
    </row>
    <row r="34" spans="1:20" ht="12.75" customHeight="1" x14ac:dyDescent="0.25">
      <c r="A34" s="25">
        <v>27</v>
      </c>
      <c r="B34" s="44">
        <v>43434</v>
      </c>
      <c r="C34" s="10" t="s">
        <v>296</v>
      </c>
      <c r="D34" s="8" t="s">
        <v>323</v>
      </c>
      <c r="E34" s="10" t="s">
        <v>332</v>
      </c>
      <c r="F34" s="8"/>
      <c r="G34" s="12">
        <v>206</v>
      </c>
      <c r="H34" s="3">
        <f>G34*17630</f>
        <v>3631780</v>
      </c>
      <c r="I34" s="12"/>
      <c r="J34" s="50">
        <v>810000</v>
      </c>
      <c r="K34" s="18"/>
      <c r="L34" s="29"/>
      <c r="M34" s="13"/>
      <c r="N34" s="13"/>
      <c r="O34" s="13">
        <f t="shared" si="0"/>
        <v>4441780</v>
      </c>
      <c r="P34" s="3">
        <v>4500000</v>
      </c>
      <c r="Q34" s="13">
        <f t="shared" si="1"/>
        <v>58220</v>
      </c>
      <c r="S34" s="5"/>
      <c r="T34" s="5"/>
    </row>
    <row r="35" spans="1:20" ht="12.75" customHeight="1" x14ac:dyDescent="0.25">
      <c r="A35" s="25"/>
      <c r="B35" s="44"/>
      <c r="C35" s="10"/>
      <c r="D35" s="8"/>
      <c r="E35" s="10"/>
      <c r="F35" s="8"/>
      <c r="G35" s="12"/>
      <c r="H35" s="3"/>
      <c r="I35" s="12"/>
      <c r="J35" s="3"/>
      <c r="K35" s="18"/>
      <c r="L35" s="29"/>
      <c r="M35" s="13"/>
      <c r="N35" s="13"/>
      <c r="O35" s="13">
        <f t="shared" si="0"/>
        <v>0</v>
      </c>
      <c r="P35" s="3"/>
      <c r="Q35" s="13">
        <f t="shared" si="1"/>
        <v>0</v>
      </c>
      <c r="S35" s="5"/>
      <c r="T35" s="5"/>
    </row>
    <row r="36" spans="1:20" ht="12.75" customHeight="1" x14ac:dyDescent="0.25">
      <c r="A36" s="25"/>
      <c r="B36" s="44"/>
      <c r="C36" s="10"/>
      <c r="D36" s="8"/>
      <c r="E36" s="10"/>
      <c r="F36" s="8"/>
      <c r="G36" s="12"/>
      <c r="H36" s="3"/>
      <c r="I36" s="12"/>
      <c r="J36" s="3"/>
      <c r="K36" s="18"/>
      <c r="L36" s="29"/>
      <c r="M36" s="13"/>
      <c r="N36" s="13"/>
      <c r="O36" s="13">
        <f t="shared" si="0"/>
        <v>0</v>
      </c>
      <c r="P36" s="3"/>
      <c r="Q36" s="13">
        <f t="shared" si="1"/>
        <v>0</v>
      </c>
      <c r="S36" s="5"/>
      <c r="T36" s="5"/>
    </row>
    <row r="37" spans="1:20" ht="25.5" customHeight="1" x14ac:dyDescent="0.25">
      <c r="A37" s="25"/>
      <c r="B37" s="6"/>
      <c r="C37" s="17" t="s">
        <v>333</v>
      </c>
      <c r="D37" s="30"/>
      <c r="E37" s="17"/>
      <c r="F37" s="30"/>
      <c r="G37" s="46"/>
      <c r="H37" s="18"/>
      <c r="I37" s="46"/>
      <c r="J37" s="18"/>
      <c r="K37" s="18"/>
      <c r="L37" s="28">
        <v>520000</v>
      </c>
      <c r="M37" s="28"/>
      <c r="N37" s="28"/>
      <c r="O37" s="13">
        <f t="shared" si="0"/>
        <v>520000</v>
      </c>
      <c r="P37" s="28"/>
      <c r="Q37" s="13">
        <f t="shared" si="1"/>
        <v>-520000</v>
      </c>
      <c r="S37" s="5"/>
      <c r="T37" s="5"/>
    </row>
    <row r="38" spans="1:20" ht="25.5" x14ac:dyDescent="0.25">
      <c r="A38" s="25"/>
      <c r="B38" s="27"/>
      <c r="C38" s="17" t="s">
        <v>334</v>
      </c>
      <c r="D38" s="47"/>
      <c r="E38" s="17"/>
      <c r="F38" s="30"/>
      <c r="G38" s="46"/>
      <c r="H38" s="18"/>
      <c r="I38" s="46"/>
      <c r="J38" s="18"/>
      <c r="K38" s="18"/>
      <c r="L38" s="28"/>
      <c r="M38" s="28"/>
      <c r="N38" s="28">
        <f>11700000/4</f>
        <v>2925000</v>
      </c>
      <c r="O38" s="13">
        <f t="shared" si="0"/>
        <v>2925000</v>
      </c>
      <c r="P38" s="28"/>
      <c r="Q38" s="13">
        <f t="shared" si="1"/>
        <v>-2925000</v>
      </c>
      <c r="S38" s="5"/>
    </row>
    <row r="39" spans="1:20" x14ac:dyDescent="0.25">
      <c r="A39" s="8"/>
      <c r="B39" s="8"/>
      <c r="C39" s="17" t="s">
        <v>131</v>
      </c>
      <c r="D39" s="30"/>
      <c r="E39" s="17"/>
      <c r="F39" s="30"/>
      <c r="G39" s="30"/>
      <c r="H39" s="28"/>
      <c r="I39" s="30"/>
      <c r="J39" s="28"/>
      <c r="K39" s="28"/>
      <c r="L39" s="28">
        <f>1200000*1.1</f>
        <v>1320000</v>
      </c>
      <c r="M39" s="28"/>
      <c r="N39" s="28"/>
      <c r="O39" s="13">
        <f t="shared" si="0"/>
        <v>1320000</v>
      </c>
      <c r="P39" s="28"/>
      <c r="Q39" s="13">
        <f t="shared" si="1"/>
        <v>-1320000</v>
      </c>
    </row>
    <row r="40" spans="1:20" x14ac:dyDescent="0.25">
      <c r="A40" s="8"/>
      <c r="B40" s="8"/>
      <c r="C40" s="17" t="s">
        <v>132</v>
      </c>
      <c r="D40" s="30"/>
      <c r="E40" s="17"/>
      <c r="F40" s="30"/>
      <c r="G40" s="30"/>
      <c r="H40" s="28"/>
      <c r="I40" s="30"/>
      <c r="J40" s="28"/>
      <c r="K40" s="28">
        <v>10538462</v>
      </c>
      <c r="L40" s="28"/>
      <c r="M40" s="18"/>
      <c r="N40" s="28"/>
      <c r="O40" s="13">
        <f t="shared" si="0"/>
        <v>10538462</v>
      </c>
      <c r="P40" s="28"/>
      <c r="Q40" s="13">
        <f t="shared" si="1"/>
        <v>-10538462</v>
      </c>
    </row>
    <row r="41" spans="1:20" x14ac:dyDescent="0.25">
      <c r="A41" s="166" t="s">
        <v>19</v>
      </c>
      <c r="B41" s="167"/>
      <c r="C41" s="167"/>
      <c r="D41" s="167"/>
      <c r="E41" s="167"/>
      <c r="F41" s="168"/>
      <c r="G41" s="19">
        <f t="shared" ref="G41:Q41" si="5">SUM(G7:G40)</f>
        <v>3157</v>
      </c>
      <c r="H41" s="4">
        <f t="shared" si="5"/>
        <v>57548890</v>
      </c>
      <c r="I41" s="4">
        <f t="shared" si="5"/>
        <v>0</v>
      </c>
      <c r="J41" s="4">
        <f t="shared" si="5"/>
        <v>27170000</v>
      </c>
      <c r="K41" s="4">
        <f t="shared" si="5"/>
        <v>10538462</v>
      </c>
      <c r="L41" s="4">
        <f t="shared" si="5"/>
        <v>1840000</v>
      </c>
      <c r="M41" s="4">
        <f t="shared" si="5"/>
        <v>0</v>
      </c>
      <c r="N41" s="4">
        <f t="shared" si="5"/>
        <v>2925000</v>
      </c>
      <c r="O41" s="4">
        <f t="shared" si="5"/>
        <v>100022352</v>
      </c>
      <c r="P41" s="4">
        <f t="shared" si="5"/>
        <v>138972727</v>
      </c>
      <c r="Q41" s="4">
        <f t="shared" si="5"/>
        <v>38950375</v>
      </c>
      <c r="R41" s="24"/>
    </row>
    <row r="42" spans="1:20" x14ac:dyDescent="0.25">
      <c r="O42" s="20"/>
      <c r="Q42" s="26"/>
    </row>
    <row r="43" spans="1:20" x14ac:dyDescent="0.25">
      <c r="P43" s="21" t="s">
        <v>20</v>
      </c>
      <c r="Q43" s="26">
        <f>'10-2018'!Q47+'11.2018'!Q41</f>
        <v>136866548</v>
      </c>
    </row>
    <row r="47" spans="1:20" x14ac:dyDescent="0.25">
      <c r="B47" s="6"/>
    </row>
    <row r="48" spans="1:20" x14ac:dyDescent="0.25">
      <c r="B48" s="6"/>
    </row>
    <row r="49" spans="2:17" x14ac:dyDescent="0.25">
      <c r="B49" s="6"/>
    </row>
    <row r="50" spans="2:17" x14ac:dyDescent="0.25">
      <c r="B50" s="6"/>
      <c r="H50" s="6"/>
      <c r="J50" s="6"/>
      <c r="K50" s="6"/>
      <c r="L50" s="6"/>
      <c r="M50" s="6"/>
      <c r="N50" s="6"/>
      <c r="O50" s="6"/>
      <c r="P50" s="6"/>
      <c r="Q50" s="6"/>
    </row>
  </sheetData>
  <mergeCells count="14">
    <mergeCell ref="O5:O6"/>
    <mergeCell ref="P5:P6"/>
    <mergeCell ref="Q5:Q6"/>
    <mergeCell ref="A41:F41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3"/>
  <sheetViews>
    <sheetView topLeftCell="D31" workbookViewId="0">
      <selection activeCell="Q45" sqref="Q4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335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15"/>
      <c r="Q7" s="15"/>
    </row>
    <row r="8" spans="1:20" x14ac:dyDescent="0.25">
      <c r="A8" s="25">
        <v>1</v>
      </c>
      <c r="B8" s="44">
        <v>43435</v>
      </c>
      <c r="C8" s="10" t="s">
        <v>336</v>
      </c>
      <c r="D8" s="12" t="s">
        <v>359</v>
      </c>
      <c r="E8" s="10" t="s">
        <v>329</v>
      </c>
      <c r="F8" s="8"/>
      <c r="G8" s="12"/>
      <c r="H8" s="3"/>
      <c r="I8" s="12"/>
      <c r="J8" s="13">
        <v>1260000</v>
      </c>
      <c r="K8" s="18"/>
      <c r="L8" s="29"/>
      <c r="M8" s="13"/>
      <c r="N8" s="13"/>
      <c r="O8" s="13">
        <f>H8+J8+K8+L8+M8+N8</f>
        <v>1260000</v>
      </c>
      <c r="P8" s="13">
        <v>6100000</v>
      </c>
      <c r="Q8" s="13">
        <f>P8-O8</f>
        <v>4840000</v>
      </c>
      <c r="S8" s="5"/>
      <c r="T8" s="5"/>
    </row>
    <row r="9" spans="1:20" ht="12.75" customHeight="1" x14ac:dyDescent="0.25">
      <c r="A9" s="25">
        <v>2</v>
      </c>
      <c r="B9" s="44">
        <v>43437</v>
      </c>
      <c r="C9" s="10" t="s">
        <v>337</v>
      </c>
      <c r="D9" s="8" t="s">
        <v>360</v>
      </c>
      <c r="E9" s="10" t="s">
        <v>382</v>
      </c>
      <c r="F9" s="8"/>
      <c r="G9" s="12">
        <v>176</v>
      </c>
      <c r="H9" s="3">
        <f t="shared" ref="H9:H11" si="0">G9*17630</f>
        <v>3102880</v>
      </c>
      <c r="I9" s="12"/>
      <c r="J9" s="13">
        <v>1260000</v>
      </c>
      <c r="K9" s="18"/>
      <c r="L9" s="29"/>
      <c r="M9" s="13"/>
      <c r="N9" s="13"/>
      <c r="O9" s="13">
        <f t="shared" ref="O9:O43" si="1">H9+J9+K9+L9+M9+N9</f>
        <v>4362880</v>
      </c>
      <c r="P9" s="13">
        <v>5500000</v>
      </c>
      <c r="Q9" s="13">
        <f t="shared" ref="Q9:Q43" si="2">P9-O9</f>
        <v>1137120</v>
      </c>
      <c r="S9" s="5"/>
      <c r="T9" s="5"/>
    </row>
    <row r="10" spans="1:20" ht="12.75" customHeight="1" x14ac:dyDescent="0.25">
      <c r="A10" s="25">
        <v>3</v>
      </c>
      <c r="B10" s="44">
        <v>43438</v>
      </c>
      <c r="C10" s="10" t="s">
        <v>338</v>
      </c>
      <c r="D10" s="8" t="s">
        <v>361</v>
      </c>
      <c r="E10" s="10" t="s">
        <v>329</v>
      </c>
      <c r="F10" s="8"/>
      <c r="G10" s="12"/>
      <c r="H10" s="3"/>
      <c r="I10" s="12"/>
      <c r="J10" s="13">
        <v>1200000</v>
      </c>
      <c r="K10" s="18"/>
      <c r="L10" s="29"/>
      <c r="M10" s="13"/>
      <c r="N10" s="13"/>
      <c r="O10" s="13">
        <f t="shared" si="1"/>
        <v>1200000</v>
      </c>
      <c r="P10" s="13">
        <v>6100000</v>
      </c>
      <c r="Q10" s="13">
        <f t="shared" si="2"/>
        <v>4900000</v>
      </c>
      <c r="S10" s="5"/>
      <c r="T10" s="5"/>
    </row>
    <row r="11" spans="1:20" ht="12.75" customHeight="1" x14ac:dyDescent="0.25">
      <c r="A11" s="25">
        <v>4</v>
      </c>
      <c r="B11" s="44">
        <v>43439</v>
      </c>
      <c r="C11" s="10" t="s">
        <v>339</v>
      </c>
      <c r="D11" s="12" t="s">
        <v>362</v>
      </c>
      <c r="E11" s="10" t="s">
        <v>383</v>
      </c>
      <c r="F11" s="8"/>
      <c r="G11" s="12">
        <v>276</v>
      </c>
      <c r="H11" s="3">
        <f t="shared" si="0"/>
        <v>4865880</v>
      </c>
      <c r="I11" s="12"/>
      <c r="J11" s="13">
        <v>930000</v>
      </c>
      <c r="K11" s="18"/>
      <c r="L11" s="29"/>
      <c r="M11" s="13"/>
      <c r="N11" s="13"/>
      <c r="O11" s="13">
        <f t="shared" si="1"/>
        <v>5795880</v>
      </c>
      <c r="P11" s="13">
        <v>2918182</v>
      </c>
      <c r="Q11" s="13">
        <f t="shared" si="2"/>
        <v>-2877698</v>
      </c>
      <c r="S11" s="5"/>
      <c r="T11" s="5"/>
    </row>
    <row r="12" spans="1:20" ht="12.75" customHeight="1" x14ac:dyDescent="0.25">
      <c r="A12" s="25">
        <v>5</v>
      </c>
      <c r="B12" s="44">
        <v>43440</v>
      </c>
      <c r="C12" s="10" t="s">
        <v>340</v>
      </c>
      <c r="D12" s="8" t="s">
        <v>363</v>
      </c>
      <c r="E12" s="10" t="s">
        <v>384</v>
      </c>
      <c r="F12" s="8"/>
      <c r="G12" s="12"/>
      <c r="H12" s="3"/>
      <c r="I12" s="12"/>
      <c r="J12" s="13">
        <v>850000</v>
      </c>
      <c r="K12" s="18"/>
      <c r="L12" s="29"/>
      <c r="M12" s="13"/>
      <c r="N12" s="13"/>
      <c r="O12" s="13">
        <f t="shared" si="1"/>
        <v>850000</v>
      </c>
      <c r="P12" s="13">
        <v>4545455</v>
      </c>
      <c r="Q12" s="13">
        <f t="shared" si="2"/>
        <v>3695455</v>
      </c>
      <c r="S12" s="5"/>
      <c r="T12" s="5"/>
    </row>
    <row r="13" spans="1:20" ht="12.75" customHeight="1" x14ac:dyDescent="0.25">
      <c r="A13" s="25">
        <v>6</v>
      </c>
      <c r="B13" s="44">
        <v>43441</v>
      </c>
      <c r="C13" s="10" t="s">
        <v>341</v>
      </c>
      <c r="D13" s="8" t="s">
        <v>364</v>
      </c>
      <c r="E13" s="10" t="s">
        <v>385</v>
      </c>
      <c r="F13" s="8"/>
      <c r="G13" s="12"/>
      <c r="H13" s="3"/>
      <c r="I13" s="12"/>
      <c r="J13" s="13">
        <v>1050000</v>
      </c>
      <c r="K13" s="18"/>
      <c r="L13" s="29"/>
      <c r="M13" s="13"/>
      <c r="N13" s="13"/>
      <c r="O13" s="13">
        <f t="shared" si="1"/>
        <v>1050000</v>
      </c>
      <c r="P13" s="13">
        <v>4900000</v>
      </c>
      <c r="Q13" s="13">
        <f t="shared" si="2"/>
        <v>3850000</v>
      </c>
      <c r="S13" s="5"/>
      <c r="T13" s="5"/>
    </row>
    <row r="14" spans="1:20" ht="12.75" customHeight="1" x14ac:dyDescent="0.25">
      <c r="A14" s="25">
        <v>7</v>
      </c>
      <c r="B14" s="44">
        <v>43442</v>
      </c>
      <c r="C14" s="10" t="s">
        <v>342</v>
      </c>
      <c r="D14" s="8" t="s">
        <v>365</v>
      </c>
      <c r="E14" s="10" t="s">
        <v>330</v>
      </c>
      <c r="F14" s="8"/>
      <c r="G14" s="12">
        <v>262</v>
      </c>
      <c r="H14" s="3">
        <f>G14*16250</f>
        <v>4257500</v>
      </c>
      <c r="I14" s="12"/>
      <c r="J14" s="13">
        <v>430000</v>
      </c>
      <c r="K14" s="18"/>
      <c r="L14" s="29"/>
      <c r="M14" s="13"/>
      <c r="N14" s="13"/>
      <c r="O14" s="13">
        <f t="shared" si="1"/>
        <v>4687500</v>
      </c>
      <c r="P14" s="13">
        <v>3800000</v>
      </c>
      <c r="Q14" s="13">
        <f t="shared" si="2"/>
        <v>-887500</v>
      </c>
      <c r="S14" s="5"/>
      <c r="T14" s="5"/>
    </row>
    <row r="15" spans="1:20" ht="12.75" customHeight="1" x14ac:dyDescent="0.25">
      <c r="A15" s="25">
        <v>8</v>
      </c>
      <c r="B15" s="44">
        <v>43445</v>
      </c>
      <c r="C15" s="10" t="s">
        <v>343</v>
      </c>
      <c r="D15" s="8" t="s">
        <v>366</v>
      </c>
      <c r="E15" s="10" t="s">
        <v>331</v>
      </c>
      <c r="F15" s="8"/>
      <c r="G15" s="12">
        <v>186</v>
      </c>
      <c r="H15" s="3">
        <f t="shared" ref="H15:H23" si="3">G15*16250</f>
        <v>3022500</v>
      </c>
      <c r="I15" s="12"/>
      <c r="J15" s="13">
        <v>680000</v>
      </c>
      <c r="K15" s="18"/>
      <c r="L15" s="29"/>
      <c r="M15" s="13"/>
      <c r="N15" s="13"/>
      <c r="O15" s="13">
        <f t="shared" si="1"/>
        <v>3702500</v>
      </c>
      <c r="P15" s="13">
        <v>3300000</v>
      </c>
      <c r="Q15" s="13">
        <f t="shared" si="2"/>
        <v>-402500</v>
      </c>
      <c r="S15" s="5"/>
      <c r="T15" s="5"/>
    </row>
    <row r="16" spans="1:20" ht="12.75" customHeight="1" x14ac:dyDescent="0.25">
      <c r="A16" s="25">
        <v>9</v>
      </c>
      <c r="B16" s="44">
        <v>43446</v>
      </c>
      <c r="C16" s="10" t="s">
        <v>344</v>
      </c>
      <c r="D16" s="8" t="s">
        <v>367</v>
      </c>
      <c r="E16" s="10" t="s">
        <v>386</v>
      </c>
      <c r="F16" s="8"/>
      <c r="G16" s="12"/>
      <c r="H16" s="3"/>
      <c r="I16" s="12"/>
      <c r="J16" s="13">
        <v>1260000</v>
      </c>
      <c r="K16" s="18"/>
      <c r="L16" s="29"/>
      <c r="M16" s="13"/>
      <c r="N16" s="13"/>
      <c r="O16" s="13">
        <f t="shared" si="1"/>
        <v>1260000</v>
      </c>
      <c r="P16" s="13">
        <v>5500000</v>
      </c>
      <c r="Q16" s="13">
        <f t="shared" si="2"/>
        <v>4240000</v>
      </c>
      <c r="S16" s="5"/>
      <c r="T16" s="5"/>
    </row>
    <row r="17" spans="1:20" ht="12.75" customHeight="1" x14ac:dyDescent="0.25">
      <c r="A17" s="25">
        <v>10</v>
      </c>
      <c r="B17" s="44">
        <v>43447</v>
      </c>
      <c r="C17" s="10" t="s">
        <v>345</v>
      </c>
      <c r="D17" s="8" t="s">
        <v>368</v>
      </c>
      <c r="E17" s="10" t="s">
        <v>329</v>
      </c>
      <c r="F17" s="8"/>
      <c r="G17" s="12">
        <v>155</v>
      </c>
      <c r="H17" s="3">
        <f t="shared" si="3"/>
        <v>2518750</v>
      </c>
      <c r="I17" s="12"/>
      <c r="J17" s="13">
        <f>1200000+60000</f>
        <v>1260000</v>
      </c>
      <c r="K17" s="18"/>
      <c r="L17" s="29"/>
      <c r="M17" s="13"/>
      <c r="N17" s="13"/>
      <c r="O17" s="13">
        <f t="shared" si="1"/>
        <v>3778750</v>
      </c>
      <c r="P17" s="13">
        <v>6100000</v>
      </c>
      <c r="Q17" s="13">
        <f t="shared" si="2"/>
        <v>2321250</v>
      </c>
      <c r="S17" s="5"/>
      <c r="T17" s="5"/>
    </row>
    <row r="18" spans="1:20" ht="12.75" customHeight="1" x14ac:dyDescent="0.25">
      <c r="A18" s="25">
        <v>11</v>
      </c>
      <c r="B18" s="44">
        <v>43448</v>
      </c>
      <c r="C18" s="10" t="s">
        <v>346</v>
      </c>
      <c r="D18" s="8" t="s">
        <v>369</v>
      </c>
      <c r="E18" s="10" t="s">
        <v>327</v>
      </c>
      <c r="F18" s="8"/>
      <c r="G18" s="12">
        <v>158</v>
      </c>
      <c r="H18" s="3">
        <f t="shared" si="3"/>
        <v>2567500</v>
      </c>
      <c r="I18" s="12"/>
      <c r="J18" s="13">
        <v>1050000</v>
      </c>
      <c r="K18" s="18"/>
      <c r="L18" s="29"/>
      <c r="M18" s="13"/>
      <c r="N18" s="13"/>
      <c r="O18" s="13">
        <f t="shared" si="1"/>
        <v>3617500</v>
      </c>
      <c r="P18" s="13">
        <v>4900000</v>
      </c>
      <c r="Q18" s="13">
        <f t="shared" si="2"/>
        <v>1282500</v>
      </c>
      <c r="S18" s="5"/>
      <c r="T18" s="5"/>
    </row>
    <row r="19" spans="1:20" ht="12.75" customHeight="1" x14ac:dyDescent="0.25">
      <c r="A19" s="25">
        <v>12</v>
      </c>
      <c r="B19" s="44">
        <v>43451</v>
      </c>
      <c r="C19" s="10" t="s">
        <v>347</v>
      </c>
      <c r="D19" s="8" t="s">
        <v>370</v>
      </c>
      <c r="E19" s="10" t="s">
        <v>254</v>
      </c>
      <c r="F19" s="8"/>
      <c r="G19" s="12">
        <v>110</v>
      </c>
      <c r="H19" s="3">
        <f t="shared" si="3"/>
        <v>1787500</v>
      </c>
      <c r="I19" s="12"/>
      <c r="J19" s="13">
        <f>810000+60000</f>
        <v>870000</v>
      </c>
      <c r="K19" s="18"/>
      <c r="L19" s="29"/>
      <c r="M19" s="13"/>
      <c r="N19" s="13"/>
      <c r="O19" s="13">
        <f t="shared" si="1"/>
        <v>2657500</v>
      </c>
      <c r="P19" s="13">
        <v>4100000</v>
      </c>
      <c r="Q19" s="13">
        <f t="shared" si="2"/>
        <v>1442500</v>
      </c>
      <c r="S19" s="5"/>
      <c r="T19" s="5"/>
    </row>
    <row r="20" spans="1:20" ht="12.75" customHeight="1" x14ac:dyDescent="0.25">
      <c r="A20" s="25">
        <v>13</v>
      </c>
      <c r="B20" s="44">
        <v>43451</v>
      </c>
      <c r="C20" s="10" t="s">
        <v>348</v>
      </c>
      <c r="D20" s="8" t="s">
        <v>371</v>
      </c>
      <c r="E20" s="10" t="s">
        <v>123</v>
      </c>
      <c r="F20" s="8"/>
      <c r="G20" s="12"/>
      <c r="H20" s="3"/>
      <c r="I20" s="12"/>
      <c r="J20" s="13">
        <v>1200000</v>
      </c>
      <c r="K20" s="18"/>
      <c r="L20" s="29"/>
      <c r="M20" s="13"/>
      <c r="N20" s="13"/>
      <c r="O20" s="13">
        <f t="shared" si="1"/>
        <v>1200000</v>
      </c>
      <c r="P20" s="13">
        <v>5500000</v>
      </c>
      <c r="Q20" s="13">
        <f t="shared" si="2"/>
        <v>4300000</v>
      </c>
      <c r="S20" s="5"/>
      <c r="T20" s="5"/>
    </row>
    <row r="21" spans="1:20" ht="12.75" customHeight="1" x14ac:dyDescent="0.25">
      <c r="A21" s="25">
        <v>14</v>
      </c>
      <c r="B21" s="44">
        <v>43453</v>
      </c>
      <c r="C21" s="10" t="s">
        <v>349</v>
      </c>
      <c r="D21" s="8" t="s">
        <v>372</v>
      </c>
      <c r="E21" s="10" t="s">
        <v>387</v>
      </c>
      <c r="F21" s="8"/>
      <c r="G21" s="12">
        <v>208</v>
      </c>
      <c r="H21" s="3">
        <f t="shared" si="3"/>
        <v>3380000</v>
      </c>
      <c r="I21" s="12"/>
      <c r="J21" s="13">
        <v>1050000</v>
      </c>
      <c r="K21" s="18"/>
      <c r="L21" s="29"/>
      <c r="M21" s="13"/>
      <c r="N21" s="13"/>
      <c r="O21" s="13">
        <f t="shared" si="1"/>
        <v>4430000</v>
      </c>
      <c r="P21" s="13">
        <v>4900000</v>
      </c>
      <c r="Q21" s="13">
        <f t="shared" si="2"/>
        <v>470000</v>
      </c>
      <c r="S21" s="5"/>
      <c r="T21" s="5"/>
    </row>
    <row r="22" spans="1:20" ht="12.75" customHeight="1" x14ac:dyDescent="0.25">
      <c r="A22" s="25">
        <v>15</v>
      </c>
      <c r="B22" s="44">
        <v>43454</v>
      </c>
      <c r="C22" s="10" t="s">
        <v>350</v>
      </c>
      <c r="D22" s="8" t="s">
        <v>373</v>
      </c>
      <c r="E22" s="10" t="s">
        <v>388</v>
      </c>
      <c r="F22" s="8"/>
      <c r="G22" s="12"/>
      <c r="H22" s="3"/>
      <c r="I22" s="12"/>
      <c r="J22" s="13">
        <v>1050000</v>
      </c>
      <c r="K22" s="18"/>
      <c r="L22" s="29"/>
      <c r="M22" s="13"/>
      <c r="N22" s="13"/>
      <c r="O22" s="13">
        <f t="shared" si="1"/>
        <v>1050000</v>
      </c>
      <c r="P22" s="13">
        <v>4900000</v>
      </c>
      <c r="Q22" s="13">
        <f t="shared" si="2"/>
        <v>3850000</v>
      </c>
      <c r="S22" s="5"/>
      <c r="T22" s="5"/>
    </row>
    <row r="23" spans="1:20" ht="12.75" customHeight="1" x14ac:dyDescent="0.25">
      <c r="A23" s="25">
        <v>16</v>
      </c>
      <c r="B23" s="44">
        <v>43455</v>
      </c>
      <c r="C23" s="10" t="s">
        <v>351</v>
      </c>
      <c r="D23" s="8" t="s">
        <v>374</v>
      </c>
      <c r="E23" s="10" t="s">
        <v>388</v>
      </c>
      <c r="F23" s="8"/>
      <c r="G23" s="12">
        <v>216</v>
      </c>
      <c r="H23" s="3">
        <f t="shared" si="3"/>
        <v>3510000</v>
      </c>
      <c r="I23" s="12"/>
      <c r="J23" s="13">
        <v>1050000</v>
      </c>
      <c r="K23" s="18"/>
      <c r="L23" s="29"/>
      <c r="M23" s="13"/>
      <c r="N23" s="13"/>
      <c r="O23" s="13">
        <f t="shared" si="1"/>
        <v>4560000</v>
      </c>
      <c r="P23" s="13">
        <v>4900000</v>
      </c>
      <c r="Q23" s="13">
        <f t="shared" si="2"/>
        <v>340000</v>
      </c>
      <c r="S23" s="5"/>
      <c r="T23" s="5"/>
    </row>
    <row r="24" spans="1:20" ht="12.75" customHeight="1" x14ac:dyDescent="0.25">
      <c r="A24" s="25">
        <v>17</v>
      </c>
      <c r="B24" s="44">
        <v>43456</v>
      </c>
      <c r="C24" s="10" t="s">
        <v>352</v>
      </c>
      <c r="D24" s="8" t="s">
        <v>375</v>
      </c>
      <c r="E24" s="10" t="s">
        <v>389</v>
      </c>
      <c r="F24" s="8"/>
      <c r="G24" s="12">
        <v>218</v>
      </c>
      <c r="H24" s="3">
        <f>G24*16000</f>
        <v>3488000</v>
      </c>
      <c r="I24" s="12"/>
      <c r="J24" s="13">
        <v>1260000</v>
      </c>
      <c r="K24" s="18"/>
      <c r="L24" s="29"/>
      <c r="M24" s="13"/>
      <c r="N24" s="13"/>
      <c r="O24" s="13">
        <f t="shared" si="1"/>
        <v>4748000</v>
      </c>
      <c r="P24" s="13">
        <v>5400000</v>
      </c>
      <c r="Q24" s="13">
        <f t="shared" si="2"/>
        <v>652000</v>
      </c>
      <c r="S24" s="5"/>
      <c r="T24" s="5"/>
    </row>
    <row r="25" spans="1:20" ht="12.75" customHeight="1" x14ac:dyDescent="0.25">
      <c r="A25" s="25">
        <v>18</v>
      </c>
      <c r="B25" s="44">
        <v>43823</v>
      </c>
      <c r="C25" s="10" t="s">
        <v>353</v>
      </c>
      <c r="D25" s="8" t="s">
        <v>376</v>
      </c>
      <c r="E25" s="10" t="s">
        <v>390</v>
      </c>
      <c r="F25" s="8"/>
      <c r="G25" s="12"/>
      <c r="H25" s="3"/>
      <c r="I25" s="12"/>
      <c r="J25" s="13">
        <v>1260000</v>
      </c>
      <c r="K25" s="18"/>
      <c r="L25" s="29"/>
      <c r="M25" s="13"/>
      <c r="N25" s="13"/>
      <c r="O25" s="13">
        <f t="shared" si="1"/>
        <v>1260000</v>
      </c>
      <c r="P25" s="13">
        <v>6100000</v>
      </c>
      <c r="Q25" s="13">
        <f t="shared" si="2"/>
        <v>4840000</v>
      </c>
      <c r="S25" s="5"/>
      <c r="T25" s="5"/>
    </row>
    <row r="26" spans="1:20" ht="12.75" customHeight="1" x14ac:dyDescent="0.25">
      <c r="A26" s="25">
        <v>19</v>
      </c>
      <c r="B26" s="44">
        <v>43459</v>
      </c>
      <c r="C26" s="10" t="s">
        <v>354</v>
      </c>
      <c r="D26" s="8" t="s">
        <v>377</v>
      </c>
      <c r="E26" s="10" t="s">
        <v>391</v>
      </c>
      <c r="F26" s="8"/>
      <c r="G26" s="12">
        <v>152</v>
      </c>
      <c r="H26" s="3">
        <f t="shared" ref="H26:H30" si="4">G26*16000</f>
        <v>2432000</v>
      </c>
      <c r="I26" s="12"/>
      <c r="J26" s="13">
        <v>1260000</v>
      </c>
      <c r="K26" s="18"/>
      <c r="L26" s="29"/>
      <c r="M26" s="13"/>
      <c r="N26" s="13"/>
      <c r="O26" s="13">
        <f t="shared" si="1"/>
        <v>3692000</v>
      </c>
      <c r="P26" s="13">
        <v>5600000</v>
      </c>
      <c r="Q26" s="13">
        <f t="shared" si="2"/>
        <v>1908000</v>
      </c>
      <c r="S26" s="5"/>
      <c r="T26" s="5"/>
    </row>
    <row r="27" spans="1:20" ht="12.75" customHeight="1" x14ac:dyDescent="0.25">
      <c r="A27" s="25">
        <v>20</v>
      </c>
      <c r="B27" s="44">
        <v>43460</v>
      </c>
      <c r="C27" s="10" t="s">
        <v>355</v>
      </c>
      <c r="D27" s="8" t="s">
        <v>378</v>
      </c>
      <c r="E27" s="10" t="s">
        <v>330</v>
      </c>
      <c r="F27" s="8"/>
      <c r="G27" s="12"/>
      <c r="H27" s="3"/>
      <c r="I27" s="12"/>
      <c r="J27" s="13">
        <v>450000</v>
      </c>
      <c r="K27" s="18"/>
      <c r="L27" s="29"/>
      <c r="M27" s="13"/>
      <c r="N27" s="13"/>
      <c r="O27" s="13">
        <f t="shared" si="1"/>
        <v>450000</v>
      </c>
      <c r="P27" s="13">
        <v>3800000</v>
      </c>
      <c r="Q27" s="13">
        <f t="shared" si="2"/>
        <v>3350000</v>
      </c>
      <c r="S27" s="5"/>
      <c r="T27" s="5"/>
    </row>
    <row r="28" spans="1:20" ht="12.75" customHeight="1" x14ac:dyDescent="0.25">
      <c r="A28" s="25">
        <v>21</v>
      </c>
      <c r="B28" s="44">
        <v>43461</v>
      </c>
      <c r="C28" s="10" t="s">
        <v>356</v>
      </c>
      <c r="D28" s="8" t="s">
        <v>379</v>
      </c>
      <c r="E28" s="10" t="s">
        <v>326</v>
      </c>
      <c r="F28" s="8"/>
      <c r="G28" s="12">
        <v>228</v>
      </c>
      <c r="H28" s="3">
        <f t="shared" si="4"/>
        <v>3648000</v>
      </c>
      <c r="I28" s="12"/>
      <c r="J28" s="13">
        <v>1260000</v>
      </c>
      <c r="K28" s="18"/>
      <c r="L28" s="29"/>
      <c r="M28" s="13"/>
      <c r="N28" s="13"/>
      <c r="O28" s="13">
        <f t="shared" si="1"/>
        <v>4908000</v>
      </c>
      <c r="P28" s="13">
        <v>5800000</v>
      </c>
      <c r="Q28" s="13">
        <f t="shared" si="2"/>
        <v>892000</v>
      </c>
      <c r="S28" s="5"/>
      <c r="T28" s="5"/>
    </row>
    <row r="29" spans="1:20" ht="12.75" customHeight="1" x14ac:dyDescent="0.25">
      <c r="A29" s="25">
        <v>22</v>
      </c>
      <c r="B29" s="44">
        <v>43462</v>
      </c>
      <c r="C29" s="10" t="s">
        <v>357</v>
      </c>
      <c r="D29" s="45" t="s">
        <v>380</v>
      </c>
      <c r="E29" s="10" t="s">
        <v>390</v>
      </c>
      <c r="F29" s="8"/>
      <c r="G29" s="12">
        <v>146</v>
      </c>
      <c r="H29" s="3">
        <f t="shared" si="4"/>
        <v>2336000</v>
      </c>
      <c r="I29" s="12"/>
      <c r="J29" s="13">
        <v>1260000</v>
      </c>
      <c r="K29" s="18"/>
      <c r="L29" s="29"/>
      <c r="M29" s="13"/>
      <c r="N29" s="13"/>
      <c r="O29" s="13">
        <f t="shared" si="1"/>
        <v>3596000</v>
      </c>
      <c r="P29" s="13">
        <v>6100000</v>
      </c>
      <c r="Q29" s="13">
        <f t="shared" si="2"/>
        <v>2504000</v>
      </c>
      <c r="S29" s="5"/>
      <c r="T29" s="5"/>
    </row>
    <row r="30" spans="1:20" ht="12.75" customHeight="1" x14ac:dyDescent="0.25">
      <c r="A30" s="25">
        <v>23</v>
      </c>
      <c r="B30" s="44">
        <v>43463</v>
      </c>
      <c r="C30" s="10" t="s">
        <v>358</v>
      </c>
      <c r="D30" s="8" t="s">
        <v>381</v>
      </c>
      <c r="E30" s="10" t="s">
        <v>390</v>
      </c>
      <c r="F30" s="8"/>
      <c r="G30" s="12">
        <v>154</v>
      </c>
      <c r="H30" s="3">
        <f t="shared" si="4"/>
        <v>2464000</v>
      </c>
      <c r="I30" s="12"/>
      <c r="J30" s="13">
        <v>1260000</v>
      </c>
      <c r="K30" s="18"/>
      <c r="L30" s="29"/>
      <c r="M30" s="13"/>
      <c r="N30" s="13"/>
      <c r="O30" s="13">
        <f t="shared" si="1"/>
        <v>3724000</v>
      </c>
      <c r="P30" s="13">
        <v>6100000</v>
      </c>
      <c r="Q30" s="13">
        <f t="shared" si="2"/>
        <v>2376000</v>
      </c>
      <c r="S30" s="5"/>
      <c r="T30" s="5"/>
    </row>
    <row r="31" spans="1:20" ht="12.75" customHeight="1" x14ac:dyDescent="0.25">
      <c r="A31" s="25"/>
      <c r="B31" s="44"/>
      <c r="C31" s="10"/>
      <c r="D31" s="8"/>
      <c r="E31" s="10"/>
      <c r="F31" s="8"/>
      <c r="G31" s="12"/>
      <c r="H31" s="3"/>
      <c r="I31" s="12"/>
      <c r="J31" s="3"/>
      <c r="K31" s="18"/>
      <c r="L31" s="29"/>
      <c r="M31" s="13"/>
      <c r="N31" s="13"/>
      <c r="O31" s="13">
        <f t="shared" si="1"/>
        <v>0</v>
      </c>
      <c r="P31" s="3"/>
      <c r="Q31" s="13">
        <f t="shared" si="2"/>
        <v>0</v>
      </c>
      <c r="S31" s="5"/>
      <c r="T31" s="5"/>
    </row>
    <row r="32" spans="1:20" ht="12.75" customHeight="1" x14ac:dyDescent="0.25">
      <c r="A32" s="25"/>
      <c r="B32" s="44"/>
      <c r="C32" s="10"/>
      <c r="D32" s="8"/>
      <c r="E32" s="10"/>
      <c r="F32" s="8"/>
      <c r="G32" s="12"/>
      <c r="H32" s="3"/>
      <c r="I32" s="12"/>
      <c r="J32" s="3"/>
      <c r="K32" s="18"/>
      <c r="L32" s="29"/>
      <c r="M32" s="13"/>
      <c r="N32" s="13"/>
      <c r="O32" s="13">
        <f t="shared" si="1"/>
        <v>0</v>
      </c>
      <c r="P32" s="3"/>
      <c r="Q32" s="13">
        <f t="shared" si="2"/>
        <v>0</v>
      </c>
      <c r="S32" s="5"/>
      <c r="T32" s="5"/>
    </row>
    <row r="33" spans="1:20" ht="25.5" customHeight="1" x14ac:dyDescent="0.25">
      <c r="A33" s="25"/>
      <c r="B33" s="6"/>
      <c r="C33" s="17" t="s">
        <v>392</v>
      </c>
      <c r="D33" s="30"/>
      <c r="E33" s="17"/>
      <c r="F33" s="30"/>
      <c r="G33" s="46"/>
      <c r="H33" s="18"/>
      <c r="I33" s="46"/>
      <c r="J33" s="18"/>
      <c r="K33" s="18"/>
      <c r="L33" s="28">
        <f>150000/4</f>
        <v>37500</v>
      </c>
      <c r="M33" s="28"/>
      <c r="N33" s="28"/>
      <c r="O33" s="13">
        <f t="shared" si="1"/>
        <v>37500</v>
      </c>
      <c r="P33" s="28"/>
      <c r="Q33" s="13">
        <f t="shared" si="2"/>
        <v>-37500</v>
      </c>
      <c r="S33" s="5"/>
      <c r="T33" s="5"/>
    </row>
    <row r="34" spans="1:20" ht="25.5" customHeight="1" x14ac:dyDescent="0.25">
      <c r="A34" s="25"/>
      <c r="B34" s="6"/>
      <c r="C34" s="17" t="s">
        <v>393</v>
      </c>
      <c r="D34" s="47"/>
      <c r="E34" s="17"/>
      <c r="F34" s="30"/>
      <c r="G34" s="46"/>
      <c r="H34" s="18"/>
      <c r="I34" s="46"/>
      <c r="J34" s="18"/>
      <c r="K34" s="18"/>
      <c r="L34" s="28">
        <f>80000/4</f>
        <v>20000</v>
      </c>
      <c r="M34" s="28"/>
      <c r="N34" s="28"/>
      <c r="O34" s="13">
        <f t="shared" si="1"/>
        <v>20000</v>
      </c>
      <c r="P34" s="28"/>
      <c r="Q34" s="13">
        <f t="shared" si="2"/>
        <v>-20000</v>
      </c>
      <c r="S34" s="5"/>
      <c r="T34" s="5"/>
    </row>
    <row r="35" spans="1:20" ht="25.5" customHeight="1" x14ac:dyDescent="0.25">
      <c r="A35" s="25"/>
      <c r="B35" s="6"/>
      <c r="C35" s="17" t="s">
        <v>394</v>
      </c>
      <c r="D35" s="47"/>
      <c r="E35" s="17"/>
      <c r="F35" s="30"/>
      <c r="G35" s="46"/>
      <c r="H35" s="18"/>
      <c r="I35" s="46"/>
      <c r="J35" s="18"/>
      <c r="K35" s="18"/>
      <c r="L35" s="28">
        <f>2200000/4</f>
        <v>550000</v>
      </c>
      <c r="M35" s="28"/>
      <c r="N35" s="28"/>
      <c r="O35" s="13">
        <f t="shared" si="1"/>
        <v>550000</v>
      </c>
      <c r="P35" s="28"/>
      <c r="Q35" s="13">
        <f t="shared" si="2"/>
        <v>-550000</v>
      </c>
      <c r="S35" s="5"/>
      <c r="T35" s="5"/>
    </row>
    <row r="36" spans="1:20" ht="25.5" customHeight="1" x14ac:dyDescent="0.25">
      <c r="A36" s="25"/>
      <c r="B36" s="6"/>
      <c r="C36" s="17" t="s">
        <v>395</v>
      </c>
      <c r="D36" s="47"/>
      <c r="E36" s="17"/>
      <c r="F36" s="30"/>
      <c r="G36" s="46"/>
      <c r="H36" s="18"/>
      <c r="I36" s="46"/>
      <c r="J36" s="18"/>
      <c r="K36" s="18"/>
      <c r="L36" s="28">
        <v>600000</v>
      </c>
      <c r="M36" s="28"/>
      <c r="N36" s="28"/>
      <c r="O36" s="13">
        <f t="shared" si="1"/>
        <v>600000</v>
      </c>
      <c r="P36" s="28"/>
      <c r="Q36" s="13">
        <f t="shared" si="2"/>
        <v>-600000</v>
      </c>
      <c r="S36" s="5"/>
      <c r="T36" s="5"/>
    </row>
    <row r="37" spans="1:20" ht="25.5" customHeight="1" x14ac:dyDescent="0.25">
      <c r="A37" s="25"/>
      <c r="B37" s="6"/>
      <c r="C37" s="17" t="s">
        <v>396</v>
      </c>
      <c r="D37" s="47"/>
      <c r="E37" s="17"/>
      <c r="F37" s="30"/>
      <c r="G37" s="46"/>
      <c r="H37" s="18"/>
      <c r="I37" s="46"/>
      <c r="J37" s="18"/>
      <c r="K37" s="18"/>
      <c r="L37" s="28">
        <v>1650000</v>
      </c>
      <c r="M37" s="28"/>
      <c r="N37" s="28"/>
      <c r="O37" s="13">
        <f t="shared" si="1"/>
        <v>1650000</v>
      </c>
      <c r="P37" s="28"/>
      <c r="Q37" s="13">
        <f t="shared" si="2"/>
        <v>-1650000</v>
      </c>
      <c r="S37" s="5"/>
      <c r="T37" s="5"/>
    </row>
    <row r="38" spans="1:20" ht="25.5" customHeight="1" x14ac:dyDescent="0.25">
      <c r="A38" s="25"/>
      <c r="B38" s="6"/>
      <c r="C38" s="17" t="s">
        <v>397</v>
      </c>
      <c r="D38" s="47"/>
      <c r="E38" s="17"/>
      <c r="F38" s="30"/>
      <c r="G38" s="46"/>
      <c r="H38" s="18"/>
      <c r="I38" s="46"/>
      <c r="J38" s="18"/>
      <c r="K38" s="18"/>
      <c r="L38" s="28">
        <v>850000</v>
      </c>
      <c r="M38" s="28"/>
      <c r="N38" s="28"/>
      <c r="O38" s="13">
        <f t="shared" si="1"/>
        <v>850000</v>
      </c>
      <c r="P38" s="28"/>
      <c r="Q38" s="13">
        <f t="shared" si="2"/>
        <v>-850000</v>
      </c>
      <c r="S38" s="5"/>
      <c r="T38" s="5"/>
    </row>
    <row r="39" spans="1:20" ht="39.75" customHeight="1" x14ac:dyDescent="0.25">
      <c r="A39" s="25"/>
      <c r="B39" s="6"/>
      <c r="C39" s="17" t="s">
        <v>398</v>
      </c>
      <c r="D39" s="47"/>
      <c r="E39" s="17"/>
      <c r="F39" s="30"/>
      <c r="G39" s="46"/>
      <c r="H39" s="18"/>
      <c r="I39" s="46"/>
      <c r="J39" s="18"/>
      <c r="K39" s="18"/>
      <c r="L39" s="28">
        <v>310000</v>
      </c>
      <c r="M39" s="28"/>
      <c r="N39" s="28"/>
      <c r="O39" s="13">
        <f t="shared" si="1"/>
        <v>310000</v>
      </c>
      <c r="P39" s="28"/>
      <c r="Q39" s="13">
        <f t="shared" si="2"/>
        <v>-310000</v>
      </c>
      <c r="S39" s="5"/>
      <c r="T39" s="5"/>
    </row>
    <row r="40" spans="1:20" ht="25.5" customHeight="1" x14ac:dyDescent="0.25">
      <c r="A40" s="25"/>
      <c r="B40" s="6"/>
      <c r="C40" s="17" t="s">
        <v>399</v>
      </c>
      <c r="D40" s="47"/>
      <c r="E40" s="17"/>
      <c r="F40" s="30"/>
      <c r="G40" s="46"/>
      <c r="H40" s="18"/>
      <c r="I40" s="46"/>
      <c r="J40" s="18"/>
      <c r="K40" s="18"/>
      <c r="L40" s="28">
        <v>2000000</v>
      </c>
      <c r="M40" s="28"/>
      <c r="N40" s="28"/>
      <c r="O40" s="13">
        <f t="shared" si="1"/>
        <v>2000000</v>
      </c>
      <c r="P40" s="28"/>
      <c r="Q40" s="13">
        <f t="shared" si="2"/>
        <v>-2000000</v>
      </c>
      <c r="S40" s="5"/>
      <c r="T40" s="5"/>
    </row>
    <row r="41" spans="1:20" x14ac:dyDescent="0.25">
      <c r="A41" s="25"/>
      <c r="B41" s="27"/>
      <c r="C41" s="17" t="s">
        <v>400</v>
      </c>
      <c r="D41" s="47"/>
      <c r="E41" s="17"/>
      <c r="F41" s="30"/>
      <c r="G41" s="46"/>
      <c r="H41" s="18"/>
      <c r="I41" s="46"/>
      <c r="J41" s="18"/>
      <c r="K41" s="18">
        <v>500000</v>
      </c>
      <c r="L41" s="28"/>
      <c r="M41" s="28"/>
      <c r="N41" s="28"/>
      <c r="O41" s="13">
        <f t="shared" si="1"/>
        <v>500000</v>
      </c>
      <c r="P41" s="28"/>
      <c r="Q41" s="13">
        <f t="shared" si="2"/>
        <v>-500000</v>
      </c>
      <c r="S41" s="5"/>
    </row>
    <row r="42" spans="1:20" x14ac:dyDescent="0.25">
      <c r="A42" s="8"/>
      <c r="B42" s="8"/>
      <c r="C42" s="17" t="s">
        <v>131</v>
      </c>
      <c r="D42" s="30"/>
      <c r="E42" s="17"/>
      <c r="F42" s="30"/>
      <c r="G42" s="30"/>
      <c r="H42" s="28"/>
      <c r="I42" s="30"/>
      <c r="J42" s="28"/>
      <c r="K42" s="28"/>
      <c r="L42" s="28">
        <f>1200000*1.1</f>
        <v>1320000</v>
      </c>
      <c r="M42" s="28"/>
      <c r="N42" s="28"/>
      <c r="O42" s="13">
        <f t="shared" si="1"/>
        <v>1320000</v>
      </c>
      <c r="P42" s="28"/>
      <c r="Q42" s="13">
        <f t="shared" si="2"/>
        <v>-1320000</v>
      </c>
    </row>
    <row r="43" spans="1:20" x14ac:dyDescent="0.25">
      <c r="A43" s="8"/>
      <c r="B43" s="8"/>
      <c r="C43" s="17" t="s">
        <v>132</v>
      </c>
      <c r="D43" s="30"/>
      <c r="E43" s="17"/>
      <c r="F43" s="30"/>
      <c r="G43" s="30"/>
      <c r="H43" s="28"/>
      <c r="I43" s="30"/>
      <c r="J43" s="28"/>
      <c r="K43" s="48">
        <v>7961538</v>
      </c>
      <c r="L43" s="28"/>
      <c r="M43" s="18"/>
      <c r="N43" s="28"/>
      <c r="O43" s="13">
        <f t="shared" si="1"/>
        <v>7961538</v>
      </c>
      <c r="P43" s="28"/>
      <c r="Q43" s="13">
        <f t="shared" si="2"/>
        <v>-7961538</v>
      </c>
    </row>
    <row r="44" spans="1:20" x14ac:dyDescent="0.25">
      <c r="A44" s="166" t="s">
        <v>19</v>
      </c>
      <c r="B44" s="167"/>
      <c r="C44" s="167"/>
      <c r="D44" s="167"/>
      <c r="E44" s="167"/>
      <c r="F44" s="168"/>
      <c r="G44" s="52">
        <f t="shared" ref="G44:Q44" si="5">SUM(G7:G43)</f>
        <v>2645</v>
      </c>
      <c r="H44" s="4">
        <f t="shared" si="5"/>
        <v>43380510</v>
      </c>
      <c r="I44" s="4">
        <f t="shared" si="5"/>
        <v>0</v>
      </c>
      <c r="J44" s="4">
        <f t="shared" si="5"/>
        <v>24460000</v>
      </c>
      <c r="K44" s="4">
        <f t="shared" si="5"/>
        <v>8461538</v>
      </c>
      <c r="L44" s="4">
        <f t="shared" si="5"/>
        <v>7337500</v>
      </c>
      <c r="M44" s="4">
        <f t="shared" si="5"/>
        <v>0</v>
      </c>
      <c r="N44" s="4">
        <f t="shared" si="5"/>
        <v>0</v>
      </c>
      <c r="O44" s="4">
        <f t="shared" si="5"/>
        <v>83639548</v>
      </c>
      <c r="P44" s="51">
        <f t="shared" si="5"/>
        <v>116863637</v>
      </c>
      <c r="Q44" s="4">
        <f t="shared" si="5"/>
        <v>33224089</v>
      </c>
      <c r="R44" s="24"/>
    </row>
    <row r="45" spans="1:20" x14ac:dyDescent="0.25">
      <c r="O45" s="20"/>
      <c r="Q45" s="26"/>
    </row>
    <row r="46" spans="1:20" x14ac:dyDescent="0.25">
      <c r="P46" s="21" t="s">
        <v>20</v>
      </c>
      <c r="Q46" s="26">
        <f>'11.2018'!Q43+'12.2018'!Q44</f>
        <v>170090637</v>
      </c>
    </row>
    <row r="50" spans="2:17" x14ac:dyDescent="0.25">
      <c r="B50" s="6"/>
    </row>
    <row r="51" spans="2:17" x14ac:dyDescent="0.25">
      <c r="B51" s="6"/>
    </row>
    <row r="52" spans="2:17" x14ac:dyDescent="0.25">
      <c r="B52" s="6"/>
    </row>
    <row r="53" spans="2:17" x14ac:dyDescent="0.25">
      <c r="B53" s="6"/>
      <c r="H53" s="6"/>
      <c r="J53" s="6"/>
      <c r="K53" s="6"/>
      <c r="L53" s="6"/>
      <c r="M53" s="6"/>
      <c r="N53" s="6"/>
      <c r="O53" s="6"/>
      <c r="P53" s="6"/>
      <c r="Q53" s="6"/>
    </row>
  </sheetData>
  <mergeCells count="14">
    <mergeCell ref="O5:O6"/>
    <mergeCell ref="P5:P6"/>
    <mergeCell ref="Q5:Q6"/>
    <mergeCell ref="A44:F44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1"/>
  <sheetViews>
    <sheetView topLeftCell="D28" workbookViewId="0">
      <selection activeCell="Q45" sqref="Q4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401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15"/>
      <c r="Q7" s="15"/>
    </row>
    <row r="8" spans="1:20" x14ac:dyDescent="0.25">
      <c r="A8" s="25">
        <v>1</v>
      </c>
      <c r="B8" s="44">
        <v>43467</v>
      </c>
      <c r="C8" s="10" t="s">
        <v>402</v>
      </c>
      <c r="D8" s="12" t="s">
        <v>427</v>
      </c>
      <c r="E8" s="10" t="s">
        <v>330</v>
      </c>
      <c r="F8" s="8"/>
      <c r="G8" s="12">
        <v>262</v>
      </c>
      <c r="H8" s="3">
        <f>G8*14900</f>
        <v>3903800</v>
      </c>
      <c r="I8" s="12"/>
      <c r="J8" s="13">
        <v>450000</v>
      </c>
      <c r="K8" s="18"/>
      <c r="L8" s="29"/>
      <c r="M8" s="13"/>
      <c r="N8" s="13"/>
      <c r="O8" s="13">
        <f>H8+J8+K8+L8+M8+N8</f>
        <v>4353800</v>
      </c>
      <c r="P8" s="13">
        <v>3800000</v>
      </c>
      <c r="Q8" s="13">
        <f>P8-O8</f>
        <v>-553800</v>
      </c>
      <c r="S8" s="5"/>
      <c r="T8" s="5"/>
    </row>
    <row r="9" spans="1:20" ht="12.75" customHeight="1" x14ac:dyDescent="0.25">
      <c r="A9" s="25">
        <v>2</v>
      </c>
      <c r="B9" s="44">
        <v>43468</v>
      </c>
      <c r="C9" s="10" t="s">
        <v>403</v>
      </c>
      <c r="D9" s="8" t="s">
        <v>428</v>
      </c>
      <c r="E9" s="10" t="s">
        <v>121</v>
      </c>
      <c r="F9" s="8"/>
      <c r="G9" s="12"/>
      <c r="H9" s="3"/>
      <c r="I9" s="12"/>
      <c r="J9" s="13">
        <v>2230000</v>
      </c>
      <c r="K9" s="18"/>
      <c r="L9" s="29"/>
      <c r="M9" s="13"/>
      <c r="N9" s="13"/>
      <c r="O9" s="13">
        <f t="shared" ref="O9:O41" si="0">H9+J9+K9+L9+M9+N9</f>
        <v>2230000</v>
      </c>
      <c r="P9" s="13">
        <v>12090909</v>
      </c>
      <c r="Q9" s="13">
        <f t="shared" ref="Q9:Q41" si="1">P9-O9</f>
        <v>9860909</v>
      </c>
      <c r="S9" s="5"/>
      <c r="T9" s="5"/>
    </row>
    <row r="10" spans="1:20" ht="12.75" customHeight="1" x14ac:dyDescent="0.25">
      <c r="A10" s="25">
        <v>3</v>
      </c>
      <c r="B10" s="44">
        <v>43469</v>
      </c>
      <c r="C10" s="10" t="s">
        <v>404</v>
      </c>
      <c r="D10" s="8" t="s">
        <v>429</v>
      </c>
      <c r="E10" s="10" t="s">
        <v>254</v>
      </c>
      <c r="F10" s="8"/>
      <c r="G10" s="12">
        <v>222</v>
      </c>
      <c r="H10" s="3">
        <f t="shared" ref="H10:H32" si="2">G10*14900</f>
        <v>3307800</v>
      </c>
      <c r="I10" s="12"/>
      <c r="J10" s="13">
        <v>810000</v>
      </c>
      <c r="K10" s="18"/>
      <c r="L10" s="29"/>
      <c r="M10" s="13"/>
      <c r="N10" s="13"/>
      <c r="O10" s="13">
        <f t="shared" si="0"/>
        <v>4117800</v>
      </c>
      <c r="P10" s="13">
        <v>4100000</v>
      </c>
      <c r="Q10" s="13">
        <f t="shared" si="1"/>
        <v>-17800</v>
      </c>
      <c r="S10" s="5"/>
      <c r="T10" s="5"/>
    </row>
    <row r="11" spans="1:20" ht="12.75" customHeight="1" x14ac:dyDescent="0.25">
      <c r="A11" s="25">
        <v>4</v>
      </c>
      <c r="B11" s="44">
        <v>43470</v>
      </c>
      <c r="C11" s="10" t="s">
        <v>405</v>
      </c>
      <c r="D11" s="12" t="s">
        <v>430</v>
      </c>
      <c r="E11" s="10" t="s">
        <v>390</v>
      </c>
      <c r="F11" s="8"/>
      <c r="G11" s="12">
        <v>243</v>
      </c>
      <c r="H11" s="3">
        <f t="shared" si="2"/>
        <v>3620700</v>
      </c>
      <c r="I11" s="12"/>
      <c r="J11" s="13">
        <v>1380000</v>
      </c>
      <c r="K11" s="18"/>
      <c r="L11" s="29"/>
      <c r="M11" s="13"/>
      <c r="N11" s="13"/>
      <c r="O11" s="13">
        <f t="shared" si="0"/>
        <v>5000700</v>
      </c>
      <c r="P11" s="13">
        <v>6100000</v>
      </c>
      <c r="Q11" s="13">
        <f t="shared" si="1"/>
        <v>1099300</v>
      </c>
      <c r="S11" s="5"/>
      <c r="T11" s="5"/>
    </row>
    <row r="12" spans="1:20" ht="12.75" customHeight="1" x14ac:dyDescent="0.25">
      <c r="A12" s="25">
        <v>5</v>
      </c>
      <c r="B12" s="44">
        <v>43472</v>
      </c>
      <c r="C12" s="10" t="s">
        <v>406</v>
      </c>
      <c r="D12" s="8" t="s">
        <v>431</v>
      </c>
      <c r="E12" s="10" t="s">
        <v>390</v>
      </c>
      <c r="F12" s="8"/>
      <c r="G12" s="12"/>
      <c r="H12" s="3"/>
      <c r="I12" s="12"/>
      <c r="J12" s="13">
        <v>1380000</v>
      </c>
      <c r="K12" s="18"/>
      <c r="L12" s="29"/>
      <c r="M12" s="13"/>
      <c r="N12" s="13"/>
      <c r="O12" s="13">
        <f t="shared" si="0"/>
        <v>1380000</v>
      </c>
      <c r="P12" s="13">
        <v>6100000</v>
      </c>
      <c r="Q12" s="13">
        <f t="shared" si="1"/>
        <v>4720000</v>
      </c>
      <c r="S12" s="5"/>
      <c r="T12" s="5"/>
    </row>
    <row r="13" spans="1:20" ht="12.75" customHeight="1" x14ac:dyDescent="0.25">
      <c r="A13" s="25">
        <v>6</v>
      </c>
      <c r="B13" s="44">
        <v>43473</v>
      </c>
      <c r="C13" s="10" t="s">
        <v>407</v>
      </c>
      <c r="D13" s="8" t="s">
        <v>432</v>
      </c>
      <c r="E13" s="10" t="s">
        <v>390</v>
      </c>
      <c r="F13" s="8"/>
      <c r="G13" s="12">
        <v>142</v>
      </c>
      <c r="H13" s="3">
        <f t="shared" si="2"/>
        <v>2115800</v>
      </c>
      <c r="I13" s="12"/>
      <c r="J13" s="13">
        <v>1380000</v>
      </c>
      <c r="K13" s="18"/>
      <c r="L13" s="29"/>
      <c r="M13" s="13"/>
      <c r="N13" s="13"/>
      <c r="O13" s="13">
        <f t="shared" si="0"/>
        <v>3495800</v>
      </c>
      <c r="P13" s="13">
        <v>6100000</v>
      </c>
      <c r="Q13" s="13">
        <f t="shared" si="1"/>
        <v>2604200</v>
      </c>
      <c r="S13" s="5"/>
      <c r="T13" s="5"/>
    </row>
    <row r="14" spans="1:20" ht="12.75" customHeight="1" x14ac:dyDescent="0.25">
      <c r="A14" s="25">
        <v>7</v>
      </c>
      <c r="B14" s="44">
        <v>43474</v>
      </c>
      <c r="C14" s="10" t="s">
        <v>408</v>
      </c>
      <c r="D14" s="8" t="s">
        <v>433</v>
      </c>
      <c r="E14" s="10" t="s">
        <v>330</v>
      </c>
      <c r="F14" s="8"/>
      <c r="G14" s="12"/>
      <c r="H14" s="3"/>
      <c r="I14" s="12"/>
      <c r="J14" s="13">
        <f>450000+410000</f>
        <v>860000</v>
      </c>
      <c r="K14" s="18"/>
      <c r="L14" s="29"/>
      <c r="M14" s="13"/>
      <c r="N14" s="13"/>
      <c r="O14" s="13">
        <f t="shared" si="0"/>
        <v>860000</v>
      </c>
      <c r="P14" s="13">
        <v>4000000</v>
      </c>
      <c r="Q14" s="13">
        <f t="shared" si="1"/>
        <v>3140000</v>
      </c>
      <c r="S14" s="5"/>
      <c r="T14" s="5"/>
    </row>
    <row r="15" spans="1:20" ht="12.75" customHeight="1" x14ac:dyDescent="0.25">
      <c r="A15" s="25">
        <v>8</v>
      </c>
      <c r="B15" s="44">
        <v>43475</v>
      </c>
      <c r="C15" s="10" t="s">
        <v>409</v>
      </c>
      <c r="D15" s="8" t="s">
        <v>434</v>
      </c>
      <c r="E15" s="10" t="s">
        <v>254</v>
      </c>
      <c r="F15" s="8"/>
      <c r="G15" s="12">
        <v>263</v>
      </c>
      <c r="H15" s="3">
        <f t="shared" si="2"/>
        <v>3918700</v>
      </c>
      <c r="I15" s="12"/>
      <c r="J15" s="13">
        <v>810000</v>
      </c>
      <c r="K15" s="18"/>
      <c r="L15" s="29"/>
      <c r="M15" s="13"/>
      <c r="N15" s="13"/>
      <c r="O15" s="13">
        <f t="shared" si="0"/>
        <v>4728700</v>
      </c>
      <c r="P15" s="13">
        <v>4100000</v>
      </c>
      <c r="Q15" s="13">
        <f t="shared" si="1"/>
        <v>-628700</v>
      </c>
      <c r="S15" s="5"/>
      <c r="T15" s="5"/>
    </row>
    <row r="16" spans="1:20" ht="12.75" customHeight="1" x14ac:dyDescent="0.25">
      <c r="A16" s="25">
        <v>9</v>
      </c>
      <c r="B16" s="44">
        <v>43476</v>
      </c>
      <c r="C16" s="10" t="s">
        <v>410</v>
      </c>
      <c r="D16" s="8" t="s">
        <v>435</v>
      </c>
      <c r="E16" s="10" t="s">
        <v>185</v>
      </c>
      <c r="F16" s="8"/>
      <c r="G16" s="12"/>
      <c r="H16" s="3"/>
      <c r="I16" s="12"/>
      <c r="J16" s="13">
        <v>1380000</v>
      </c>
      <c r="K16" s="18"/>
      <c r="L16" s="29"/>
      <c r="M16" s="13"/>
      <c r="N16" s="13"/>
      <c r="O16" s="13">
        <f t="shared" si="0"/>
        <v>1380000</v>
      </c>
      <c r="P16" s="13">
        <v>5100000</v>
      </c>
      <c r="Q16" s="13">
        <f t="shared" si="1"/>
        <v>3720000</v>
      </c>
      <c r="S16" s="5"/>
      <c r="T16" s="5"/>
    </row>
    <row r="17" spans="1:20" ht="12.75" customHeight="1" x14ac:dyDescent="0.25">
      <c r="A17" s="25">
        <v>10</v>
      </c>
      <c r="B17" s="44">
        <v>43477</v>
      </c>
      <c r="C17" s="10" t="s">
        <v>411</v>
      </c>
      <c r="D17" s="8" t="s">
        <v>436</v>
      </c>
      <c r="E17" s="10" t="s">
        <v>452</v>
      </c>
      <c r="F17" s="8"/>
      <c r="G17" s="12">
        <v>191</v>
      </c>
      <c r="H17" s="3">
        <f t="shared" si="2"/>
        <v>2845900</v>
      </c>
      <c r="I17" s="12"/>
      <c r="J17" s="13">
        <v>680000</v>
      </c>
      <c r="K17" s="18"/>
      <c r="L17" s="29"/>
      <c r="M17" s="13"/>
      <c r="N17" s="13"/>
      <c r="O17" s="13">
        <f t="shared" si="0"/>
        <v>3525900</v>
      </c>
      <c r="P17" s="13">
        <v>3100000</v>
      </c>
      <c r="Q17" s="13">
        <f t="shared" si="1"/>
        <v>-425900</v>
      </c>
      <c r="S17" s="5"/>
      <c r="T17" s="5"/>
    </row>
    <row r="18" spans="1:20" ht="12.75" customHeight="1" x14ac:dyDescent="0.25">
      <c r="A18" s="25">
        <v>11</v>
      </c>
      <c r="B18" s="44">
        <v>43479</v>
      </c>
      <c r="C18" s="10" t="s">
        <v>412</v>
      </c>
      <c r="D18" s="8" t="s">
        <v>437</v>
      </c>
      <c r="E18" s="10" t="s">
        <v>387</v>
      </c>
      <c r="F18" s="8"/>
      <c r="G18" s="12"/>
      <c r="H18" s="3"/>
      <c r="I18" s="12"/>
      <c r="J18" s="13">
        <v>1170000</v>
      </c>
      <c r="K18" s="18"/>
      <c r="L18" s="29"/>
      <c r="M18" s="13"/>
      <c r="N18" s="13"/>
      <c r="O18" s="13">
        <f t="shared" si="0"/>
        <v>1170000</v>
      </c>
      <c r="P18" s="13">
        <v>4900000</v>
      </c>
      <c r="Q18" s="13">
        <f t="shared" si="1"/>
        <v>3730000</v>
      </c>
      <c r="S18" s="5"/>
      <c r="T18" s="5"/>
    </row>
    <row r="19" spans="1:20" ht="12.75" customHeight="1" x14ac:dyDescent="0.25">
      <c r="A19" s="25">
        <v>12</v>
      </c>
      <c r="B19" s="44">
        <v>43480</v>
      </c>
      <c r="C19" s="10" t="s">
        <v>413</v>
      </c>
      <c r="D19" s="8" t="s">
        <v>438</v>
      </c>
      <c r="E19" s="10" t="s">
        <v>325</v>
      </c>
      <c r="F19" s="8"/>
      <c r="G19" s="12">
        <v>166</v>
      </c>
      <c r="H19" s="3">
        <f t="shared" si="2"/>
        <v>2473400</v>
      </c>
      <c r="I19" s="12"/>
      <c r="J19" s="13">
        <f>810000+60000</f>
        <v>870000</v>
      </c>
      <c r="K19" s="18"/>
      <c r="L19" s="29"/>
      <c r="M19" s="13"/>
      <c r="N19" s="13"/>
      <c r="O19" s="13">
        <f t="shared" si="0"/>
        <v>3343400</v>
      </c>
      <c r="P19" s="13">
        <v>4200000</v>
      </c>
      <c r="Q19" s="13">
        <f t="shared" si="1"/>
        <v>856600</v>
      </c>
      <c r="S19" s="5"/>
      <c r="T19" s="5"/>
    </row>
    <row r="20" spans="1:20" ht="12.75" customHeight="1" x14ac:dyDescent="0.25">
      <c r="A20" s="25">
        <v>13</v>
      </c>
      <c r="B20" s="44">
        <v>43481</v>
      </c>
      <c r="C20" s="10" t="s">
        <v>414</v>
      </c>
      <c r="D20" s="8" t="s">
        <v>439</v>
      </c>
      <c r="E20" s="10" t="s">
        <v>453</v>
      </c>
      <c r="F20" s="8"/>
      <c r="G20" s="12"/>
      <c r="H20" s="3"/>
      <c r="I20" s="12"/>
      <c r="J20" s="13">
        <v>990000</v>
      </c>
      <c r="K20" s="18"/>
      <c r="L20" s="29"/>
      <c r="M20" s="13"/>
      <c r="N20" s="13"/>
      <c r="O20" s="13">
        <f t="shared" si="0"/>
        <v>990000</v>
      </c>
      <c r="P20" s="13">
        <v>4900000</v>
      </c>
      <c r="Q20" s="13">
        <f t="shared" si="1"/>
        <v>3910000</v>
      </c>
      <c r="S20" s="5"/>
      <c r="T20" s="5"/>
    </row>
    <row r="21" spans="1:20" ht="12.75" customHeight="1" x14ac:dyDescent="0.25">
      <c r="A21" s="25">
        <v>14</v>
      </c>
      <c r="B21" s="44">
        <v>43482</v>
      </c>
      <c r="C21" s="10" t="s">
        <v>415</v>
      </c>
      <c r="D21" s="8" t="s">
        <v>440</v>
      </c>
      <c r="E21" s="10" t="s">
        <v>330</v>
      </c>
      <c r="F21" s="8"/>
      <c r="G21" s="12">
        <v>222</v>
      </c>
      <c r="H21" s="3">
        <f t="shared" si="2"/>
        <v>3307800</v>
      </c>
      <c r="I21" s="12"/>
      <c r="J21" s="13">
        <v>680000</v>
      </c>
      <c r="K21" s="18"/>
      <c r="L21" s="29"/>
      <c r="M21" s="13"/>
      <c r="N21" s="13"/>
      <c r="O21" s="13">
        <f t="shared" si="0"/>
        <v>3987800</v>
      </c>
      <c r="P21" s="13">
        <v>4000000</v>
      </c>
      <c r="Q21" s="13">
        <f t="shared" si="1"/>
        <v>12200</v>
      </c>
      <c r="S21" s="5"/>
      <c r="T21" s="5"/>
    </row>
    <row r="22" spans="1:20" ht="12.75" customHeight="1" x14ac:dyDescent="0.25">
      <c r="A22" s="25">
        <v>15</v>
      </c>
      <c r="B22" s="44">
        <v>43483</v>
      </c>
      <c r="C22" s="10" t="s">
        <v>416</v>
      </c>
      <c r="D22" s="8" t="s">
        <v>441</v>
      </c>
      <c r="E22" s="10" t="s">
        <v>255</v>
      </c>
      <c r="F22" s="8"/>
      <c r="G22" s="12"/>
      <c r="H22" s="3"/>
      <c r="I22" s="12"/>
      <c r="J22" s="13">
        <f>1320000+60000</f>
        <v>1380000</v>
      </c>
      <c r="K22" s="18"/>
      <c r="L22" s="29"/>
      <c r="M22" s="13"/>
      <c r="N22" s="13"/>
      <c r="O22" s="13">
        <f t="shared" si="0"/>
        <v>1380000</v>
      </c>
      <c r="P22" s="13">
        <v>5600000</v>
      </c>
      <c r="Q22" s="13">
        <f t="shared" si="1"/>
        <v>4220000</v>
      </c>
      <c r="S22" s="5"/>
      <c r="T22" s="5"/>
    </row>
    <row r="23" spans="1:20" ht="12.75" customHeight="1" x14ac:dyDescent="0.25">
      <c r="A23" s="25">
        <v>16</v>
      </c>
      <c r="B23" s="44">
        <v>43484</v>
      </c>
      <c r="C23" s="10" t="s">
        <v>417</v>
      </c>
      <c r="D23" s="8" t="s">
        <v>442</v>
      </c>
      <c r="E23" s="10" t="s">
        <v>454</v>
      </c>
      <c r="F23" s="8"/>
      <c r="G23" s="12">
        <v>216</v>
      </c>
      <c r="H23" s="3">
        <f t="shared" si="2"/>
        <v>3218400</v>
      </c>
      <c r="I23" s="12"/>
      <c r="J23" s="13">
        <v>1900000</v>
      </c>
      <c r="K23" s="18"/>
      <c r="L23" s="29"/>
      <c r="M23" s="13"/>
      <c r="N23" s="13"/>
      <c r="O23" s="13">
        <f t="shared" si="0"/>
        <v>5118400</v>
      </c>
      <c r="P23" s="13">
        <v>8900000</v>
      </c>
      <c r="Q23" s="13">
        <f t="shared" si="1"/>
        <v>3781600</v>
      </c>
      <c r="S23" s="5"/>
      <c r="T23" s="5"/>
    </row>
    <row r="24" spans="1:20" ht="12.75" customHeight="1" x14ac:dyDescent="0.25">
      <c r="A24" s="25">
        <v>17</v>
      </c>
      <c r="B24" s="44">
        <v>43486</v>
      </c>
      <c r="C24" s="10" t="s">
        <v>418</v>
      </c>
      <c r="D24" s="8" t="s">
        <v>443</v>
      </c>
      <c r="E24" s="10" t="s">
        <v>387</v>
      </c>
      <c r="F24" s="8"/>
      <c r="G24" s="12">
        <v>188</v>
      </c>
      <c r="H24" s="3">
        <f t="shared" si="2"/>
        <v>2801200</v>
      </c>
      <c r="I24" s="12"/>
      <c r="J24" s="13">
        <v>1170000</v>
      </c>
      <c r="K24" s="18"/>
      <c r="L24" s="29"/>
      <c r="M24" s="13"/>
      <c r="N24" s="13"/>
      <c r="O24" s="13">
        <f t="shared" si="0"/>
        <v>3971200</v>
      </c>
      <c r="P24" s="13">
        <v>4900000</v>
      </c>
      <c r="Q24" s="13">
        <f t="shared" si="1"/>
        <v>928800</v>
      </c>
      <c r="S24" s="5"/>
      <c r="T24" s="5"/>
    </row>
    <row r="25" spans="1:20" ht="12.75" customHeight="1" x14ac:dyDescent="0.25">
      <c r="A25" s="25">
        <v>18</v>
      </c>
      <c r="B25" s="44">
        <v>43487</v>
      </c>
      <c r="C25" s="10" t="s">
        <v>419</v>
      </c>
      <c r="D25" s="8" t="s">
        <v>444</v>
      </c>
      <c r="E25" s="10" t="s">
        <v>123</v>
      </c>
      <c r="F25" s="8"/>
      <c r="G25" s="12"/>
      <c r="H25" s="3"/>
      <c r="I25" s="12"/>
      <c r="J25" s="13">
        <v>1320000</v>
      </c>
      <c r="K25" s="18"/>
      <c r="L25" s="29"/>
      <c r="M25" s="13"/>
      <c r="N25" s="13"/>
      <c r="O25" s="13">
        <f t="shared" si="0"/>
        <v>1320000</v>
      </c>
      <c r="P25" s="13">
        <v>5500000</v>
      </c>
      <c r="Q25" s="13">
        <f t="shared" si="1"/>
        <v>4180000</v>
      </c>
      <c r="S25" s="5"/>
      <c r="T25" s="5"/>
    </row>
    <row r="26" spans="1:20" ht="12.75" customHeight="1" x14ac:dyDescent="0.25">
      <c r="A26" s="25">
        <v>19</v>
      </c>
      <c r="B26" s="44">
        <v>43488</v>
      </c>
      <c r="C26" s="10" t="s">
        <v>420</v>
      </c>
      <c r="D26" s="8" t="s">
        <v>445</v>
      </c>
      <c r="E26" s="10" t="s">
        <v>455</v>
      </c>
      <c r="F26" s="8"/>
      <c r="G26" s="12">
        <v>228</v>
      </c>
      <c r="H26" s="3">
        <f t="shared" si="2"/>
        <v>3397200</v>
      </c>
      <c r="I26" s="12"/>
      <c r="J26" s="13">
        <v>1500000</v>
      </c>
      <c r="K26" s="18"/>
      <c r="L26" s="29"/>
      <c r="M26" s="13"/>
      <c r="N26" s="13"/>
      <c r="O26" s="13">
        <f t="shared" si="0"/>
        <v>4897200</v>
      </c>
      <c r="P26" s="3">
        <v>5580000</v>
      </c>
      <c r="Q26" s="13">
        <f t="shared" si="1"/>
        <v>682800</v>
      </c>
      <c r="S26" s="5"/>
      <c r="T26" s="5"/>
    </row>
    <row r="27" spans="1:20" ht="12.75" customHeight="1" x14ac:dyDescent="0.25">
      <c r="A27" s="25">
        <v>20</v>
      </c>
      <c r="B27" s="44">
        <v>43489</v>
      </c>
      <c r="C27" s="10" t="s">
        <v>421</v>
      </c>
      <c r="D27" s="8" t="s">
        <v>446</v>
      </c>
      <c r="E27" s="10" t="s">
        <v>330</v>
      </c>
      <c r="F27" s="8"/>
      <c r="G27" s="12">
        <v>200</v>
      </c>
      <c r="H27" s="3">
        <f t="shared" si="2"/>
        <v>2980000</v>
      </c>
      <c r="I27" s="12"/>
      <c r="J27" s="13">
        <v>790000</v>
      </c>
      <c r="K27" s="18"/>
      <c r="L27" s="29"/>
      <c r="M27" s="13"/>
      <c r="N27" s="13"/>
      <c r="O27" s="13">
        <f t="shared" si="0"/>
        <v>3770000</v>
      </c>
      <c r="P27" s="13">
        <v>4000000</v>
      </c>
      <c r="Q27" s="13">
        <f t="shared" si="1"/>
        <v>230000</v>
      </c>
      <c r="S27" s="5"/>
      <c r="T27" s="5"/>
    </row>
    <row r="28" spans="1:20" ht="12.75" customHeight="1" x14ac:dyDescent="0.25">
      <c r="A28" s="25">
        <v>21</v>
      </c>
      <c r="B28" s="44">
        <v>43490</v>
      </c>
      <c r="C28" s="10" t="s">
        <v>422</v>
      </c>
      <c r="D28" s="8" t="s">
        <v>447</v>
      </c>
      <c r="E28" s="10" t="s">
        <v>121</v>
      </c>
      <c r="F28" s="8"/>
      <c r="G28" s="12"/>
      <c r="H28" s="3"/>
      <c r="I28" s="12"/>
      <c r="J28" s="13">
        <f>2200000+500000</f>
        <v>2700000</v>
      </c>
      <c r="K28" s="18"/>
      <c r="L28" s="29"/>
      <c r="M28" s="13"/>
      <c r="N28" s="13"/>
      <c r="O28" s="13">
        <f t="shared" si="0"/>
        <v>2700000</v>
      </c>
      <c r="P28" s="13">
        <v>13181818</v>
      </c>
      <c r="Q28" s="13">
        <f t="shared" si="1"/>
        <v>10481818</v>
      </c>
      <c r="S28" s="5"/>
      <c r="T28" s="5"/>
    </row>
    <row r="29" spans="1:20" ht="12.75" customHeight="1" x14ac:dyDescent="0.25">
      <c r="A29" s="25">
        <v>22</v>
      </c>
      <c r="B29" s="44">
        <v>43491</v>
      </c>
      <c r="C29" s="10" t="s">
        <v>423</v>
      </c>
      <c r="D29" s="45" t="s">
        <v>448</v>
      </c>
      <c r="E29" s="10" t="s">
        <v>456</v>
      </c>
      <c r="F29" s="8"/>
      <c r="G29" s="12">
        <v>210</v>
      </c>
      <c r="H29" s="3">
        <f t="shared" si="2"/>
        <v>3129000</v>
      </c>
      <c r="I29" s="12"/>
      <c r="J29" s="13">
        <v>1170000</v>
      </c>
      <c r="K29" s="18"/>
      <c r="L29" s="29"/>
      <c r="M29" s="13"/>
      <c r="N29" s="13"/>
      <c r="O29" s="13">
        <f t="shared" si="0"/>
        <v>4299000</v>
      </c>
      <c r="P29" s="13">
        <v>4900000</v>
      </c>
      <c r="Q29" s="13">
        <f t="shared" si="1"/>
        <v>601000</v>
      </c>
      <c r="S29" s="5"/>
      <c r="T29" s="5"/>
    </row>
    <row r="30" spans="1:20" ht="12.75" customHeight="1" x14ac:dyDescent="0.25">
      <c r="A30" s="25">
        <v>23</v>
      </c>
      <c r="B30" s="44">
        <v>43493</v>
      </c>
      <c r="C30" s="10" t="s">
        <v>424</v>
      </c>
      <c r="D30" s="8" t="s">
        <v>449</v>
      </c>
      <c r="E30" s="10" t="s">
        <v>457</v>
      </c>
      <c r="F30" s="8"/>
      <c r="G30" s="12">
        <v>118</v>
      </c>
      <c r="H30" s="3">
        <f t="shared" si="2"/>
        <v>1758200</v>
      </c>
      <c r="I30" s="12"/>
      <c r="J30" s="13">
        <f>1900000+80000</f>
        <v>1980000</v>
      </c>
      <c r="K30" s="18"/>
      <c r="L30" s="29"/>
      <c r="M30" s="13"/>
      <c r="N30" s="13"/>
      <c r="O30" s="13">
        <f t="shared" si="0"/>
        <v>3738200</v>
      </c>
      <c r="P30" s="13">
        <v>8900000</v>
      </c>
      <c r="Q30" s="13">
        <f t="shared" si="1"/>
        <v>5161800</v>
      </c>
      <c r="S30" s="5"/>
      <c r="T30" s="5"/>
    </row>
    <row r="31" spans="1:20" ht="12.75" customHeight="1" x14ac:dyDescent="0.25">
      <c r="A31" s="25">
        <v>24</v>
      </c>
      <c r="B31" s="44">
        <v>43495</v>
      </c>
      <c r="C31" s="10" t="s">
        <v>425</v>
      </c>
      <c r="D31" s="8" t="s">
        <v>450</v>
      </c>
      <c r="E31" s="10" t="s">
        <v>254</v>
      </c>
      <c r="F31" s="8"/>
      <c r="G31" s="12">
        <v>174</v>
      </c>
      <c r="H31" s="3">
        <f t="shared" si="2"/>
        <v>2592600</v>
      </c>
      <c r="I31" s="12"/>
      <c r="J31" s="3">
        <v>810000</v>
      </c>
      <c r="K31" s="18"/>
      <c r="L31" s="29"/>
      <c r="M31" s="13"/>
      <c r="N31" s="13"/>
      <c r="O31" s="13">
        <f t="shared" si="0"/>
        <v>3402600</v>
      </c>
      <c r="P31" s="3">
        <v>4100000</v>
      </c>
      <c r="Q31" s="13">
        <f t="shared" si="1"/>
        <v>697400</v>
      </c>
      <c r="S31" s="5"/>
      <c r="T31" s="5"/>
    </row>
    <row r="32" spans="1:20" ht="12.75" customHeight="1" x14ac:dyDescent="0.25">
      <c r="A32" s="25">
        <v>25</v>
      </c>
      <c r="B32" s="44">
        <v>43496</v>
      </c>
      <c r="C32" s="10" t="s">
        <v>426</v>
      </c>
      <c r="D32" s="8" t="s">
        <v>451</v>
      </c>
      <c r="E32" s="10" t="s">
        <v>184</v>
      </c>
      <c r="F32" s="8"/>
      <c r="G32" s="12">
        <v>180</v>
      </c>
      <c r="H32" s="3">
        <f t="shared" si="2"/>
        <v>2682000</v>
      </c>
      <c r="I32" s="12"/>
      <c r="J32" s="3">
        <v>1170000</v>
      </c>
      <c r="K32" s="18"/>
      <c r="L32" s="29"/>
      <c r="M32" s="13"/>
      <c r="N32" s="13"/>
      <c r="O32" s="13">
        <f t="shared" si="0"/>
        <v>3852000</v>
      </c>
      <c r="P32" s="3">
        <v>4900000</v>
      </c>
      <c r="Q32" s="13">
        <f t="shared" si="1"/>
        <v>1048000</v>
      </c>
      <c r="S32" s="5"/>
      <c r="T32" s="5"/>
    </row>
    <row r="33" spans="1:20" ht="40.5" customHeight="1" x14ac:dyDescent="0.25">
      <c r="A33" s="25"/>
      <c r="B33" s="6"/>
      <c r="C33" s="17" t="s">
        <v>458</v>
      </c>
      <c r="D33" s="30"/>
      <c r="E33" s="17"/>
      <c r="F33" s="30"/>
      <c r="G33" s="46"/>
      <c r="H33" s="18"/>
      <c r="I33" s="46"/>
      <c r="J33" s="18"/>
      <c r="K33" s="18"/>
      <c r="L33" s="28">
        <v>360000</v>
      </c>
      <c r="M33" s="28"/>
      <c r="N33" s="28"/>
      <c r="O33" s="13">
        <f t="shared" si="0"/>
        <v>360000</v>
      </c>
      <c r="P33" s="28"/>
      <c r="Q33" s="13">
        <f t="shared" si="1"/>
        <v>-360000</v>
      </c>
      <c r="S33" s="5"/>
      <c r="T33" s="5"/>
    </row>
    <row r="34" spans="1:20" ht="45" customHeight="1" x14ac:dyDescent="0.25">
      <c r="A34" s="25"/>
      <c r="B34" s="6"/>
      <c r="C34" s="17" t="s">
        <v>459</v>
      </c>
      <c r="D34" s="47"/>
      <c r="E34" s="17"/>
      <c r="F34" s="30"/>
      <c r="G34" s="46"/>
      <c r="H34" s="18"/>
      <c r="I34" s="46"/>
      <c r="J34" s="18"/>
      <c r="K34" s="18"/>
      <c r="L34" s="28">
        <v>1300000</v>
      </c>
      <c r="M34" s="28"/>
      <c r="N34" s="28"/>
      <c r="O34" s="13">
        <f t="shared" si="0"/>
        <v>1300000</v>
      </c>
      <c r="P34" s="28"/>
      <c r="Q34" s="13">
        <f t="shared" si="1"/>
        <v>-1300000</v>
      </c>
      <c r="S34" s="5"/>
      <c r="T34" s="5"/>
    </row>
    <row r="35" spans="1:20" ht="48.75" customHeight="1" x14ac:dyDescent="0.25">
      <c r="A35" s="25"/>
      <c r="B35" s="6"/>
      <c r="C35" s="17" t="s">
        <v>460</v>
      </c>
      <c r="D35" s="47"/>
      <c r="E35" s="17"/>
      <c r="F35" s="30"/>
      <c r="G35" s="46"/>
      <c r="H35" s="18"/>
      <c r="I35" s="46"/>
      <c r="J35" s="18"/>
      <c r="K35" s="18"/>
      <c r="L35" s="28">
        <v>480000</v>
      </c>
      <c r="M35" s="28"/>
      <c r="N35" s="28"/>
      <c r="O35" s="13">
        <f t="shared" si="0"/>
        <v>480000</v>
      </c>
      <c r="P35" s="28"/>
      <c r="Q35" s="13">
        <f t="shared" si="1"/>
        <v>-480000</v>
      </c>
      <c r="S35" s="5"/>
      <c r="T35" s="5"/>
    </row>
    <row r="36" spans="1:20" ht="39.75" customHeight="1" x14ac:dyDescent="0.25">
      <c r="A36" s="25"/>
      <c r="B36" s="6"/>
      <c r="C36" s="17" t="s">
        <v>461</v>
      </c>
      <c r="D36" s="47"/>
      <c r="E36" s="17"/>
      <c r="F36" s="30"/>
      <c r="G36" s="46"/>
      <c r="H36" s="18"/>
      <c r="I36" s="46"/>
      <c r="J36" s="18"/>
      <c r="K36" s="18"/>
      <c r="L36" s="28"/>
      <c r="M36" s="28">
        <v>11600000</v>
      </c>
      <c r="N36" s="28"/>
      <c r="O36" s="13">
        <f t="shared" si="0"/>
        <v>11600000</v>
      </c>
      <c r="P36" s="28"/>
      <c r="Q36" s="13">
        <f t="shared" si="1"/>
        <v>-11600000</v>
      </c>
      <c r="S36" s="5"/>
      <c r="T36" s="5"/>
    </row>
    <row r="37" spans="1:20" ht="47.25" customHeight="1" x14ac:dyDescent="0.25">
      <c r="A37" s="25"/>
      <c r="B37" s="6"/>
      <c r="C37" s="17" t="s">
        <v>462</v>
      </c>
      <c r="D37" s="47"/>
      <c r="E37" s="17"/>
      <c r="F37" s="30"/>
      <c r="G37" s="46"/>
      <c r="H37" s="18"/>
      <c r="I37" s="46"/>
      <c r="J37" s="18"/>
      <c r="K37" s="18"/>
      <c r="L37" s="28">
        <v>170000</v>
      </c>
      <c r="M37" s="28"/>
      <c r="N37" s="28"/>
      <c r="O37" s="13">
        <f t="shared" si="0"/>
        <v>170000</v>
      </c>
      <c r="P37" s="28"/>
      <c r="Q37" s="13">
        <f t="shared" si="1"/>
        <v>-170000</v>
      </c>
      <c r="S37" s="5"/>
      <c r="T37" s="5"/>
    </row>
    <row r="38" spans="1:20" ht="25.5" customHeight="1" x14ac:dyDescent="0.25">
      <c r="A38" s="25"/>
      <c r="B38" s="6"/>
      <c r="C38" s="17" t="s">
        <v>463</v>
      </c>
      <c r="D38" s="47"/>
      <c r="E38" s="17"/>
      <c r="F38" s="30"/>
      <c r="G38" s="46"/>
      <c r="H38" s="18"/>
      <c r="I38" s="46"/>
      <c r="J38" s="18"/>
      <c r="K38" s="18"/>
      <c r="L38" s="28">
        <v>2000000</v>
      </c>
      <c r="M38" s="28"/>
      <c r="N38" s="28"/>
      <c r="O38" s="13">
        <f t="shared" si="0"/>
        <v>2000000</v>
      </c>
      <c r="P38" s="28"/>
      <c r="Q38" s="13">
        <f t="shared" si="1"/>
        <v>-2000000</v>
      </c>
      <c r="S38" s="5"/>
      <c r="T38" s="5"/>
    </row>
    <row r="39" spans="1:20" x14ac:dyDescent="0.25">
      <c r="A39" s="25"/>
      <c r="B39" s="27"/>
      <c r="C39" s="17" t="s">
        <v>464</v>
      </c>
      <c r="D39" s="47"/>
      <c r="E39" s="17"/>
      <c r="F39" s="30"/>
      <c r="G39" s="46"/>
      <c r="H39" s="18"/>
      <c r="I39" s="46"/>
      <c r="J39" s="18"/>
      <c r="K39" s="18">
        <v>4000000</v>
      </c>
      <c r="L39" s="28"/>
      <c r="M39" s="28"/>
      <c r="N39" s="28"/>
      <c r="O39" s="13">
        <f t="shared" si="0"/>
        <v>4000000</v>
      </c>
      <c r="P39" s="28"/>
      <c r="Q39" s="13">
        <f t="shared" si="1"/>
        <v>-4000000</v>
      </c>
      <c r="S39" s="5"/>
      <c r="T39" s="5"/>
    </row>
    <row r="40" spans="1:20" x14ac:dyDescent="0.25">
      <c r="A40" s="8"/>
      <c r="B40" s="8"/>
      <c r="C40" s="17" t="s">
        <v>131</v>
      </c>
      <c r="D40" s="30"/>
      <c r="E40" s="17"/>
      <c r="F40" s="30"/>
      <c r="G40" s="30"/>
      <c r="H40" s="28"/>
      <c r="I40" s="30"/>
      <c r="J40" s="28"/>
      <c r="K40" s="28"/>
      <c r="L40" s="28">
        <f>1200000*1.1</f>
        <v>1320000</v>
      </c>
      <c r="M40" s="28"/>
      <c r="N40" s="28"/>
      <c r="O40" s="13">
        <f t="shared" si="0"/>
        <v>1320000</v>
      </c>
      <c r="P40" s="28"/>
      <c r="Q40" s="13">
        <f t="shared" si="1"/>
        <v>-1320000</v>
      </c>
      <c r="T40" s="5"/>
    </row>
    <row r="41" spans="1:20" x14ac:dyDescent="0.25">
      <c r="A41" s="8"/>
      <c r="B41" s="8"/>
      <c r="C41" s="17" t="s">
        <v>132</v>
      </c>
      <c r="D41" s="30"/>
      <c r="E41" s="17"/>
      <c r="F41" s="30"/>
      <c r="G41" s="30"/>
      <c r="H41" s="28"/>
      <c r="I41" s="30"/>
      <c r="J41" s="28"/>
      <c r="K41" s="48">
        <v>9692308</v>
      </c>
      <c r="L41" s="28"/>
      <c r="M41" s="18"/>
      <c r="N41" s="28"/>
      <c r="O41" s="13">
        <f t="shared" si="0"/>
        <v>9692308</v>
      </c>
      <c r="P41" s="28"/>
      <c r="Q41" s="13">
        <f t="shared" si="1"/>
        <v>-9692308</v>
      </c>
    </row>
    <row r="42" spans="1:20" x14ac:dyDescent="0.25">
      <c r="A42" s="166" t="s">
        <v>19</v>
      </c>
      <c r="B42" s="167"/>
      <c r="C42" s="167"/>
      <c r="D42" s="167"/>
      <c r="E42" s="167"/>
      <c r="F42" s="168"/>
      <c r="G42" s="52">
        <f t="shared" ref="G42:Q42" si="3">SUM(G7:G41)</f>
        <v>3225</v>
      </c>
      <c r="H42" s="4">
        <f t="shared" si="3"/>
        <v>48052500</v>
      </c>
      <c r="I42" s="4">
        <f t="shared" si="3"/>
        <v>0</v>
      </c>
      <c r="J42" s="4">
        <f t="shared" si="3"/>
        <v>30960000</v>
      </c>
      <c r="K42" s="4">
        <f t="shared" si="3"/>
        <v>13692308</v>
      </c>
      <c r="L42" s="4">
        <f t="shared" si="3"/>
        <v>5630000</v>
      </c>
      <c r="M42" s="4">
        <f t="shared" si="3"/>
        <v>11600000</v>
      </c>
      <c r="N42" s="4">
        <f t="shared" si="3"/>
        <v>0</v>
      </c>
      <c r="O42" s="4">
        <f t="shared" si="3"/>
        <v>109934808</v>
      </c>
      <c r="P42" s="51">
        <f t="shared" si="3"/>
        <v>143052727</v>
      </c>
      <c r="Q42" s="4">
        <f t="shared" si="3"/>
        <v>33117919</v>
      </c>
      <c r="R42" s="24"/>
    </row>
    <row r="43" spans="1:20" x14ac:dyDescent="0.25">
      <c r="O43" s="20"/>
      <c r="Q43" s="26"/>
    </row>
    <row r="44" spans="1:20" x14ac:dyDescent="0.25">
      <c r="P44" s="21" t="s">
        <v>20</v>
      </c>
      <c r="Q44" s="26">
        <f>Q42</f>
        <v>33117919</v>
      </c>
    </row>
    <row r="48" spans="1:20" x14ac:dyDescent="0.25">
      <c r="B48" s="6"/>
    </row>
    <row r="49" spans="2:17" x14ac:dyDescent="0.25">
      <c r="B49" s="6"/>
    </row>
    <row r="50" spans="2:17" x14ac:dyDescent="0.25">
      <c r="B50" s="6"/>
    </row>
    <row r="51" spans="2:17" x14ac:dyDescent="0.25">
      <c r="B51" s="6"/>
      <c r="H51" s="6"/>
      <c r="J51" s="6"/>
      <c r="K51" s="6"/>
      <c r="L51" s="6"/>
      <c r="M51" s="6"/>
      <c r="N51" s="6"/>
      <c r="O51" s="6"/>
      <c r="P51" s="6"/>
      <c r="Q51" s="6"/>
    </row>
  </sheetData>
  <mergeCells count="14">
    <mergeCell ref="O5:O6"/>
    <mergeCell ref="P5:P6"/>
    <mergeCell ref="Q5:Q6"/>
    <mergeCell ref="A42:F42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6"/>
  <sheetViews>
    <sheetView topLeftCell="D7" workbookViewId="0">
      <selection activeCell="J9" sqref="J9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465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20" x14ac:dyDescent="0.2">
      <c r="A8" s="25">
        <v>1</v>
      </c>
      <c r="B8" s="44">
        <v>43508</v>
      </c>
      <c r="C8" s="10" t="s">
        <v>466</v>
      </c>
      <c r="D8" s="12" t="s">
        <v>480</v>
      </c>
      <c r="E8" s="10" t="s">
        <v>329</v>
      </c>
      <c r="F8" s="8"/>
      <c r="G8" s="12"/>
      <c r="H8" s="3"/>
      <c r="I8" s="12"/>
      <c r="J8" s="50">
        <v>1380000</v>
      </c>
      <c r="K8" s="18"/>
      <c r="L8" s="29"/>
      <c r="M8" s="13"/>
      <c r="N8" s="13"/>
      <c r="O8" s="53">
        <f>H8+J8+K8+L8+M8+N8</f>
        <v>1380000</v>
      </c>
      <c r="P8" s="56">
        <v>6100000</v>
      </c>
      <c r="Q8" s="54">
        <f>P8-O8</f>
        <v>4720000</v>
      </c>
      <c r="S8" s="5"/>
      <c r="T8" s="5"/>
    </row>
    <row r="9" spans="1:20" ht="12.75" customHeight="1" x14ac:dyDescent="0.2">
      <c r="A9" s="25">
        <v>2</v>
      </c>
      <c r="B9" s="44">
        <v>43509</v>
      </c>
      <c r="C9" s="10" t="s">
        <v>467</v>
      </c>
      <c r="D9" s="8" t="s">
        <v>481</v>
      </c>
      <c r="E9" s="10" t="s">
        <v>330</v>
      </c>
      <c r="F9" s="8"/>
      <c r="G9" s="12"/>
      <c r="H9" s="3"/>
      <c r="I9" s="12"/>
      <c r="J9" s="50">
        <v>680000</v>
      </c>
      <c r="K9" s="18"/>
      <c r="L9" s="29"/>
      <c r="M9" s="13"/>
      <c r="N9" s="13"/>
      <c r="O9" s="53">
        <f t="shared" ref="O9:O26" si="0">H9+J9+K9+L9+M9+N9</f>
        <v>680000</v>
      </c>
      <c r="P9" s="56">
        <v>4000000</v>
      </c>
      <c r="Q9" s="54">
        <f t="shared" ref="Q9:Q26" si="1">P9-O9</f>
        <v>3320000</v>
      </c>
      <c r="S9" s="5"/>
      <c r="T9" s="5"/>
    </row>
    <row r="10" spans="1:20" ht="12.75" customHeight="1" x14ac:dyDescent="0.2">
      <c r="A10" s="25">
        <v>3</v>
      </c>
      <c r="B10" s="44">
        <v>43510</v>
      </c>
      <c r="C10" s="10" t="s">
        <v>468</v>
      </c>
      <c r="D10" s="8" t="s">
        <v>482</v>
      </c>
      <c r="E10" s="10" t="s">
        <v>255</v>
      </c>
      <c r="F10" s="8"/>
      <c r="G10" s="12">
        <v>248</v>
      </c>
      <c r="H10" s="3">
        <f t="shared" ref="H10:H20" si="2">G10*14900</f>
        <v>3695200</v>
      </c>
      <c r="I10" s="12"/>
      <c r="J10" s="57">
        <f>1320000-60000</f>
        <v>1260000</v>
      </c>
      <c r="K10" s="18"/>
      <c r="L10" s="29"/>
      <c r="M10" s="13"/>
      <c r="N10" s="13"/>
      <c r="O10" s="53">
        <f t="shared" si="0"/>
        <v>4955200</v>
      </c>
      <c r="P10" s="56">
        <v>5600000</v>
      </c>
      <c r="Q10" s="54">
        <f t="shared" si="1"/>
        <v>644800</v>
      </c>
      <c r="S10" s="5"/>
      <c r="T10" s="5"/>
    </row>
    <row r="11" spans="1:20" ht="12.75" customHeight="1" x14ac:dyDescent="0.2">
      <c r="A11" s="25">
        <v>4</v>
      </c>
      <c r="B11" s="44">
        <v>43511</v>
      </c>
      <c r="C11" s="10" t="s">
        <v>469</v>
      </c>
      <c r="D11" s="12" t="s">
        <v>483</v>
      </c>
      <c r="E11" s="10" t="s">
        <v>255</v>
      </c>
      <c r="F11" s="8"/>
      <c r="G11" s="12">
        <v>128</v>
      </c>
      <c r="H11" s="3">
        <f t="shared" si="2"/>
        <v>1907200</v>
      </c>
      <c r="I11" s="12"/>
      <c r="J11" s="50">
        <v>1320000</v>
      </c>
      <c r="K11" s="18"/>
      <c r="L11" s="29"/>
      <c r="M11" s="13"/>
      <c r="N11" s="13"/>
      <c r="O11" s="53">
        <f t="shared" si="0"/>
        <v>3227200</v>
      </c>
      <c r="P11" s="56">
        <v>5600000</v>
      </c>
      <c r="Q11" s="54">
        <f t="shared" si="1"/>
        <v>2372800</v>
      </c>
      <c r="S11" s="5"/>
      <c r="T11" s="5"/>
    </row>
    <row r="12" spans="1:20" ht="12.75" customHeight="1" x14ac:dyDescent="0.2">
      <c r="A12" s="25">
        <v>5</v>
      </c>
      <c r="B12" s="44">
        <v>43512</v>
      </c>
      <c r="C12" s="10" t="s">
        <v>470</v>
      </c>
      <c r="D12" s="8" t="s">
        <v>484</v>
      </c>
      <c r="E12" s="10" t="s">
        <v>494</v>
      </c>
      <c r="F12" s="8"/>
      <c r="G12" s="12"/>
      <c r="H12" s="3"/>
      <c r="I12" s="12"/>
      <c r="J12" s="50">
        <v>810000</v>
      </c>
      <c r="K12" s="18"/>
      <c r="L12" s="29"/>
      <c r="M12" s="13"/>
      <c r="N12" s="13"/>
      <c r="O12" s="53">
        <f t="shared" si="0"/>
        <v>810000</v>
      </c>
      <c r="P12" s="56">
        <v>3900000</v>
      </c>
      <c r="Q12" s="54">
        <f t="shared" si="1"/>
        <v>3090000</v>
      </c>
      <c r="S12" s="5"/>
      <c r="T12" s="5"/>
    </row>
    <row r="13" spans="1:20" ht="12.75" customHeight="1" x14ac:dyDescent="0.2">
      <c r="A13" s="25">
        <v>6</v>
      </c>
      <c r="B13" s="44">
        <v>43515</v>
      </c>
      <c r="C13" s="10" t="s">
        <v>471</v>
      </c>
      <c r="D13" s="8" t="s">
        <v>485</v>
      </c>
      <c r="E13" s="10" t="s">
        <v>325</v>
      </c>
      <c r="F13" s="8"/>
      <c r="G13" s="12">
        <v>242</v>
      </c>
      <c r="H13" s="3">
        <f t="shared" si="2"/>
        <v>3605800</v>
      </c>
      <c r="I13" s="12"/>
      <c r="J13" s="50">
        <v>810000</v>
      </c>
      <c r="K13" s="18"/>
      <c r="L13" s="29"/>
      <c r="M13" s="13"/>
      <c r="N13" s="13"/>
      <c r="O13" s="53">
        <f t="shared" si="0"/>
        <v>4415800</v>
      </c>
      <c r="P13" s="56">
        <v>4200000</v>
      </c>
      <c r="Q13" s="54">
        <f t="shared" si="1"/>
        <v>-215800</v>
      </c>
      <c r="S13" s="5"/>
      <c r="T13" s="5"/>
    </row>
    <row r="14" spans="1:20" ht="12.75" customHeight="1" x14ac:dyDescent="0.2">
      <c r="A14" s="25">
        <v>7</v>
      </c>
      <c r="B14" s="44">
        <v>43516</v>
      </c>
      <c r="C14" s="10" t="s">
        <v>472</v>
      </c>
      <c r="D14" s="8" t="s">
        <v>486</v>
      </c>
      <c r="E14" s="10" t="s">
        <v>382</v>
      </c>
      <c r="F14" s="8"/>
      <c r="G14" s="12"/>
      <c r="H14" s="3"/>
      <c r="I14" s="12"/>
      <c r="J14" s="50">
        <v>1320000</v>
      </c>
      <c r="K14" s="18"/>
      <c r="L14" s="29"/>
      <c r="M14" s="13"/>
      <c r="N14" s="13"/>
      <c r="O14" s="53">
        <f t="shared" si="0"/>
        <v>1320000</v>
      </c>
      <c r="P14" s="56">
        <v>5500000</v>
      </c>
      <c r="Q14" s="54">
        <f t="shared" si="1"/>
        <v>4180000</v>
      </c>
      <c r="S14" s="5"/>
      <c r="T14" s="5"/>
    </row>
    <row r="15" spans="1:20" ht="12.75" customHeight="1" x14ac:dyDescent="0.2">
      <c r="A15" s="25">
        <v>8</v>
      </c>
      <c r="B15" s="44">
        <v>43517</v>
      </c>
      <c r="C15" s="10" t="s">
        <v>473</v>
      </c>
      <c r="D15" s="8" t="s">
        <v>487</v>
      </c>
      <c r="E15" s="10" t="s">
        <v>258</v>
      </c>
      <c r="F15" s="8"/>
      <c r="G15" s="12">
        <v>222</v>
      </c>
      <c r="H15" s="3">
        <f t="shared" si="2"/>
        <v>3307800</v>
      </c>
      <c r="I15" s="12"/>
      <c r="J15" s="50">
        <v>1970000</v>
      </c>
      <c r="K15" s="18"/>
      <c r="L15" s="29"/>
      <c r="M15" s="13"/>
      <c r="N15" s="13"/>
      <c r="O15" s="53">
        <f t="shared" si="0"/>
        <v>5277800</v>
      </c>
      <c r="P15" s="56">
        <v>9545455</v>
      </c>
      <c r="Q15" s="54">
        <f t="shared" si="1"/>
        <v>4267655</v>
      </c>
      <c r="S15" s="5"/>
      <c r="T15" s="5"/>
    </row>
    <row r="16" spans="1:20" ht="12.75" customHeight="1" x14ac:dyDescent="0.2">
      <c r="A16" s="25">
        <v>9</v>
      </c>
      <c r="B16" s="44">
        <v>43518</v>
      </c>
      <c r="C16" s="10" t="s">
        <v>474</v>
      </c>
      <c r="D16" s="8" t="s">
        <v>488</v>
      </c>
      <c r="E16" s="10" t="s">
        <v>382</v>
      </c>
      <c r="F16" s="8"/>
      <c r="G16" s="12">
        <v>166</v>
      </c>
      <c r="H16" s="3">
        <f t="shared" si="2"/>
        <v>2473400</v>
      </c>
      <c r="I16" s="12"/>
      <c r="J16" s="50">
        <v>1320000</v>
      </c>
      <c r="K16" s="18"/>
      <c r="L16" s="29"/>
      <c r="M16" s="13"/>
      <c r="N16" s="13"/>
      <c r="O16" s="53">
        <f t="shared" si="0"/>
        <v>3793400</v>
      </c>
      <c r="P16" s="56">
        <v>5500000</v>
      </c>
      <c r="Q16" s="54">
        <f t="shared" si="1"/>
        <v>1706600</v>
      </c>
      <c r="S16" s="5"/>
      <c r="T16" s="5"/>
    </row>
    <row r="17" spans="1:20" ht="12.75" customHeight="1" x14ac:dyDescent="0.2">
      <c r="A17" s="25">
        <v>10</v>
      </c>
      <c r="B17" s="44">
        <v>43519</v>
      </c>
      <c r="C17" s="10" t="s">
        <v>475</v>
      </c>
      <c r="D17" s="8" t="s">
        <v>489</v>
      </c>
      <c r="E17" s="10" t="s">
        <v>254</v>
      </c>
      <c r="F17" s="8"/>
      <c r="G17" s="12"/>
      <c r="H17" s="3"/>
      <c r="I17" s="12"/>
      <c r="J17" s="50">
        <v>810000</v>
      </c>
      <c r="K17" s="18"/>
      <c r="L17" s="29"/>
      <c r="M17" s="13"/>
      <c r="N17" s="13"/>
      <c r="O17" s="53">
        <f t="shared" si="0"/>
        <v>810000</v>
      </c>
      <c r="P17" s="56">
        <v>4000000</v>
      </c>
      <c r="Q17" s="54">
        <f t="shared" si="1"/>
        <v>3190000</v>
      </c>
      <c r="S17" s="5"/>
      <c r="T17" s="5"/>
    </row>
    <row r="18" spans="1:20" ht="12.75" customHeight="1" x14ac:dyDescent="0.2">
      <c r="A18" s="25">
        <v>11</v>
      </c>
      <c r="B18" s="44">
        <v>43521</v>
      </c>
      <c r="C18" s="10" t="s">
        <v>476</v>
      </c>
      <c r="D18" s="8" t="s">
        <v>490</v>
      </c>
      <c r="E18" s="10" t="s">
        <v>184</v>
      </c>
      <c r="F18" s="8"/>
      <c r="G18" s="12">
        <v>233</v>
      </c>
      <c r="H18" s="3">
        <f t="shared" si="2"/>
        <v>3471700</v>
      </c>
      <c r="I18" s="12"/>
      <c r="J18" s="50">
        <v>1170000</v>
      </c>
      <c r="K18" s="18"/>
      <c r="L18" s="29"/>
      <c r="M18" s="13"/>
      <c r="N18" s="13"/>
      <c r="O18" s="53">
        <f t="shared" si="0"/>
        <v>4641700</v>
      </c>
      <c r="P18" s="56">
        <v>4900000</v>
      </c>
      <c r="Q18" s="54">
        <f t="shared" si="1"/>
        <v>258300</v>
      </c>
      <c r="S18" s="5"/>
      <c r="T18" s="5"/>
    </row>
    <row r="19" spans="1:20" ht="12.75" customHeight="1" x14ac:dyDescent="0.2">
      <c r="A19" s="25">
        <v>12</v>
      </c>
      <c r="B19" s="44">
        <v>43522</v>
      </c>
      <c r="C19" s="10" t="s">
        <v>477</v>
      </c>
      <c r="D19" s="8" t="s">
        <v>491</v>
      </c>
      <c r="E19" s="10" t="s">
        <v>184</v>
      </c>
      <c r="F19" s="8"/>
      <c r="G19" s="12"/>
      <c r="H19" s="3"/>
      <c r="I19" s="12"/>
      <c r="J19" s="50">
        <v>1170000</v>
      </c>
      <c r="K19" s="18"/>
      <c r="L19" s="29"/>
      <c r="M19" s="13"/>
      <c r="N19" s="13"/>
      <c r="O19" s="53">
        <f t="shared" si="0"/>
        <v>1170000</v>
      </c>
      <c r="P19" s="56">
        <v>4900000</v>
      </c>
      <c r="Q19" s="54">
        <f t="shared" si="1"/>
        <v>3730000</v>
      </c>
      <c r="S19" s="5"/>
      <c r="T19" s="5"/>
    </row>
    <row r="20" spans="1:20" ht="12.75" customHeight="1" x14ac:dyDescent="0.2">
      <c r="A20" s="25">
        <v>13</v>
      </c>
      <c r="B20" s="44">
        <v>43523</v>
      </c>
      <c r="C20" s="10" t="s">
        <v>478</v>
      </c>
      <c r="D20" s="8" t="s">
        <v>492</v>
      </c>
      <c r="E20" s="10" t="s">
        <v>494</v>
      </c>
      <c r="F20" s="8"/>
      <c r="G20" s="12">
        <v>210</v>
      </c>
      <c r="H20" s="3">
        <f t="shared" si="2"/>
        <v>3129000</v>
      </c>
      <c r="I20" s="12"/>
      <c r="J20" s="50">
        <v>810000</v>
      </c>
      <c r="K20" s="18"/>
      <c r="L20" s="29"/>
      <c r="M20" s="13"/>
      <c r="N20" s="13"/>
      <c r="O20" s="53">
        <f t="shared" si="0"/>
        <v>3939000</v>
      </c>
      <c r="P20" s="56">
        <v>3900000</v>
      </c>
      <c r="Q20" s="54">
        <f t="shared" si="1"/>
        <v>-39000</v>
      </c>
      <c r="S20" s="5"/>
      <c r="T20" s="5"/>
    </row>
    <row r="21" spans="1:20" ht="12.75" customHeight="1" x14ac:dyDescent="0.2">
      <c r="A21" s="25">
        <v>14</v>
      </c>
      <c r="B21" s="44">
        <v>43524</v>
      </c>
      <c r="C21" s="10" t="s">
        <v>479</v>
      </c>
      <c r="D21" s="8" t="s">
        <v>493</v>
      </c>
      <c r="E21" s="10" t="s">
        <v>495</v>
      </c>
      <c r="F21" s="8"/>
      <c r="G21" s="12">
        <v>246</v>
      </c>
      <c r="H21" s="3">
        <f>G21*14900</f>
        <v>3665400</v>
      </c>
      <c r="I21" s="12"/>
      <c r="J21" s="50">
        <v>990000</v>
      </c>
      <c r="K21" s="18"/>
      <c r="L21" s="29"/>
      <c r="M21" s="13"/>
      <c r="N21" s="13"/>
      <c r="O21" s="53">
        <f t="shared" si="0"/>
        <v>4655400</v>
      </c>
      <c r="P21" s="56">
        <v>6400000</v>
      </c>
      <c r="Q21" s="54">
        <f t="shared" si="1"/>
        <v>1744600</v>
      </c>
      <c r="S21" s="5"/>
      <c r="T21" s="5"/>
    </row>
    <row r="22" spans="1:20" ht="12.75" customHeight="1" x14ac:dyDescent="0.25">
      <c r="A22" s="25"/>
      <c r="B22" s="44"/>
      <c r="C22" s="10"/>
      <c r="D22" s="45"/>
      <c r="E22" s="10"/>
      <c r="F22" s="8"/>
      <c r="G22" s="12"/>
      <c r="H22" s="3"/>
      <c r="I22" s="12"/>
      <c r="J22" s="13"/>
      <c r="K22" s="18"/>
      <c r="L22" s="29"/>
      <c r="M22" s="13"/>
      <c r="N22" s="13"/>
      <c r="O22" s="53"/>
      <c r="P22" s="13"/>
      <c r="Q22" s="54"/>
      <c r="S22" s="5"/>
      <c r="T22" s="5"/>
    </row>
    <row r="23" spans="1:20" ht="12.75" customHeight="1" x14ac:dyDescent="0.25">
      <c r="A23" s="25"/>
      <c r="B23" s="44"/>
      <c r="C23" s="10"/>
      <c r="D23" s="8"/>
      <c r="E23" s="10"/>
      <c r="F23" s="8"/>
      <c r="G23" s="12"/>
      <c r="H23" s="3"/>
      <c r="I23" s="12"/>
      <c r="J23" s="3"/>
      <c r="K23" s="18"/>
      <c r="L23" s="29"/>
      <c r="M23" s="13"/>
      <c r="N23" s="13"/>
      <c r="O23" s="13"/>
      <c r="P23" s="3"/>
      <c r="Q23" s="13"/>
      <c r="S23" s="5"/>
      <c r="T23" s="5"/>
    </row>
    <row r="24" spans="1:20" ht="40.5" customHeight="1" x14ac:dyDescent="0.25">
      <c r="A24" s="25"/>
      <c r="B24" s="6"/>
      <c r="C24" s="17" t="s">
        <v>496</v>
      </c>
      <c r="D24" s="30"/>
      <c r="E24" s="17"/>
      <c r="F24" s="30"/>
      <c r="G24" s="46"/>
      <c r="H24" s="18"/>
      <c r="I24" s="46"/>
      <c r="J24" s="18"/>
      <c r="K24" s="18">
        <v>100000</v>
      </c>
      <c r="L24" s="28"/>
      <c r="M24" s="28"/>
      <c r="N24" s="28"/>
      <c r="O24" s="13">
        <f t="shared" si="0"/>
        <v>100000</v>
      </c>
      <c r="P24" s="28"/>
      <c r="Q24" s="13">
        <f t="shared" si="1"/>
        <v>-100000</v>
      </c>
      <c r="S24" s="5"/>
      <c r="T24" s="5"/>
    </row>
    <row r="25" spans="1:20" x14ac:dyDescent="0.25">
      <c r="A25" s="8"/>
      <c r="B25" s="8"/>
      <c r="C25" s="17" t="s">
        <v>131</v>
      </c>
      <c r="D25" s="30"/>
      <c r="E25" s="17"/>
      <c r="F25" s="30"/>
      <c r="G25" s="30"/>
      <c r="H25" s="28"/>
      <c r="I25" s="30"/>
      <c r="J25" s="28"/>
      <c r="K25" s="28"/>
      <c r="L25" s="28">
        <f>1200000*1.1</f>
        <v>1320000</v>
      </c>
      <c r="M25" s="28"/>
      <c r="N25" s="28"/>
      <c r="O25" s="13">
        <f t="shared" si="0"/>
        <v>1320000</v>
      </c>
      <c r="P25" s="28"/>
      <c r="Q25" s="13">
        <f t="shared" si="1"/>
        <v>-1320000</v>
      </c>
    </row>
    <row r="26" spans="1:20" x14ac:dyDescent="0.25">
      <c r="A26" s="8"/>
      <c r="B26" s="8"/>
      <c r="C26" s="17" t="s">
        <v>132</v>
      </c>
      <c r="D26" s="30"/>
      <c r="E26" s="17"/>
      <c r="F26" s="30"/>
      <c r="G26" s="30"/>
      <c r="H26" s="28"/>
      <c r="I26" s="30"/>
      <c r="J26" s="28"/>
      <c r="K26" s="48">
        <v>5250000</v>
      </c>
      <c r="L26" s="28"/>
      <c r="M26" s="18"/>
      <c r="N26" s="28"/>
      <c r="O26" s="13">
        <f t="shared" si="0"/>
        <v>5250000</v>
      </c>
      <c r="P26" s="28"/>
      <c r="Q26" s="13">
        <f t="shared" si="1"/>
        <v>-5250000</v>
      </c>
    </row>
    <row r="27" spans="1:20" x14ac:dyDescent="0.25">
      <c r="A27" s="166" t="s">
        <v>19</v>
      </c>
      <c r="B27" s="167"/>
      <c r="C27" s="167"/>
      <c r="D27" s="167"/>
      <c r="E27" s="167"/>
      <c r="F27" s="168"/>
      <c r="G27" s="52">
        <f t="shared" ref="G27:O27" si="3">SUM(G7:G26)</f>
        <v>1695</v>
      </c>
      <c r="H27" s="4">
        <f t="shared" si="3"/>
        <v>25255500</v>
      </c>
      <c r="I27" s="4">
        <f t="shared" si="3"/>
        <v>0</v>
      </c>
      <c r="J27" s="4">
        <f t="shared" si="3"/>
        <v>15820000</v>
      </c>
      <c r="K27" s="4">
        <f t="shared" si="3"/>
        <v>5350000</v>
      </c>
      <c r="L27" s="4">
        <f t="shared" si="3"/>
        <v>1320000</v>
      </c>
      <c r="M27" s="4">
        <f t="shared" si="3"/>
        <v>0</v>
      </c>
      <c r="N27" s="4">
        <f t="shared" si="3"/>
        <v>0</v>
      </c>
      <c r="O27" s="4">
        <f t="shared" si="3"/>
        <v>47745500</v>
      </c>
      <c r="P27" s="51">
        <f>SUM(P8:P26)</f>
        <v>74045455</v>
      </c>
      <c r="Q27" s="4">
        <f>SUM(Q7:Q26)</f>
        <v>26299955</v>
      </c>
      <c r="R27" s="24"/>
    </row>
    <row r="28" spans="1:20" x14ac:dyDescent="0.25">
      <c r="O28" s="20"/>
      <c r="Q28" s="26"/>
    </row>
    <row r="29" spans="1:20" x14ac:dyDescent="0.25">
      <c r="P29" s="21" t="s">
        <v>20</v>
      </c>
      <c r="Q29" s="26">
        <f>'1.2019'!Q44+'2.2019'!Q27</f>
        <v>59417874</v>
      </c>
    </row>
    <row r="33" spans="2:17" x14ac:dyDescent="0.25">
      <c r="B33" s="6"/>
    </row>
    <row r="34" spans="2:17" x14ac:dyDescent="0.25">
      <c r="B34" s="6"/>
    </row>
    <row r="35" spans="2:17" x14ac:dyDescent="0.25">
      <c r="B35" s="6"/>
    </row>
    <row r="36" spans="2:17" x14ac:dyDescent="0.25">
      <c r="B36" s="6"/>
      <c r="H36" s="6"/>
      <c r="J36" s="6"/>
      <c r="K36" s="6"/>
      <c r="L36" s="6"/>
      <c r="M36" s="6"/>
      <c r="N36" s="6"/>
      <c r="O36" s="6"/>
      <c r="P36" s="6"/>
      <c r="Q36" s="6"/>
    </row>
  </sheetData>
  <mergeCells count="14">
    <mergeCell ref="O5:O6"/>
    <mergeCell ref="P5:P6"/>
    <mergeCell ref="Q5:Q6"/>
    <mergeCell ref="A27:F2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1"/>
  <sheetViews>
    <sheetView topLeftCell="A43" workbookViewId="0">
      <selection activeCell="M44" sqref="M44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571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20" x14ac:dyDescent="0.2">
      <c r="A8" s="25">
        <v>1</v>
      </c>
      <c r="B8" s="44">
        <v>43525</v>
      </c>
      <c r="C8" s="10" t="s">
        <v>497</v>
      </c>
      <c r="D8" s="12" t="s">
        <v>522</v>
      </c>
      <c r="E8" s="10" t="s">
        <v>255</v>
      </c>
      <c r="F8" s="8"/>
      <c r="G8" s="12"/>
      <c r="H8" s="3"/>
      <c r="I8" s="12"/>
      <c r="J8" s="3">
        <f>1320000+60000</f>
        <v>1380000</v>
      </c>
      <c r="K8" s="18"/>
      <c r="L8" s="29"/>
      <c r="M8" s="13"/>
      <c r="N8" s="13"/>
      <c r="O8" s="53">
        <f>H8+J8+K8+L8+M8+N8</f>
        <v>1380000</v>
      </c>
      <c r="P8" s="56">
        <v>5600000</v>
      </c>
      <c r="Q8" s="54">
        <f>P8-O8</f>
        <v>4220000</v>
      </c>
      <c r="S8" s="5"/>
      <c r="T8" s="5"/>
    </row>
    <row r="9" spans="1:20" ht="12.75" customHeight="1" x14ac:dyDescent="0.2">
      <c r="A9" s="25">
        <v>2</v>
      </c>
      <c r="B9" s="44">
        <v>43526</v>
      </c>
      <c r="C9" s="10" t="s">
        <v>498</v>
      </c>
      <c r="D9" s="8" t="s">
        <v>523</v>
      </c>
      <c r="E9" s="10" t="s">
        <v>330</v>
      </c>
      <c r="F9" s="8"/>
      <c r="G9" s="12"/>
      <c r="H9" s="3"/>
      <c r="I9" s="12"/>
      <c r="J9" s="3">
        <v>680000</v>
      </c>
      <c r="K9" s="18"/>
      <c r="L9" s="29"/>
      <c r="M9" s="13"/>
      <c r="N9" s="13"/>
      <c r="O9" s="53">
        <f t="shared" ref="O9:O51" si="0">H9+J9+K9+L9+M9+N9</f>
        <v>680000</v>
      </c>
      <c r="P9" s="56">
        <v>4000000</v>
      </c>
      <c r="Q9" s="54">
        <f t="shared" ref="Q9:Q51" si="1">P9-O9</f>
        <v>3320000</v>
      </c>
      <c r="S9" s="5"/>
      <c r="T9" s="5"/>
    </row>
    <row r="10" spans="1:20" ht="12.75" customHeight="1" x14ac:dyDescent="0.2">
      <c r="A10" s="25">
        <v>3</v>
      </c>
      <c r="B10" s="44">
        <v>43527</v>
      </c>
      <c r="C10" s="10" t="s">
        <v>499</v>
      </c>
      <c r="D10" s="12" t="s">
        <v>524</v>
      </c>
      <c r="E10" s="10" t="s">
        <v>330</v>
      </c>
      <c r="F10" s="8"/>
      <c r="G10" s="12">
        <v>218</v>
      </c>
      <c r="H10" s="3">
        <f>G10*15860</f>
        <v>3457480</v>
      </c>
      <c r="I10" s="12"/>
      <c r="J10" s="3">
        <v>680000</v>
      </c>
      <c r="K10" s="18"/>
      <c r="L10" s="29"/>
      <c r="M10" s="13"/>
      <c r="N10" s="13"/>
      <c r="O10" s="53">
        <f t="shared" si="0"/>
        <v>4137480</v>
      </c>
      <c r="P10" s="56">
        <v>4000000</v>
      </c>
      <c r="Q10" s="54">
        <f t="shared" si="1"/>
        <v>-137480</v>
      </c>
      <c r="S10" s="5"/>
      <c r="T10" s="5"/>
    </row>
    <row r="11" spans="1:20" ht="12.75" customHeight="1" x14ac:dyDescent="0.2">
      <c r="A11" s="25">
        <v>4</v>
      </c>
      <c r="B11" s="44">
        <v>43528</v>
      </c>
      <c r="C11" s="10" t="s">
        <v>500</v>
      </c>
      <c r="D11" s="12" t="s">
        <v>525</v>
      </c>
      <c r="E11" s="10" t="s">
        <v>547</v>
      </c>
      <c r="F11" s="8"/>
      <c r="G11" s="12"/>
      <c r="H11" s="3"/>
      <c r="I11" s="12"/>
      <c r="J11" s="3">
        <v>1320000</v>
      </c>
      <c r="K11" s="18"/>
      <c r="L11" s="29"/>
      <c r="M11" s="13"/>
      <c r="N11" s="13"/>
      <c r="O11" s="53">
        <f t="shared" si="0"/>
        <v>1320000</v>
      </c>
      <c r="P11" s="56">
        <v>5600000</v>
      </c>
      <c r="Q11" s="54">
        <f t="shared" si="1"/>
        <v>4280000</v>
      </c>
      <c r="S11" s="5"/>
      <c r="T11" s="5"/>
    </row>
    <row r="12" spans="1:20" ht="12.75" customHeight="1" x14ac:dyDescent="0.2">
      <c r="A12" s="25">
        <v>5</v>
      </c>
      <c r="B12" s="44">
        <v>43529</v>
      </c>
      <c r="C12" s="10" t="s">
        <v>501</v>
      </c>
      <c r="D12" s="12" t="s">
        <v>526</v>
      </c>
      <c r="E12" s="10" t="s">
        <v>255</v>
      </c>
      <c r="F12" s="8"/>
      <c r="G12" s="12">
        <v>230</v>
      </c>
      <c r="H12" s="3">
        <f t="shared" ref="H12:H32" si="2">G12*15860</f>
        <v>3647800</v>
      </c>
      <c r="I12" s="12"/>
      <c r="J12" s="3">
        <f>1320000+60000</f>
        <v>1380000</v>
      </c>
      <c r="K12" s="18"/>
      <c r="L12" s="29"/>
      <c r="M12" s="13"/>
      <c r="N12" s="13"/>
      <c r="O12" s="53">
        <f t="shared" si="0"/>
        <v>5027800</v>
      </c>
      <c r="P12" s="56">
        <v>5600000</v>
      </c>
      <c r="Q12" s="54">
        <f t="shared" si="1"/>
        <v>572200</v>
      </c>
      <c r="S12" s="5"/>
      <c r="T12" s="5"/>
    </row>
    <row r="13" spans="1:20" ht="12.75" customHeight="1" x14ac:dyDescent="0.2">
      <c r="A13" s="25">
        <v>6</v>
      </c>
      <c r="B13" s="44">
        <v>43530</v>
      </c>
      <c r="C13" s="10" t="s">
        <v>502</v>
      </c>
      <c r="D13" s="12" t="s">
        <v>527</v>
      </c>
      <c r="E13" s="10" t="s">
        <v>254</v>
      </c>
      <c r="F13" s="8"/>
      <c r="G13" s="12"/>
      <c r="H13" s="3"/>
      <c r="I13" s="12"/>
      <c r="J13" s="3">
        <v>810000</v>
      </c>
      <c r="K13" s="18"/>
      <c r="L13" s="29"/>
      <c r="M13" s="13"/>
      <c r="N13" s="13"/>
      <c r="O13" s="53">
        <f t="shared" si="0"/>
        <v>810000</v>
      </c>
      <c r="P13" s="56">
        <v>4100000</v>
      </c>
      <c r="Q13" s="54">
        <f t="shared" si="1"/>
        <v>3290000</v>
      </c>
      <c r="S13" s="5"/>
      <c r="T13" s="5"/>
    </row>
    <row r="14" spans="1:20" ht="12.75" customHeight="1" x14ac:dyDescent="0.2">
      <c r="A14" s="25">
        <v>7</v>
      </c>
      <c r="B14" s="44">
        <v>43531</v>
      </c>
      <c r="C14" s="10" t="s">
        <v>503</v>
      </c>
      <c r="D14" s="12" t="s">
        <v>528</v>
      </c>
      <c r="E14" s="10" t="s">
        <v>548</v>
      </c>
      <c r="F14" s="8"/>
      <c r="G14" s="12">
        <v>220</v>
      </c>
      <c r="H14" s="3">
        <f t="shared" si="2"/>
        <v>3489200</v>
      </c>
      <c r="I14" s="12"/>
      <c r="J14" s="3">
        <v>680000</v>
      </c>
      <c r="K14" s="18"/>
      <c r="L14" s="29"/>
      <c r="M14" s="13"/>
      <c r="N14" s="13"/>
      <c r="O14" s="53">
        <f t="shared" si="0"/>
        <v>4169200</v>
      </c>
      <c r="P14" s="56">
        <v>3100000</v>
      </c>
      <c r="Q14" s="54">
        <f t="shared" si="1"/>
        <v>-1069200</v>
      </c>
      <c r="S14" s="5"/>
      <c r="T14" s="5"/>
    </row>
    <row r="15" spans="1:20" ht="12.75" customHeight="1" x14ac:dyDescent="0.2">
      <c r="A15" s="25">
        <v>8</v>
      </c>
      <c r="B15" s="44">
        <v>43532</v>
      </c>
      <c r="C15" s="10" t="s">
        <v>504</v>
      </c>
      <c r="D15" s="12" t="s">
        <v>529</v>
      </c>
      <c r="E15" s="10" t="s">
        <v>549</v>
      </c>
      <c r="F15" s="8"/>
      <c r="G15" s="12">
        <v>168</v>
      </c>
      <c r="H15" s="3">
        <f t="shared" si="2"/>
        <v>2664480</v>
      </c>
      <c r="I15" s="12"/>
      <c r="J15" s="3">
        <v>810000</v>
      </c>
      <c r="K15" s="18"/>
      <c r="L15" s="29"/>
      <c r="M15" s="13"/>
      <c r="N15" s="13"/>
      <c r="O15" s="53">
        <f t="shared" si="0"/>
        <v>3474480</v>
      </c>
      <c r="P15" s="56">
        <v>3860000</v>
      </c>
      <c r="Q15" s="54">
        <f t="shared" si="1"/>
        <v>385520</v>
      </c>
      <c r="S15" s="5"/>
      <c r="T15" s="5"/>
    </row>
    <row r="16" spans="1:20" ht="12.75" customHeight="1" x14ac:dyDescent="0.2">
      <c r="A16" s="25">
        <v>9</v>
      </c>
      <c r="B16" s="44">
        <v>43533</v>
      </c>
      <c r="C16" s="10" t="s">
        <v>505</v>
      </c>
      <c r="D16" s="12" t="s">
        <v>530</v>
      </c>
      <c r="E16" s="10" t="s">
        <v>550</v>
      </c>
      <c r="F16" s="8"/>
      <c r="G16" s="12"/>
      <c r="H16" s="3"/>
      <c r="I16" s="12"/>
      <c r="J16" s="3">
        <v>990000</v>
      </c>
      <c r="K16" s="18"/>
      <c r="L16" s="29"/>
      <c r="M16" s="13"/>
      <c r="N16" s="13"/>
      <c r="O16" s="53">
        <f t="shared" si="0"/>
        <v>990000</v>
      </c>
      <c r="P16" s="56">
        <v>6400000</v>
      </c>
      <c r="Q16" s="54">
        <f t="shared" si="1"/>
        <v>5410000</v>
      </c>
      <c r="S16" s="5"/>
      <c r="T16" s="5"/>
    </row>
    <row r="17" spans="1:20" ht="12.75" customHeight="1" x14ac:dyDescent="0.2">
      <c r="A17" s="25">
        <v>10</v>
      </c>
      <c r="B17" s="44">
        <v>43535</v>
      </c>
      <c r="C17" s="10" t="s">
        <v>506</v>
      </c>
      <c r="D17" s="12" t="s">
        <v>531</v>
      </c>
      <c r="E17" s="10" t="s">
        <v>255</v>
      </c>
      <c r="F17" s="8"/>
      <c r="G17" s="12">
        <v>260</v>
      </c>
      <c r="H17" s="3">
        <f t="shared" si="2"/>
        <v>4123600</v>
      </c>
      <c r="I17" s="12"/>
      <c r="J17" s="3">
        <v>1320000</v>
      </c>
      <c r="K17" s="18"/>
      <c r="L17" s="29"/>
      <c r="M17" s="13"/>
      <c r="N17" s="13"/>
      <c r="O17" s="53">
        <f t="shared" si="0"/>
        <v>5443600</v>
      </c>
      <c r="P17" s="56">
        <v>5600000</v>
      </c>
      <c r="Q17" s="54">
        <f t="shared" si="1"/>
        <v>156400</v>
      </c>
      <c r="S17" s="5"/>
      <c r="T17" s="5"/>
    </row>
    <row r="18" spans="1:20" ht="12.75" customHeight="1" x14ac:dyDescent="0.2">
      <c r="A18" s="25">
        <v>11</v>
      </c>
      <c r="B18" s="44">
        <v>43536</v>
      </c>
      <c r="C18" s="10" t="s">
        <v>507</v>
      </c>
      <c r="D18" s="12" t="s">
        <v>532</v>
      </c>
      <c r="E18" s="10" t="s">
        <v>551</v>
      </c>
      <c r="F18" s="8"/>
      <c r="G18" s="12"/>
      <c r="H18" s="3"/>
      <c r="I18" s="12"/>
      <c r="J18" s="3">
        <v>990000</v>
      </c>
      <c r="K18" s="18"/>
      <c r="L18" s="29"/>
      <c r="M18" s="13"/>
      <c r="N18" s="13"/>
      <c r="O18" s="53">
        <f t="shared" si="0"/>
        <v>990000</v>
      </c>
      <c r="P18" s="56">
        <v>4454545</v>
      </c>
      <c r="Q18" s="54">
        <f t="shared" si="1"/>
        <v>3464545</v>
      </c>
      <c r="S18" s="5"/>
      <c r="T18" s="5"/>
    </row>
    <row r="19" spans="1:20" ht="12.75" customHeight="1" x14ac:dyDescent="0.2">
      <c r="A19" s="25">
        <v>12</v>
      </c>
      <c r="B19" s="44">
        <v>43537</v>
      </c>
      <c r="C19" s="10" t="s">
        <v>508</v>
      </c>
      <c r="D19" s="12" t="s">
        <v>533</v>
      </c>
      <c r="E19" s="10" t="s">
        <v>387</v>
      </c>
      <c r="F19" s="8"/>
      <c r="G19" s="12">
        <v>218</v>
      </c>
      <c r="H19" s="3">
        <f t="shared" si="2"/>
        <v>3457480</v>
      </c>
      <c r="I19" s="12"/>
      <c r="J19" s="3">
        <v>1050000</v>
      </c>
      <c r="K19" s="18"/>
      <c r="L19" s="29"/>
      <c r="M19" s="13"/>
      <c r="N19" s="13"/>
      <c r="O19" s="53">
        <f t="shared" si="0"/>
        <v>4507480</v>
      </c>
      <c r="P19" s="56">
        <v>4900000</v>
      </c>
      <c r="Q19" s="54">
        <f t="shared" si="1"/>
        <v>392520</v>
      </c>
      <c r="S19" s="5"/>
      <c r="T19" s="5"/>
    </row>
    <row r="20" spans="1:20" ht="12.75" customHeight="1" x14ac:dyDescent="0.2">
      <c r="A20" s="25">
        <v>13</v>
      </c>
      <c r="B20" s="44">
        <v>43538</v>
      </c>
      <c r="C20" s="10" t="s">
        <v>509</v>
      </c>
      <c r="D20" s="12" t="s">
        <v>534</v>
      </c>
      <c r="E20" s="10" t="s">
        <v>112</v>
      </c>
      <c r="F20" s="8"/>
      <c r="G20" s="12"/>
      <c r="H20" s="3"/>
      <c r="I20" s="12"/>
      <c r="J20" s="3">
        <v>2230000</v>
      </c>
      <c r="K20" s="18"/>
      <c r="L20" s="29"/>
      <c r="M20" s="13"/>
      <c r="N20" s="13"/>
      <c r="O20" s="53">
        <f t="shared" si="0"/>
        <v>2230000</v>
      </c>
      <c r="P20" s="56">
        <v>13181818</v>
      </c>
      <c r="Q20" s="54">
        <f t="shared" si="1"/>
        <v>10951818</v>
      </c>
      <c r="S20" s="5"/>
      <c r="T20" s="5"/>
    </row>
    <row r="21" spans="1:20" ht="12.75" customHeight="1" x14ac:dyDescent="0.2">
      <c r="A21" s="25">
        <v>14</v>
      </c>
      <c r="B21" s="44">
        <v>43539</v>
      </c>
      <c r="C21" s="10" t="s">
        <v>510</v>
      </c>
      <c r="D21" s="12" t="s">
        <v>535</v>
      </c>
      <c r="E21" s="10" t="s">
        <v>330</v>
      </c>
      <c r="F21" s="8"/>
      <c r="G21" s="12">
        <v>218</v>
      </c>
      <c r="H21" s="3">
        <f t="shared" si="2"/>
        <v>3457480</v>
      </c>
      <c r="I21" s="12"/>
      <c r="J21" s="3">
        <v>680000</v>
      </c>
      <c r="K21" s="18"/>
      <c r="L21" s="29"/>
      <c r="M21" s="13"/>
      <c r="N21" s="13"/>
      <c r="O21" s="53">
        <f t="shared" si="0"/>
        <v>4137480</v>
      </c>
      <c r="P21" s="56">
        <v>4000000</v>
      </c>
      <c r="Q21" s="54">
        <f t="shared" si="1"/>
        <v>-137480</v>
      </c>
      <c r="S21" s="5"/>
      <c r="T21" s="5"/>
    </row>
    <row r="22" spans="1:20" ht="12.75" customHeight="1" x14ac:dyDescent="0.2">
      <c r="A22" s="25">
        <v>15</v>
      </c>
      <c r="B22" s="44">
        <v>43540</v>
      </c>
      <c r="C22" s="10" t="s">
        <v>511</v>
      </c>
      <c r="D22" s="12" t="s">
        <v>536</v>
      </c>
      <c r="E22" s="10" t="s">
        <v>330</v>
      </c>
      <c r="F22" s="8"/>
      <c r="G22" s="12"/>
      <c r="H22" s="3"/>
      <c r="I22" s="12"/>
      <c r="J22" s="3">
        <v>680000</v>
      </c>
      <c r="K22" s="18"/>
      <c r="L22" s="29"/>
      <c r="M22" s="13"/>
      <c r="N22" s="13"/>
      <c r="O22" s="53">
        <f t="shared" si="0"/>
        <v>680000</v>
      </c>
      <c r="P22" s="56">
        <v>4000000</v>
      </c>
      <c r="Q22" s="54">
        <f t="shared" si="1"/>
        <v>3320000</v>
      </c>
      <c r="S22" s="5"/>
      <c r="T22" s="5"/>
    </row>
    <row r="23" spans="1:20" ht="12.75" customHeight="1" x14ac:dyDescent="0.2">
      <c r="A23" s="25">
        <v>16</v>
      </c>
      <c r="B23" s="44">
        <v>43542</v>
      </c>
      <c r="C23" s="10" t="s">
        <v>512</v>
      </c>
      <c r="D23" s="12" t="s">
        <v>537</v>
      </c>
      <c r="E23" s="10" t="s">
        <v>255</v>
      </c>
      <c r="F23" s="8"/>
      <c r="G23" s="12">
        <v>196</v>
      </c>
      <c r="H23" s="3">
        <f t="shared" si="2"/>
        <v>3108560</v>
      </c>
      <c r="I23" s="12"/>
      <c r="J23" s="3">
        <v>1380000</v>
      </c>
      <c r="K23" s="18"/>
      <c r="L23" s="29"/>
      <c r="M23" s="13"/>
      <c r="N23" s="13"/>
      <c r="O23" s="53">
        <f t="shared" si="0"/>
        <v>4488560</v>
      </c>
      <c r="P23" s="56">
        <v>5600000</v>
      </c>
      <c r="Q23" s="54">
        <f t="shared" si="1"/>
        <v>1111440</v>
      </c>
      <c r="S23" s="5"/>
      <c r="T23" s="5"/>
    </row>
    <row r="24" spans="1:20" ht="12.75" customHeight="1" x14ac:dyDescent="0.2">
      <c r="A24" s="25">
        <v>17</v>
      </c>
      <c r="B24" s="44">
        <v>43543</v>
      </c>
      <c r="C24" s="10" t="s">
        <v>513</v>
      </c>
      <c r="D24" s="8" t="s">
        <v>538</v>
      </c>
      <c r="E24" s="10" t="s">
        <v>255</v>
      </c>
      <c r="F24" s="8"/>
      <c r="G24" s="12">
        <v>128</v>
      </c>
      <c r="H24" s="3">
        <f t="shared" si="2"/>
        <v>2030080</v>
      </c>
      <c r="I24" s="12"/>
      <c r="J24" s="3">
        <v>1320000</v>
      </c>
      <c r="K24" s="18"/>
      <c r="L24" s="29"/>
      <c r="M24" s="13"/>
      <c r="N24" s="13"/>
      <c r="O24" s="53">
        <f t="shared" si="0"/>
        <v>3350080</v>
      </c>
      <c r="P24" s="56">
        <v>5600000</v>
      </c>
      <c r="Q24" s="54">
        <f t="shared" si="1"/>
        <v>2249920</v>
      </c>
      <c r="S24" s="5"/>
      <c r="T24" s="5"/>
    </row>
    <row r="25" spans="1:20" ht="12.75" customHeight="1" x14ac:dyDescent="0.2">
      <c r="A25" s="25">
        <v>18</v>
      </c>
      <c r="B25" s="44">
        <v>43544</v>
      </c>
      <c r="C25" s="10" t="s">
        <v>514</v>
      </c>
      <c r="D25" s="8" t="s">
        <v>539</v>
      </c>
      <c r="E25" s="10" t="s">
        <v>330</v>
      </c>
      <c r="F25" s="8"/>
      <c r="G25" s="12">
        <v>208</v>
      </c>
      <c r="H25" s="3">
        <f t="shared" si="2"/>
        <v>3298880</v>
      </c>
      <c r="I25" s="12"/>
      <c r="J25" s="3">
        <v>680000</v>
      </c>
      <c r="K25" s="18"/>
      <c r="L25" s="29"/>
      <c r="M25" s="13"/>
      <c r="N25" s="13"/>
      <c r="O25" s="53">
        <f t="shared" si="0"/>
        <v>3978880</v>
      </c>
      <c r="P25" s="56">
        <v>4000000</v>
      </c>
      <c r="Q25" s="54">
        <f t="shared" si="1"/>
        <v>21120</v>
      </c>
      <c r="S25" s="5"/>
      <c r="T25" s="5"/>
    </row>
    <row r="26" spans="1:20" ht="12.75" customHeight="1" x14ac:dyDescent="0.2">
      <c r="A26" s="25">
        <v>19</v>
      </c>
      <c r="B26" s="44">
        <v>43545</v>
      </c>
      <c r="C26" s="10" t="s">
        <v>515</v>
      </c>
      <c r="D26" s="8" t="s">
        <v>540</v>
      </c>
      <c r="E26" s="10" t="s">
        <v>112</v>
      </c>
      <c r="F26" s="8"/>
      <c r="G26" s="12"/>
      <c r="H26" s="3"/>
      <c r="I26" s="12"/>
      <c r="J26" s="3">
        <v>2230000</v>
      </c>
      <c r="K26" s="18"/>
      <c r="L26" s="29"/>
      <c r="M26" s="13"/>
      <c r="N26" s="13"/>
      <c r="O26" s="53">
        <f t="shared" si="0"/>
        <v>2230000</v>
      </c>
      <c r="P26" s="56">
        <v>13181818</v>
      </c>
      <c r="Q26" s="54">
        <f t="shared" si="1"/>
        <v>10951818</v>
      </c>
      <c r="S26" s="5"/>
      <c r="T26" s="5"/>
    </row>
    <row r="27" spans="1:20" ht="12.75" customHeight="1" x14ac:dyDescent="0.2">
      <c r="A27" s="25">
        <v>20</v>
      </c>
      <c r="B27" s="44">
        <v>43546</v>
      </c>
      <c r="C27" s="10" t="s">
        <v>516</v>
      </c>
      <c r="D27" s="8" t="s">
        <v>541</v>
      </c>
      <c r="E27" s="10" t="s">
        <v>552</v>
      </c>
      <c r="F27" s="8"/>
      <c r="G27" s="12">
        <v>220</v>
      </c>
      <c r="H27" s="3">
        <f t="shared" si="2"/>
        <v>3489200</v>
      </c>
      <c r="I27" s="12"/>
      <c r="J27" s="3">
        <v>810000</v>
      </c>
      <c r="K27" s="18"/>
      <c r="L27" s="29"/>
      <c r="M27" s="13"/>
      <c r="N27" s="13"/>
      <c r="O27" s="53">
        <f t="shared" si="0"/>
        <v>4299200</v>
      </c>
      <c r="P27" s="56">
        <v>4100000</v>
      </c>
      <c r="Q27" s="54">
        <f t="shared" si="1"/>
        <v>-199200</v>
      </c>
      <c r="S27" s="5"/>
      <c r="T27" s="5"/>
    </row>
    <row r="28" spans="1:20" ht="12.75" customHeight="1" x14ac:dyDescent="0.2">
      <c r="A28" s="25">
        <v>21</v>
      </c>
      <c r="B28" s="44">
        <v>43549</v>
      </c>
      <c r="C28" s="10" t="s">
        <v>517</v>
      </c>
      <c r="D28" s="8" t="s">
        <v>542</v>
      </c>
      <c r="E28" s="10" t="s">
        <v>553</v>
      </c>
      <c r="F28" s="8"/>
      <c r="G28" s="12"/>
      <c r="H28" s="3"/>
      <c r="I28" s="12"/>
      <c r="J28" s="3">
        <v>1320000</v>
      </c>
      <c r="K28" s="18"/>
      <c r="L28" s="29"/>
      <c r="M28" s="13"/>
      <c r="N28" s="13"/>
      <c r="O28" s="53">
        <f t="shared" si="0"/>
        <v>1320000</v>
      </c>
      <c r="P28" s="56">
        <v>5600000</v>
      </c>
      <c r="Q28" s="54">
        <f t="shared" si="1"/>
        <v>4280000</v>
      </c>
      <c r="S28" s="5"/>
      <c r="T28" s="5"/>
    </row>
    <row r="29" spans="1:20" ht="12.75" customHeight="1" x14ac:dyDescent="0.2">
      <c r="A29" s="25">
        <v>22</v>
      </c>
      <c r="B29" s="44">
        <v>43550</v>
      </c>
      <c r="C29" s="10" t="s">
        <v>518</v>
      </c>
      <c r="D29" s="8" t="s">
        <v>543</v>
      </c>
      <c r="E29" s="10" t="s">
        <v>330</v>
      </c>
      <c r="F29" s="8"/>
      <c r="G29" s="12">
        <v>236</v>
      </c>
      <c r="H29" s="3">
        <f t="shared" si="2"/>
        <v>3742960</v>
      </c>
      <c r="I29" s="12"/>
      <c r="J29" s="3">
        <v>680000</v>
      </c>
      <c r="K29" s="18"/>
      <c r="L29" s="29"/>
      <c r="M29" s="13"/>
      <c r="N29" s="13"/>
      <c r="O29" s="53">
        <f t="shared" si="0"/>
        <v>4422960</v>
      </c>
      <c r="P29" s="56">
        <v>4000000</v>
      </c>
      <c r="Q29" s="54">
        <f t="shared" si="1"/>
        <v>-422960</v>
      </c>
      <c r="S29" s="5"/>
      <c r="T29" s="5"/>
    </row>
    <row r="30" spans="1:20" ht="12.75" customHeight="1" x14ac:dyDescent="0.2">
      <c r="A30" s="25">
        <v>23</v>
      </c>
      <c r="B30" s="44">
        <v>43551</v>
      </c>
      <c r="C30" s="10" t="s">
        <v>519</v>
      </c>
      <c r="D30" s="8" t="s">
        <v>544</v>
      </c>
      <c r="E30" s="10" t="s">
        <v>330</v>
      </c>
      <c r="F30" s="8"/>
      <c r="G30" s="12"/>
      <c r="H30" s="3"/>
      <c r="I30" s="12"/>
      <c r="J30" s="3">
        <v>680000</v>
      </c>
      <c r="K30" s="18"/>
      <c r="L30" s="29"/>
      <c r="M30" s="13"/>
      <c r="N30" s="13"/>
      <c r="O30" s="53">
        <f t="shared" si="0"/>
        <v>680000</v>
      </c>
      <c r="P30" s="56">
        <v>4000000</v>
      </c>
      <c r="Q30" s="54">
        <f t="shared" si="1"/>
        <v>3320000</v>
      </c>
      <c r="S30" s="5"/>
      <c r="T30" s="5"/>
    </row>
    <row r="31" spans="1:20" ht="12.75" customHeight="1" x14ac:dyDescent="0.2">
      <c r="A31" s="25">
        <v>24</v>
      </c>
      <c r="B31" s="44">
        <v>43552</v>
      </c>
      <c r="C31" s="10" t="s">
        <v>520</v>
      </c>
      <c r="D31" s="8" t="s">
        <v>545</v>
      </c>
      <c r="E31" s="10" t="s">
        <v>112</v>
      </c>
      <c r="F31" s="8"/>
      <c r="G31" s="12">
        <v>175</v>
      </c>
      <c r="H31" s="3">
        <f t="shared" si="2"/>
        <v>2775500</v>
      </c>
      <c r="I31" s="12"/>
      <c r="J31" s="3">
        <f>2230000+380000</f>
        <v>2610000</v>
      </c>
      <c r="K31" s="18"/>
      <c r="L31" s="29"/>
      <c r="M31" s="13"/>
      <c r="N31" s="13"/>
      <c r="O31" s="53">
        <f t="shared" si="0"/>
        <v>5385500</v>
      </c>
      <c r="P31" s="56">
        <v>13181818</v>
      </c>
      <c r="Q31" s="54">
        <f t="shared" si="1"/>
        <v>7796318</v>
      </c>
      <c r="S31" s="5"/>
      <c r="T31" s="5"/>
    </row>
    <row r="32" spans="1:20" ht="12.75" customHeight="1" x14ac:dyDescent="0.2">
      <c r="A32" s="25">
        <v>25</v>
      </c>
      <c r="B32" s="44">
        <v>43554</v>
      </c>
      <c r="C32" s="10" t="s">
        <v>521</v>
      </c>
      <c r="D32" s="8" t="s">
        <v>546</v>
      </c>
      <c r="E32" s="10" t="s">
        <v>554</v>
      </c>
      <c r="F32" s="8"/>
      <c r="G32" s="12">
        <v>212</v>
      </c>
      <c r="H32" s="3">
        <f t="shared" si="2"/>
        <v>3362320</v>
      </c>
      <c r="I32" s="12"/>
      <c r="J32" s="3">
        <v>1720000</v>
      </c>
      <c r="K32" s="18"/>
      <c r="L32" s="29"/>
      <c r="M32" s="13"/>
      <c r="N32" s="13"/>
      <c r="O32" s="53">
        <f t="shared" si="0"/>
        <v>5082320</v>
      </c>
      <c r="P32" s="56">
        <v>6900000</v>
      </c>
      <c r="Q32" s="54">
        <f t="shared" si="1"/>
        <v>1817680</v>
      </c>
      <c r="S32" s="5"/>
      <c r="T32" s="5"/>
    </row>
    <row r="33" spans="1:20" ht="12.75" customHeight="1" x14ac:dyDescent="0.25">
      <c r="A33" s="25"/>
      <c r="B33" s="44"/>
      <c r="C33" s="10"/>
      <c r="D33" s="45"/>
      <c r="E33" s="10"/>
      <c r="F33" s="8"/>
      <c r="G33" s="12">
        <v>168</v>
      </c>
      <c r="H33" s="3">
        <f>G33*15860</f>
        <v>2664480</v>
      </c>
      <c r="I33" s="12"/>
      <c r="J33" s="13"/>
      <c r="K33" s="18"/>
      <c r="L33" s="29"/>
      <c r="M33" s="13"/>
      <c r="N33" s="13"/>
      <c r="O33" s="53">
        <f t="shared" si="0"/>
        <v>2664480</v>
      </c>
      <c r="P33" s="13"/>
      <c r="Q33" s="54">
        <f t="shared" si="1"/>
        <v>-2664480</v>
      </c>
      <c r="S33" s="5"/>
      <c r="T33" s="5"/>
    </row>
    <row r="34" spans="1:20" ht="12.75" customHeight="1" x14ac:dyDescent="0.25">
      <c r="A34" s="25"/>
      <c r="B34" s="44"/>
      <c r="C34" s="10"/>
      <c r="D34" s="8"/>
      <c r="E34" s="10"/>
      <c r="F34" s="8"/>
      <c r="G34" s="12"/>
      <c r="H34" s="3"/>
      <c r="I34" s="12"/>
      <c r="J34" s="3"/>
      <c r="K34" s="18"/>
      <c r="L34" s="29"/>
      <c r="M34" s="13"/>
      <c r="N34" s="13"/>
      <c r="O34" s="53">
        <f t="shared" si="0"/>
        <v>0</v>
      </c>
      <c r="P34" s="3"/>
      <c r="Q34" s="54">
        <f t="shared" si="1"/>
        <v>0</v>
      </c>
      <c r="S34" s="5"/>
      <c r="T34" s="5"/>
    </row>
    <row r="35" spans="1:20" ht="40.5" customHeight="1" x14ac:dyDescent="0.25">
      <c r="A35" s="25"/>
      <c r="B35" s="6"/>
      <c r="C35" s="17" t="s">
        <v>555</v>
      </c>
      <c r="D35" s="30"/>
      <c r="E35" s="17"/>
      <c r="F35" s="30"/>
      <c r="G35" s="46"/>
      <c r="H35" s="18"/>
      <c r="I35" s="46"/>
      <c r="J35" s="18"/>
      <c r="K35" s="18">
        <v>8580000</v>
      </c>
      <c r="L35" s="28"/>
      <c r="M35" s="28"/>
      <c r="N35" s="28"/>
      <c r="O35" s="53">
        <f t="shared" si="0"/>
        <v>8580000</v>
      </c>
      <c r="P35" s="28"/>
      <c r="Q35" s="54">
        <f t="shared" si="1"/>
        <v>-8580000</v>
      </c>
      <c r="S35" s="5"/>
      <c r="T35" s="5"/>
    </row>
    <row r="36" spans="1:20" ht="40.5" customHeight="1" x14ac:dyDescent="0.25">
      <c r="A36" s="25"/>
      <c r="B36" s="6"/>
      <c r="C36" s="17" t="s">
        <v>556</v>
      </c>
      <c r="D36" s="30"/>
      <c r="E36" s="17"/>
      <c r="F36" s="30"/>
      <c r="G36" s="46"/>
      <c r="H36" s="18"/>
      <c r="I36" s="46"/>
      <c r="J36" s="18"/>
      <c r="K36" s="18">
        <v>610000</v>
      </c>
      <c r="L36" s="28"/>
      <c r="M36" s="28"/>
      <c r="N36" s="28"/>
      <c r="O36" s="53">
        <f t="shared" si="0"/>
        <v>610000</v>
      </c>
      <c r="P36" s="28"/>
      <c r="Q36" s="54">
        <f t="shared" si="1"/>
        <v>-610000</v>
      </c>
      <c r="S36" s="5"/>
      <c r="T36" s="5"/>
    </row>
    <row r="37" spans="1:20" ht="40.5" customHeight="1" x14ac:dyDescent="0.25">
      <c r="A37" s="25"/>
      <c r="B37" s="6"/>
      <c r="C37" s="17" t="s">
        <v>557</v>
      </c>
      <c r="D37" s="30"/>
      <c r="E37" s="17"/>
      <c r="F37" s="30"/>
      <c r="G37" s="46"/>
      <c r="H37" s="18"/>
      <c r="I37" s="46"/>
      <c r="J37" s="18"/>
      <c r="K37" s="18">
        <v>400000</v>
      </c>
      <c r="L37" s="28"/>
      <c r="M37" s="28"/>
      <c r="N37" s="28"/>
      <c r="O37" s="53">
        <f t="shared" si="0"/>
        <v>400000</v>
      </c>
      <c r="P37" s="28"/>
      <c r="Q37" s="54">
        <f t="shared" si="1"/>
        <v>-400000</v>
      </c>
      <c r="S37" s="5"/>
      <c r="T37" s="5"/>
    </row>
    <row r="38" spans="1:20" ht="40.5" customHeight="1" x14ac:dyDescent="0.25">
      <c r="A38" s="25"/>
      <c r="B38" s="6"/>
      <c r="C38" s="17" t="s">
        <v>558</v>
      </c>
      <c r="D38" s="30"/>
      <c r="E38" s="17"/>
      <c r="F38" s="30"/>
      <c r="G38" s="46"/>
      <c r="H38" s="18"/>
      <c r="I38" s="46"/>
      <c r="J38" s="18"/>
      <c r="K38" s="18">
        <v>400000</v>
      </c>
      <c r="L38" s="28"/>
      <c r="M38" s="28"/>
      <c r="N38" s="28"/>
      <c r="O38" s="53">
        <f t="shared" si="0"/>
        <v>400000</v>
      </c>
      <c r="P38" s="28"/>
      <c r="Q38" s="54">
        <f t="shared" si="1"/>
        <v>-400000</v>
      </c>
      <c r="S38" s="5"/>
      <c r="T38" s="5"/>
    </row>
    <row r="39" spans="1:20" ht="40.5" customHeight="1" x14ac:dyDescent="0.25">
      <c r="A39" s="25"/>
      <c r="B39" s="6"/>
      <c r="C39" s="17" t="s">
        <v>559</v>
      </c>
      <c r="D39" s="30"/>
      <c r="E39" s="17"/>
      <c r="F39" s="30"/>
      <c r="G39" s="46"/>
      <c r="H39" s="18"/>
      <c r="I39" s="46"/>
      <c r="J39" s="18"/>
      <c r="K39" s="18">
        <v>130000</v>
      </c>
      <c r="L39" s="28"/>
      <c r="M39" s="28"/>
      <c r="N39" s="28"/>
      <c r="O39" s="53">
        <f t="shared" si="0"/>
        <v>130000</v>
      </c>
      <c r="P39" s="28"/>
      <c r="Q39" s="54">
        <f t="shared" si="1"/>
        <v>-130000</v>
      </c>
      <c r="S39" s="5"/>
      <c r="T39" s="5"/>
    </row>
    <row r="40" spans="1:20" ht="40.5" customHeight="1" x14ac:dyDescent="0.25">
      <c r="A40" s="25"/>
      <c r="B40" s="6"/>
      <c r="C40" s="17" t="s">
        <v>560</v>
      </c>
      <c r="D40" s="30"/>
      <c r="E40" s="17"/>
      <c r="F40" s="30"/>
      <c r="G40" s="46"/>
      <c r="H40" s="18"/>
      <c r="I40" s="46"/>
      <c r="J40" s="18"/>
      <c r="K40" s="18"/>
      <c r="L40" s="28"/>
      <c r="M40" s="28"/>
      <c r="N40" s="28">
        <f>11700000/4</f>
        <v>2925000</v>
      </c>
      <c r="O40" s="53">
        <f t="shared" si="0"/>
        <v>2925000</v>
      </c>
      <c r="P40" s="28"/>
      <c r="Q40" s="54">
        <f t="shared" si="1"/>
        <v>-2925000</v>
      </c>
      <c r="S40" s="5"/>
      <c r="T40" s="5"/>
    </row>
    <row r="41" spans="1:20" ht="40.5" customHeight="1" x14ac:dyDescent="0.25">
      <c r="A41" s="25"/>
      <c r="B41" s="6"/>
      <c r="C41" s="17" t="s">
        <v>561</v>
      </c>
      <c r="D41" s="30"/>
      <c r="E41" s="17"/>
      <c r="F41" s="30"/>
      <c r="G41" s="46"/>
      <c r="H41" s="18"/>
      <c r="I41" s="46"/>
      <c r="J41" s="18"/>
      <c r="K41" s="18">
        <v>370000</v>
      </c>
      <c r="L41" s="28"/>
      <c r="M41" s="28"/>
      <c r="N41" s="28"/>
      <c r="O41" s="53">
        <f t="shared" si="0"/>
        <v>370000</v>
      </c>
      <c r="P41" s="28"/>
      <c r="Q41" s="54">
        <f t="shared" si="1"/>
        <v>-370000</v>
      </c>
      <c r="S41" s="5"/>
      <c r="T41" s="5"/>
    </row>
    <row r="42" spans="1:20" ht="40.5" customHeight="1" x14ac:dyDescent="0.25">
      <c r="A42" s="25"/>
      <c r="B42" s="6"/>
      <c r="C42" s="17" t="s">
        <v>562</v>
      </c>
      <c r="D42" s="30"/>
      <c r="E42" s="17"/>
      <c r="F42" s="30"/>
      <c r="G42" s="46"/>
      <c r="H42" s="18"/>
      <c r="I42" s="46"/>
      <c r="J42" s="18"/>
      <c r="K42" s="18">
        <v>750000</v>
      </c>
      <c r="L42" s="28"/>
      <c r="M42" s="28"/>
      <c r="N42" s="28"/>
      <c r="O42" s="53">
        <f t="shared" si="0"/>
        <v>750000</v>
      </c>
      <c r="P42" s="28"/>
      <c r="Q42" s="54">
        <f t="shared" si="1"/>
        <v>-750000</v>
      </c>
      <c r="S42" s="5"/>
      <c r="T42" s="5"/>
    </row>
    <row r="43" spans="1:20" ht="40.5" customHeight="1" x14ac:dyDescent="0.25">
      <c r="A43" s="25"/>
      <c r="B43" s="6"/>
      <c r="C43" s="17" t="s">
        <v>563</v>
      </c>
      <c r="D43" s="30"/>
      <c r="E43" s="17"/>
      <c r="F43" s="30"/>
      <c r="G43" s="46"/>
      <c r="H43" s="18"/>
      <c r="I43" s="46"/>
      <c r="J43" s="18"/>
      <c r="K43" s="18">
        <v>1200000</v>
      </c>
      <c r="L43" s="28"/>
      <c r="M43" s="28"/>
      <c r="N43" s="28"/>
      <c r="O43" s="53">
        <f t="shared" si="0"/>
        <v>1200000</v>
      </c>
      <c r="P43" s="28"/>
      <c r="Q43" s="54">
        <f t="shared" si="1"/>
        <v>-1200000</v>
      </c>
      <c r="S43" s="5"/>
      <c r="T43" s="5"/>
    </row>
    <row r="44" spans="1:20" ht="40.5" customHeight="1" x14ac:dyDescent="0.25">
      <c r="A44" s="25"/>
      <c r="B44" s="6"/>
      <c r="C44" s="17" t="s">
        <v>564</v>
      </c>
      <c r="D44" s="30"/>
      <c r="E44" s="17"/>
      <c r="F44" s="30"/>
      <c r="G44" s="46"/>
      <c r="H44" s="18"/>
      <c r="I44" s="46"/>
      <c r="J44" s="18"/>
      <c r="K44" s="18">
        <v>700000</v>
      </c>
      <c r="L44" s="28"/>
      <c r="M44" s="28"/>
      <c r="N44" s="28"/>
      <c r="O44" s="53">
        <f t="shared" si="0"/>
        <v>700000</v>
      </c>
      <c r="P44" s="28"/>
      <c r="Q44" s="54">
        <f t="shared" si="1"/>
        <v>-700000</v>
      </c>
      <c r="S44" s="5"/>
      <c r="T44" s="5"/>
    </row>
    <row r="45" spans="1:20" ht="40.5" customHeight="1" x14ac:dyDescent="0.25">
      <c r="A45" s="25"/>
      <c r="B45" s="6"/>
      <c r="C45" s="17" t="s">
        <v>569</v>
      </c>
      <c r="D45" s="30"/>
      <c r="E45" s="17"/>
      <c r="F45" s="30"/>
      <c r="G45" s="46"/>
      <c r="H45" s="18"/>
      <c r="I45" s="46"/>
      <c r="J45" s="18"/>
      <c r="K45" s="18"/>
      <c r="L45" s="28"/>
      <c r="M45" s="28">
        <v>5800000</v>
      </c>
      <c r="N45" s="28"/>
      <c r="O45" s="53">
        <f t="shared" si="0"/>
        <v>5800000</v>
      </c>
      <c r="P45" s="28"/>
      <c r="Q45" s="54">
        <f t="shared" si="1"/>
        <v>-5800000</v>
      </c>
      <c r="S45" s="5"/>
      <c r="T45" s="5"/>
    </row>
    <row r="46" spans="1:20" ht="63.75" customHeight="1" x14ac:dyDescent="0.25">
      <c r="A46" s="25"/>
      <c r="B46" s="6"/>
      <c r="C46" s="17" t="s">
        <v>565</v>
      </c>
      <c r="D46" s="30"/>
      <c r="E46" s="17"/>
      <c r="F46" s="30"/>
      <c r="G46" s="46"/>
      <c r="H46" s="18"/>
      <c r="I46" s="46"/>
      <c r="J46" s="18"/>
      <c r="K46" s="18">
        <v>9000000</v>
      </c>
      <c r="L46" s="28"/>
      <c r="M46" s="28"/>
      <c r="N46" s="28"/>
      <c r="O46" s="53">
        <f t="shared" si="0"/>
        <v>9000000</v>
      </c>
      <c r="P46" s="28"/>
      <c r="Q46" s="54">
        <f t="shared" si="1"/>
        <v>-9000000</v>
      </c>
      <c r="S46" s="5"/>
      <c r="T46" s="5"/>
    </row>
    <row r="47" spans="1:20" ht="40.5" customHeight="1" x14ac:dyDescent="0.25">
      <c r="A47" s="25"/>
      <c r="B47" s="6"/>
      <c r="C47" s="17" t="s">
        <v>566</v>
      </c>
      <c r="D47" s="30"/>
      <c r="E47" s="17"/>
      <c r="F47" s="30"/>
      <c r="G47" s="46"/>
      <c r="H47" s="18"/>
      <c r="I47" s="46"/>
      <c r="J47" s="18"/>
      <c r="K47" s="18">
        <v>2200000</v>
      </c>
      <c r="L47" s="28"/>
      <c r="M47" s="28"/>
      <c r="N47" s="28"/>
      <c r="O47" s="53">
        <f t="shared" si="0"/>
        <v>2200000</v>
      </c>
      <c r="P47" s="28"/>
      <c r="Q47" s="54">
        <f t="shared" si="1"/>
        <v>-2200000</v>
      </c>
      <c r="S47" s="5"/>
      <c r="T47" s="5"/>
    </row>
    <row r="48" spans="1:20" ht="59.25" customHeight="1" x14ac:dyDescent="0.25">
      <c r="A48" s="25"/>
      <c r="B48" s="6"/>
      <c r="C48" s="17" t="s">
        <v>567</v>
      </c>
      <c r="D48" s="30"/>
      <c r="E48" s="17"/>
      <c r="F48" s="30"/>
      <c r="G48" s="46"/>
      <c r="H48" s="18"/>
      <c r="I48" s="46"/>
      <c r="J48" s="18"/>
      <c r="K48" s="18">
        <v>490000</v>
      </c>
      <c r="L48" s="28"/>
      <c r="M48" s="28"/>
      <c r="N48" s="28"/>
      <c r="O48" s="53">
        <f t="shared" si="0"/>
        <v>490000</v>
      </c>
      <c r="P48" s="28"/>
      <c r="Q48" s="54">
        <f t="shared" si="1"/>
        <v>-490000</v>
      </c>
      <c r="S48" s="5"/>
      <c r="T48" s="5"/>
    </row>
    <row r="49" spans="1:20" ht="40.5" customHeight="1" x14ac:dyDescent="0.25">
      <c r="A49" s="25"/>
      <c r="B49" s="6"/>
      <c r="C49" s="17" t="s">
        <v>568</v>
      </c>
      <c r="D49" s="30"/>
      <c r="E49" s="17"/>
      <c r="F49" s="30"/>
      <c r="G49" s="46"/>
      <c r="H49" s="18"/>
      <c r="I49" s="46"/>
      <c r="J49" s="18"/>
      <c r="K49" s="18">
        <v>500000</v>
      </c>
      <c r="L49" s="28"/>
      <c r="M49" s="28"/>
      <c r="N49" s="28"/>
      <c r="O49" s="53">
        <f t="shared" si="0"/>
        <v>500000</v>
      </c>
      <c r="P49" s="28"/>
      <c r="Q49" s="54">
        <f t="shared" si="1"/>
        <v>-500000</v>
      </c>
      <c r="S49" s="5"/>
      <c r="T49" s="5"/>
    </row>
    <row r="50" spans="1:20" x14ac:dyDescent="0.25">
      <c r="A50" s="8"/>
      <c r="B50" s="8"/>
      <c r="C50" s="17" t="s">
        <v>131</v>
      </c>
      <c r="D50" s="30"/>
      <c r="E50" s="17"/>
      <c r="F50" s="30"/>
      <c r="G50" s="30"/>
      <c r="H50" s="28"/>
      <c r="I50" s="30"/>
      <c r="J50" s="28"/>
      <c r="K50" s="28"/>
      <c r="L50" s="28">
        <f>1200000*1.1</f>
        <v>1320000</v>
      </c>
      <c r="M50" s="28"/>
      <c r="N50" s="28"/>
      <c r="O50" s="53">
        <f t="shared" si="0"/>
        <v>1320000</v>
      </c>
      <c r="P50" s="28"/>
      <c r="Q50" s="54">
        <f t="shared" si="1"/>
        <v>-1320000</v>
      </c>
    </row>
    <row r="51" spans="1:20" x14ac:dyDescent="0.25">
      <c r="A51" s="8"/>
      <c r="B51" s="8"/>
      <c r="C51" s="17" t="s">
        <v>132</v>
      </c>
      <c r="D51" s="30"/>
      <c r="E51" s="17"/>
      <c r="F51" s="30"/>
      <c r="G51" s="30"/>
      <c r="H51" s="28"/>
      <c r="I51" s="30"/>
      <c r="J51" s="28"/>
      <c r="K51" s="48">
        <f>28/26*9000000</f>
        <v>9692307.692307692</v>
      </c>
      <c r="L51" s="28"/>
      <c r="M51" s="18"/>
      <c r="N51" s="28"/>
      <c r="O51" s="53">
        <f t="shared" si="0"/>
        <v>9692307.692307692</v>
      </c>
      <c r="P51" s="28"/>
      <c r="Q51" s="54">
        <f t="shared" si="1"/>
        <v>-9692307.692307692</v>
      </c>
    </row>
    <row r="52" spans="1:20" x14ac:dyDescent="0.25">
      <c r="A52" s="166" t="s">
        <v>19</v>
      </c>
      <c r="B52" s="167"/>
      <c r="C52" s="167"/>
      <c r="D52" s="167"/>
      <c r="E52" s="167"/>
      <c r="F52" s="168"/>
      <c r="G52" s="52">
        <f t="shared" ref="G52:O52" si="3">SUM(G7:G51)</f>
        <v>3075</v>
      </c>
      <c r="H52" s="4">
        <f t="shared" si="3"/>
        <v>48769500</v>
      </c>
      <c r="I52" s="4">
        <f t="shared" si="3"/>
        <v>0</v>
      </c>
      <c r="J52" s="4">
        <f t="shared" si="3"/>
        <v>29110000</v>
      </c>
      <c r="K52" s="4">
        <f t="shared" si="3"/>
        <v>35022307.692307696</v>
      </c>
      <c r="L52" s="4">
        <f t="shared" si="3"/>
        <v>1320000</v>
      </c>
      <c r="M52" s="4">
        <f t="shared" si="3"/>
        <v>5800000</v>
      </c>
      <c r="N52" s="4">
        <f t="shared" si="3"/>
        <v>2925000</v>
      </c>
      <c r="O52" s="4">
        <f t="shared" si="3"/>
        <v>122946807.6923077</v>
      </c>
      <c r="P52" s="51">
        <f>SUM(P8:P51)</f>
        <v>144559999</v>
      </c>
      <c r="Q52" s="4">
        <f>SUM(Q7:Q51)</f>
        <v>21613191.307692308</v>
      </c>
      <c r="R52" s="24"/>
    </row>
    <row r="53" spans="1:20" x14ac:dyDescent="0.25">
      <c r="O53" s="20"/>
      <c r="Q53" s="26"/>
    </row>
    <row r="54" spans="1:20" x14ac:dyDescent="0.25">
      <c r="P54" s="21" t="s">
        <v>20</v>
      </c>
      <c r="Q54" s="26">
        <f>'2.2019'!Q29+'3.2019'!Q52</f>
        <v>81031065.307692304</v>
      </c>
    </row>
    <row r="58" spans="1:20" x14ac:dyDescent="0.25">
      <c r="B58" s="6"/>
    </row>
    <row r="59" spans="1:20" x14ac:dyDescent="0.25">
      <c r="B59" s="6"/>
    </row>
    <row r="60" spans="1:20" x14ac:dyDescent="0.25">
      <c r="B60" s="6"/>
    </row>
    <row r="61" spans="1:20" x14ac:dyDescent="0.25">
      <c r="B61" s="6"/>
      <c r="H61" s="6"/>
      <c r="J61" s="6"/>
      <c r="K61" s="6"/>
      <c r="L61" s="6"/>
      <c r="M61" s="6"/>
      <c r="N61" s="6"/>
      <c r="O61" s="6"/>
      <c r="P61" s="6"/>
      <c r="Q61" s="6"/>
    </row>
  </sheetData>
  <mergeCells count="14">
    <mergeCell ref="O5:O6"/>
    <mergeCell ref="P5:P6"/>
    <mergeCell ref="Q5:Q6"/>
    <mergeCell ref="A52:F52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0"/>
  <sheetViews>
    <sheetView topLeftCell="B28" workbookViewId="0">
      <selection activeCell="K36" sqref="K36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570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20" x14ac:dyDescent="0.2">
      <c r="A8" s="25">
        <v>1</v>
      </c>
      <c r="B8" s="44">
        <v>43556</v>
      </c>
      <c r="C8" s="10" t="s">
        <v>572</v>
      </c>
      <c r="D8" s="12" t="s">
        <v>596</v>
      </c>
      <c r="E8" s="10" t="s">
        <v>188</v>
      </c>
      <c r="F8" s="8"/>
      <c r="G8" s="12"/>
      <c r="H8" s="3"/>
      <c r="I8" s="12"/>
      <c r="J8" s="50">
        <f>1440000-120000</f>
        <v>1320000</v>
      </c>
      <c r="K8" s="18"/>
      <c r="L8" s="29"/>
      <c r="M8" s="13"/>
      <c r="N8" s="13"/>
      <c r="O8" s="53">
        <f>H8+J8+K8+L8+M8+N8</f>
        <v>1320000</v>
      </c>
      <c r="P8" s="56">
        <v>6100000</v>
      </c>
      <c r="Q8" s="54">
        <f>P8-O8</f>
        <v>4780000</v>
      </c>
      <c r="S8" s="5"/>
      <c r="T8" s="5"/>
    </row>
    <row r="9" spans="1:20" ht="12.75" customHeight="1" x14ac:dyDescent="0.2">
      <c r="A9" s="25">
        <v>2</v>
      </c>
      <c r="B9" s="44">
        <v>43557</v>
      </c>
      <c r="C9" s="10" t="s">
        <v>573</v>
      </c>
      <c r="D9" s="8" t="s">
        <v>597</v>
      </c>
      <c r="E9" s="10" t="s">
        <v>188</v>
      </c>
      <c r="F9" s="8"/>
      <c r="G9" s="12">
        <v>280</v>
      </c>
      <c r="H9" s="3">
        <f>G9*17080</f>
        <v>4782400</v>
      </c>
      <c r="I9" s="12"/>
      <c r="J9" s="50">
        <v>1320000</v>
      </c>
      <c r="K9" s="18"/>
      <c r="L9" s="29"/>
      <c r="M9" s="13"/>
      <c r="N9" s="13"/>
      <c r="O9" s="53">
        <f t="shared" ref="O9:O40" si="0">H9+J9+K9+L9+M9+N9</f>
        <v>6102400</v>
      </c>
      <c r="P9" s="56">
        <v>6100000</v>
      </c>
      <c r="Q9" s="54">
        <f t="shared" ref="Q9:Q40" si="1">P9-O9</f>
        <v>-2400</v>
      </c>
      <c r="S9" s="5"/>
      <c r="T9" s="5"/>
    </row>
    <row r="10" spans="1:20" ht="12.75" customHeight="1" x14ac:dyDescent="0.2">
      <c r="A10" s="25">
        <v>3</v>
      </c>
      <c r="B10" s="44">
        <v>43558</v>
      </c>
      <c r="C10" s="10" t="s">
        <v>574</v>
      </c>
      <c r="D10" s="12" t="s">
        <v>598</v>
      </c>
      <c r="E10" s="10" t="s">
        <v>330</v>
      </c>
      <c r="F10" s="8"/>
      <c r="G10" s="12">
        <v>84</v>
      </c>
      <c r="H10" s="3">
        <f t="shared" ref="H10:H20" si="2">G10*17080</f>
        <v>1434720</v>
      </c>
      <c r="I10" s="12"/>
      <c r="J10" s="50">
        <v>680000</v>
      </c>
      <c r="K10" s="18"/>
      <c r="L10" s="29"/>
      <c r="M10" s="13"/>
      <c r="N10" s="13"/>
      <c r="O10" s="53">
        <f t="shared" si="0"/>
        <v>2114720</v>
      </c>
      <c r="P10" s="56">
        <v>4000000</v>
      </c>
      <c r="Q10" s="54">
        <f t="shared" si="1"/>
        <v>1885280</v>
      </c>
      <c r="S10" s="5"/>
      <c r="T10" s="5"/>
    </row>
    <row r="11" spans="1:20" ht="12.75" customHeight="1" x14ac:dyDescent="0.2">
      <c r="A11" s="25">
        <v>4</v>
      </c>
      <c r="B11" s="44">
        <v>43559</v>
      </c>
      <c r="C11" s="10" t="s">
        <v>575</v>
      </c>
      <c r="D11" s="12" t="s">
        <v>599</v>
      </c>
      <c r="E11" s="10" t="s">
        <v>112</v>
      </c>
      <c r="F11" s="8"/>
      <c r="G11" s="12"/>
      <c r="H11" s="3"/>
      <c r="I11" s="12"/>
      <c r="J11" s="50">
        <v>2230000</v>
      </c>
      <c r="K11" s="18"/>
      <c r="L11" s="29"/>
      <c r="M11" s="13"/>
      <c r="N11" s="13"/>
      <c r="O11" s="53">
        <f t="shared" si="0"/>
        <v>2230000</v>
      </c>
      <c r="P11" s="56">
        <v>13181818</v>
      </c>
      <c r="Q11" s="54">
        <f t="shared" si="1"/>
        <v>10951818</v>
      </c>
      <c r="S11" s="5"/>
      <c r="T11" s="5"/>
    </row>
    <row r="12" spans="1:20" ht="12.75" customHeight="1" x14ac:dyDescent="0.2">
      <c r="A12" s="25">
        <v>5</v>
      </c>
      <c r="B12" s="44">
        <v>43560</v>
      </c>
      <c r="C12" s="10" t="s">
        <v>576</v>
      </c>
      <c r="D12" s="12" t="s">
        <v>600</v>
      </c>
      <c r="E12" s="10" t="s">
        <v>619</v>
      </c>
      <c r="F12" s="8"/>
      <c r="G12" s="12">
        <v>215</v>
      </c>
      <c r="H12" s="3">
        <f t="shared" si="2"/>
        <v>3672200</v>
      </c>
      <c r="I12" s="12"/>
      <c r="J12" s="50">
        <v>930000</v>
      </c>
      <c r="K12" s="18"/>
      <c r="L12" s="29"/>
      <c r="M12" s="13"/>
      <c r="N12" s="13"/>
      <c r="O12" s="53">
        <f t="shared" si="0"/>
        <v>4602200</v>
      </c>
      <c r="P12" s="56">
        <v>3700000</v>
      </c>
      <c r="Q12" s="54">
        <f t="shared" si="1"/>
        <v>-902200</v>
      </c>
      <c r="S12" s="5"/>
      <c r="T12" s="5"/>
    </row>
    <row r="13" spans="1:20" ht="12.75" customHeight="1" x14ac:dyDescent="0.2">
      <c r="A13" s="25">
        <v>6</v>
      </c>
      <c r="B13" s="44">
        <v>43561</v>
      </c>
      <c r="C13" s="10" t="s">
        <v>577</v>
      </c>
      <c r="D13" s="12" t="s">
        <v>601</v>
      </c>
      <c r="E13" s="10" t="s">
        <v>620</v>
      </c>
      <c r="F13" s="8"/>
      <c r="G13" s="12"/>
      <c r="H13" s="3"/>
      <c r="I13" s="12"/>
      <c r="J13" s="50">
        <v>1320000</v>
      </c>
      <c r="K13" s="18"/>
      <c r="L13" s="29"/>
      <c r="M13" s="13"/>
      <c r="N13" s="13"/>
      <c r="O13" s="53">
        <f t="shared" si="0"/>
        <v>1320000</v>
      </c>
      <c r="P13" s="56">
        <v>7100000</v>
      </c>
      <c r="Q13" s="54">
        <f t="shared" si="1"/>
        <v>5780000</v>
      </c>
      <c r="S13" s="5"/>
      <c r="T13" s="5"/>
    </row>
    <row r="14" spans="1:20" ht="12.75" customHeight="1" x14ac:dyDescent="0.2">
      <c r="A14" s="25">
        <v>7</v>
      </c>
      <c r="B14" s="44">
        <v>43563</v>
      </c>
      <c r="C14" s="10" t="s">
        <v>578</v>
      </c>
      <c r="D14" s="12" t="s">
        <v>602</v>
      </c>
      <c r="E14" s="10" t="s">
        <v>621</v>
      </c>
      <c r="F14" s="8"/>
      <c r="G14" s="12">
        <v>218</v>
      </c>
      <c r="H14" s="3">
        <f t="shared" si="2"/>
        <v>3723440</v>
      </c>
      <c r="I14" s="12"/>
      <c r="J14" s="50">
        <v>1500000</v>
      </c>
      <c r="K14" s="18"/>
      <c r="L14" s="29"/>
      <c r="M14" s="13"/>
      <c r="N14" s="13"/>
      <c r="O14" s="53">
        <f t="shared" si="0"/>
        <v>5223440</v>
      </c>
      <c r="P14" s="56">
        <v>5580000</v>
      </c>
      <c r="Q14" s="54">
        <f t="shared" si="1"/>
        <v>356560</v>
      </c>
      <c r="S14" s="5"/>
      <c r="T14" s="5"/>
    </row>
    <row r="15" spans="1:20" ht="12.75" customHeight="1" x14ac:dyDescent="0.2">
      <c r="A15" s="25">
        <v>8</v>
      </c>
      <c r="B15" s="44">
        <v>43564</v>
      </c>
      <c r="C15" s="10" t="s">
        <v>579</v>
      </c>
      <c r="D15" s="12" t="s">
        <v>603</v>
      </c>
      <c r="E15" s="10" t="s">
        <v>188</v>
      </c>
      <c r="F15" s="8"/>
      <c r="G15" s="12"/>
      <c r="H15" s="3"/>
      <c r="I15" s="12"/>
      <c r="J15" s="50">
        <v>1320000</v>
      </c>
      <c r="K15" s="18"/>
      <c r="L15" s="29"/>
      <c r="M15" s="13"/>
      <c r="N15" s="13"/>
      <c r="O15" s="53">
        <f t="shared" si="0"/>
        <v>1320000</v>
      </c>
      <c r="P15" s="56">
        <v>6100000</v>
      </c>
      <c r="Q15" s="54">
        <f t="shared" si="1"/>
        <v>4780000</v>
      </c>
      <c r="S15" s="5"/>
      <c r="T15" s="5"/>
    </row>
    <row r="16" spans="1:20" ht="12.75" customHeight="1" x14ac:dyDescent="0.2">
      <c r="A16" s="25">
        <v>9</v>
      </c>
      <c r="B16" s="44">
        <v>43565</v>
      </c>
      <c r="C16" s="10" t="s">
        <v>580</v>
      </c>
      <c r="D16" s="12" t="s">
        <v>604</v>
      </c>
      <c r="E16" s="10" t="s">
        <v>331</v>
      </c>
      <c r="F16" s="8"/>
      <c r="G16" s="12">
        <v>246</v>
      </c>
      <c r="H16" s="3">
        <f t="shared" si="2"/>
        <v>4201680</v>
      </c>
      <c r="I16" s="12"/>
      <c r="J16" s="50">
        <v>930000</v>
      </c>
      <c r="K16" s="18"/>
      <c r="L16" s="29"/>
      <c r="M16" s="13"/>
      <c r="N16" s="13"/>
      <c r="O16" s="53">
        <f t="shared" si="0"/>
        <v>5131680</v>
      </c>
      <c r="P16" s="56">
        <v>3800000</v>
      </c>
      <c r="Q16" s="54">
        <f t="shared" si="1"/>
        <v>-1331680</v>
      </c>
      <c r="S16" s="5"/>
      <c r="T16" s="5"/>
    </row>
    <row r="17" spans="1:20" ht="12.75" customHeight="1" x14ac:dyDescent="0.2">
      <c r="A17" s="25">
        <v>10</v>
      </c>
      <c r="B17" s="44">
        <v>43566</v>
      </c>
      <c r="C17" s="10" t="s">
        <v>581</v>
      </c>
      <c r="D17" s="12" t="s">
        <v>605</v>
      </c>
      <c r="E17" s="10" t="s">
        <v>622</v>
      </c>
      <c r="F17" s="8"/>
      <c r="G17" s="12"/>
      <c r="H17" s="3"/>
      <c r="I17" s="12"/>
      <c r="J17" s="50">
        <v>830000</v>
      </c>
      <c r="K17" s="18"/>
      <c r="L17" s="29"/>
      <c r="M17" s="13"/>
      <c r="N17" s="13"/>
      <c r="O17" s="53">
        <f t="shared" si="0"/>
        <v>830000</v>
      </c>
      <c r="P17" s="56">
        <v>4000000</v>
      </c>
      <c r="Q17" s="54">
        <f t="shared" si="1"/>
        <v>3170000</v>
      </c>
      <c r="S17" s="5"/>
      <c r="T17" s="5"/>
    </row>
    <row r="18" spans="1:20" ht="12.75" customHeight="1" x14ac:dyDescent="0.2">
      <c r="A18" s="25">
        <v>11</v>
      </c>
      <c r="B18" s="44">
        <v>43567</v>
      </c>
      <c r="C18" s="10" t="s">
        <v>582</v>
      </c>
      <c r="D18" s="12" t="s">
        <v>606</v>
      </c>
      <c r="E18" s="10" t="s">
        <v>184</v>
      </c>
      <c r="F18" s="8"/>
      <c r="G18" s="12">
        <v>162</v>
      </c>
      <c r="H18" s="3">
        <f t="shared" si="2"/>
        <v>2766960</v>
      </c>
      <c r="I18" s="12"/>
      <c r="J18" s="50">
        <v>1060000</v>
      </c>
      <c r="K18" s="18"/>
      <c r="L18" s="29"/>
      <c r="M18" s="13"/>
      <c r="N18" s="13"/>
      <c r="O18" s="53">
        <f t="shared" si="0"/>
        <v>3826960</v>
      </c>
      <c r="P18" s="56">
        <v>5000000</v>
      </c>
      <c r="Q18" s="54">
        <f t="shared" si="1"/>
        <v>1173040</v>
      </c>
      <c r="S18" s="5"/>
      <c r="T18" s="5"/>
    </row>
    <row r="19" spans="1:20" ht="12.75" customHeight="1" x14ac:dyDescent="0.2">
      <c r="A19" s="25">
        <v>12</v>
      </c>
      <c r="B19" s="44">
        <v>43568</v>
      </c>
      <c r="C19" s="10" t="s">
        <v>583</v>
      </c>
      <c r="D19" s="12" t="s">
        <v>607</v>
      </c>
      <c r="E19" s="10" t="s">
        <v>623</v>
      </c>
      <c r="F19" s="8"/>
      <c r="G19" s="12"/>
      <c r="H19" s="3"/>
      <c r="I19" s="12"/>
      <c r="J19" s="50">
        <v>930000</v>
      </c>
      <c r="K19" s="18"/>
      <c r="L19" s="29"/>
      <c r="M19" s="13"/>
      <c r="N19" s="13"/>
      <c r="O19" s="53">
        <f t="shared" si="0"/>
        <v>930000</v>
      </c>
      <c r="P19" s="58">
        <v>3500000</v>
      </c>
      <c r="Q19" s="54">
        <f t="shared" si="1"/>
        <v>2570000</v>
      </c>
      <c r="S19" s="5"/>
      <c r="T19" s="5"/>
    </row>
    <row r="20" spans="1:20" ht="12.75" customHeight="1" x14ac:dyDescent="0.2">
      <c r="A20" s="25">
        <v>13</v>
      </c>
      <c r="B20" s="44">
        <v>43571</v>
      </c>
      <c r="C20" s="10" t="s">
        <v>584</v>
      </c>
      <c r="D20" s="12" t="s">
        <v>608</v>
      </c>
      <c r="E20" s="10" t="s">
        <v>188</v>
      </c>
      <c r="F20" s="8"/>
      <c r="G20" s="12">
        <v>170</v>
      </c>
      <c r="H20" s="3">
        <f t="shared" si="2"/>
        <v>2903600</v>
      </c>
      <c r="I20" s="12"/>
      <c r="J20" s="50">
        <v>1320000</v>
      </c>
      <c r="K20" s="18"/>
      <c r="L20" s="29"/>
      <c r="M20" s="13"/>
      <c r="N20" s="13"/>
      <c r="O20" s="53">
        <f t="shared" si="0"/>
        <v>4223600</v>
      </c>
      <c r="P20" s="56">
        <v>6100000</v>
      </c>
      <c r="Q20" s="54">
        <f t="shared" si="1"/>
        <v>1876400</v>
      </c>
      <c r="S20" s="5"/>
      <c r="T20" s="5"/>
    </row>
    <row r="21" spans="1:20" ht="12.75" customHeight="1" x14ac:dyDescent="0.2">
      <c r="A21" s="25">
        <v>14</v>
      </c>
      <c r="B21" s="44">
        <v>43572</v>
      </c>
      <c r="C21" s="10" t="s">
        <v>585</v>
      </c>
      <c r="D21" s="12" t="s">
        <v>252</v>
      </c>
      <c r="E21" s="10" t="s">
        <v>624</v>
      </c>
      <c r="F21" s="8"/>
      <c r="G21" s="12">
        <v>246</v>
      </c>
      <c r="H21" s="3">
        <f>G21*17380</f>
        <v>4275480</v>
      </c>
      <c r="I21" s="12"/>
      <c r="J21" s="50">
        <v>1320000</v>
      </c>
      <c r="K21" s="18"/>
      <c r="L21" s="29"/>
      <c r="M21" s="13"/>
      <c r="N21" s="13"/>
      <c r="O21" s="53">
        <f t="shared" si="0"/>
        <v>5595480</v>
      </c>
      <c r="P21" s="56">
        <v>5600000</v>
      </c>
      <c r="Q21" s="54">
        <f t="shared" si="1"/>
        <v>4520</v>
      </c>
      <c r="S21" s="5"/>
      <c r="T21" s="5"/>
    </row>
    <row r="22" spans="1:20" ht="12.75" customHeight="1" x14ac:dyDescent="0.2">
      <c r="A22" s="25">
        <v>15</v>
      </c>
      <c r="B22" s="44">
        <v>43573</v>
      </c>
      <c r="C22" s="10" t="s">
        <v>586</v>
      </c>
      <c r="D22" s="12" t="s">
        <v>609</v>
      </c>
      <c r="E22" s="10" t="s">
        <v>121</v>
      </c>
      <c r="F22" s="8"/>
      <c r="G22" s="12"/>
      <c r="H22" s="3"/>
      <c r="I22" s="12"/>
      <c r="J22" s="50">
        <v>2230000</v>
      </c>
      <c r="K22" s="18"/>
      <c r="L22" s="29"/>
      <c r="M22" s="13"/>
      <c r="N22" s="13"/>
      <c r="O22" s="53">
        <f t="shared" si="0"/>
        <v>2230000</v>
      </c>
      <c r="P22" s="56">
        <v>12090909</v>
      </c>
      <c r="Q22" s="54">
        <f t="shared" si="1"/>
        <v>9860909</v>
      </c>
      <c r="S22" s="5"/>
      <c r="T22" s="5"/>
    </row>
    <row r="23" spans="1:20" ht="12.75" customHeight="1" x14ac:dyDescent="0.2">
      <c r="A23" s="25">
        <v>16</v>
      </c>
      <c r="B23" s="44">
        <v>43574</v>
      </c>
      <c r="C23" s="10" t="s">
        <v>587</v>
      </c>
      <c r="D23" s="12" t="s">
        <v>610</v>
      </c>
      <c r="E23" s="10" t="s">
        <v>625</v>
      </c>
      <c r="F23" s="8"/>
      <c r="G23" s="12">
        <v>193</v>
      </c>
      <c r="H23" s="3">
        <f t="shared" ref="H23:H28" si="3">G23*17380</f>
        <v>3354340</v>
      </c>
      <c r="I23" s="12"/>
      <c r="J23" s="50">
        <v>990000</v>
      </c>
      <c r="K23" s="18"/>
      <c r="L23" s="29"/>
      <c r="M23" s="13"/>
      <c r="N23" s="13"/>
      <c r="O23" s="53">
        <f t="shared" si="0"/>
        <v>4344340</v>
      </c>
      <c r="P23" s="56">
        <v>4900000</v>
      </c>
      <c r="Q23" s="54">
        <f t="shared" si="1"/>
        <v>555660</v>
      </c>
      <c r="S23" s="5"/>
      <c r="T23" s="5"/>
    </row>
    <row r="24" spans="1:20" ht="12.75" customHeight="1" x14ac:dyDescent="0.2">
      <c r="A24" s="25">
        <v>17</v>
      </c>
      <c r="B24" s="44">
        <v>43575</v>
      </c>
      <c r="C24" s="10" t="s">
        <v>588</v>
      </c>
      <c r="D24" s="8" t="s">
        <v>611</v>
      </c>
      <c r="E24" s="10" t="s">
        <v>325</v>
      </c>
      <c r="F24" s="8"/>
      <c r="G24" s="12"/>
      <c r="H24" s="3"/>
      <c r="I24" s="12"/>
      <c r="J24" s="50">
        <v>810000</v>
      </c>
      <c r="K24" s="18"/>
      <c r="L24" s="29"/>
      <c r="M24" s="13"/>
      <c r="N24" s="13"/>
      <c r="O24" s="53">
        <f t="shared" si="0"/>
        <v>810000</v>
      </c>
      <c r="P24" s="56">
        <v>4200000</v>
      </c>
      <c r="Q24" s="54">
        <f t="shared" si="1"/>
        <v>3390000</v>
      </c>
      <c r="S24" s="5"/>
      <c r="T24" s="5"/>
    </row>
    <row r="25" spans="1:20" ht="12.75" customHeight="1" x14ac:dyDescent="0.2">
      <c r="A25" s="25">
        <v>18</v>
      </c>
      <c r="B25" s="44">
        <v>43577</v>
      </c>
      <c r="C25" s="10" t="s">
        <v>589</v>
      </c>
      <c r="D25" s="8" t="s">
        <v>612</v>
      </c>
      <c r="E25" s="10" t="s">
        <v>626</v>
      </c>
      <c r="F25" s="8"/>
      <c r="G25" s="12">
        <v>210</v>
      </c>
      <c r="H25" s="3">
        <f t="shared" si="3"/>
        <v>3649800</v>
      </c>
      <c r="I25" s="12"/>
      <c r="J25" s="50">
        <v>1380000</v>
      </c>
      <c r="K25" s="18"/>
      <c r="L25" s="29"/>
      <c r="M25" s="13"/>
      <c r="N25" s="13"/>
      <c r="O25" s="53">
        <f t="shared" si="0"/>
        <v>5029800</v>
      </c>
      <c r="P25" s="56">
        <v>5500000</v>
      </c>
      <c r="Q25" s="54">
        <f t="shared" si="1"/>
        <v>470200</v>
      </c>
      <c r="S25" s="5"/>
      <c r="T25" s="5"/>
    </row>
    <row r="26" spans="1:20" ht="12.75" customHeight="1" x14ac:dyDescent="0.2">
      <c r="A26" s="25">
        <v>19</v>
      </c>
      <c r="B26" s="44">
        <v>43578</v>
      </c>
      <c r="C26" s="10" t="s">
        <v>590</v>
      </c>
      <c r="D26" s="8" t="s">
        <v>613</v>
      </c>
      <c r="E26" s="10" t="s">
        <v>258</v>
      </c>
      <c r="F26" s="8"/>
      <c r="G26" s="12">
        <v>108</v>
      </c>
      <c r="H26" s="3">
        <f t="shared" si="3"/>
        <v>1877040</v>
      </c>
      <c r="I26" s="12"/>
      <c r="J26" s="50">
        <v>1970000</v>
      </c>
      <c r="K26" s="18"/>
      <c r="L26" s="29"/>
      <c r="M26" s="13"/>
      <c r="N26" s="13"/>
      <c r="O26" s="53">
        <f t="shared" si="0"/>
        <v>3847040</v>
      </c>
      <c r="P26" s="56">
        <v>9545455</v>
      </c>
      <c r="Q26" s="54">
        <f t="shared" si="1"/>
        <v>5698415</v>
      </c>
      <c r="S26" s="5"/>
      <c r="T26" s="5"/>
    </row>
    <row r="27" spans="1:20" ht="12.75" customHeight="1" x14ac:dyDescent="0.2">
      <c r="A27" s="25">
        <v>20</v>
      </c>
      <c r="B27" s="44">
        <v>43579</v>
      </c>
      <c r="C27" s="10" t="s">
        <v>591</v>
      </c>
      <c r="D27" s="8" t="s">
        <v>614</v>
      </c>
      <c r="E27" s="10" t="s">
        <v>387</v>
      </c>
      <c r="F27" s="8"/>
      <c r="G27" s="12">
        <v>160</v>
      </c>
      <c r="H27" s="3">
        <f t="shared" si="3"/>
        <v>2780800</v>
      </c>
      <c r="I27" s="12"/>
      <c r="J27" s="50">
        <v>1060000</v>
      </c>
      <c r="K27" s="18"/>
      <c r="L27" s="29"/>
      <c r="M27" s="13"/>
      <c r="N27" s="13"/>
      <c r="O27" s="53">
        <f t="shared" si="0"/>
        <v>3840800</v>
      </c>
      <c r="P27" s="56">
        <v>5000000</v>
      </c>
      <c r="Q27" s="54">
        <f t="shared" si="1"/>
        <v>1159200</v>
      </c>
      <c r="S27" s="5"/>
      <c r="T27" s="5"/>
    </row>
    <row r="28" spans="1:20" ht="12.75" customHeight="1" x14ac:dyDescent="0.2">
      <c r="A28" s="25">
        <v>21</v>
      </c>
      <c r="B28" s="44">
        <v>43580</v>
      </c>
      <c r="C28" s="10" t="s">
        <v>592</v>
      </c>
      <c r="D28" s="8" t="s">
        <v>615</v>
      </c>
      <c r="E28" s="10" t="s">
        <v>122</v>
      </c>
      <c r="F28" s="8"/>
      <c r="G28" s="12">
        <v>178</v>
      </c>
      <c r="H28" s="3">
        <f t="shared" si="3"/>
        <v>3093640</v>
      </c>
      <c r="I28" s="12"/>
      <c r="J28" s="50">
        <v>930000</v>
      </c>
      <c r="K28" s="18"/>
      <c r="L28" s="29"/>
      <c r="M28" s="13"/>
      <c r="N28" s="13"/>
      <c r="O28" s="53">
        <f t="shared" si="0"/>
        <v>4023640</v>
      </c>
      <c r="P28" s="56">
        <v>3900000</v>
      </c>
      <c r="Q28" s="54">
        <f t="shared" si="1"/>
        <v>-123640</v>
      </c>
      <c r="S28" s="5"/>
      <c r="T28" s="5"/>
    </row>
    <row r="29" spans="1:20" ht="12.75" customHeight="1" x14ac:dyDescent="0.2">
      <c r="A29" s="25">
        <v>22</v>
      </c>
      <c r="B29" s="44">
        <v>43581</v>
      </c>
      <c r="C29" s="10" t="s">
        <v>593</v>
      </c>
      <c r="D29" s="8" t="s">
        <v>616</v>
      </c>
      <c r="E29" s="10" t="s">
        <v>113</v>
      </c>
      <c r="F29" s="8"/>
      <c r="G29" s="12"/>
      <c r="H29" s="3"/>
      <c r="I29" s="12"/>
      <c r="J29" s="50">
        <v>1320000</v>
      </c>
      <c r="K29" s="18"/>
      <c r="L29" s="29"/>
      <c r="M29" s="13"/>
      <c r="N29" s="13"/>
      <c r="O29" s="53">
        <f t="shared" si="0"/>
        <v>1320000</v>
      </c>
      <c r="P29" s="56">
        <v>6300000</v>
      </c>
      <c r="Q29" s="54">
        <f t="shared" si="1"/>
        <v>4980000</v>
      </c>
      <c r="S29" s="5"/>
      <c r="T29" s="5"/>
    </row>
    <row r="30" spans="1:20" ht="12.75" customHeight="1" x14ac:dyDescent="0.2">
      <c r="A30" s="25">
        <v>23</v>
      </c>
      <c r="B30" s="44">
        <v>43582</v>
      </c>
      <c r="C30" s="10" t="s">
        <v>594</v>
      </c>
      <c r="D30" s="8" t="s">
        <v>617</v>
      </c>
      <c r="E30" s="10" t="s">
        <v>388</v>
      </c>
      <c r="F30" s="8"/>
      <c r="G30" s="12"/>
      <c r="H30" s="3"/>
      <c r="I30" s="12"/>
      <c r="J30" s="50">
        <v>1060000</v>
      </c>
      <c r="K30" s="18"/>
      <c r="L30" s="29"/>
      <c r="M30" s="13"/>
      <c r="N30" s="13"/>
      <c r="O30" s="53">
        <f t="shared" si="0"/>
        <v>1060000</v>
      </c>
      <c r="P30" s="56">
        <v>5000000</v>
      </c>
      <c r="Q30" s="54">
        <f t="shared" si="1"/>
        <v>3940000</v>
      </c>
      <c r="S30" s="5"/>
      <c r="T30" s="5"/>
    </row>
    <row r="31" spans="1:20" ht="12.75" customHeight="1" x14ac:dyDescent="0.2">
      <c r="A31" s="25">
        <v>24</v>
      </c>
      <c r="B31" s="44">
        <v>43584</v>
      </c>
      <c r="C31" s="10" t="s">
        <v>595</v>
      </c>
      <c r="D31" s="8" t="s">
        <v>618</v>
      </c>
      <c r="E31" s="10" t="s">
        <v>627</v>
      </c>
      <c r="F31" s="8"/>
      <c r="G31" s="12">
        <v>264</v>
      </c>
      <c r="H31" s="3">
        <f t="shared" ref="H31" si="4">G31*17380</f>
        <v>4588320</v>
      </c>
      <c r="I31" s="12"/>
      <c r="J31" s="50">
        <v>680000</v>
      </c>
      <c r="K31" s="18"/>
      <c r="L31" s="29"/>
      <c r="M31" s="13"/>
      <c r="N31" s="13"/>
      <c r="O31" s="53">
        <f t="shared" si="0"/>
        <v>5268320</v>
      </c>
      <c r="P31" s="56">
        <v>3500000</v>
      </c>
      <c r="Q31" s="54">
        <f t="shared" si="1"/>
        <v>-1768320</v>
      </c>
      <c r="S31" s="5"/>
      <c r="T31" s="5"/>
    </row>
    <row r="32" spans="1:20" ht="12.75" customHeight="1" x14ac:dyDescent="0.2">
      <c r="A32" s="25"/>
      <c r="B32" s="44"/>
      <c r="C32" s="10"/>
      <c r="D32" s="8"/>
      <c r="E32" s="10"/>
      <c r="F32" s="8"/>
      <c r="G32" s="12"/>
      <c r="H32" s="3"/>
      <c r="I32" s="12"/>
      <c r="J32" s="3"/>
      <c r="K32" s="18"/>
      <c r="L32" s="29"/>
      <c r="M32" s="13"/>
      <c r="N32" s="13"/>
      <c r="O32" s="53">
        <f t="shared" si="0"/>
        <v>0</v>
      </c>
      <c r="P32" s="56"/>
      <c r="Q32" s="54">
        <f t="shared" si="1"/>
        <v>0</v>
      </c>
      <c r="S32" s="5"/>
      <c r="T32" s="5"/>
    </row>
    <row r="33" spans="1:20" ht="12.75" customHeight="1" x14ac:dyDescent="0.25">
      <c r="A33" s="25"/>
      <c r="B33" s="44"/>
      <c r="C33" s="10"/>
      <c r="D33" s="45"/>
      <c r="E33" s="10"/>
      <c r="F33" s="8"/>
      <c r="G33" s="12"/>
      <c r="H33" s="3"/>
      <c r="I33" s="12"/>
      <c r="J33" s="13"/>
      <c r="K33" s="18"/>
      <c r="L33" s="29"/>
      <c r="M33" s="13"/>
      <c r="N33" s="13"/>
      <c r="O33" s="53">
        <f t="shared" si="0"/>
        <v>0</v>
      </c>
      <c r="P33" s="13"/>
      <c r="Q33" s="54">
        <f t="shared" si="1"/>
        <v>0</v>
      </c>
      <c r="S33" s="5"/>
      <c r="T33" s="5"/>
    </row>
    <row r="34" spans="1:20" ht="12.75" customHeight="1" x14ac:dyDescent="0.25">
      <c r="A34" s="25"/>
      <c r="B34" s="44"/>
      <c r="C34" s="10"/>
      <c r="D34" s="8"/>
      <c r="E34" s="10"/>
      <c r="F34" s="8"/>
      <c r="G34" s="12"/>
      <c r="H34" s="3"/>
      <c r="I34" s="12"/>
      <c r="J34" s="3"/>
      <c r="K34" s="18"/>
      <c r="L34" s="29"/>
      <c r="M34" s="13"/>
      <c r="N34" s="13"/>
      <c r="O34" s="53">
        <f t="shared" si="0"/>
        <v>0</v>
      </c>
      <c r="P34" s="3"/>
      <c r="Q34" s="54">
        <f t="shared" si="1"/>
        <v>0</v>
      </c>
      <c r="S34" s="5"/>
      <c r="T34" s="5"/>
    </row>
    <row r="35" spans="1:20" ht="40.5" customHeight="1" x14ac:dyDescent="0.25">
      <c r="A35" s="25"/>
      <c r="B35" s="6"/>
      <c r="C35" s="17" t="s">
        <v>628</v>
      </c>
      <c r="D35" s="30"/>
      <c r="E35" s="17"/>
      <c r="F35" s="30"/>
      <c r="G35" s="46"/>
      <c r="H35" s="18"/>
      <c r="I35" s="46"/>
      <c r="J35" s="18"/>
      <c r="K35" s="18"/>
      <c r="L35" s="28"/>
      <c r="M35" s="28">
        <v>5800000</v>
      </c>
      <c r="N35" s="28"/>
      <c r="O35" s="53">
        <f t="shared" si="0"/>
        <v>5800000</v>
      </c>
      <c r="P35" s="28"/>
      <c r="Q35" s="54">
        <f t="shared" si="1"/>
        <v>-5800000</v>
      </c>
      <c r="S35" s="5"/>
      <c r="T35" s="5"/>
    </row>
    <row r="36" spans="1:20" ht="40.5" customHeight="1" x14ac:dyDescent="0.25">
      <c r="A36" s="25"/>
      <c r="B36" s="6"/>
      <c r="C36" s="17" t="s">
        <v>629</v>
      </c>
      <c r="D36" s="30"/>
      <c r="E36" s="17"/>
      <c r="F36" s="30"/>
      <c r="G36" s="46"/>
      <c r="H36" s="18"/>
      <c r="I36" s="46"/>
      <c r="J36" s="18"/>
      <c r="K36" s="18">
        <v>1045000</v>
      </c>
      <c r="L36" s="28"/>
      <c r="M36" s="28"/>
      <c r="N36" s="28"/>
      <c r="O36" s="53">
        <f t="shared" si="0"/>
        <v>1045000</v>
      </c>
      <c r="P36" s="28"/>
      <c r="Q36" s="54">
        <f t="shared" si="1"/>
        <v>-1045000</v>
      </c>
      <c r="S36" s="5"/>
      <c r="T36" s="5"/>
    </row>
    <row r="37" spans="1:20" ht="54.75" customHeight="1" x14ac:dyDescent="0.25">
      <c r="A37" s="25"/>
      <c r="B37" s="6"/>
      <c r="C37" s="17" t="s">
        <v>631</v>
      </c>
      <c r="D37" s="30"/>
      <c r="E37" s="17"/>
      <c r="F37" s="30"/>
      <c r="G37" s="46"/>
      <c r="H37" s="18"/>
      <c r="I37" s="46"/>
      <c r="J37" s="18"/>
      <c r="K37" s="18">
        <v>800000</v>
      </c>
      <c r="L37" s="28"/>
      <c r="M37" s="28"/>
      <c r="N37" s="28"/>
      <c r="O37" s="53">
        <f t="shared" si="0"/>
        <v>800000</v>
      </c>
      <c r="P37" s="28"/>
      <c r="Q37" s="54">
        <f t="shared" si="1"/>
        <v>-800000</v>
      </c>
      <c r="S37" s="5"/>
      <c r="T37" s="5"/>
    </row>
    <row r="38" spans="1:20" ht="23.25" customHeight="1" x14ac:dyDescent="0.25">
      <c r="A38" s="25"/>
      <c r="B38" s="6"/>
      <c r="C38" s="17" t="s">
        <v>630</v>
      </c>
      <c r="D38" s="30"/>
      <c r="E38" s="17"/>
      <c r="F38" s="30"/>
      <c r="G38" s="46"/>
      <c r="H38" s="18"/>
      <c r="I38" s="46"/>
      <c r="J38" s="18"/>
      <c r="K38" s="18">
        <v>300000</v>
      </c>
      <c r="L38" s="28"/>
      <c r="M38" s="28"/>
      <c r="N38" s="28"/>
      <c r="O38" s="53">
        <f t="shared" si="0"/>
        <v>300000</v>
      </c>
      <c r="P38" s="28"/>
      <c r="Q38" s="54">
        <f t="shared" si="1"/>
        <v>-300000</v>
      </c>
      <c r="S38" s="5"/>
      <c r="T38" s="5"/>
    </row>
    <row r="39" spans="1:20" x14ac:dyDescent="0.25">
      <c r="A39" s="8"/>
      <c r="B39" s="8"/>
      <c r="C39" s="17" t="s">
        <v>131</v>
      </c>
      <c r="D39" s="30"/>
      <c r="E39" s="17"/>
      <c r="F39" s="30"/>
      <c r="G39" s="30"/>
      <c r="H39" s="28"/>
      <c r="I39" s="30"/>
      <c r="J39" s="28"/>
      <c r="K39" s="28"/>
      <c r="L39" s="28">
        <f>1200000*1.1</f>
        <v>1320000</v>
      </c>
      <c r="M39" s="28"/>
      <c r="N39" s="28"/>
      <c r="O39" s="53">
        <f t="shared" si="0"/>
        <v>1320000</v>
      </c>
      <c r="P39" s="28"/>
      <c r="Q39" s="54">
        <f t="shared" si="1"/>
        <v>-1320000</v>
      </c>
    </row>
    <row r="40" spans="1:20" x14ac:dyDescent="0.25">
      <c r="A40" s="8"/>
      <c r="B40" s="8"/>
      <c r="C40" s="17" t="s">
        <v>132</v>
      </c>
      <c r="D40" s="30"/>
      <c r="E40" s="17"/>
      <c r="F40" s="30"/>
      <c r="G40" s="30"/>
      <c r="H40" s="28"/>
      <c r="I40" s="30"/>
      <c r="J40" s="28"/>
      <c r="K40" s="18">
        <v>9000000</v>
      </c>
      <c r="L40" s="28"/>
      <c r="M40" s="18"/>
      <c r="N40" s="28"/>
      <c r="O40" s="53">
        <f t="shared" si="0"/>
        <v>9000000</v>
      </c>
      <c r="P40" s="28"/>
      <c r="Q40" s="54">
        <f t="shared" si="1"/>
        <v>-9000000</v>
      </c>
    </row>
    <row r="41" spans="1:20" x14ac:dyDescent="0.25">
      <c r="A41" s="166" t="s">
        <v>19</v>
      </c>
      <c r="B41" s="167"/>
      <c r="C41" s="167"/>
      <c r="D41" s="167"/>
      <c r="E41" s="167"/>
      <c r="F41" s="168"/>
      <c r="G41" s="52">
        <f t="shared" ref="G41:O41" si="5">SUM(G7:G40)</f>
        <v>2734</v>
      </c>
      <c r="H41" s="4">
        <f t="shared" si="5"/>
        <v>47104420</v>
      </c>
      <c r="I41" s="4">
        <f t="shared" si="5"/>
        <v>0</v>
      </c>
      <c r="J41" s="4">
        <f t="shared" si="5"/>
        <v>29440000</v>
      </c>
      <c r="K41" s="4">
        <f t="shared" si="5"/>
        <v>11145000</v>
      </c>
      <c r="L41" s="4">
        <f t="shared" si="5"/>
        <v>1320000</v>
      </c>
      <c r="M41" s="4">
        <f t="shared" si="5"/>
        <v>5800000</v>
      </c>
      <c r="N41" s="4">
        <f t="shared" si="5"/>
        <v>0</v>
      </c>
      <c r="O41" s="4">
        <f t="shared" si="5"/>
        <v>94809420</v>
      </c>
      <c r="P41" s="51">
        <f>SUM(P8:P40)</f>
        <v>139798182</v>
      </c>
      <c r="Q41" s="4">
        <f>SUM(Q7:Q40)</f>
        <v>44988762</v>
      </c>
      <c r="R41" s="24"/>
    </row>
    <row r="42" spans="1:20" x14ac:dyDescent="0.25">
      <c r="O42" s="20"/>
      <c r="Q42" s="26"/>
    </row>
    <row r="43" spans="1:20" x14ac:dyDescent="0.25">
      <c r="P43" s="21" t="s">
        <v>20</v>
      </c>
      <c r="Q43" s="26">
        <f>'3.2019'!Q54+'4.2019'!Q41</f>
        <v>126019827.3076923</v>
      </c>
    </row>
    <row r="47" spans="1:20" x14ac:dyDescent="0.25">
      <c r="B47" s="6"/>
    </row>
    <row r="48" spans="1:20" x14ac:dyDescent="0.25">
      <c r="B48" s="6"/>
    </row>
    <row r="49" spans="2:17" x14ac:dyDescent="0.25">
      <c r="B49" s="6"/>
    </row>
    <row r="50" spans="2:17" x14ac:dyDescent="0.25">
      <c r="B50" s="6"/>
      <c r="H50" s="6"/>
      <c r="J50" s="6"/>
      <c r="K50" s="6"/>
      <c r="L50" s="6"/>
      <c r="M50" s="6"/>
      <c r="N50" s="6"/>
      <c r="O50" s="6"/>
      <c r="P50" s="6"/>
      <c r="Q50" s="6"/>
    </row>
  </sheetData>
  <mergeCells count="14">
    <mergeCell ref="O5:O6"/>
    <mergeCell ref="P5:P6"/>
    <mergeCell ref="Q5:Q6"/>
    <mergeCell ref="A41:F41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6"/>
  <sheetViews>
    <sheetView topLeftCell="A10" workbookViewId="0">
      <selection activeCell="H27" sqref="H2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685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62"/>
      <c r="B7" s="63"/>
      <c r="C7" s="64"/>
      <c r="D7" s="65"/>
      <c r="E7" s="66"/>
      <c r="F7" s="67"/>
      <c r="G7" s="68"/>
      <c r="H7" s="69"/>
      <c r="I7" s="69"/>
      <c r="J7" s="70"/>
      <c r="K7" s="70"/>
      <c r="L7" s="70"/>
      <c r="M7" s="70"/>
      <c r="N7" s="70"/>
      <c r="O7" s="55"/>
      <c r="P7" s="55"/>
      <c r="Q7" s="55"/>
    </row>
    <row r="8" spans="1:20" x14ac:dyDescent="0.2">
      <c r="A8" s="25">
        <v>1</v>
      </c>
      <c r="B8" s="44">
        <v>43587</v>
      </c>
      <c r="C8" s="10" t="s">
        <v>632</v>
      </c>
      <c r="D8" s="12" t="s">
        <v>652</v>
      </c>
      <c r="E8" s="10" t="s">
        <v>672</v>
      </c>
      <c r="F8" s="8"/>
      <c r="G8" s="12">
        <v>180</v>
      </c>
      <c r="H8" s="3">
        <f>G8*17690</f>
        <v>3184200</v>
      </c>
      <c r="I8" s="12"/>
      <c r="J8" s="50">
        <v>1500000</v>
      </c>
      <c r="K8" s="18"/>
      <c r="L8" s="29"/>
      <c r="M8" s="13"/>
      <c r="N8" s="13"/>
      <c r="O8" s="13">
        <f>SUM(H8:N8)</f>
        <v>4684200</v>
      </c>
      <c r="P8" s="61">
        <v>5580000</v>
      </c>
      <c r="Q8" s="13">
        <f>P8-O8</f>
        <v>895800</v>
      </c>
      <c r="R8" s="71"/>
      <c r="S8" s="5"/>
      <c r="T8" s="5"/>
    </row>
    <row r="9" spans="1:20" ht="12.75" customHeight="1" x14ac:dyDescent="0.2">
      <c r="A9" s="25">
        <v>2</v>
      </c>
      <c r="B9" s="44">
        <v>43587</v>
      </c>
      <c r="C9" s="10" t="s">
        <v>633</v>
      </c>
      <c r="D9" s="8" t="s">
        <v>653</v>
      </c>
      <c r="E9" s="10" t="s">
        <v>673</v>
      </c>
      <c r="F9" s="8"/>
      <c r="G9" s="12">
        <v>0</v>
      </c>
      <c r="H9" s="3">
        <f>G9*17080</f>
        <v>0</v>
      </c>
      <c r="I9" s="12"/>
      <c r="J9" s="50">
        <v>1380000</v>
      </c>
      <c r="K9" s="18"/>
      <c r="L9" s="29"/>
      <c r="M9" s="13"/>
      <c r="N9" s="13"/>
      <c r="O9" s="13">
        <f>SUM(H9:N9)</f>
        <v>1380000</v>
      </c>
      <c r="P9" s="61">
        <v>5800000</v>
      </c>
      <c r="Q9" s="13">
        <f t="shared" ref="Q9:Q36" si="0">P9-O9</f>
        <v>4420000</v>
      </c>
      <c r="R9" s="71"/>
      <c r="S9" s="5"/>
      <c r="T9" s="5"/>
    </row>
    <row r="10" spans="1:20" ht="12.75" customHeight="1" x14ac:dyDescent="0.2">
      <c r="A10" s="25">
        <v>3</v>
      </c>
      <c r="B10" s="44">
        <v>43588</v>
      </c>
      <c r="C10" s="10" t="s">
        <v>634</v>
      </c>
      <c r="D10" s="12" t="s">
        <v>654</v>
      </c>
      <c r="E10" s="10" t="s">
        <v>331</v>
      </c>
      <c r="F10" s="8"/>
      <c r="G10" s="12">
        <v>0</v>
      </c>
      <c r="H10" s="3">
        <f t="shared" ref="H10:H20" si="1">G10*17080</f>
        <v>0</v>
      </c>
      <c r="I10" s="12"/>
      <c r="J10" s="50">
        <v>930000</v>
      </c>
      <c r="K10" s="18"/>
      <c r="L10" s="29"/>
      <c r="M10" s="13"/>
      <c r="N10" s="13"/>
      <c r="O10" s="13">
        <f t="shared" ref="O10:O34" si="2">SUM(H10:N10)</f>
        <v>930000</v>
      </c>
      <c r="P10" s="61">
        <v>3800000</v>
      </c>
      <c r="Q10" s="13">
        <f t="shared" si="0"/>
        <v>2870000</v>
      </c>
      <c r="R10" s="71"/>
      <c r="S10" s="5"/>
      <c r="T10" s="5"/>
    </row>
    <row r="11" spans="1:20" ht="12.75" customHeight="1" x14ac:dyDescent="0.2">
      <c r="A11" s="25">
        <v>4</v>
      </c>
      <c r="B11" s="44">
        <v>43591</v>
      </c>
      <c r="C11" s="10" t="s">
        <v>635</v>
      </c>
      <c r="D11" s="12" t="s">
        <v>655</v>
      </c>
      <c r="E11" s="10" t="s">
        <v>331</v>
      </c>
      <c r="F11" s="8"/>
      <c r="G11" s="12">
        <v>280</v>
      </c>
      <c r="H11" s="3">
        <f t="shared" ref="H11:H18" si="3">G11*17690</f>
        <v>4953200</v>
      </c>
      <c r="I11" s="12"/>
      <c r="J11" s="50">
        <v>930000</v>
      </c>
      <c r="K11" s="18"/>
      <c r="L11" s="29"/>
      <c r="M11" s="13"/>
      <c r="N11" s="13"/>
      <c r="O11" s="13">
        <f t="shared" si="2"/>
        <v>5883200</v>
      </c>
      <c r="P11" s="61">
        <v>3500000</v>
      </c>
      <c r="Q11" s="13">
        <f t="shared" si="0"/>
        <v>-2383200</v>
      </c>
      <c r="R11" s="71"/>
      <c r="S11" s="5"/>
      <c r="T11" s="5"/>
    </row>
    <row r="12" spans="1:20" ht="12.75" customHeight="1" x14ac:dyDescent="0.2">
      <c r="A12" s="25">
        <v>5</v>
      </c>
      <c r="B12" s="44">
        <v>43591</v>
      </c>
      <c r="C12" s="10" t="s">
        <v>636</v>
      </c>
      <c r="D12" s="12" t="s">
        <v>656</v>
      </c>
      <c r="E12" s="10" t="s">
        <v>112</v>
      </c>
      <c r="F12" s="8"/>
      <c r="G12" s="12">
        <v>216</v>
      </c>
      <c r="H12" s="3">
        <f t="shared" si="3"/>
        <v>3821040</v>
      </c>
      <c r="I12" s="12"/>
      <c r="J12" s="50">
        <v>2470000</v>
      </c>
      <c r="K12" s="18"/>
      <c r="L12" s="29"/>
      <c r="M12" s="13"/>
      <c r="N12" s="13"/>
      <c r="O12" s="13">
        <f t="shared" si="2"/>
        <v>6291040</v>
      </c>
      <c r="P12" s="61">
        <v>13181818</v>
      </c>
      <c r="Q12" s="13">
        <f t="shared" si="0"/>
        <v>6890778</v>
      </c>
      <c r="R12" s="71"/>
      <c r="S12" s="5"/>
      <c r="T12" s="5"/>
    </row>
    <row r="13" spans="1:20" ht="12.75" customHeight="1" x14ac:dyDescent="0.2">
      <c r="A13" s="25">
        <v>6</v>
      </c>
      <c r="B13" s="44">
        <v>43591</v>
      </c>
      <c r="C13" s="10" t="s">
        <v>637</v>
      </c>
      <c r="D13" s="12" t="s">
        <v>657</v>
      </c>
      <c r="E13" s="10" t="s">
        <v>674</v>
      </c>
      <c r="F13" s="8"/>
      <c r="G13" s="12">
        <v>0</v>
      </c>
      <c r="H13" s="3">
        <f t="shared" si="3"/>
        <v>0</v>
      </c>
      <c r="I13" s="12"/>
      <c r="J13" s="50">
        <v>1440000</v>
      </c>
      <c r="K13" s="18"/>
      <c r="L13" s="29"/>
      <c r="M13" s="13"/>
      <c r="N13" s="13"/>
      <c r="O13" s="13">
        <f t="shared" si="2"/>
        <v>1440000</v>
      </c>
      <c r="P13" s="61">
        <v>7400000</v>
      </c>
      <c r="Q13" s="13">
        <f t="shared" si="0"/>
        <v>5960000</v>
      </c>
      <c r="R13" s="71"/>
      <c r="S13" s="5"/>
      <c r="T13" s="5"/>
    </row>
    <row r="14" spans="1:20" ht="12.75" customHeight="1" x14ac:dyDescent="0.2">
      <c r="A14" s="25">
        <v>7</v>
      </c>
      <c r="B14" s="44">
        <v>43593</v>
      </c>
      <c r="C14" s="10" t="s">
        <v>638</v>
      </c>
      <c r="D14" s="12" t="s">
        <v>658</v>
      </c>
      <c r="E14" s="10" t="s">
        <v>122</v>
      </c>
      <c r="F14" s="8"/>
      <c r="G14" s="12">
        <v>242</v>
      </c>
      <c r="H14" s="3">
        <f t="shared" si="3"/>
        <v>4280980</v>
      </c>
      <c r="I14" s="12"/>
      <c r="J14" s="50">
        <v>930000</v>
      </c>
      <c r="K14" s="18"/>
      <c r="L14" s="29"/>
      <c r="M14" s="13"/>
      <c r="N14" s="13"/>
      <c r="O14" s="13">
        <f t="shared" si="2"/>
        <v>5210980</v>
      </c>
      <c r="P14" s="61">
        <v>3900000</v>
      </c>
      <c r="Q14" s="13">
        <f t="shared" si="0"/>
        <v>-1310980</v>
      </c>
      <c r="R14" s="71"/>
      <c r="S14" s="5"/>
      <c r="T14" s="5"/>
    </row>
    <row r="15" spans="1:20" ht="12.75" customHeight="1" x14ac:dyDescent="0.2">
      <c r="A15" s="25">
        <v>8</v>
      </c>
      <c r="B15" s="44">
        <v>43594</v>
      </c>
      <c r="C15" s="10" t="s">
        <v>639</v>
      </c>
      <c r="D15" s="12" t="s">
        <v>659</v>
      </c>
      <c r="E15" s="10" t="s">
        <v>325</v>
      </c>
      <c r="F15" s="8"/>
      <c r="G15" s="12">
        <v>0</v>
      </c>
      <c r="H15" s="3">
        <f t="shared" si="3"/>
        <v>0</v>
      </c>
      <c r="I15" s="12"/>
      <c r="J15" s="50">
        <v>810000</v>
      </c>
      <c r="K15" s="18"/>
      <c r="L15" s="29"/>
      <c r="M15" s="13"/>
      <c r="N15" s="13"/>
      <c r="O15" s="13">
        <f t="shared" si="2"/>
        <v>810000</v>
      </c>
      <c r="P15" s="61">
        <v>5200000</v>
      </c>
      <c r="Q15" s="13">
        <f t="shared" si="0"/>
        <v>4390000</v>
      </c>
      <c r="R15" s="71"/>
      <c r="S15" s="5"/>
      <c r="T15" s="5"/>
    </row>
    <row r="16" spans="1:20" ht="12.75" customHeight="1" x14ac:dyDescent="0.2">
      <c r="A16" s="25">
        <v>9</v>
      </c>
      <c r="B16" s="44">
        <v>43596</v>
      </c>
      <c r="C16" s="10" t="s">
        <v>640</v>
      </c>
      <c r="D16" s="12" t="s">
        <v>660</v>
      </c>
      <c r="E16" s="10" t="s">
        <v>184</v>
      </c>
      <c r="F16" s="8"/>
      <c r="G16" s="12">
        <v>0</v>
      </c>
      <c r="H16" s="3">
        <f t="shared" si="3"/>
        <v>0</v>
      </c>
      <c r="I16" s="12"/>
      <c r="J16" s="50">
        <v>1060000</v>
      </c>
      <c r="K16" s="18"/>
      <c r="L16" s="29"/>
      <c r="M16" s="13"/>
      <c r="N16" s="13"/>
      <c r="O16" s="13">
        <f t="shared" si="2"/>
        <v>1060000</v>
      </c>
      <c r="P16" s="61">
        <v>5000000</v>
      </c>
      <c r="Q16" s="13">
        <f t="shared" si="0"/>
        <v>3940000</v>
      </c>
      <c r="R16" s="71"/>
      <c r="S16" s="5"/>
      <c r="T16" s="5"/>
    </row>
    <row r="17" spans="1:20" ht="12.75" customHeight="1" x14ac:dyDescent="0.2">
      <c r="A17" s="25">
        <v>10</v>
      </c>
      <c r="B17" s="44">
        <v>43598</v>
      </c>
      <c r="C17" s="10" t="s">
        <v>641</v>
      </c>
      <c r="D17" s="12" t="s">
        <v>661</v>
      </c>
      <c r="E17" s="10" t="s">
        <v>675</v>
      </c>
      <c r="F17" s="8"/>
      <c r="G17" s="12">
        <v>266</v>
      </c>
      <c r="H17" s="3">
        <f t="shared" si="3"/>
        <v>4705540</v>
      </c>
      <c r="I17" s="12"/>
      <c r="J17" s="50">
        <v>930000</v>
      </c>
      <c r="K17" s="18"/>
      <c r="L17" s="29"/>
      <c r="M17" s="13"/>
      <c r="N17" s="13"/>
      <c r="O17" s="13">
        <f t="shared" si="2"/>
        <v>5635540</v>
      </c>
      <c r="P17" s="61">
        <v>3500000</v>
      </c>
      <c r="Q17" s="13">
        <f t="shared" si="0"/>
        <v>-2135540</v>
      </c>
      <c r="R17" s="71"/>
      <c r="S17" s="5"/>
      <c r="T17" s="5"/>
    </row>
    <row r="18" spans="1:20" ht="12.75" customHeight="1" x14ac:dyDescent="0.2">
      <c r="A18" s="25">
        <v>11</v>
      </c>
      <c r="B18" s="44">
        <v>43599</v>
      </c>
      <c r="C18" s="10" t="s">
        <v>642</v>
      </c>
      <c r="D18" s="12" t="s">
        <v>662</v>
      </c>
      <c r="E18" s="10" t="s">
        <v>121</v>
      </c>
      <c r="F18" s="8"/>
      <c r="G18" s="12">
        <v>210</v>
      </c>
      <c r="H18" s="3">
        <f t="shared" si="3"/>
        <v>3714900</v>
      </c>
      <c r="I18" s="12"/>
      <c r="J18" s="59">
        <v>2470000</v>
      </c>
      <c r="K18" s="18"/>
      <c r="L18" s="29"/>
      <c r="M18" s="13"/>
      <c r="N18" s="13"/>
      <c r="O18" s="13">
        <f t="shared" si="2"/>
        <v>6184900</v>
      </c>
      <c r="P18" s="61">
        <v>13181818</v>
      </c>
      <c r="Q18" s="13">
        <f t="shared" si="0"/>
        <v>6996918</v>
      </c>
      <c r="R18" s="71"/>
      <c r="S18" s="5"/>
      <c r="T18" s="5"/>
    </row>
    <row r="19" spans="1:20" ht="12.75" customHeight="1" x14ac:dyDescent="0.2">
      <c r="A19" s="25">
        <v>12</v>
      </c>
      <c r="B19" s="44">
        <v>43600</v>
      </c>
      <c r="C19" s="10" t="s">
        <v>643</v>
      </c>
      <c r="D19" s="12" t="s">
        <v>663</v>
      </c>
      <c r="E19" s="10" t="s">
        <v>676</v>
      </c>
      <c r="F19" s="8"/>
      <c r="G19" s="12">
        <v>0</v>
      </c>
      <c r="H19" s="3"/>
      <c r="I19" s="12"/>
      <c r="J19" s="50">
        <v>1230000</v>
      </c>
      <c r="K19" s="18"/>
      <c r="L19" s="29"/>
      <c r="M19" s="13"/>
      <c r="N19" s="13"/>
      <c r="O19" s="13">
        <f t="shared" si="2"/>
        <v>1230000</v>
      </c>
      <c r="P19" s="61">
        <v>5000000</v>
      </c>
      <c r="Q19" s="13">
        <f t="shared" si="0"/>
        <v>3770000</v>
      </c>
      <c r="R19" s="71"/>
      <c r="S19" s="5"/>
      <c r="T19" s="5"/>
    </row>
    <row r="20" spans="1:20" ht="12.75" customHeight="1" x14ac:dyDescent="0.2">
      <c r="A20" s="25">
        <v>13</v>
      </c>
      <c r="B20" s="44">
        <v>43601</v>
      </c>
      <c r="C20" s="10" t="s">
        <v>644</v>
      </c>
      <c r="D20" s="12" t="s">
        <v>664</v>
      </c>
      <c r="E20" s="10" t="s">
        <v>330</v>
      </c>
      <c r="F20" s="8"/>
      <c r="G20" s="12">
        <v>0</v>
      </c>
      <c r="H20" s="3">
        <f t="shared" si="1"/>
        <v>0</v>
      </c>
      <c r="I20" s="12"/>
      <c r="J20" s="50">
        <v>680000</v>
      </c>
      <c r="K20" s="18"/>
      <c r="L20" s="29"/>
      <c r="M20" s="13"/>
      <c r="N20" s="13"/>
      <c r="O20" s="13">
        <f t="shared" si="2"/>
        <v>680000</v>
      </c>
      <c r="P20" s="61">
        <v>4000000</v>
      </c>
      <c r="Q20" s="13">
        <f t="shared" si="0"/>
        <v>3320000</v>
      </c>
      <c r="R20" s="71"/>
      <c r="S20" s="5"/>
      <c r="T20" s="5"/>
    </row>
    <row r="21" spans="1:20" ht="12.75" customHeight="1" x14ac:dyDescent="0.2">
      <c r="A21" s="25">
        <v>14</v>
      </c>
      <c r="B21" s="44">
        <v>43602</v>
      </c>
      <c r="C21" s="10" t="s">
        <v>645</v>
      </c>
      <c r="D21" s="12" t="s">
        <v>665</v>
      </c>
      <c r="E21" s="10" t="s">
        <v>330</v>
      </c>
      <c r="F21" s="8"/>
      <c r="G21" s="12">
        <v>336</v>
      </c>
      <c r="H21" s="3">
        <f>G21*17610</f>
        <v>5916960</v>
      </c>
      <c r="I21" s="12"/>
      <c r="J21" s="50">
        <v>680000</v>
      </c>
      <c r="K21" s="18"/>
      <c r="L21" s="29"/>
      <c r="M21" s="13"/>
      <c r="N21" s="13"/>
      <c r="O21" s="13">
        <f t="shared" si="2"/>
        <v>6596960</v>
      </c>
      <c r="P21" s="61">
        <v>4000000</v>
      </c>
      <c r="Q21" s="13">
        <f t="shared" si="0"/>
        <v>-2596960</v>
      </c>
      <c r="R21" s="71"/>
      <c r="S21" s="5"/>
      <c r="T21" s="5"/>
    </row>
    <row r="22" spans="1:20" ht="12.75" customHeight="1" x14ac:dyDescent="0.2">
      <c r="A22" s="25">
        <v>15</v>
      </c>
      <c r="B22" s="44">
        <v>43612</v>
      </c>
      <c r="C22" s="10" t="s">
        <v>646</v>
      </c>
      <c r="D22" s="12" t="s">
        <v>666</v>
      </c>
      <c r="E22" s="10" t="s">
        <v>677</v>
      </c>
      <c r="F22" s="8"/>
      <c r="G22" s="12">
        <v>0</v>
      </c>
      <c r="H22" s="3"/>
      <c r="I22" s="12"/>
      <c r="J22" s="50">
        <v>1060000</v>
      </c>
      <c r="K22" s="18"/>
      <c r="L22" s="29"/>
      <c r="M22" s="13"/>
      <c r="N22" s="13"/>
      <c r="O22" s="13">
        <f t="shared" si="2"/>
        <v>1060000</v>
      </c>
      <c r="P22" s="61">
        <v>5000000</v>
      </c>
      <c r="Q22" s="13">
        <f t="shared" si="0"/>
        <v>3940000</v>
      </c>
      <c r="R22" s="71"/>
      <c r="S22" s="5"/>
      <c r="T22" s="5"/>
    </row>
    <row r="23" spans="1:20" ht="12.75" customHeight="1" x14ac:dyDescent="0.2">
      <c r="A23" s="25">
        <v>16</v>
      </c>
      <c r="B23" s="44">
        <v>43612</v>
      </c>
      <c r="C23" s="10" t="s">
        <v>647</v>
      </c>
      <c r="D23" s="12" t="s">
        <v>667</v>
      </c>
      <c r="E23" s="10" t="s">
        <v>678</v>
      </c>
      <c r="F23" s="8"/>
      <c r="G23" s="12">
        <v>250</v>
      </c>
      <c r="H23" s="3">
        <f>G23*17610</f>
        <v>4402500</v>
      </c>
      <c r="I23" s="12"/>
      <c r="J23" s="50">
        <v>1380000</v>
      </c>
      <c r="K23" s="18"/>
      <c r="L23" s="29"/>
      <c r="M23" s="13"/>
      <c r="N23" s="13"/>
      <c r="O23" s="13">
        <f t="shared" si="2"/>
        <v>5782500</v>
      </c>
      <c r="P23" s="61">
        <v>6300000</v>
      </c>
      <c r="Q23" s="13">
        <f t="shared" si="0"/>
        <v>517500</v>
      </c>
      <c r="R23" s="71"/>
      <c r="S23" s="5"/>
      <c r="T23" s="5"/>
    </row>
    <row r="24" spans="1:20" ht="12.75" customHeight="1" x14ac:dyDescent="0.2">
      <c r="A24" s="25">
        <v>17</v>
      </c>
      <c r="B24" s="44">
        <v>43613</v>
      </c>
      <c r="C24" s="10" t="s">
        <v>648</v>
      </c>
      <c r="D24" s="8" t="s">
        <v>668</v>
      </c>
      <c r="E24" s="10" t="s">
        <v>678</v>
      </c>
      <c r="F24" s="8"/>
      <c r="G24" s="12">
        <v>0</v>
      </c>
      <c r="H24" s="3"/>
      <c r="I24" s="12"/>
      <c r="J24" s="50">
        <v>1320000</v>
      </c>
      <c r="K24" s="18"/>
      <c r="L24" s="29"/>
      <c r="M24" s="13"/>
      <c r="N24" s="13"/>
      <c r="O24" s="13">
        <f t="shared" si="2"/>
        <v>1320000</v>
      </c>
      <c r="P24" s="61">
        <v>6300000</v>
      </c>
      <c r="Q24" s="13">
        <f t="shared" si="0"/>
        <v>4980000</v>
      </c>
      <c r="R24" s="71"/>
      <c r="S24" s="5"/>
      <c r="T24" s="5"/>
    </row>
    <row r="25" spans="1:20" ht="12.75" customHeight="1" x14ac:dyDescent="0.2">
      <c r="A25" s="25">
        <v>18</v>
      </c>
      <c r="B25" s="44">
        <v>43614</v>
      </c>
      <c r="C25" s="10" t="s">
        <v>649</v>
      </c>
      <c r="D25" s="8" t="s">
        <v>669</v>
      </c>
      <c r="E25" s="10" t="s">
        <v>389</v>
      </c>
      <c r="F25" s="8"/>
      <c r="G25" s="12">
        <v>252</v>
      </c>
      <c r="H25" s="3">
        <f>G25*17610</f>
        <v>4437720</v>
      </c>
      <c r="I25" s="12"/>
      <c r="J25" s="50">
        <v>1500000</v>
      </c>
      <c r="K25" s="18"/>
      <c r="L25" s="29"/>
      <c r="M25" s="13"/>
      <c r="N25" s="13"/>
      <c r="O25" s="13">
        <f t="shared" si="2"/>
        <v>5937720</v>
      </c>
      <c r="P25" s="61">
        <v>5580000</v>
      </c>
      <c r="Q25" s="13">
        <f t="shared" si="0"/>
        <v>-357720</v>
      </c>
      <c r="R25" s="71"/>
      <c r="S25" s="5"/>
      <c r="T25" s="5"/>
    </row>
    <row r="26" spans="1:20" ht="12.75" customHeight="1" x14ac:dyDescent="0.2">
      <c r="A26" s="25">
        <v>19</v>
      </c>
      <c r="B26" s="44">
        <v>43615</v>
      </c>
      <c r="C26" s="10" t="s">
        <v>650</v>
      </c>
      <c r="D26" s="8" t="s">
        <v>670</v>
      </c>
      <c r="E26" s="10" t="s">
        <v>331</v>
      </c>
      <c r="F26" s="8"/>
      <c r="G26" s="12">
        <v>0</v>
      </c>
      <c r="H26" s="3">
        <f t="shared" ref="H26" si="4">G26*17380</f>
        <v>0</v>
      </c>
      <c r="I26" s="12"/>
      <c r="J26" s="50">
        <v>930000</v>
      </c>
      <c r="K26" s="18"/>
      <c r="L26" s="29"/>
      <c r="M26" s="13"/>
      <c r="N26" s="13"/>
      <c r="O26" s="13">
        <f t="shared" si="2"/>
        <v>930000</v>
      </c>
      <c r="P26" s="61">
        <v>3900000</v>
      </c>
      <c r="Q26" s="13">
        <f t="shared" si="0"/>
        <v>2970000</v>
      </c>
      <c r="R26" s="71"/>
      <c r="S26" s="5"/>
      <c r="T26" s="5"/>
    </row>
    <row r="27" spans="1:20" ht="12.75" customHeight="1" x14ac:dyDescent="0.2">
      <c r="A27" s="25">
        <v>20</v>
      </c>
      <c r="B27" s="44">
        <v>43615</v>
      </c>
      <c r="C27" s="10" t="s">
        <v>651</v>
      </c>
      <c r="D27" s="8" t="s">
        <v>671</v>
      </c>
      <c r="E27" s="10" t="s">
        <v>679</v>
      </c>
      <c r="F27" s="8"/>
      <c r="G27" s="12">
        <v>146</v>
      </c>
      <c r="H27" s="3">
        <f>G27*17610</f>
        <v>2571060</v>
      </c>
      <c r="I27" s="12"/>
      <c r="J27" s="50">
        <v>830000</v>
      </c>
      <c r="K27" s="18"/>
      <c r="L27" s="29"/>
      <c r="M27" s="13"/>
      <c r="N27" s="13"/>
      <c r="O27" s="13">
        <f t="shared" si="2"/>
        <v>3401060</v>
      </c>
      <c r="P27" s="61">
        <v>4000000</v>
      </c>
      <c r="Q27" s="13">
        <f t="shared" si="0"/>
        <v>598940</v>
      </c>
      <c r="R27" s="71"/>
      <c r="S27" s="5"/>
      <c r="T27" s="5"/>
    </row>
    <row r="28" spans="1:20" ht="12.75" customHeight="1" x14ac:dyDescent="0.2">
      <c r="A28" s="25"/>
      <c r="B28" s="44"/>
      <c r="C28" s="10"/>
      <c r="D28" s="8"/>
      <c r="E28" s="10"/>
      <c r="F28" s="8"/>
      <c r="G28" s="12"/>
      <c r="H28" s="3"/>
      <c r="I28" s="12"/>
      <c r="J28" s="13"/>
      <c r="K28" s="18"/>
      <c r="L28" s="29"/>
      <c r="M28" s="13"/>
      <c r="N28" s="13"/>
      <c r="O28" s="13"/>
      <c r="P28" s="61"/>
      <c r="Q28" s="13"/>
      <c r="S28" s="5"/>
      <c r="T28" s="5"/>
    </row>
    <row r="29" spans="1:20" ht="12.75" customHeight="1" x14ac:dyDescent="0.2">
      <c r="A29" s="25"/>
      <c r="B29" s="44"/>
      <c r="C29" s="178" t="s">
        <v>631</v>
      </c>
      <c r="D29" s="179"/>
      <c r="E29" s="179"/>
      <c r="F29" s="180"/>
      <c r="G29" s="12"/>
      <c r="H29" s="3"/>
      <c r="I29" s="12"/>
      <c r="J29" s="13"/>
      <c r="K29" s="18"/>
      <c r="L29" s="29">
        <v>800000</v>
      </c>
      <c r="M29" s="13"/>
      <c r="N29" s="13"/>
      <c r="O29" s="13">
        <f t="shared" si="2"/>
        <v>800000</v>
      </c>
      <c r="P29" s="56"/>
      <c r="Q29" s="13">
        <f t="shared" si="0"/>
        <v>-800000</v>
      </c>
      <c r="S29" s="5"/>
      <c r="T29" s="5"/>
    </row>
    <row r="30" spans="1:20" ht="12.75" customHeight="1" x14ac:dyDescent="0.2">
      <c r="A30" s="25"/>
      <c r="B30" s="44"/>
      <c r="C30" s="178" t="s">
        <v>684</v>
      </c>
      <c r="D30" s="179"/>
      <c r="E30" s="179"/>
      <c r="F30" s="180"/>
      <c r="G30" s="12"/>
      <c r="H30" s="3"/>
      <c r="I30" s="12"/>
      <c r="J30" s="13"/>
      <c r="K30" s="18"/>
      <c r="L30" s="29"/>
      <c r="M30" s="13">
        <v>11800000</v>
      </c>
      <c r="N30" s="13"/>
      <c r="O30" s="13">
        <f t="shared" si="2"/>
        <v>11800000</v>
      </c>
      <c r="P30" s="56"/>
      <c r="Q30" s="13">
        <f t="shared" si="0"/>
        <v>-11800000</v>
      </c>
      <c r="S30" s="5"/>
      <c r="T30" s="5"/>
    </row>
    <row r="31" spans="1:20" ht="12.75" customHeight="1" x14ac:dyDescent="0.2">
      <c r="A31" s="25"/>
      <c r="B31" s="44"/>
      <c r="C31" s="178" t="s">
        <v>680</v>
      </c>
      <c r="D31" s="179"/>
      <c r="E31" s="179"/>
      <c r="F31" s="180"/>
      <c r="G31" s="12"/>
      <c r="H31" s="3"/>
      <c r="I31" s="12"/>
      <c r="J31" s="13"/>
      <c r="K31" s="18"/>
      <c r="L31" s="29">
        <v>390000</v>
      </c>
      <c r="M31" s="13"/>
      <c r="N31" s="13"/>
      <c r="O31" s="13">
        <f t="shared" si="2"/>
        <v>390000</v>
      </c>
      <c r="P31" s="56"/>
      <c r="Q31" s="13">
        <f t="shared" si="0"/>
        <v>-390000</v>
      </c>
      <c r="S31" s="5"/>
      <c r="T31" s="5"/>
    </row>
    <row r="32" spans="1:20" ht="12.75" customHeight="1" x14ac:dyDescent="0.2">
      <c r="A32" s="25"/>
      <c r="B32" s="44"/>
      <c r="C32" s="178" t="s">
        <v>681</v>
      </c>
      <c r="D32" s="179"/>
      <c r="E32" s="179"/>
      <c r="F32" s="180"/>
      <c r="G32" s="12"/>
      <c r="H32" s="3"/>
      <c r="I32" s="12"/>
      <c r="J32" s="3"/>
      <c r="K32" s="18"/>
      <c r="L32" s="29">
        <v>4500000</v>
      </c>
      <c r="M32" s="13"/>
      <c r="N32" s="13"/>
      <c r="O32" s="13">
        <f t="shared" si="2"/>
        <v>4500000</v>
      </c>
      <c r="P32" s="56"/>
      <c r="Q32" s="13">
        <f t="shared" si="0"/>
        <v>-4500000</v>
      </c>
      <c r="S32" s="5"/>
      <c r="T32" s="5"/>
    </row>
    <row r="33" spans="1:20" ht="12.75" customHeight="1" x14ac:dyDescent="0.25">
      <c r="A33" s="25"/>
      <c r="B33" s="44"/>
      <c r="C33" s="178" t="s">
        <v>682</v>
      </c>
      <c r="D33" s="179"/>
      <c r="E33" s="179"/>
      <c r="F33" s="180"/>
      <c r="G33" s="12"/>
      <c r="H33" s="3"/>
      <c r="I33" s="12"/>
      <c r="J33" s="13"/>
      <c r="K33" s="18"/>
      <c r="L33" s="60">
        <v>53100000</v>
      </c>
      <c r="M33" s="13"/>
      <c r="N33" s="13"/>
      <c r="O33" s="13">
        <f t="shared" si="2"/>
        <v>53100000</v>
      </c>
      <c r="P33" s="13"/>
      <c r="Q33" s="13">
        <f t="shared" si="0"/>
        <v>-53100000</v>
      </c>
      <c r="S33" s="5"/>
      <c r="T33" s="5"/>
    </row>
    <row r="34" spans="1:20" ht="16.149999999999999" customHeight="1" x14ac:dyDescent="0.25">
      <c r="A34" s="25"/>
      <c r="B34" s="17"/>
      <c r="C34" s="181" t="s">
        <v>683</v>
      </c>
      <c r="D34" s="181"/>
      <c r="E34" s="181"/>
      <c r="F34" s="181"/>
      <c r="G34" s="46"/>
      <c r="H34" s="18"/>
      <c r="I34" s="46"/>
      <c r="J34" s="18"/>
      <c r="K34" s="18"/>
      <c r="L34" s="28">
        <v>800000</v>
      </c>
      <c r="M34" s="28"/>
      <c r="N34" s="28"/>
      <c r="O34" s="13">
        <f t="shared" si="2"/>
        <v>800000</v>
      </c>
      <c r="P34" s="28"/>
      <c r="Q34" s="13">
        <f t="shared" si="0"/>
        <v>-800000</v>
      </c>
      <c r="S34" s="5"/>
      <c r="T34" s="5"/>
    </row>
    <row r="35" spans="1:20" x14ac:dyDescent="0.25">
      <c r="A35" s="8"/>
      <c r="B35" s="8"/>
      <c r="C35" s="17" t="s">
        <v>131</v>
      </c>
      <c r="D35" s="30"/>
      <c r="E35" s="17"/>
      <c r="F35" s="30"/>
      <c r="G35" s="30"/>
      <c r="H35" s="28"/>
      <c r="I35" s="30"/>
      <c r="J35" s="28"/>
      <c r="K35" s="28"/>
      <c r="L35" s="28">
        <f>1200000*1.1</f>
        <v>1320000</v>
      </c>
      <c r="M35" s="28"/>
      <c r="N35" s="28"/>
      <c r="O35" s="13">
        <f>SUM(K35:N35)</f>
        <v>1320000</v>
      </c>
      <c r="P35" s="28"/>
      <c r="Q35" s="13">
        <f t="shared" si="0"/>
        <v>-1320000</v>
      </c>
    </row>
    <row r="36" spans="1:20" x14ac:dyDescent="0.25">
      <c r="A36" s="8"/>
      <c r="B36" s="8"/>
      <c r="C36" s="17" t="s">
        <v>132</v>
      </c>
      <c r="D36" s="30"/>
      <c r="E36" s="17"/>
      <c r="F36" s="30"/>
      <c r="G36" s="30"/>
      <c r="H36" s="28"/>
      <c r="I36" s="30"/>
      <c r="J36" s="28"/>
      <c r="K36" s="28">
        <f>22*9000000/26</f>
        <v>7615384.615384615</v>
      </c>
      <c r="L36" s="28"/>
      <c r="M36" s="18"/>
      <c r="N36" s="28"/>
      <c r="O36" s="53">
        <f>SUM(K36:N36)</f>
        <v>7615384.615384615</v>
      </c>
      <c r="P36" s="28"/>
      <c r="Q36" s="54">
        <f t="shared" si="0"/>
        <v>-7615384.615384615</v>
      </c>
    </row>
    <row r="37" spans="1:20" x14ac:dyDescent="0.25">
      <c r="A37" s="166" t="s">
        <v>19</v>
      </c>
      <c r="B37" s="167"/>
      <c r="C37" s="167"/>
      <c r="D37" s="167"/>
      <c r="E37" s="167"/>
      <c r="F37" s="168"/>
      <c r="G37" s="52">
        <f t="shared" ref="G37:O37" si="5">SUM(G7:G36)</f>
        <v>2378</v>
      </c>
      <c r="H37" s="4">
        <f t="shared" si="5"/>
        <v>41988100</v>
      </c>
      <c r="I37" s="4">
        <f t="shared" si="5"/>
        <v>0</v>
      </c>
      <c r="J37" s="4">
        <f t="shared" si="5"/>
        <v>24460000</v>
      </c>
      <c r="K37" s="4">
        <f t="shared" si="5"/>
        <v>7615384.615384615</v>
      </c>
      <c r="L37" s="4">
        <f t="shared" si="5"/>
        <v>60910000</v>
      </c>
      <c r="M37" s="4">
        <f t="shared" si="5"/>
        <v>11800000</v>
      </c>
      <c r="N37" s="4">
        <f t="shared" si="5"/>
        <v>0</v>
      </c>
      <c r="O37" s="4">
        <f t="shared" si="5"/>
        <v>146773484.61538461</v>
      </c>
      <c r="P37" s="51">
        <f>SUM(P8:P36)</f>
        <v>114123636</v>
      </c>
      <c r="Q37" s="4">
        <f>SUM(Q7:Q36)</f>
        <v>-32649848.615384616</v>
      </c>
      <c r="R37" s="24"/>
    </row>
    <row r="38" spans="1:20" x14ac:dyDescent="0.25">
      <c r="O38" s="20"/>
      <c r="Q38" s="26"/>
    </row>
    <row r="39" spans="1:20" x14ac:dyDescent="0.25">
      <c r="P39" s="21" t="s">
        <v>20</v>
      </c>
      <c r="Q39" s="26">
        <f>'4.2019'!Q43+'5.2019'!Q37</f>
        <v>93369978.692307681</v>
      </c>
    </row>
    <row r="43" spans="1:20" x14ac:dyDescent="0.25">
      <c r="B43" s="6"/>
    </row>
    <row r="44" spans="1:20" x14ac:dyDescent="0.25">
      <c r="B44" s="6"/>
    </row>
    <row r="45" spans="1:20" x14ac:dyDescent="0.25">
      <c r="B45" s="6"/>
    </row>
    <row r="46" spans="1:20" x14ac:dyDescent="0.25">
      <c r="B46" s="6"/>
      <c r="H46" s="6"/>
      <c r="J46" s="6"/>
      <c r="K46" s="6"/>
      <c r="L46" s="6"/>
      <c r="M46" s="6"/>
      <c r="N46" s="6"/>
      <c r="O46" s="6"/>
      <c r="P46" s="6"/>
      <c r="Q46" s="6"/>
    </row>
  </sheetData>
  <mergeCells count="20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33:F33"/>
    <mergeCell ref="O5:O6"/>
    <mergeCell ref="P5:P6"/>
    <mergeCell ref="Q5:Q6"/>
    <mergeCell ref="A37:F37"/>
    <mergeCell ref="C34:F34"/>
    <mergeCell ref="C30:F30"/>
    <mergeCell ref="C29:F29"/>
    <mergeCell ref="C31:F31"/>
    <mergeCell ref="C32:F32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8"/>
  <sheetViews>
    <sheetView topLeftCell="A16" workbookViewId="0">
      <selection activeCell="I41" sqref="I41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3.57031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686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62"/>
      <c r="B7" s="63"/>
      <c r="C7" s="64"/>
      <c r="D7" s="65"/>
      <c r="E7" s="66"/>
      <c r="F7" s="67"/>
      <c r="G7" s="68"/>
      <c r="H7" s="69"/>
      <c r="I7" s="69"/>
      <c r="J7" s="70"/>
      <c r="K7" s="70"/>
      <c r="L7" s="70"/>
      <c r="M7" s="70"/>
      <c r="N7" s="70"/>
      <c r="O7" s="55"/>
      <c r="P7" s="55"/>
      <c r="Q7" s="55"/>
    </row>
    <row r="8" spans="1:20" x14ac:dyDescent="0.2">
      <c r="A8" s="25">
        <v>1</v>
      </c>
      <c r="B8" s="44">
        <v>43619</v>
      </c>
      <c r="C8" s="10" t="s">
        <v>687</v>
      </c>
      <c r="D8" s="12" t="s">
        <v>709</v>
      </c>
      <c r="E8" s="10" t="s">
        <v>554</v>
      </c>
      <c r="F8" s="8"/>
      <c r="G8" s="12">
        <v>150</v>
      </c>
      <c r="H8" s="3">
        <f>+G8*17390</f>
        <v>2608500</v>
      </c>
      <c r="I8" s="12"/>
      <c r="J8" s="13">
        <v>1680000</v>
      </c>
      <c r="K8" s="18"/>
      <c r="L8" s="29"/>
      <c r="M8" s="13"/>
      <c r="N8" s="13"/>
      <c r="O8" s="13">
        <f>SUM(H8:N8)</f>
        <v>4288500</v>
      </c>
      <c r="P8" s="61">
        <v>7000000</v>
      </c>
      <c r="Q8" s="13">
        <f>P8-O8</f>
        <v>2711500</v>
      </c>
      <c r="S8" s="5"/>
      <c r="T8" s="5"/>
    </row>
    <row r="9" spans="1:20" ht="12.75" customHeight="1" x14ac:dyDescent="0.2">
      <c r="A9" s="25">
        <v>2</v>
      </c>
      <c r="B9" s="44">
        <v>43619</v>
      </c>
      <c r="C9" s="10" t="s">
        <v>688</v>
      </c>
      <c r="D9" s="8" t="s">
        <v>710</v>
      </c>
      <c r="E9" s="10" t="s">
        <v>112</v>
      </c>
      <c r="F9" s="8"/>
      <c r="G9" s="12">
        <v>212</v>
      </c>
      <c r="H9" s="3">
        <f>+G9*17390</f>
        <v>3686680</v>
      </c>
      <c r="I9" s="12"/>
      <c r="J9" s="13">
        <v>2470000</v>
      </c>
      <c r="K9" s="18"/>
      <c r="L9" s="29"/>
      <c r="M9" s="13"/>
      <c r="N9" s="13"/>
      <c r="O9" s="13">
        <f>SUM(H9:N9)</f>
        <v>6156680</v>
      </c>
      <c r="P9" s="61">
        <v>13181818</v>
      </c>
      <c r="Q9" s="13">
        <f t="shared" ref="Q9:Q38" si="0">P9-O9</f>
        <v>7025138</v>
      </c>
      <c r="S9" s="72"/>
      <c r="T9" s="5"/>
    </row>
    <row r="10" spans="1:20" ht="12.75" customHeight="1" x14ac:dyDescent="0.2">
      <c r="A10" s="25">
        <v>3</v>
      </c>
      <c r="B10" s="44">
        <v>43620</v>
      </c>
      <c r="C10" s="10" t="s">
        <v>689</v>
      </c>
      <c r="D10" s="12" t="s">
        <v>711</v>
      </c>
      <c r="E10" s="10" t="s">
        <v>330</v>
      </c>
      <c r="F10" s="8"/>
      <c r="G10" s="12">
        <v>0</v>
      </c>
      <c r="H10" s="3"/>
      <c r="I10" s="12"/>
      <c r="J10" s="13">
        <v>680000</v>
      </c>
      <c r="K10" s="18"/>
      <c r="L10" s="29"/>
      <c r="M10" s="13"/>
      <c r="N10" s="13"/>
      <c r="O10" s="13">
        <f t="shared" ref="O10:O36" si="1">SUM(H10:N10)</f>
        <v>680000</v>
      </c>
      <c r="P10" s="61">
        <v>4000000</v>
      </c>
      <c r="Q10" s="13">
        <f t="shared" si="0"/>
        <v>3320000</v>
      </c>
      <c r="S10" s="73"/>
      <c r="T10" s="5"/>
    </row>
    <row r="11" spans="1:20" ht="12.75" customHeight="1" x14ac:dyDescent="0.2">
      <c r="A11" s="25">
        <v>4</v>
      </c>
      <c r="B11" s="44">
        <v>43621</v>
      </c>
      <c r="C11" s="10" t="s">
        <v>690</v>
      </c>
      <c r="D11" s="12" t="s">
        <v>712</v>
      </c>
      <c r="E11" s="10" t="s">
        <v>731</v>
      </c>
      <c r="F11" s="8"/>
      <c r="G11" s="12">
        <v>220</v>
      </c>
      <c r="H11" s="3">
        <f>+G11*17390</f>
        <v>3825800</v>
      </c>
      <c r="I11" s="12"/>
      <c r="J11" s="13">
        <v>1320000</v>
      </c>
      <c r="K11" s="18"/>
      <c r="L11" s="29"/>
      <c r="M11" s="13"/>
      <c r="N11" s="13"/>
      <c r="O11" s="13">
        <f t="shared" si="1"/>
        <v>5145800</v>
      </c>
      <c r="P11" s="61">
        <v>5600000</v>
      </c>
      <c r="Q11" s="13">
        <f t="shared" si="0"/>
        <v>454200</v>
      </c>
      <c r="S11" s="5"/>
      <c r="T11" s="5"/>
    </row>
    <row r="12" spans="1:20" ht="12.75" customHeight="1" x14ac:dyDescent="0.2">
      <c r="A12" s="25">
        <v>5</v>
      </c>
      <c r="B12" s="44">
        <v>43622</v>
      </c>
      <c r="C12" s="10" t="s">
        <v>691</v>
      </c>
      <c r="D12" s="12" t="s">
        <v>713</v>
      </c>
      <c r="E12" s="10" t="s">
        <v>256</v>
      </c>
      <c r="F12" s="8"/>
      <c r="G12" s="12">
        <v>0</v>
      </c>
      <c r="H12" s="3"/>
      <c r="I12" s="12"/>
      <c r="J12" s="13">
        <v>810000</v>
      </c>
      <c r="K12" s="18"/>
      <c r="L12" s="29"/>
      <c r="M12" s="13"/>
      <c r="N12" s="13"/>
      <c r="O12" s="13">
        <f t="shared" si="1"/>
        <v>810000</v>
      </c>
      <c r="P12" s="61">
        <v>4560000</v>
      </c>
      <c r="Q12" s="13">
        <f t="shared" si="0"/>
        <v>3750000</v>
      </c>
      <c r="S12" s="5"/>
      <c r="T12" s="5"/>
    </row>
    <row r="13" spans="1:20" ht="12.75" customHeight="1" x14ac:dyDescent="0.2">
      <c r="A13" s="25">
        <v>6</v>
      </c>
      <c r="B13" s="44">
        <v>43623</v>
      </c>
      <c r="C13" s="10" t="s">
        <v>692</v>
      </c>
      <c r="D13" s="12" t="s">
        <v>714</v>
      </c>
      <c r="E13" s="10" t="s">
        <v>678</v>
      </c>
      <c r="F13" s="8"/>
      <c r="G13" s="12">
        <v>230</v>
      </c>
      <c r="H13" s="3">
        <f>+G13*17390</f>
        <v>3999700</v>
      </c>
      <c r="I13" s="12"/>
      <c r="J13" s="13">
        <v>1320000</v>
      </c>
      <c r="K13" s="18"/>
      <c r="L13" s="29"/>
      <c r="M13" s="13"/>
      <c r="N13" s="13"/>
      <c r="O13" s="13">
        <f t="shared" si="1"/>
        <v>5319700</v>
      </c>
      <c r="P13" s="61">
        <v>6300000</v>
      </c>
      <c r="Q13" s="13">
        <f t="shared" si="0"/>
        <v>980300</v>
      </c>
      <c r="S13" s="5"/>
      <c r="T13" s="5"/>
    </row>
    <row r="14" spans="1:20" ht="12.75" customHeight="1" x14ac:dyDescent="0.2">
      <c r="A14" s="25">
        <v>7</v>
      </c>
      <c r="B14" s="44">
        <v>43626</v>
      </c>
      <c r="C14" s="10" t="s">
        <v>693</v>
      </c>
      <c r="D14" s="12" t="s">
        <v>715</v>
      </c>
      <c r="E14" s="10" t="s">
        <v>732</v>
      </c>
      <c r="F14" s="8"/>
      <c r="G14" s="12">
        <v>0</v>
      </c>
      <c r="H14" s="3"/>
      <c r="I14" s="12"/>
      <c r="J14" s="13">
        <v>1060000</v>
      </c>
      <c r="K14" s="18"/>
      <c r="L14" s="29"/>
      <c r="M14" s="13"/>
      <c r="N14" s="13"/>
      <c r="O14" s="13">
        <f t="shared" si="1"/>
        <v>1060000</v>
      </c>
      <c r="P14" s="61">
        <v>5000000</v>
      </c>
      <c r="Q14" s="13">
        <f t="shared" si="0"/>
        <v>3940000</v>
      </c>
      <c r="S14" s="5"/>
      <c r="T14" s="5"/>
    </row>
    <row r="15" spans="1:20" ht="12.75" customHeight="1" x14ac:dyDescent="0.2">
      <c r="A15" s="25">
        <v>8</v>
      </c>
      <c r="B15" s="44">
        <v>43627</v>
      </c>
      <c r="C15" s="10" t="s">
        <v>694</v>
      </c>
      <c r="D15" s="12" t="s">
        <v>716</v>
      </c>
      <c r="E15" s="10" t="s">
        <v>620</v>
      </c>
      <c r="F15" s="8"/>
      <c r="G15" s="12">
        <v>260</v>
      </c>
      <c r="H15" s="3">
        <f>+G15*17390</f>
        <v>4521400</v>
      </c>
      <c r="I15" s="12"/>
      <c r="J15" s="13">
        <v>1560000</v>
      </c>
      <c r="K15" s="18"/>
      <c r="L15" s="29"/>
      <c r="M15" s="13"/>
      <c r="N15" s="13"/>
      <c r="O15" s="13">
        <f t="shared" si="1"/>
        <v>6081400</v>
      </c>
      <c r="P15" s="61">
        <v>7100000</v>
      </c>
      <c r="Q15" s="13">
        <f t="shared" si="0"/>
        <v>1018600</v>
      </c>
      <c r="S15" s="5"/>
      <c r="T15" s="5"/>
    </row>
    <row r="16" spans="1:20" ht="12.75" customHeight="1" x14ac:dyDescent="0.2">
      <c r="A16" s="25">
        <v>9</v>
      </c>
      <c r="B16" s="44">
        <v>43628</v>
      </c>
      <c r="C16" s="10" t="s">
        <v>695</v>
      </c>
      <c r="D16" s="12" t="s">
        <v>717</v>
      </c>
      <c r="E16" s="10" t="s">
        <v>190</v>
      </c>
      <c r="F16" s="8"/>
      <c r="G16" s="12">
        <v>0</v>
      </c>
      <c r="H16" s="3"/>
      <c r="I16" s="12"/>
      <c r="J16" s="13">
        <v>1060000</v>
      </c>
      <c r="K16" s="18"/>
      <c r="L16" s="29"/>
      <c r="M16" s="13"/>
      <c r="N16" s="13"/>
      <c r="O16" s="13">
        <f t="shared" si="1"/>
        <v>1060000</v>
      </c>
      <c r="P16" s="61">
        <v>5000000</v>
      </c>
      <c r="Q16" s="13">
        <f t="shared" si="0"/>
        <v>3940000</v>
      </c>
      <c r="S16" s="5"/>
      <c r="T16" s="5"/>
    </row>
    <row r="17" spans="1:20" ht="12.75" customHeight="1" x14ac:dyDescent="0.2">
      <c r="A17" s="25">
        <v>10</v>
      </c>
      <c r="B17" s="44">
        <v>43629</v>
      </c>
      <c r="C17" s="10" t="s">
        <v>696</v>
      </c>
      <c r="D17" s="12" t="s">
        <v>718</v>
      </c>
      <c r="E17" s="10" t="s">
        <v>733</v>
      </c>
      <c r="F17" s="8"/>
      <c r="G17" s="12">
        <v>258</v>
      </c>
      <c r="H17" s="3">
        <f>+G17*17390</f>
        <v>4486620</v>
      </c>
      <c r="I17" s="12"/>
      <c r="J17" s="13">
        <v>1380000</v>
      </c>
      <c r="K17" s="18"/>
      <c r="L17" s="29"/>
      <c r="M17" s="13"/>
      <c r="N17" s="13"/>
      <c r="O17" s="13">
        <f t="shared" si="1"/>
        <v>5866620</v>
      </c>
      <c r="P17" s="61">
        <v>6600000</v>
      </c>
      <c r="Q17" s="13">
        <f t="shared" si="0"/>
        <v>733380</v>
      </c>
      <c r="S17" s="5"/>
      <c r="T17" s="5"/>
    </row>
    <row r="18" spans="1:20" ht="12.75" customHeight="1" x14ac:dyDescent="0.2">
      <c r="A18" s="25">
        <v>11</v>
      </c>
      <c r="B18" s="44">
        <v>43633</v>
      </c>
      <c r="C18" s="10" t="s">
        <v>697</v>
      </c>
      <c r="D18" s="12" t="s">
        <v>719</v>
      </c>
      <c r="E18" s="10" t="s">
        <v>734</v>
      </c>
      <c r="F18" s="8"/>
      <c r="G18" s="12">
        <v>0</v>
      </c>
      <c r="H18" s="3"/>
      <c r="I18" s="12"/>
      <c r="J18" s="13">
        <v>200000</v>
      </c>
      <c r="K18" s="18"/>
      <c r="L18" s="29"/>
      <c r="M18" s="13"/>
      <c r="N18" s="13"/>
      <c r="O18" s="13">
        <f t="shared" si="1"/>
        <v>200000</v>
      </c>
      <c r="P18" s="61">
        <v>1000000</v>
      </c>
      <c r="Q18" s="13">
        <f t="shared" si="0"/>
        <v>800000</v>
      </c>
      <c r="S18" s="5"/>
      <c r="T18" s="5"/>
    </row>
    <row r="19" spans="1:20" ht="12.75" customHeight="1" x14ac:dyDescent="0.2">
      <c r="A19" s="25">
        <v>12</v>
      </c>
      <c r="B19" s="44">
        <v>43633</v>
      </c>
      <c r="C19" s="10" t="s">
        <v>698</v>
      </c>
      <c r="D19" s="12" t="s">
        <v>720</v>
      </c>
      <c r="E19" s="10" t="s">
        <v>385</v>
      </c>
      <c r="F19" s="8"/>
      <c r="G19" s="12">
        <v>0</v>
      </c>
      <c r="H19" s="3"/>
      <c r="I19" s="12"/>
      <c r="J19" s="13">
        <v>1060000</v>
      </c>
      <c r="K19" s="18"/>
      <c r="L19" s="29"/>
      <c r="M19" s="13"/>
      <c r="N19" s="13"/>
      <c r="O19" s="13">
        <f t="shared" si="1"/>
        <v>1060000</v>
      </c>
      <c r="P19" s="61">
        <v>5000000</v>
      </c>
      <c r="Q19" s="13">
        <f t="shared" si="0"/>
        <v>3940000</v>
      </c>
      <c r="S19" s="5"/>
      <c r="T19" s="5"/>
    </row>
    <row r="20" spans="1:20" ht="12.75" customHeight="1" x14ac:dyDescent="0.2">
      <c r="A20" s="25">
        <v>13</v>
      </c>
      <c r="B20" s="44">
        <v>43634</v>
      </c>
      <c r="C20" s="10" t="s">
        <v>699</v>
      </c>
      <c r="D20" s="12" t="s">
        <v>721</v>
      </c>
      <c r="E20" s="10" t="s">
        <v>735</v>
      </c>
      <c r="F20" s="8"/>
      <c r="G20" s="12">
        <v>220</v>
      </c>
      <c r="H20" s="3">
        <f>+G20*16650</f>
        <v>3663000</v>
      </c>
      <c r="I20" s="12"/>
      <c r="J20" s="13">
        <v>1320000</v>
      </c>
      <c r="K20" s="18"/>
      <c r="L20" s="29"/>
      <c r="M20" s="13"/>
      <c r="N20" s="13"/>
      <c r="O20" s="13">
        <f t="shared" si="1"/>
        <v>4983000</v>
      </c>
      <c r="P20" s="61">
        <v>5500000</v>
      </c>
      <c r="Q20" s="13">
        <f t="shared" si="0"/>
        <v>517000</v>
      </c>
      <c r="S20" s="5"/>
      <c r="T20" s="5"/>
    </row>
    <row r="21" spans="1:20" ht="12.75" customHeight="1" x14ac:dyDescent="0.2">
      <c r="A21" s="25">
        <v>14</v>
      </c>
      <c r="B21" s="44">
        <v>43634</v>
      </c>
      <c r="C21" s="10" t="s">
        <v>700</v>
      </c>
      <c r="D21" s="12" t="s">
        <v>722</v>
      </c>
      <c r="E21" s="10" t="s">
        <v>112</v>
      </c>
      <c r="F21" s="8"/>
      <c r="G21" s="12">
        <v>200</v>
      </c>
      <c r="H21" s="3">
        <f>+G21*16650</f>
        <v>3330000</v>
      </c>
      <c r="I21" s="12"/>
      <c r="J21" s="13">
        <v>2470000</v>
      </c>
      <c r="K21" s="18"/>
      <c r="L21" s="29"/>
      <c r="M21" s="13"/>
      <c r="N21" s="13"/>
      <c r="O21" s="13">
        <f t="shared" si="1"/>
        <v>5800000</v>
      </c>
      <c r="P21" s="61">
        <v>13181818</v>
      </c>
      <c r="Q21" s="13">
        <f t="shared" si="0"/>
        <v>7381818</v>
      </c>
      <c r="S21" s="5"/>
      <c r="T21" s="5"/>
    </row>
    <row r="22" spans="1:20" ht="12.75" customHeight="1" x14ac:dyDescent="0.2">
      <c r="A22" s="25">
        <v>15</v>
      </c>
      <c r="B22" s="44">
        <v>43636</v>
      </c>
      <c r="C22" s="10" t="s">
        <v>701</v>
      </c>
      <c r="D22" s="12" t="s">
        <v>723</v>
      </c>
      <c r="E22" s="10" t="s">
        <v>736</v>
      </c>
      <c r="F22" s="8"/>
      <c r="G22" s="12">
        <v>0</v>
      </c>
      <c r="H22" s="3"/>
      <c r="I22" s="12"/>
      <c r="J22" s="13">
        <v>930000</v>
      </c>
      <c r="K22" s="18"/>
      <c r="L22" s="29"/>
      <c r="M22" s="13"/>
      <c r="N22" s="13"/>
      <c r="O22" s="13">
        <f t="shared" si="1"/>
        <v>930000</v>
      </c>
      <c r="P22" s="61">
        <v>3600000</v>
      </c>
      <c r="Q22" s="13">
        <f t="shared" si="0"/>
        <v>2670000</v>
      </c>
      <c r="S22" s="5"/>
      <c r="T22" s="5"/>
    </row>
    <row r="23" spans="1:20" ht="12.75" customHeight="1" x14ac:dyDescent="0.2">
      <c r="A23" s="25">
        <v>16</v>
      </c>
      <c r="B23" s="44">
        <v>43637</v>
      </c>
      <c r="C23" s="10" t="s">
        <v>702</v>
      </c>
      <c r="D23" s="12" t="s">
        <v>724</v>
      </c>
      <c r="E23" s="10" t="s">
        <v>737</v>
      </c>
      <c r="F23" s="8"/>
      <c r="G23" s="12">
        <v>180</v>
      </c>
      <c r="H23" s="3">
        <f>+G23*16650</f>
        <v>2997000</v>
      </c>
      <c r="I23" s="12"/>
      <c r="J23" s="13">
        <v>1380000</v>
      </c>
      <c r="K23" s="18"/>
      <c r="L23" s="29"/>
      <c r="M23" s="13"/>
      <c r="N23" s="13"/>
      <c r="O23" s="13">
        <f t="shared" si="1"/>
        <v>4377000</v>
      </c>
      <c r="P23" s="61">
        <v>5300000</v>
      </c>
      <c r="Q23" s="13">
        <f t="shared" si="0"/>
        <v>923000</v>
      </c>
      <c r="S23" s="5"/>
      <c r="T23" s="5"/>
    </row>
    <row r="24" spans="1:20" ht="12.75" customHeight="1" x14ac:dyDescent="0.2">
      <c r="A24" s="25">
        <v>17</v>
      </c>
      <c r="B24" s="44">
        <v>43638</v>
      </c>
      <c r="C24" s="10" t="s">
        <v>703</v>
      </c>
      <c r="D24" s="8" t="s">
        <v>725</v>
      </c>
      <c r="E24" s="10" t="s">
        <v>738</v>
      </c>
      <c r="F24" s="8"/>
      <c r="G24" s="12">
        <v>0</v>
      </c>
      <c r="H24" s="3"/>
      <c r="I24" s="12"/>
      <c r="J24" s="13">
        <v>680000</v>
      </c>
      <c r="K24" s="18"/>
      <c r="L24" s="29"/>
      <c r="M24" s="13"/>
      <c r="N24" s="13"/>
      <c r="O24" s="13">
        <f t="shared" si="1"/>
        <v>680000</v>
      </c>
      <c r="P24" s="61">
        <v>3800000</v>
      </c>
      <c r="Q24" s="13">
        <f t="shared" si="0"/>
        <v>3120000</v>
      </c>
      <c r="S24" s="5"/>
      <c r="T24" s="5"/>
    </row>
    <row r="25" spans="1:20" ht="12.75" customHeight="1" x14ac:dyDescent="0.2">
      <c r="A25" s="25">
        <v>18</v>
      </c>
      <c r="B25" s="44">
        <v>43640</v>
      </c>
      <c r="C25" s="10" t="s">
        <v>704</v>
      </c>
      <c r="D25" s="8" t="s">
        <v>726</v>
      </c>
      <c r="E25" s="10" t="s">
        <v>739</v>
      </c>
      <c r="F25" s="8"/>
      <c r="G25" s="12">
        <v>180</v>
      </c>
      <c r="H25" s="3">
        <f>+G25*16650</f>
        <v>2997000</v>
      </c>
      <c r="I25" s="12"/>
      <c r="J25" s="13">
        <v>1320000</v>
      </c>
      <c r="K25" s="18"/>
      <c r="L25" s="29"/>
      <c r="M25" s="13"/>
      <c r="N25" s="13"/>
      <c r="O25" s="13">
        <f t="shared" si="1"/>
        <v>4317000</v>
      </c>
      <c r="P25" s="61">
        <v>5600000</v>
      </c>
      <c r="Q25" s="13">
        <f t="shared" si="0"/>
        <v>1283000</v>
      </c>
      <c r="S25" s="5"/>
      <c r="T25" s="5"/>
    </row>
    <row r="26" spans="1:20" ht="12.75" customHeight="1" x14ac:dyDescent="0.2">
      <c r="A26" s="25">
        <v>19</v>
      </c>
      <c r="B26" s="44">
        <v>43641</v>
      </c>
      <c r="C26" s="10" t="s">
        <v>705</v>
      </c>
      <c r="D26" s="8" t="s">
        <v>727</v>
      </c>
      <c r="E26" s="10" t="s">
        <v>740</v>
      </c>
      <c r="F26" s="8"/>
      <c r="G26" s="12">
        <v>0</v>
      </c>
      <c r="H26" s="3"/>
      <c r="I26" s="12"/>
      <c r="J26" s="13">
        <v>1020000</v>
      </c>
      <c r="K26" s="18"/>
      <c r="L26" s="29"/>
      <c r="M26" s="13"/>
      <c r="N26" s="13"/>
      <c r="O26" s="13">
        <f t="shared" ref="O26:O27" si="2">SUM(H26:N26)</f>
        <v>1020000</v>
      </c>
      <c r="P26" s="61">
        <v>6400000</v>
      </c>
      <c r="Q26" s="13">
        <f t="shared" ref="Q26:Q27" si="3">P26-O26</f>
        <v>5380000</v>
      </c>
      <c r="S26" s="5"/>
      <c r="T26" s="5"/>
    </row>
    <row r="27" spans="1:20" ht="12.75" customHeight="1" x14ac:dyDescent="0.2">
      <c r="A27" s="25">
        <v>20</v>
      </c>
      <c r="B27" s="44">
        <v>43642</v>
      </c>
      <c r="C27" s="10" t="s">
        <v>706</v>
      </c>
      <c r="D27" s="8" t="s">
        <v>728</v>
      </c>
      <c r="E27" s="10" t="s">
        <v>185</v>
      </c>
      <c r="F27" s="8"/>
      <c r="G27" s="12">
        <v>216</v>
      </c>
      <c r="H27" s="3">
        <f>+G27*16650</f>
        <v>3596400</v>
      </c>
      <c r="I27" s="12"/>
      <c r="J27" s="13">
        <v>1380000</v>
      </c>
      <c r="K27" s="18"/>
      <c r="L27" s="29"/>
      <c r="M27" s="13"/>
      <c r="N27" s="13"/>
      <c r="O27" s="13">
        <f t="shared" si="2"/>
        <v>4976400</v>
      </c>
      <c r="P27" s="61">
        <v>5100000</v>
      </c>
      <c r="Q27" s="13">
        <f t="shared" si="3"/>
        <v>123600</v>
      </c>
      <c r="S27" s="5"/>
      <c r="T27" s="5"/>
    </row>
    <row r="28" spans="1:20" ht="12.75" customHeight="1" x14ac:dyDescent="0.2">
      <c r="A28" s="25">
        <v>21</v>
      </c>
      <c r="B28" s="44">
        <v>43643</v>
      </c>
      <c r="C28" s="10" t="s">
        <v>707</v>
      </c>
      <c r="D28" s="8" t="s">
        <v>729</v>
      </c>
      <c r="E28" s="10" t="s">
        <v>731</v>
      </c>
      <c r="F28" s="8"/>
      <c r="G28" s="12">
        <v>0</v>
      </c>
      <c r="H28" s="3"/>
      <c r="I28" s="12"/>
      <c r="J28" s="13">
        <v>1320000</v>
      </c>
      <c r="K28" s="18"/>
      <c r="L28" s="29"/>
      <c r="M28" s="13"/>
      <c r="N28" s="13"/>
      <c r="O28" s="13">
        <f t="shared" si="1"/>
        <v>1320000</v>
      </c>
      <c r="P28" s="61">
        <v>5600000</v>
      </c>
      <c r="Q28" s="13">
        <f t="shared" si="0"/>
        <v>4280000</v>
      </c>
      <c r="S28" s="5"/>
      <c r="T28" s="5"/>
    </row>
    <row r="29" spans="1:20" ht="12.75" customHeight="1" x14ac:dyDescent="0.2">
      <c r="A29" s="25">
        <v>22</v>
      </c>
      <c r="B29" s="44">
        <v>43644</v>
      </c>
      <c r="C29" s="10" t="s">
        <v>708</v>
      </c>
      <c r="D29" s="8" t="s">
        <v>730</v>
      </c>
      <c r="E29" s="10" t="s">
        <v>741</v>
      </c>
      <c r="F29" s="8"/>
      <c r="G29" s="12">
        <v>215</v>
      </c>
      <c r="H29" s="3">
        <f>+G29*16650</f>
        <v>3579750</v>
      </c>
      <c r="I29" s="12"/>
      <c r="J29" s="13">
        <v>930000</v>
      </c>
      <c r="K29" s="18"/>
      <c r="L29" s="29"/>
      <c r="M29" s="13"/>
      <c r="N29" s="13"/>
      <c r="O29" s="13">
        <f t="shared" si="1"/>
        <v>4509750</v>
      </c>
      <c r="P29" s="61">
        <v>3800000</v>
      </c>
      <c r="Q29" s="13">
        <f t="shared" si="0"/>
        <v>-709750</v>
      </c>
      <c r="S29" s="5"/>
      <c r="T29" s="5"/>
    </row>
    <row r="30" spans="1:20" ht="12.75" customHeight="1" x14ac:dyDescent="0.2">
      <c r="A30" s="25"/>
      <c r="B30" s="44"/>
      <c r="C30" s="8" t="s">
        <v>746</v>
      </c>
      <c r="D30" s="8"/>
      <c r="E30" s="10"/>
      <c r="F30" s="8"/>
      <c r="G30" s="12"/>
      <c r="H30" s="3"/>
      <c r="I30" s="12"/>
      <c r="J30" s="13"/>
      <c r="K30" s="18"/>
      <c r="L30" s="81">
        <v>5310000</v>
      </c>
      <c r="M30" s="13"/>
      <c r="N30" s="13"/>
      <c r="O30" s="13">
        <f t="shared" ref="O30" si="4">SUM(H30:N30)</f>
        <v>5310000</v>
      </c>
      <c r="P30" s="56"/>
      <c r="Q30" s="13">
        <f t="shared" ref="Q30" si="5">P30-O30</f>
        <v>-5310000</v>
      </c>
      <c r="S30" s="5"/>
      <c r="T30" s="5"/>
    </row>
    <row r="31" spans="1:20" ht="12.75" customHeight="1" x14ac:dyDescent="0.2">
      <c r="A31" s="25"/>
      <c r="B31" s="44"/>
      <c r="C31" s="8" t="s">
        <v>742</v>
      </c>
      <c r="D31" s="74"/>
      <c r="E31" s="74"/>
      <c r="F31" s="74"/>
      <c r="G31" s="12"/>
      <c r="H31" s="3"/>
      <c r="I31" s="12"/>
      <c r="J31" s="13"/>
      <c r="K31" s="18"/>
      <c r="L31" s="81">
        <v>1600000</v>
      </c>
      <c r="M31" s="13"/>
      <c r="N31" s="13"/>
      <c r="O31" s="13">
        <f t="shared" si="1"/>
        <v>1600000</v>
      </c>
      <c r="P31" s="56"/>
      <c r="Q31" s="13">
        <f t="shared" si="0"/>
        <v>-1600000</v>
      </c>
      <c r="S31" s="5"/>
      <c r="T31" s="5"/>
    </row>
    <row r="32" spans="1:20" ht="12.75" customHeight="1" x14ac:dyDescent="0.2">
      <c r="A32" s="25"/>
      <c r="B32" s="44"/>
      <c r="C32" s="8" t="s">
        <v>743</v>
      </c>
      <c r="D32" s="74"/>
      <c r="E32" s="74"/>
      <c r="F32" s="74"/>
      <c r="G32" s="12"/>
      <c r="H32" s="3"/>
      <c r="I32" s="12"/>
      <c r="J32" s="13"/>
      <c r="K32" s="18"/>
      <c r="L32" s="81">
        <v>1000000</v>
      </c>
      <c r="M32" s="13"/>
      <c r="N32" s="13"/>
      <c r="O32" s="13">
        <f t="shared" si="1"/>
        <v>1000000</v>
      </c>
      <c r="P32" s="56"/>
      <c r="Q32" s="13">
        <f t="shared" si="0"/>
        <v>-1000000</v>
      </c>
      <c r="S32" s="5"/>
      <c r="T32" s="5"/>
    </row>
    <row r="33" spans="1:20" ht="12.75" customHeight="1" x14ac:dyDescent="0.2">
      <c r="A33" s="25"/>
      <c r="B33" s="44"/>
      <c r="C33" s="75" t="s">
        <v>744</v>
      </c>
      <c r="D33" s="76"/>
      <c r="E33" s="76"/>
      <c r="F33" s="77"/>
      <c r="G33" s="12"/>
      <c r="H33" s="3"/>
      <c r="I33" s="12"/>
      <c r="J33" s="13"/>
      <c r="K33" s="18"/>
      <c r="L33" s="81">
        <v>2200000</v>
      </c>
      <c r="M33" s="13"/>
      <c r="N33" s="13"/>
      <c r="O33" s="13">
        <f t="shared" si="1"/>
        <v>2200000</v>
      </c>
      <c r="P33" s="56"/>
      <c r="Q33" s="13">
        <f t="shared" si="0"/>
        <v>-2200000</v>
      </c>
      <c r="S33" s="5"/>
      <c r="T33" s="5"/>
    </row>
    <row r="34" spans="1:20" ht="12.75" customHeight="1" x14ac:dyDescent="0.2">
      <c r="A34" s="25"/>
      <c r="B34" s="44"/>
      <c r="C34" s="75" t="s">
        <v>745</v>
      </c>
      <c r="D34" s="76"/>
      <c r="E34" s="76"/>
      <c r="F34" s="77"/>
      <c r="G34" s="12"/>
      <c r="H34" s="3"/>
      <c r="I34" s="12"/>
      <c r="J34" s="3"/>
      <c r="K34" s="18"/>
      <c r="L34" s="81">
        <v>170000</v>
      </c>
      <c r="M34" s="13"/>
      <c r="N34" s="13"/>
      <c r="O34" s="13">
        <f t="shared" si="1"/>
        <v>170000</v>
      </c>
      <c r="P34" s="56"/>
      <c r="Q34" s="13">
        <f t="shared" si="0"/>
        <v>-170000</v>
      </c>
      <c r="S34" s="5"/>
      <c r="T34" s="5"/>
    </row>
    <row r="35" spans="1:20" ht="12.75" customHeight="1" x14ac:dyDescent="0.25">
      <c r="A35" s="25"/>
      <c r="B35" s="44"/>
      <c r="C35" s="75"/>
      <c r="D35" s="76"/>
      <c r="E35" s="76"/>
      <c r="F35" s="77"/>
      <c r="G35" s="12"/>
      <c r="H35" s="3"/>
      <c r="I35" s="12"/>
      <c r="J35" s="13"/>
      <c r="K35" s="18"/>
      <c r="L35" s="18"/>
      <c r="M35" s="13"/>
      <c r="N35" s="13"/>
      <c r="O35" s="13">
        <f t="shared" si="1"/>
        <v>0</v>
      </c>
      <c r="P35" s="13"/>
      <c r="Q35" s="13">
        <f t="shared" si="0"/>
        <v>0</v>
      </c>
      <c r="S35" s="5"/>
      <c r="T35" s="5"/>
    </row>
    <row r="36" spans="1:20" ht="16.149999999999999" customHeight="1" x14ac:dyDescent="0.25">
      <c r="A36" s="25"/>
      <c r="B36" s="17"/>
      <c r="C36" s="78"/>
      <c r="D36" s="79"/>
      <c r="E36" s="79"/>
      <c r="F36" s="80"/>
      <c r="G36" s="46"/>
      <c r="H36" s="18"/>
      <c r="I36" s="46"/>
      <c r="J36" s="18"/>
      <c r="K36" s="18"/>
      <c r="L36" s="18"/>
      <c r="M36" s="28"/>
      <c r="N36" s="28"/>
      <c r="O36" s="13">
        <f t="shared" si="1"/>
        <v>0</v>
      </c>
      <c r="P36" s="28"/>
      <c r="Q36" s="13">
        <f t="shared" si="0"/>
        <v>0</v>
      </c>
      <c r="S36" s="5"/>
      <c r="T36" s="5"/>
    </row>
    <row r="37" spans="1:20" x14ac:dyDescent="0.25">
      <c r="A37" s="8"/>
      <c r="B37" s="8"/>
      <c r="C37" s="17" t="s">
        <v>131</v>
      </c>
      <c r="D37" s="30"/>
      <c r="E37" s="17"/>
      <c r="F37" s="30"/>
      <c r="G37" s="30"/>
      <c r="H37" s="28"/>
      <c r="I37" s="30"/>
      <c r="J37" s="28"/>
      <c r="K37" s="28"/>
      <c r="L37" s="28">
        <f>1200000*1.1</f>
        <v>1320000</v>
      </c>
      <c r="M37" s="28"/>
      <c r="N37" s="28"/>
      <c r="O37" s="13">
        <f>SUM(K37:N37)</f>
        <v>1320000</v>
      </c>
      <c r="P37" s="28"/>
      <c r="Q37" s="13">
        <f t="shared" si="0"/>
        <v>-1320000</v>
      </c>
    </row>
    <row r="38" spans="1:20" x14ac:dyDescent="0.25">
      <c r="A38" s="8"/>
      <c r="B38" s="8"/>
      <c r="C38" s="17" t="s">
        <v>132</v>
      </c>
      <c r="D38" s="30"/>
      <c r="E38" s="17"/>
      <c r="F38" s="30"/>
      <c r="G38" s="30"/>
      <c r="H38" s="28"/>
      <c r="I38" s="30"/>
      <c r="J38" s="28"/>
      <c r="K38" s="28">
        <v>8307692</v>
      </c>
      <c r="L38" s="28"/>
      <c r="M38" s="18"/>
      <c r="N38" s="28"/>
      <c r="O38" s="53">
        <f>SUM(K38:N38)</f>
        <v>8307692</v>
      </c>
      <c r="P38" s="28"/>
      <c r="Q38" s="54">
        <f t="shared" si="0"/>
        <v>-8307692</v>
      </c>
    </row>
    <row r="39" spans="1:20" x14ac:dyDescent="0.25">
      <c r="A39" s="166" t="s">
        <v>19</v>
      </c>
      <c r="B39" s="167"/>
      <c r="C39" s="167"/>
      <c r="D39" s="167"/>
      <c r="E39" s="167"/>
      <c r="F39" s="168"/>
      <c r="G39" s="52">
        <f t="shared" ref="G39:O39" si="6">SUM(G7:G38)</f>
        <v>2541</v>
      </c>
      <c r="H39" s="4">
        <f t="shared" si="6"/>
        <v>43291850</v>
      </c>
      <c r="I39" s="4">
        <f t="shared" si="6"/>
        <v>0</v>
      </c>
      <c r="J39" s="4">
        <f t="shared" si="6"/>
        <v>27350000</v>
      </c>
      <c r="K39" s="4">
        <f t="shared" si="6"/>
        <v>8307692</v>
      </c>
      <c r="L39" s="4">
        <f t="shared" si="6"/>
        <v>11600000</v>
      </c>
      <c r="M39" s="4">
        <f t="shared" si="6"/>
        <v>0</v>
      </c>
      <c r="N39" s="4">
        <f t="shared" si="6"/>
        <v>0</v>
      </c>
      <c r="O39" s="4">
        <f t="shared" si="6"/>
        <v>90549542</v>
      </c>
      <c r="P39" s="51">
        <f>SUM(P8:P38)</f>
        <v>128223636</v>
      </c>
      <c r="Q39" s="4">
        <f>SUM(Q7:Q38)</f>
        <v>37674094</v>
      </c>
      <c r="R39" s="24"/>
    </row>
    <row r="40" spans="1:20" x14ac:dyDescent="0.25">
      <c r="O40" s="20"/>
      <c r="Q40" s="26"/>
    </row>
    <row r="41" spans="1:20" x14ac:dyDescent="0.25">
      <c r="P41" s="21" t="s">
        <v>20</v>
      </c>
      <c r="Q41" s="26">
        <f>'5.2019'!Q39+'6.2019'!Q39</f>
        <v>131044072.69230768</v>
      </c>
    </row>
    <row r="45" spans="1:20" x14ac:dyDescent="0.25">
      <c r="B45" s="6"/>
    </row>
    <row r="46" spans="1:20" x14ac:dyDescent="0.25">
      <c r="B46" s="6"/>
    </row>
    <row r="47" spans="1:20" x14ac:dyDescent="0.25">
      <c r="B47" s="6"/>
    </row>
    <row r="48" spans="1:20" x14ac:dyDescent="0.25">
      <c r="B48" s="6"/>
      <c r="H48" s="6"/>
      <c r="J48" s="6"/>
      <c r="K48" s="6"/>
      <c r="L48" s="6"/>
      <c r="M48" s="6"/>
      <c r="N48" s="6"/>
      <c r="O48" s="6"/>
      <c r="P48" s="6"/>
      <c r="Q48" s="6"/>
    </row>
  </sheetData>
  <mergeCells count="14">
    <mergeCell ref="A39:F39"/>
    <mergeCell ref="O5:O6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P5:P6"/>
    <mergeCell ref="Q5:Q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51"/>
  <sheetViews>
    <sheetView topLeftCell="A19" workbookViewId="0">
      <selection activeCell="Q44" sqref="Q44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747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62"/>
      <c r="B7" s="63"/>
      <c r="C7" s="64"/>
      <c r="D7" s="65"/>
      <c r="E7" s="66"/>
      <c r="F7" s="67"/>
      <c r="G7" s="68"/>
      <c r="H7" s="82"/>
      <c r="I7" s="82"/>
      <c r="J7" s="68"/>
      <c r="K7" s="68"/>
      <c r="L7" s="68"/>
      <c r="M7" s="68"/>
      <c r="N7" s="68"/>
      <c r="O7" s="55"/>
      <c r="P7" s="55"/>
      <c r="Q7" s="55"/>
    </row>
    <row r="8" spans="1:20" x14ac:dyDescent="0.2">
      <c r="A8" s="25">
        <v>1</v>
      </c>
      <c r="B8" s="44">
        <v>43647</v>
      </c>
      <c r="C8" s="10" t="s">
        <v>748</v>
      </c>
      <c r="D8" s="12" t="s">
        <v>749</v>
      </c>
      <c r="E8" s="10" t="s">
        <v>549</v>
      </c>
      <c r="F8" s="8"/>
      <c r="G8" s="8">
        <v>180</v>
      </c>
      <c r="H8" s="13">
        <f>+G8*16940</f>
        <v>3049200</v>
      </c>
      <c r="I8" s="8"/>
      <c r="J8" s="3">
        <v>810000</v>
      </c>
      <c r="K8" s="28"/>
      <c r="L8" s="29"/>
      <c r="M8" s="13"/>
      <c r="N8" s="13"/>
      <c r="O8" s="13">
        <f>SUM(H8:N8)</f>
        <v>3859200</v>
      </c>
      <c r="P8" s="61">
        <v>3600000</v>
      </c>
      <c r="Q8" s="13">
        <f>P8-O8</f>
        <v>-259200</v>
      </c>
      <c r="S8" s="5"/>
      <c r="T8" s="5"/>
    </row>
    <row r="9" spans="1:20" ht="12.75" customHeight="1" x14ac:dyDescent="0.2">
      <c r="A9" s="25">
        <v>2</v>
      </c>
      <c r="B9" s="44">
        <v>43648</v>
      </c>
      <c r="C9" s="10" t="s">
        <v>750</v>
      </c>
      <c r="D9" s="8" t="s">
        <v>751</v>
      </c>
      <c r="E9" s="10" t="s">
        <v>330</v>
      </c>
      <c r="F9" s="8"/>
      <c r="G9" s="8">
        <v>166</v>
      </c>
      <c r="H9" s="13">
        <f>+G9*16940</f>
        <v>2812040</v>
      </c>
      <c r="I9" s="8"/>
      <c r="J9" s="3">
        <v>680000</v>
      </c>
      <c r="K9" s="28"/>
      <c r="L9" s="29"/>
      <c r="M9" s="13"/>
      <c r="N9" s="13"/>
      <c r="O9" s="13">
        <f>SUM(H9:N9)</f>
        <v>3492040</v>
      </c>
      <c r="P9" s="61">
        <v>4000000</v>
      </c>
      <c r="Q9" s="13">
        <f t="shared" ref="Q9:Q41" si="0">P9-O9</f>
        <v>507960</v>
      </c>
      <c r="S9" s="5"/>
      <c r="T9" s="5"/>
    </row>
    <row r="10" spans="1:20" ht="12.75" customHeight="1" x14ac:dyDescent="0.2">
      <c r="A10" s="25">
        <v>3</v>
      </c>
      <c r="B10" s="44">
        <v>43648</v>
      </c>
      <c r="C10" s="10" t="s">
        <v>752</v>
      </c>
      <c r="D10" s="12" t="s">
        <v>753</v>
      </c>
      <c r="E10" s="10" t="s">
        <v>258</v>
      </c>
      <c r="F10" s="8"/>
      <c r="G10" s="8"/>
      <c r="H10" s="13"/>
      <c r="I10" s="8"/>
      <c r="J10" s="3">
        <v>1970000</v>
      </c>
      <c r="K10" s="28"/>
      <c r="L10" s="29"/>
      <c r="M10" s="13"/>
      <c r="N10" s="13"/>
      <c r="O10" s="13">
        <f t="shared" ref="O10:O39" si="1">SUM(H10:N10)</f>
        <v>1970000</v>
      </c>
      <c r="P10" s="61">
        <v>9545455</v>
      </c>
      <c r="Q10" s="13">
        <f t="shared" si="0"/>
        <v>7575455</v>
      </c>
      <c r="S10" s="5"/>
      <c r="T10" s="5"/>
    </row>
    <row r="11" spans="1:20" ht="12.75" customHeight="1" x14ac:dyDescent="0.2">
      <c r="A11" s="25">
        <v>4</v>
      </c>
      <c r="B11" s="44">
        <v>43650</v>
      </c>
      <c r="C11" s="10" t="s">
        <v>754</v>
      </c>
      <c r="D11" s="12" t="s">
        <v>755</v>
      </c>
      <c r="E11" s="10" t="s">
        <v>756</v>
      </c>
      <c r="F11" s="8"/>
      <c r="G11" s="8">
        <v>255</v>
      </c>
      <c r="H11" s="13">
        <f>+G11*16940</f>
        <v>4319700</v>
      </c>
      <c r="I11" s="8"/>
      <c r="J11" s="3">
        <v>1320000</v>
      </c>
      <c r="K11" s="28"/>
      <c r="L11" s="29"/>
      <c r="M11" s="13"/>
      <c r="N11" s="13"/>
      <c r="O11" s="13">
        <f t="shared" si="1"/>
        <v>5639700</v>
      </c>
      <c r="P11" s="61">
        <v>5600000</v>
      </c>
      <c r="Q11" s="13">
        <f t="shared" si="0"/>
        <v>-39700</v>
      </c>
      <c r="S11" s="5"/>
      <c r="T11" s="5"/>
    </row>
    <row r="12" spans="1:20" ht="12.75" customHeight="1" x14ac:dyDescent="0.2">
      <c r="A12" s="25">
        <v>5</v>
      </c>
      <c r="B12" s="44">
        <v>43651</v>
      </c>
      <c r="C12" s="10" t="s">
        <v>757</v>
      </c>
      <c r="D12" s="12" t="s">
        <v>758</v>
      </c>
      <c r="E12" s="10" t="s">
        <v>737</v>
      </c>
      <c r="F12" s="8"/>
      <c r="G12" s="8"/>
      <c r="H12" s="13"/>
      <c r="I12" s="8"/>
      <c r="J12" s="3">
        <v>1320000</v>
      </c>
      <c r="K12" s="28"/>
      <c r="L12" s="29"/>
      <c r="M12" s="13"/>
      <c r="N12" s="13"/>
      <c r="O12" s="13">
        <f t="shared" si="1"/>
        <v>1320000</v>
      </c>
      <c r="P12" s="61">
        <v>5600000</v>
      </c>
      <c r="Q12" s="13">
        <f t="shared" si="0"/>
        <v>4280000</v>
      </c>
      <c r="S12" s="5"/>
      <c r="T12" s="5"/>
    </row>
    <row r="13" spans="1:20" ht="12.75" customHeight="1" x14ac:dyDescent="0.2">
      <c r="A13" s="25">
        <v>6</v>
      </c>
      <c r="B13" s="44">
        <v>43654</v>
      </c>
      <c r="C13" s="10" t="s">
        <v>759</v>
      </c>
      <c r="D13" s="12" t="s">
        <v>760</v>
      </c>
      <c r="E13" s="10" t="s">
        <v>761</v>
      </c>
      <c r="F13" s="8"/>
      <c r="G13" s="8">
        <v>206</v>
      </c>
      <c r="H13" s="13">
        <f>+G13*16940</f>
        <v>3489640</v>
      </c>
      <c r="I13" s="8"/>
      <c r="J13" s="3">
        <v>680000</v>
      </c>
      <c r="K13" s="28"/>
      <c r="L13" s="29"/>
      <c r="M13" s="13"/>
      <c r="N13" s="13"/>
      <c r="O13" s="13">
        <f t="shared" si="1"/>
        <v>4169640</v>
      </c>
      <c r="P13" s="61">
        <v>3700000</v>
      </c>
      <c r="Q13" s="13">
        <f t="shared" si="0"/>
        <v>-469640</v>
      </c>
      <c r="S13" s="5"/>
      <c r="T13" s="5"/>
    </row>
    <row r="14" spans="1:20" ht="12.75" customHeight="1" x14ac:dyDescent="0.2">
      <c r="A14" s="25">
        <v>7</v>
      </c>
      <c r="B14" s="44">
        <v>43654</v>
      </c>
      <c r="C14" s="10" t="s">
        <v>762</v>
      </c>
      <c r="D14" s="12" t="s">
        <v>763</v>
      </c>
      <c r="E14" s="10" t="s">
        <v>731</v>
      </c>
      <c r="F14" s="8"/>
      <c r="G14" s="8">
        <v>93</v>
      </c>
      <c r="H14" s="13">
        <f>+G14*16940</f>
        <v>1575420</v>
      </c>
      <c r="I14" s="8"/>
      <c r="J14" s="3">
        <v>1320000</v>
      </c>
      <c r="K14" s="28"/>
      <c r="L14" s="29"/>
      <c r="M14" s="13"/>
      <c r="N14" s="13"/>
      <c r="O14" s="13">
        <f t="shared" si="1"/>
        <v>2895420</v>
      </c>
      <c r="P14" s="61">
        <v>5600000</v>
      </c>
      <c r="Q14" s="13">
        <f t="shared" si="0"/>
        <v>2704580</v>
      </c>
      <c r="S14" s="5"/>
      <c r="T14" s="5"/>
    </row>
    <row r="15" spans="1:20" ht="12.75" customHeight="1" x14ac:dyDescent="0.2">
      <c r="A15" s="25">
        <v>8</v>
      </c>
      <c r="B15" s="44">
        <v>43655</v>
      </c>
      <c r="C15" s="10" t="s">
        <v>764</v>
      </c>
      <c r="D15" s="12" t="s">
        <v>765</v>
      </c>
      <c r="E15" s="10" t="s">
        <v>766</v>
      </c>
      <c r="F15" s="8"/>
      <c r="G15" s="8"/>
      <c r="H15" s="13"/>
      <c r="I15" s="8"/>
      <c r="J15" s="3">
        <v>1060000</v>
      </c>
      <c r="K15" s="28"/>
      <c r="L15" s="29"/>
      <c r="M15" s="13"/>
      <c r="N15" s="13"/>
      <c r="O15" s="13">
        <f t="shared" si="1"/>
        <v>1060000</v>
      </c>
      <c r="P15" s="61">
        <v>5000000</v>
      </c>
      <c r="Q15" s="13">
        <f t="shared" si="0"/>
        <v>3940000</v>
      </c>
      <c r="S15" s="5"/>
      <c r="T15" s="5"/>
    </row>
    <row r="16" spans="1:20" ht="12.75" customHeight="1" x14ac:dyDescent="0.2">
      <c r="A16" s="25">
        <v>9</v>
      </c>
      <c r="B16" s="44">
        <v>43656</v>
      </c>
      <c r="C16" s="10" t="s">
        <v>767</v>
      </c>
      <c r="D16" s="12" t="s">
        <v>768</v>
      </c>
      <c r="E16" s="10" t="s">
        <v>112</v>
      </c>
      <c r="F16" s="8"/>
      <c r="G16" s="8">
        <v>208</v>
      </c>
      <c r="H16" s="13">
        <f>+G16*16940</f>
        <v>3523520</v>
      </c>
      <c r="I16" s="8"/>
      <c r="J16" s="3">
        <v>2470000</v>
      </c>
      <c r="K16" s="28"/>
      <c r="L16" s="29"/>
      <c r="M16" s="13"/>
      <c r="N16" s="13"/>
      <c r="O16" s="13">
        <f t="shared" si="1"/>
        <v>5993520</v>
      </c>
      <c r="P16" s="61">
        <v>13181818</v>
      </c>
      <c r="Q16" s="13">
        <f t="shared" si="0"/>
        <v>7188298</v>
      </c>
      <c r="S16" s="5"/>
      <c r="T16" s="5"/>
    </row>
    <row r="17" spans="1:20" ht="12.75" customHeight="1" x14ac:dyDescent="0.2">
      <c r="A17" s="25">
        <v>10</v>
      </c>
      <c r="B17" s="44">
        <v>43657</v>
      </c>
      <c r="C17" s="10" t="s">
        <v>769</v>
      </c>
      <c r="D17" s="12" t="s">
        <v>770</v>
      </c>
      <c r="E17" s="10" t="s">
        <v>766</v>
      </c>
      <c r="F17" s="8"/>
      <c r="G17" s="8">
        <v>232</v>
      </c>
      <c r="H17" s="13">
        <f>+G17*16940</f>
        <v>3930080</v>
      </c>
      <c r="I17" s="8"/>
      <c r="J17" s="59">
        <v>1175000</v>
      </c>
      <c r="K17" s="28"/>
      <c r="L17" s="29"/>
      <c r="M17" s="13"/>
      <c r="N17" s="13"/>
      <c r="O17" s="13">
        <f t="shared" si="1"/>
        <v>5105080</v>
      </c>
      <c r="P17" s="61">
        <v>5000000</v>
      </c>
      <c r="Q17" s="13">
        <f t="shared" si="0"/>
        <v>-105080</v>
      </c>
      <c r="S17" s="5"/>
      <c r="T17" s="5"/>
    </row>
    <row r="18" spans="1:20" ht="12.75" customHeight="1" x14ac:dyDescent="0.2">
      <c r="A18" s="25">
        <v>11</v>
      </c>
      <c r="B18" s="44">
        <v>43658</v>
      </c>
      <c r="C18" s="10" t="s">
        <v>771</v>
      </c>
      <c r="D18" s="12" t="s">
        <v>772</v>
      </c>
      <c r="E18" s="10" t="s">
        <v>773</v>
      </c>
      <c r="F18" s="8"/>
      <c r="G18" s="8"/>
      <c r="H18" s="13"/>
      <c r="I18" s="8"/>
      <c r="J18" s="13">
        <v>1500000</v>
      </c>
      <c r="K18" s="28"/>
      <c r="L18" s="29"/>
      <c r="M18" s="13"/>
      <c r="N18" s="13"/>
      <c r="O18" s="13">
        <f t="shared" si="1"/>
        <v>1500000</v>
      </c>
      <c r="P18" s="61">
        <v>5520000</v>
      </c>
      <c r="Q18" s="13">
        <f t="shared" si="0"/>
        <v>4020000</v>
      </c>
      <c r="S18" s="5"/>
      <c r="T18" s="5"/>
    </row>
    <row r="19" spans="1:20" ht="12.75" customHeight="1" x14ac:dyDescent="0.2">
      <c r="A19" s="25">
        <v>12</v>
      </c>
      <c r="B19" s="44">
        <v>43661</v>
      </c>
      <c r="C19" s="10" t="s">
        <v>774</v>
      </c>
      <c r="D19" s="12" t="s">
        <v>775</v>
      </c>
      <c r="E19" s="10" t="s">
        <v>115</v>
      </c>
      <c r="F19" s="8"/>
      <c r="G19" s="8">
        <v>180</v>
      </c>
      <c r="H19" s="13">
        <f>+G19*16940</f>
        <v>3049200</v>
      </c>
      <c r="I19" s="8"/>
      <c r="J19" s="13">
        <v>1380000</v>
      </c>
      <c r="K19" s="28"/>
      <c r="L19" s="29"/>
      <c r="M19" s="13"/>
      <c r="N19" s="13"/>
      <c r="O19" s="13">
        <f t="shared" si="1"/>
        <v>4429200</v>
      </c>
      <c r="P19" s="61">
        <v>5500000</v>
      </c>
      <c r="Q19" s="13">
        <f t="shared" si="0"/>
        <v>1070800</v>
      </c>
      <c r="S19" s="5"/>
      <c r="T19" s="5"/>
    </row>
    <row r="20" spans="1:20" ht="12.75" customHeight="1" x14ac:dyDescent="0.2">
      <c r="A20" s="25">
        <v>13</v>
      </c>
      <c r="B20" s="44">
        <v>43661</v>
      </c>
      <c r="C20" s="10" t="s">
        <v>776</v>
      </c>
      <c r="D20" s="12" t="s">
        <v>777</v>
      </c>
      <c r="E20" s="10" t="s">
        <v>331</v>
      </c>
      <c r="F20" s="8"/>
      <c r="G20" s="8"/>
      <c r="H20" s="13"/>
      <c r="I20" s="8"/>
      <c r="J20" s="13">
        <v>930000</v>
      </c>
      <c r="K20" s="28"/>
      <c r="L20" s="29"/>
      <c r="M20" s="13"/>
      <c r="N20" s="13"/>
      <c r="O20" s="13">
        <f t="shared" si="1"/>
        <v>930000</v>
      </c>
      <c r="P20" s="61">
        <v>3900000</v>
      </c>
      <c r="Q20" s="13">
        <f t="shared" si="0"/>
        <v>2970000</v>
      </c>
      <c r="S20" s="5"/>
      <c r="T20" s="5"/>
    </row>
    <row r="21" spans="1:20" ht="12.75" customHeight="1" x14ac:dyDescent="0.2">
      <c r="A21" s="25">
        <v>14</v>
      </c>
      <c r="B21" s="44">
        <v>43662</v>
      </c>
      <c r="C21" s="10" t="s">
        <v>778</v>
      </c>
      <c r="D21" s="12" t="s">
        <v>779</v>
      </c>
      <c r="E21" s="10" t="s">
        <v>121</v>
      </c>
      <c r="F21" s="8"/>
      <c r="G21" s="8">
        <v>198</v>
      </c>
      <c r="H21" s="13">
        <f>+G21*16990</f>
        <v>3364020</v>
      </c>
      <c r="I21" s="8"/>
      <c r="J21" s="13">
        <v>2470000</v>
      </c>
      <c r="K21" s="28"/>
      <c r="L21" s="29"/>
      <c r="M21" s="13"/>
      <c r="N21" s="13"/>
      <c r="O21" s="13">
        <f t="shared" si="1"/>
        <v>5834020</v>
      </c>
      <c r="P21" s="61">
        <v>12272727</v>
      </c>
      <c r="Q21" s="13">
        <f t="shared" si="0"/>
        <v>6438707</v>
      </c>
      <c r="S21" s="5"/>
      <c r="T21" s="5"/>
    </row>
    <row r="22" spans="1:20" ht="12.75" customHeight="1" x14ac:dyDescent="0.2">
      <c r="A22" s="25">
        <v>15</v>
      </c>
      <c r="B22" s="44">
        <v>43663</v>
      </c>
      <c r="C22" s="10" t="s">
        <v>780</v>
      </c>
      <c r="D22" s="12" t="s">
        <v>781</v>
      </c>
      <c r="E22" s="10" t="s">
        <v>782</v>
      </c>
      <c r="F22" s="8"/>
      <c r="G22" s="8"/>
      <c r="H22" s="13"/>
      <c r="I22" s="8"/>
      <c r="J22" s="13">
        <v>1320000</v>
      </c>
      <c r="K22" s="28"/>
      <c r="L22" s="29"/>
      <c r="M22" s="13"/>
      <c r="N22" s="13"/>
      <c r="O22" s="13">
        <f t="shared" si="1"/>
        <v>1320000</v>
      </c>
      <c r="P22" s="61">
        <v>6300000</v>
      </c>
      <c r="Q22" s="13">
        <f t="shared" si="0"/>
        <v>4980000</v>
      </c>
      <c r="S22" s="5"/>
      <c r="T22" s="5"/>
    </row>
    <row r="23" spans="1:20" ht="12.75" customHeight="1" x14ac:dyDescent="0.2">
      <c r="A23" s="25">
        <v>16</v>
      </c>
      <c r="B23" s="44">
        <v>43664</v>
      </c>
      <c r="C23" s="10" t="s">
        <v>783</v>
      </c>
      <c r="D23" s="12" t="s">
        <v>784</v>
      </c>
      <c r="E23" s="10" t="s">
        <v>785</v>
      </c>
      <c r="F23" s="8"/>
      <c r="G23" s="8">
        <v>210</v>
      </c>
      <c r="H23" s="13">
        <f>+G23*16990</f>
        <v>3567900</v>
      </c>
      <c r="I23" s="8"/>
      <c r="J23" s="13">
        <v>930000</v>
      </c>
      <c r="K23" s="28"/>
      <c r="L23" s="29"/>
      <c r="M23" s="13"/>
      <c r="N23" s="13"/>
      <c r="O23" s="13">
        <f t="shared" si="1"/>
        <v>4497900</v>
      </c>
      <c r="P23" s="61">
        <v>3700000</v>
      </c>
      <c r="Q23" s="13">
        <f t="shared" si="0"/>
        <v>-797900</v>
      </c>
      <c r="S23" s="5"/>
      <c r="T23" s="5"/>
    </row>
    <row r="24" spans="1:20" ht="12.75" customHeight="1" x14ac:dyDescent="0.2">
      <c r="A24" s="25">
        <v>17</v>
      </c>
      <c r="B24" s="44">
        <v>43666</v>
      </c>
      <c r="C24" s="10" t="s">
        <v>786</v>
      </c>
      <c r="D24" s="8" t="s">
        <v>787</v>
      </c>
      <c r="E24" s="10" t="s">
        <v>184</v>
      </c>
      <c r="F24" s="8"/>
      <c r="G24" s="8">
        <v>225</v>
      </c>
      <c r="H24" s="13">
        <f>+G24*16990</f>
        <v>3822750</v>
      </c>
      <c r="I24" s="8"/>
      <c r="J24" s="13">
        <v>1060000</v>
      </c>
      <c r="K24" s="28"/>
      <c r="L24" s="29"/>
      <c r="M24" s="13"/>
      <c r="N24" s="13"/>
      <c r="O24" s="13">
        <f t="shared" si="1"/>
        <v>4882750</v>
      </c>
      <c r="P24" s="61">
        <v>5000000</v>
      </c>
      <c r="Q24" s="13">
        <f t="shared" si="0"/>
        <v>117250</v>
      </c>
      <c r="S24" s="5"/>
      <c r="T24" s="5"/>
    </row>
    <row r="25" spans="1:20" ht="12.75" customHeight="1" x14ac:dyDescent="0.2">
      <c r="A25" s="25">
        <v>18</v>
      </c>
      <c r="B25" s="44">
        <v>43667</v>
      </c>
      <c r="C25" s="10" t="s">
        <v>788</v>
      </c>
      <c r="D25" s="8" t="s">
        <v>789</v>
      </c>
      <c r="E25" s="10" t="s">
        <v>790</v>
      </c>
      <c r="F25" s="8"/>
      <c r="G25" s="8">
        <v>205</v>
      </c>
      <c r="H25" s="13">
        <f>+G25*16990</f>
        <v>3482950</v>
      </c>
      <c r="I25" s="8"/>
      <c r="J25" s="13">
        <v>1500000</v>
      </c>
      <c r="K25" s="28"/>
      <c r="L25" s="29"/>
      <c r="M25" s="13"/>
      <c r="N25" s="13"/>
      <c r="O25" s="13">
        <f t="shared" si="1"/>
        <v>4982950</v>
      </c>
      <c r="P25" s="61">
        <v>5520000</v>
      </c>
      <c r="Q25" s="13">
        <f t="shared" si="0"/>
        <v>537050</v>
      </c>
      <c r="S25" s="5"/>
      <c r="T25" s="5"/>
    </row>
    <row r="26" spans="1:20" ht="12.75" customHeight="1" x14ac:dyDescent="0.2">
      <c r="A26" s="25">
        <v>19</v>
      </c>
      <c r="B26" s="44">
        <v>43667</v>
      </c>
      <c r="C26" s="10" t="s">
        <v>791</v>
      </c>
      <c r="D26" s="8" t="s">
        <v>792</v>
      </c>
      <c r="E26" s="10" t="s">
        <v>112</v>
      </c>
      <c r="F26" s="8"/>
      <c r="G26" s="8"/>
      <c r="H26" s="13"/>
      <c r="I26" s="8"/>
      <c r="J26" s="13">
        <v>2470000</v>
      </c>
      <c r="K26" s="28"/>
      <c r="L26" s="29"/>
      <c r="M26" s="13"/>
      <c r="N26" s="13"/>
      <c r="O26" s="13">
        <f t="shared" si="1"/>
        <v>2470000</v>
      </c>
      <c r="P26" s="61">
        <v>13181818</v>
      </c>
      <c r="Q26" s="13">
        <f t="shared" si="0"/>
        <v>10711818</v>
      </c>
      <c r="S26" s="5"/>
      <c r="T26" s="5"/>
    </row>
    <row r="27" spans="1:20" ht="12.75" customHeight="1" x14ac:dyDescent="0.2">
      <c r="A27" s="25">
        <v>20</v>
      </c>
      <c r="B27" s="44">
        <v>43669</v>
      </c>
      <c r="C27" s="10" t="s">
        <v>793</v>
      </c>
      <c r="D27" s="8" t="s">
        <v>794</v>
      </c>
      <c r="E27" s="10" t="s">
        <v>795</v>
      </c>
      <c r="F27" s="8"/>
      <c r="G27" s="8">
        <v>276</v>
      </c>
      <c r="H27" s="13">
        <f>+G27*16990</f>
        <v>4689240</v>
      </c>
      <c r="I27" s="8"/>
      <c r="J27" s="13">
        <v>1390000</v>
      </c>
      <c r="K27" s="28"/>
      <c r="L27" s="29"/>
      <c r="M27" s="13"/>
      <c r="N27" s="13"/>
      <c r="O27" s="13">
        <f t="shared" si="1"/>
        <v>6079240</v>
      </c>
      <c r="P27" s="61">
        <v>8000000</v>
      </c>
      <c r="Q27" s="13">
        <f t="shared" si="0"/>
        <v>1920760</v>
      </c>
      <c r="S27" s="5"/>
      <c r="T27" s="5"/>
    </row>
    <row r="28" spans="1:20" ht="12.75" customHeight="1" x14ac:dyDescent="0.2">
      <c r="A28" s="25">
        <v>21</v>
      </c>
      <c r="B28" s="44">
        <v>43670</v>
      </c>
      <c r="C28" s="10" t="s">
        <v>796</v>
      </c>
      <c r="D28" s="8" t="s">
        <v>797</v>
      </c>
      <c r="E28" s="10" t="s">
        <v>766</v>
      </c>
      <c r="F28" s="8"/>
      <c r="G28" s="8"/>
      <c r="H28" s="13"/>
      <c r="I28" s="8"/>
      <c r="J28" s="13">
        <v>1060000</v>
      </c>
      <c r="K28" s="28"/>
      <c r="L28" s="29"/>
      <c r="M28" s="13"/>
      <c r="N28" s="13"/>
      <c r="O28" s="13">
        <f t="shared" si="1"/>
        <v>1060000</v>
      </c>
      <c r="P28" s="61">
        <v>5000000</v>
      </c>
      <c r="Q28" s="13">
        <f t="shared" si="0"/>
        <v>3940000</v>
      </c>
      <c r="S28" s="5"/>
      <c r="T28" s="5"/>
    </row>
    <row r="29" spans="1:20" ht="12.75" customHeight="1" x14ac:dyDescent="0.2">
      <c r="A29" s="25">
        <v>22</v>
      </c>
      <c r="B29" s="44">
        <v>43671</v>
      </c>
      <c r="C29" s="10" t="s">
        <v>23</v>
      </c>
      <c r="D29" s="8" t="s">
        <v>798</v>
      </c>
      <c r="E29" s="10" t="s">
        <v>799</v>
      </c>
      <c r="F29" s="8"/>
      <c r="G29" s="8">
        <v>220</v>
      </c>
      <c r="H29" s="13">
        <f>+G29*16990</f>
        <v>3737800</v>
      </c>
      <c r="I29" s="8"/>
      <c r="J29" s="13">
        <v>680000</v>
      </c>
      <c r="K29" s="28"/>
      <c r="L29" s="29"/>
      <c r="M29" s="13"/>
      <c r="N29" s="13"/>
      <c r="O29" s="13">
        <f t="shared" si="1"/>
        <v>4417800</v>
      </c>
      <c r="P29" s="61">
        <v>3700000</v>
      </c>
      <c r="Q29" s="13">
        <f t="shared" si="0"/>
        <v>-717800</v>
      </c>
      <c r="S29" s="5"/>
      <c r="T29" s="5"/>
    </row>
    <row r="30" spans="1:20" ht="12.75" customHeight="1" x14ac:dyDescent="0.2">
      <c r="A30" s="25"/>
      <c r="B30" s="44">
        <v>43672</v>
      </c>
      <c r="C30" s="8" t="s">
        <v>24</v>
      </c>
      <c r="D30" s="8" t="s">
        <v>800</v>
      </c>
      <c r="E30" s="10" t="s">
        <v>799</v>
      </c>
      <c r="F30" s="8"/>
      <c r="G30" s="8"/>
      <c r="H30" s="13"/>
      <c r="I30" s="8"/>
      <c r="J30" s="13">
        <v>680000</v>
      </c>
      <c r="K30" s="28"/>
      <c r="L30" s="29"/>
      <c r="M30" s="13"/>
      <c r="N30" s="13"/>
      <c r="O30" s="13">
        <f t="shared" si="1"/>
        <v>680000</v>
      </c>
      <c r="P30" s="56">
        <v>3700000</v>
      </c>
      <c r="Q30" s="13">
        <f t="shared" si="0"/>
        <v>3020000</v>
      </c>
      <c r="S30" s="5"/>
      <c r="T30" s="5"/>
    </row>
    <row r="31" spans="1:20" ht="12.75" customHeight="1" x14ac:dyDescent="0.2">
      <c r="A31" s="25"/>
      <c r="B31" s="44">
        <v>43673</v>
      </c>
      <c r="C31" s="8" t="s">
        <v>801</v>
      </c>
      <c r="D31" s="8" t="s">
        <v>802</v>
      </c>
      <c r="E31" s="10" t="s">
        <v>799</v>
      </c>
      <c r="F31" s="8"/>
      <c r="G31" s="8"/>
      <c r="H31" s="13"/>
      <c r="I31" s="8"/>
      <c r="J31" s="13">
        <v>680000</v>
      </c>
      <c r="K31" s="28"/>
      <c r="L31" s="29"/>
      <c r="M31" s="13"/>
      <c r="N31" s="13"/>
      <c r="O31" s="13">
        <f t="shared" si="1"/>
        <v>680000</v>
      </c>
      <c r="P31" s="56">
        <v>3700000</v>
      </c>
      <c r="Q31" s="13">
        <f t="shared" si="0"/>
        <v>3020000</v>
      </c>
      <c r="S31" s="5"/>
      <c r="T31" s="5"/>
    </row>
    <row r="32" spans="1:20" ht="12.75" customHeight="1" x14ac:dyDescent="0.2">
      <c r="A32" s="25"/>
      <c r="B32" s="44">
        <v>43673</v>
      </c>
      <c r="C32" s="8" t="s">
        <v>803</v>
      </c>
      <c r="D32" s="8" t="s">
        <v>804</v>
      </c>
      <c r="E32" s="10" t="s">
        <v>799</v>
      </c>
      <c r="F32" s="8"/>
      <c r="G32" s="8"/>
      <c r="H32" s="13"/>
      <c r="I32" s="8"/>
      <c r="J32" s="13">
        <v>680000</v>
      </c>
      <c r="K32" s="28"/>
      <c r="L32" s="29"/>
      <c r="M32" s="13"/>
      <c r="N32" s="13"/>
      <c r="O32" s="13">
        <f t="shared" si="1"/>
        <v>680000</v>
      </c>
      <c r="P32" s="56">
        <v>3700000</v>
      </c>
      <c r="Q32" s="13">
        <f t="shared" si="0"/>
        <v>3020000</v>
      </c>
      <c r="S32" s="5"/>
      <c r="T32" s="5"/>
    </row>
    <row r="33" spans="1:20" ht="12.75" customHeight="1" x14ac:dyDescent="0.2">
      <c r="A33" s="25"/>
      <c r="B33" s="44">
        <v>43675</v>
      </c>
      <c r="C33" s="75" t="s">
        <v>805</v>
      </c>
      <c r="D33" s="8" t="s">
        <v>806</v>
      </c>
      <c r="E33" s="10" t="s">
        <v>807</v>
      </c>
      <c r="F33" s="8"/>
      <c r="G33" s="8"/>
      <c r="H33" s="13"/>
      <c r="I33" s="8"/>
      <c r="J33" s="13">
        <v>1060000</v>
      </c>
      <c r="K33" s="28"/>
      <c r="L33" s="29"/>
      <c r="M33" s="13"/>
      <c r="N33" s="13"/>
      <c r="O33" s="13">
        <f t="shared" si="1"/>
        <v>1060000</v>
      </c>
      <c r="P33" s="56">
        <v>5000000</v>
      </c>
      <c r="Q33" s="13">
        <f t="shared" si="0"/>
        <v>3940000</v>
      </c>
      <c r="S33" s="5"/>
      <c r="T33" s="5"/>
    </row>
    <row r="34" spans="1:20" ht="12.75" customHeight="1" x14ac:dyDescent="0.2">
      <c r="A34" s="25"/>
      <c r="B34" s="44">
        <v>43676</v>
      </c>
      <c r="C34" s="75" t="s">
        <v>26</v>
      </c>
      <c r="D34" s="76" t="s">
        <v>808</v>
      </c>
      <c r="E34" s="76" t="s">
        <v>807</v>
      </c>
      <c r="F34" s="8"/>
      <c r="G34" s="8">
        <v>276</v>
      </c>
      <c r="H34" s="13">
        <f>+G34*16990</f>
        <v>4689240</v>
      </c>
      <c r="I34" s="8"/>
      <c r="J34" s="13">
        <v>1060000</v>
      </c>
      <c r="K34" s="28"/>
      <c r="L34" s="29"/>
      <c r="M34" s="13"/>
      <c r="N34" s="13"/>
      <c r="O34" s="13">
        <f t="shared" si="1"/>
        <v>5749240</v>
      </c>
      <c r="P34" s="56">
        <v>5000000</v>
      </c>
      <c r="Q34" s="13">
        <f t="shared" si="0"/>
        <v>-749240</v>
      </c>
      <c r="S34" s="5"/>
      <c r="T34" s="5"/>
    </row>
    <row r="35" spans="1:20" ht="12.75" customHeight="1" x14ac:dyDescent="0.2">
      <c r="A35" s="25"/>
      <c r="B35" s="44"/>
      <c r="C35" s="75"/>
      <c r="D35" s="83" t="s">
        <v>809</v>
      </c>
      <c r="E35" s="84"/>
      <c r="F35" s="85"/>
      <c r="G35" s="8"/>
      <c r="H35" s="13"/>
      <c r="I35" s="8"/>
      <c r="J35" s="13"/>
      <c r="K35" s="28"/>
      <c r="L35" s="28"/>
      <c r="M35" s="89">
        <v>11800000</v>
      </c>
      <c r="N35" s="13"/>
      <c r="O35" s="13">
        <f t="shared" si="1"/>
        <v>11800000</v>
      </c>
      <c r="P35" s="56"/>
      <c r="Q35" s="13">
        <f t="shared" si="0"/>
        <v>-11800000</v>
      </c>
      <c r="S35" s="5"/>
      <c r="T35" s="5"/>
    </row>
    <row r="36" spans="1:20" ht="12.75" customHeight="1" x14ac:dyDescent="0.2">
      <c r="A36" s="25"/>
      <c r="B36" s="44"/>
      <c r="C36" s="75"/>
      <c r="D36" s="83" t="s">
        <v>810</v>
      </c>
      <c r="E36" s="84"/>
      <c r="F36" s="85"/>
      <c r="G36" s="8"/>
      <c r="H36" s="13"/>
      <c r="I36" s="8"/>
      <c r="J36" s="13"/>
      <c r="K36" s="28"/>
      <c r="L36" s="28"/>
      <c r="M36" s="89">
        <v>10200000</v>
      </c>
      <c r="N36" s="13"/>
      <c r="O36" s="13">
        <f t="shared" si="1"/>
        <v>10200000</v>
      </c>
      <c r="P36" s="56"/>
      <c r="Q36" s="13">
        <f t="shared" si="0"/>
        <v>-10200000</v>
      </c>
      <c r="S36" s="5"/>
      <c r="T36" s="5"/>
    </row>
    <row r="37" spans="1:20" ht="12.75" customHeight="1" x14ac:dyDescent="0.25">
      <c r="A37" s="25"/>
      <c r="B37" s="44"/>
      <c r="C37" s="75"/>
      <c r="D37" s="83" t="s">
        <v>811</v>
      </c>
      <c r="E37" s="84"/>
      <c r="F37" s="85"/>
      <c r="G37" s="8"/>
      <c r="H37" s="13"/>
      <c r="I37" s="8"/>
      <c r="J37" s="13"/>
      <c r="K37" s="28"/>
      <c r="L37" s="90">
        <v>150000</v>
      </c>
      <c r="M37" s="86"/>
      <c r="N37" s="13"/>
      <c r="O37" s="13">
        <f t="shared" si="1"/>
        <v>150000</v>
      </c>
      <c r="P37" s="13"/>
      <c r="Q37" s="13">
        <f t="shared" si="0"/>
        <v>-150000</v>
      </c>
      <c r="S37" s="5"/>
      <c r="T37" s="5"/>
    </row>
    <row r="38" spans="1:20" ht="12.75" customHeight="1" x14ac:dyDescent="0.25">
      <c r="A38" s="25"/>
      <c r="B38" s="44"/>
      <c r="C38" s="75"/>
      <c r="D38" s="83" t="s">
        <v>812</v>
      </c>
      <c r="E38" s="84"/>
      <c r="F38" s="85"/>
      <c r="G38" s="8"/>
      <c r="H38" s="13"/>
      <c r="I38" s="8"/>
      <c r="J38" s="13"/>
      <c r="K38" s="28"/>
      <c r="L38" s="90">
        <v>1200000</v>
      </c>
      <c r="M38" s="86"/>
      <c r="N38" s="13"/>
      <c r="O38" s="13">
        <f t="shared" si="1"/>
        <v>1200000</v>
      </c>
      <c r="P38" s="13"/>
      <c r="Q38" s="13">
        <f t="shared" si="0"/>
        <v>-1200000</v>
      </c>
      <c r="S38" s="5"/>
      <c r="T38" s="5"/>
    </row>
    <row r="39" spans="1:20" ht="16.149999999999999" customHeight="1" x14ac:dyDescent="0.25">
      <c r="A39" s="25"/>
      <c r="B39" s="17"/>
      <c r="C39" s="78"/>
      <c r="D39" s="87" t="s">
        <v>813</v>
      </c>
      <c r="E39" s="79"/>
      <c r="F39" s="80"/>
      <c r="G39" s="30"/>
      <c r="H39" s="28"/>
      <c r="I39" s="30"/>
      <c r="J39" s="28"/>
      <c r="K39" s="28"/>
      <c r="L39" s="90">
        <v>350000</v>
      </c>
      <c r="M39" s="28"/>
      <c r="N39" s="28"/>
      <c r="O39" s="13">
        <f t="shared" si="1"/>
        <v>350000</v>
      </c>
      <c r="P39" s="28"/>
      <c r="Q39" s="13">
        <f t="shared" si="0"/>
        <v>-350000</v>
      </c>
      <c r="S39" s="5"/>
      <c r="T39" s="5"/>
    </row>
    <row r="40" spans="1:20" x14ac:dyDescent="0.25">
      <c r="A40" s="8"/>
      <c r="B40" s="8"/>
      <c r="C40" s="17" t="s">
        <v>131</v>
      </c>
      <c r="D40" s="30"/>
      <c r="E40" s="17"/>
      <c r="F40" s="30"/>
      <c r="G40" s="30"/>
      <c r="H40" s="28"/>
      <c r="I40" s="30"/>
      <c r="J40" s="28"/>
      <c r="K40" s="28"/>
      <c r="L40" s="28">
        <f>1200000*1.1</f>
        <v>1320000</v>
      </c>
      <c r="M40" s="28"/>
      <c r="N40" s="28"/>
      <c r="O40" s="13">
        <f>SUM(K40:N40)</f>
        <v>1320000</v>
      </c>
      <c r="P40" s="28"/>
      <c r="Q40" s="13">
        <f t="shared" si="0"/>
        <v>-1320000</v>
      </c>
    </row>
    <row r="41" spans="1:20" x14ac:dyDescent="0.25">
      <c r="A41" s="8"/>
      <c r="B41" s="8"/>
      <c r="C41" s="17" t="s">
        <v>132</v>
      </c>
      <c r="D41" s="30"/>
      <c r="E41" s="17"/>
      <c r="F41" s="30"/>
      <c r="G41" s="30"/>
      <c r="H41" s="28"/>
      <c r="I41" s="30"/>
      <c r="J41" s="28"/>
      <c r="K41" s="28">
        <f>1.15384615384615*9000000</f>
        <v>10384615.384615351</v>
      </c>
      <c r="L41" s="28"/>
      <c r="M41" s="28"/>
      <c r="N41" s="28"/>
      <c r="O41" s="53">
        <f>SUM(K41:N41)</f>
        <v>10384615.384615351</v>
      </c>
      <c r="P41" s="28"/>
      <c r="Q41" s="54">
        <f t="shared" si="0"/>
        <v>-10384615.384615351</v>
      </c>
    </row>
    <row r="42" spans="1:20" x14ac:dyDescent="0.25">
      <c r="A42" s="166" t="s">
        <v>19</v>
      </c>
      <c r="B42" s="167"/>
      <c r="C42" s="167"/>
      <c r="D42" s="167"/>
      <c r="E42" s="167"/>
      <c r="F42" s="168"/>
      <c r="G42" s="88">
        <f t="shared" ref="G42:O42" si="2">SUM(G7:G41)</f>
        <v>3130</v>
      </c>
      <c r="H42" s="4">
        <f t="shared" si="2"/>
        <v>53102700</v>
      </c>
      <c r="I42" s="4">
        <f t="shared" si="2"/>
        <v>0</v>
      </c>
      <c r="J42" s="4">
        <f t="shared" si="2"/>
        <v>33655000</v>
      </c>
      <c r="K42" s="4">
        <f t="shared" si="2"/>
        <v>10384615.384615351</v>
      </c>
      <c r="L42" s="4">
        <f t="shared" si="2"/>
        <v>3020000</v>
      </c>
      <c r="M42" s="4">
        <f t="shared" si="2"/>
        <v>22000000</v>
      </c>
      <c r="N42" s="4">
        <f t="shared" si="2"/>
        <v>0</v>
      </c>
      <c r="O42" s="4">
        <f t="shared" si="2"/>
        <v>122162315.38461535</v>
      </c>
      <c r="P42" s="4">
        <f>SUM(P8:P41)</f>
        <v>159521818</v>
      </c>
      <c r="Q42" s="4">
        <f>SUM(Q7:Q41)</f>
        <v>37359502.615384653</v>
      </c>
      <c r="R42" s="24"/>
    </row>
    <row r="43" spans="1:20" x14ac:dyDescent="0.25">
      <c r="O43" s="20"/>
      <c r="Q43" s="26"/>
    </row>
    <row r="44" spans="1:20" x14ac:dyDescent="0.25">
      <c r="P44" s="21" t="s">
        <v>20</v>
      </c>
      <c r="Q44" s="26">
        <f>'6.2019'!Q41+'7.2019'!Q42</f>
        <v>168403575.30769235</v>
      </c>
    </row>
    <row r="48" spans="1:20" x14ac:dyDescent="0.25">
      <c r="B48" s="6"/>
    </row>
    <row r="49" spans="2:17" x14ac:dyDescent="0.25">
      <c r="B49" s="6"/>
    </row>
    <row r="50" spans="2:17" x14ac:dyDescent="0.25">
      <c r="B50" s="6"/>
    </row>
    <row r="51" spans="2:17" x14ac:dyDescent="0.25">
      <c r="B51" s="6"/>
      <c r="H51" s="6"/>
      <c r="J51" s="6"/>
      <c r="K51" s="6"/>
      <c r="L51" s="6"/>
      <c r="M51" s="6"/>
      <c r="N51" s="6"/>
      <c r="O51" s="6"/>
      <c r="P51" s="6"/>
      <c r="Q51" s="6"/>
    </row>
  </sheetData>
  <mergeCells count="14">
    <mergeCell ref="O5:O6"/>
    <mergeCell ref="P5:P6"/>
    <mergeCell ref="Q5:Q6"/>
    <mergeCell ref="A42:F42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6"/>
  <sheetViews>
    <sheetView topLeftCell="B1" workbookViewId="0">
      <selection activeCell="Q50" sqref="Q5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878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20" x14ac:dyDescent="0.2">
      <c r="A8" s="25">
        <v>1</v>
      </c>
      <c r="B8" s="44">
        <v>43678</v>
      </c>
      <c r="C8" s="10" t="s">
        <v>62</v>
      </c>
      <c r="D8" s="12" t="s">
        <v>836</v>
      </c>
      <c r="E8" s="10" t="s">
        <v>112</v>
      </c>
      <c r="F8" s="8"/>
      <c r="G8" s="12"/>
      <c r="H8" s="3"/>
      <c r="I8" s="12"/>
      <c r="J8" s="13">
        <v>2470000</v>
      </c>
      <c r="K8" s="18"/>
      <c r="L8" s="29"/>
      <c r="M8" s="13"/>
      <c r="N8" s="13"/>
      <c r="O8" s="53">
        <f>H8+J8+K8+L8+M8+N8</f>
        <v>2470000</v>
      </c>
      <c r="P8" s="13">
        <v>13181818</v>
      </c>
      <c r="Q8" s="54">
        <f>P8-O8</f>
        <v>10711818</v>
      </c>
      <c r="S8" s="91"/>
      <c r="T8" s="5"/>
    </row>
    <row r="9" spans="1:20" ht="12.75" customHeight="1" x14ac:dyDescent="0.2">
      <c r="A9" s="25">
        <v>2</v>
      </c>
      <c r="B9" s="44">
        <v>43679</v>
      </c>
      <c r="C9" s="10" t="s">
        <v>814</v>
      </c>
      <c r="D9" s="8" t="s">
        <v>837</v>
      </c>
      <c r="E9" s="10" t="s">
        <v>807</v>
      </c>
      <c r="F9" s="8"/>
      <c r="G9" s="12">
        <v>192</v>
      </c>
      <c r="H9" s="3">
        <f>G9*17020</f>
        <v>3267840</v>
      </c>
      <c r="I9" s="12"/>
      <c r="J9" s="13">
        <v>1060000</v>
      </c>
      <c r="K9" s="18"/>
      <c r="L9" s="29"/>
      <c r="M9" s="13"/>
      <c r="N9" s="13"/>
      <c r="O9" s="53">
        <f t="shared" ref="O9:O46" si="0">H9+J9+K9+L9+M9+N9</f>
        <v>4327840</v>
      </c>
      <c r="P9" s="13">
        <v>5000000</v>
      </c>
      <c r="Q9" s="54">
        <f t="shared" ref="Q9:Q46" si="1">P9-O9</f>
        <v>672160</v>
      </c>
      <c r="S9" s="91"/>
      <c r="T9" s="5"/>
    </row>
    <row r="10" spans="1:20" ht="12.75" customHeight="1" x14ac:dyDescent="0.2">
      <c r="A10" s="25">
        <v>3</v>
      </c>
      <c r="B10" s="44">
        <v>43682</v>
      </c>
      <c r="C10" s="10" t="s">
        <v>815</v>
      </c>
      <c r="D10" s="12" t="s">
        <v>838</v>
      </c>
      <c r="E10" s="10" t="s">
        <v>184</v>
      </c>
      <c r="F10" s="8"/>
      <c r="G10" s="12">
        <v>206</v>
      </c>
      <c r="H10" s="3">
        <f t="shared" ref="H10:H20" si="2">G10*17020</f>
        <v>3506120</v>
      </c>
      <c r="I10" s="12"/>
      <c r="J10" s="13">
        <v>1060000</v>
      </c>
      <c r="K10" s="18"/>
      <c r="L10" s="29"/>
      <c r="M10" s="13"/>
      <c r="N10" s="13"/>
      <c r="O10" s="53">
        <f t="shared" si="0"/>
        <v>4566120</v>
      </c>
      <c r="P10" s="13">
        <v>5000000</v>
      </c>
      <c r="Q10" s="54">
        <f t="shared" si="1"/>
        <v>433880</v>
      </c>
      <c r="S10" s="91"/>
      <c r="T10" s="5"/>
    </row>
    <row r="11" spans="1:20" ht="12.75" customHeight="1" x14ac:dyDescent="0.2">
      <c r="A11" s="25">
        <v>4</v>
      </c>
      <c r="B11" s="44">
        <v>43683</v>
      </c>
      <c r="C11" s="10" t="s">
        <v>816</v>
      </c>
      <c r="D11" s="12" t="s">
        <v>839</v>
      </c>
      <c r="E11" s="10" t="s">
        <v>112</v>
      </c>
      <c r="F11" s="8"/>
      <c r="G11" s="12">
        <v>186</v>
      </c>
      <c r="H11" s="3">
        <f t="shared" si="2"/>
        <v>3165720</v>
      </c>
      <c r="I11" s="12"/>
      <c r="J11" s="13">
        <f>2470000+60000</f>
        <v>2530000</v>
      </c>
      <c r="K11" s="18"/>
      <c r="L11" s="29"/>
      <c r="M11" s="13"/>
      <c r="N11" s="13"/>
      <c r="O11" s="53">
        <f t="shared" si="0"/>
        <v>5695720</v>
      </c>
      <c r="P11" s="13">
        <v>13181818</v>
      </c>
      <c r="Q11" s="54">
        <f t="shared" si="1"/>
        <v>7486098</v>
      </c>
      <c r="S11" s="91"/>
      <c r="T11" s="5"/>
    </row>
    <row r="12" spans="1:20" ht="12.75" customHeight="1" x14ac:dyDescent="0.2">
      <c r="A12" s="25">
        <v>5</v>
      </c>
      <c r="B12" s="44">
        <v>43684</v>
      </c>
      <c r="C12" s="10" t="s">
        <v>817</v>
      </c>
      <c r="D12" s="12" t="s">
        <v>840</v>
      </c>
      <c r="E12" s="10" t="s">
        <v>258</v>
      </c>
      <c r="F12" s="8"/>
      <c r="G12" s="12"/>
      <c r="H12" s="3"/>
      <c r="I12" s="12"/>
      <c r="J12" s="13">
        <f>1970000+120000</f>
        <v>2090000</v>
      </c>
      <c r="K12" s="18"/>
      <c r="L12" s="29"/>
      <c r="M12" s="13"/>
      <c r="N12" s="13"/>
      <c r="O12" s="53">
        <f t="shared" si="0"/>
        <v>2090000</v>
      </c>
      <c r="P12" s="13">
        <v>9545455</v>
      </c>
      <c r="Q12" s="54">
        <f t="shared" si="1"/>
        <v>7455455</v>
      </c>
      <c r="S12" s="91"/>
      <c r="T12" s="5"/>
    </row>
    <row r="13" spans="1:20" ht="12.75" customHeight="1" x14ac:dyDescent="0.2">
      <c r="A13" s="25">
        <v>6</v>
      </c>
      <c r="B13" s="44">
        <v>43685</v>
      </c>
      <c r="C13" s="10" t="s">
        <v>818</v>
      </c>
      <c r="D13" s="12" t="s">
        <v>841</v>
      </c>
      <c r="E13" s="10" t="s">
        <v>184</v>
      </c>
      <c r="F13" s="8"/>
      <c r="G13" s="12"/>
      <c r="H13" s="3"/>
      <c r="I13" s="12"/>
      <c r="J13" s="13">
        <v>1060000</v>
      </c>
      <c r="K13" s="18"/>
      <c r="L13" s="29"/>
      <c r="M13" s="13"/>
      <c r="N13" s="13"/>
      <c r="O13" s="53">
        <f t="shared" si="0"/>
        <v>1060000</v>
      </c>
      <c r="P13" s="13">
        <v>5000000</v>
      </c>
      <c r="Q13" s="54">
        <f t="shared" si="1"/>
        <v>3940000</v>
      </c>
      <c r="S13" s="91"/>
      <c r="T13" s="5"/>
    </row>
    <row r="14" spans="1:20" ht="12.75" customHeight="1" x14ac:dyDescent="0.2">
      <c r="A14" s="25">
        <v>7</v>
      </c>
      <c r="B14" s="44">
        <v>43686</v>
      </c>
      <c r="C14" s="10" t="s">
        <v>819</v>
      </c>
      <c r="D14" s="12" t="s">
        <v>842</v>
      </c>
      <c r="E14" s="10" t="s">
        <v>256</v>
      </c>
      <c r="F14" s="8"/>
      <c r="G14" s="12">
        <v>250</v>
      </c>
      <c r="H14" s="3">
        <f t="shared" si="2"/>
        <v>4255000</v>
      </c>
      <c r="I14" s="12"/>
      <c r="J14" s="13">
        <v>870000</v>
      </c>
      <c r="K14" s="18"/>
      <c r="L14" s="29"/>
      <c r="M14" s="13"/>
      <c r="N14" s="13"/>
      <c r="O14" s="53">
        <f t="shared" si="0"/>
        <v>5125000</v>
      </c>
      <c r="P14" s="13">
        <v>4560000</v>
      </c>
      <c r="Q14" s="54">
        <f t="shared" si="1"/>
        <v>-565000</v>
      </c>
      <c r="S14" s="91"/>
      <c r="T14" s="5"/>
    </row>
    <row r="15" spans="1:20" ht="12.75" customHeight="1" x14ac:dyDescent="0.2">
      <c r="A15" s="25">
        <v>8</v>
      </c>
      <c r="B15" s="44">
        <v>43687</v>
      </c>
      <c r="C15" s="10" t="s">
        <v>820</v>
      </c>
      <c r="D15" s="12" t="s">
        <v>843</v>
      </c>
      <c r="E15" s="10" t="s">
        <v>862</v>
      </c>
      <c r="F15" s="8"/>
      <c r="G15" s="12"/>
      <c r="H15" s="3"/>
      <c r="I15" s="12"/>
      <c r="J15" s="13">
        <f>1430000+100000+100000</f>
        <v>1630000</v>
      </c>
      <c r="K15" s="18"/>
      <c r="L15" s="29"/>
      <c r="M15" s="13"/>
      <c r="N15" s="13"/>
      <c r="O15" s="53">
        <f t="shared" si="0"/>
        <v>1630000</v>
      </c>
      <c r="P15" s="13">
        <v>8000000</v>
      </c>
      <c r="Q15" s="54">
        <f t="shared" si="1"/>
        <v>6370000</v>
      </c>
      <c r="S15" s="91"/>
      <c r="T15" s="5"/>
    </row>
    <row r="16" spans="1:20" ht="12.75" customHeight="1" x14ac:dyDescent="0.2">
      <c r="A16" s="25">
        <v>9</v>
      </c>
      <c r="B16" s="44">
        <v>43689</v>
      </c>
      <c r="C16" s="10" t="s">
        <v>821</v>
      </c>
      <c r="D16" s="12" t="s">
        <v>844</v>
      </c>
      <c r="E16" s="10" t="s">
        <v>184</v>
      </c>
      <c r="F16" s="8"/>
      <c r="G16" s="12">
        <v>233</v>
      </c>
      <c r="H16" s="3">
        <f t="shared" si="2"/>
        <v>3965660</v>
      </c>
      <c r="I16" s="12"/>
      <c r="J16" s="13">
        <v>1060000</v>
      </c>
      <c r="K16" s="18"/>
      <c r="L16" s="29"/>
      <c r="M16" s="13"/>
      <c r="N16" s="13"/>
      <c r="O16" s="53">
        <f t="shared" si="0"/>
        <v>5025660</v>
      </c>
      <c r="P16" s="13">
        <v>5000000</v>
      </c>
      <c r="Q16" s="54">
        <f t="shared" si="1"/>
        <v>-25660</v>
      </c>
      <c r="S16" s="91"/>
      <c r="T16" s="5"/>
    </row>
    <row r="17" spans="1:20" ht="12.75" customHeight="1" x14ac:dyDescent="0.2">
      <c r="A17" s="25">
        <v>10</v>
      </c>
      <c r="B17" s="44">
        <v>43690</v>
      </c>
      <c r="C17" s="10" t="s">
        <v>822</v>
      </c>
      <c r="D17" s="12" t="s">
        <v>845</v>
      </c>
      <c r="E17" s="10" t="s">
        <v>862</v>
      </c>
      <c r="F17" s="8"/>
      <c r="G17" s="12">
        <v>265</v>
      </c>
      <c r="H17" s="3">
        <f t="shared" si="2"/>
        <v>4510300</v>
      </c>
      <c r="I17" s="12"/>
      <c r="J17" s="13">
        <f>1530000+100000</f>
        <v>1630000</v>
      </c>
      <c r="K17" s="18"/>
      <c r="L17" s="29"/>
      <c r="M17" s="13"/>
      <c r="N17" s="13"/>
      <c r="O17" s="53">
        <f t="shared" si="0"/>
        <v>6140300</v>
      </c>
      <c r="P17" s="13">
        <v>8000000</v>
      </c>
      <c r="Q17" s="54">
        <f t="shared" si="1"/>
        <v>1859700</v>
      </c>
      <c r="S17" s="91"/>
      <c r="T17" s="5"/>
    </row>
    <row r="18" spans="1:20" ht="12.75" customHeight="1" x14ac:dyDescent="0.2">
      <c r="A18" s="25">
        <v>11</v>
      </c>
      <c r="B18" s="44">
        <v>43691</v>
      </c>
      <c r="C18" s="10" t="s">
        <v>823</v>
      </c>
      <c r="D18" s="12" t="s">
        <v>846</v>
      </c>
      <c r="E18" s="10" t="s">
        <v>118</v>
      </c>
      <c r="F18" s="8"/>
      <c r="G18" s="12"/>
      <c r="H18" s="3"/>
      <c r="I18" s="12"/>
      <c r="J18" s="13">
        <f>1130000+200000</f>
        <v>1330000</v>
      </c>
      <c r="K18" s="18"/>
      <c r="L18" s="29"/>
      <c r="M18" s="13"/>
      <c r="N18" s="13"/>
      <c r="O18" s="53">
        <f t="shared" si="0"/>
        <v>1330000</v>
      </c>
      <c r="P18" s="13">
        <v>5800000</v>
      </c>
      <c r="Q18" s="54">
        <f t="shared" si="1"/>
        <v>4470000</v>
      </c>
      <c r="S18" s="91"/>
      <c r="T18" s="5"/>
    </row>
    <row r="19" spans="1:20" ht="12.75" customHeight="1" x14ac:dyDescent="0.2">
      <c r="A19" s="25">
        <v>12</v>
      </c>
      <c r="B19" s="44">
        <v>43692</v>
      </c>
      <c r="C19" s="10" t="s">
        <v>824</v>
      </c>
      <c r="D19" s="12" t="s">
        <v>847</v>
      </c>
      <c r="E19" s="10" t="s">
        <v>863</v>
      </c>
      <c r="F19" s="8"/>
      <c r="G19" s="12"/>
      <c r="H19" s="3"/>
      <c r="I19" s="12"/>
      <c r="J19" s="13">
        <v>1500000</v>
      </c>
      <c r="K19" s="18"/>
      <c r="L19" s="29"/>
      <c r="M19" s="13"/>
      <c r="N19" s="13"/>
      <c r="O19" s="53">
        <f t="shared" si="0"/>
        <v>1500000</v>
      </c>
      <c r="P19" s="13">
        <v>5520000</v>
      </c>
      <c r="Q19" s="54">
        <f t="shared" si="1"/>
        <v>4020000</v>
      </c>
      <c r="S19" s="92"/>
      <c r="T19" s="5"/>
    </row>
    <row r="20" spans="1:20" ht="12.75" customHeight="1" x14ac:dyDescent="0.2">
      <c r="A20" s="25">
        <v>13</v>
      </c>
      <c r="B20" s="44">
        <v>43693</v>
      </c>
      <c r="C20" s="10" t="s">
        <v>825</v>
      </c>
      <c r="D20" s="12" t="s">
        <v>848</v>
      </c>
      <c r="E20" s="10" t="s">
        <v>864</v>
      </c>
      <c r="F20" s="8"/>
      <c r="G20" s="12">
        <v>238</v>
      </c>
      <c r="H20" s="3">
        <f t="shared" si="2"/>
        <v>4050760</v>
      </c>
      <c r="I20" s="12"/>
      <c r="J20" s="13">
        <v>1060000</v>
      </c>
      <c r="K20" s="18"/>
      <c r="L20" s="29"/>
      <c r="M20" s="13"/>
      <c r="N20" s="13"/>
      <c r="O20" s="53">
        <f t="shared" si="0"/>
        <v>5110760</v>
      </c>
      <c r="P20" s="13">
        <v>5000000</v>
      </c>
      <c r="Q20" s="54">
        <f t="shared" si="1"/>
        <v>-110760</v>
      </c>
      <c r="S20" s="91"/>
      <c r="T20" s="5"/>
    </row>
    <row r="21" spans="1:20" ht="12.75" customHeight="1" x14ac:dyDescent="0.2">
      <c r="A21" s="25">
        <v>14</v>
      </c>
      <c r="B21" s="44">
        <v>43694</v>
      </c>
      <c r="C21" s="10" t="s">
        <v>826</v>
      </c>
      <c r="D21" s="12" t="s">
        <v>849</v>
      </c>
      <c r="E21" s="10" t="s">
        <v>118</v>
      </c>
      <c r="F21" s="8"/>
      <c r="G21" s="12">
        <v>226</v>
      </c>
      <c r="H21" s="3">
        <f>G21*16500</f>
        <v>3729000</v>
      </c>
      <c r="I21" s="12"/>
      <c r="J21" s="13">
        <v>1330000</v>
      </c>
      <c r="K21" s="18"/>
      <c r="L21" s="29"/>
      <c r="M21" s="13"/>
      <c r="N21" s="13"/>
      <c r="O21" s="53">
        <f t="shared" si="0"/>
        <v>5059000</v>
      </c>
      <c r="P21" s="13">
        <v>5800000</v>
      </c>
      <c r="Q21" s="54">
        <f t="shared" si="1"/>
        <v>741000</v>
      </c>
      <c r="S21" s="91"/>
      <c r="T21" s="5"/>
    </row>
    <row r="22" spans="1:20" ht="12.75" customHeight="1" x14ac:dyDescent="0.2">
      <c r="A22" s="25">
        <v>15</v>
      </c>
      <c r="B22" s="44">
        <v>43696</v>
      </c>
      <c r="C22" s="10" t="s">
        <v>827</v>
      </c>
      <c r="D22" s="12" t="s">
        <v>850</v>
      </c>
      <c r="E22" s="10" t="s">
        <v>865</v>
      </c>
      <c r="F22" s="8"/>
      <c r="G22" s="12">
        <v>127</v>
      </c>
      <c r="H22" s="3">
        <f t="shared" ref="H22:H33" si="3">G22*16500</f>
        <v>2095500</v>
      </c>
      <c r="I22" s="12"/>
      <c r="J22" s="13">
        <v>1380000</v>
      </c>
      <c r="K22" s="18"/>
      <c r="L22" s="29"/>
      <c r="M22" s="13"/>
      <c r="N22" s="13"/>
      <c r="O22" s="53">
        <f t="shared" si="0"/>
        <v>3475500</v>
      </c>
      <c r="P22" s="13">
        <v>5600000</v>
      </c>
      <c r="Q22" s="54">
        <f t="shared" si="1"/>
        <v>2124500</v>
      </c>
      <c r="S22" s="91"/>
      <c r="T22" s="5"/>
    </row>
    <row r="23" spans="1:20" ht="12.75" customHeight="1" x14ac:dyDescent="0.2">
      <c r="A23" s="25">
        <v>16</v>
      </c>
      <c r="B23" s="44">
        <v>43697</v>
      </c>
      <c r="C23" s="10" t="s">
        <v>75</v>
      </c>
      <c r="D23" s="12" t="s">
        <v>851</v>
      </c>
      <c r="E23" s="10" t="s">
        <v>866</v>
      </c>
      <c r="F23" s="8"/>
      <c r="G23" s="12"/>
      <c r="H23" s="3"/>
      <c r="I23" s="12"/>
      <c r="J23" s="13">
        <f>1500000+120000</f>
        <v>1620000</v>
      </c>
      <c r="K23" s="18"/>
      <c r="L23" s="29"/>
      <c r="M23" s="13"/>
      <c r="N23" s="13"/>
      <c r="O23" s="53">
        <f t="shared" si="0"/>
        <v>1620000</v>
      </c>
      <c r="P23" s="13">
        <v>7100000</v>
      </c>
      <c r="Q23" s="54">
        <f t="shared" si="1"/>
        <v>5480000</v>
      </c>
      <c r="S23" s="91"/>
      <c r="T23" s="5"/>
    </row>
    <row r="24" spans="1:20" ht="12.75" customHeight="1" x14ac:dyDescent="0.2">
      <c r="A24" s="25">
        <v>17</v>
      </c>
      <c r="B24" s="44">
        <v>43698</v>
      </c>
      <c r="C24" s="10" t="s">
        <v>828</v>
      </c>
      <c r="D24" s="8" t="s">
        <v>852</v>
      </c>
      <c r="E24" s="10" t="s">
        <v>799</v>
      </c>
      <c r="F24" s="8"/>
      <c r="G24" s="12">
        <v>240</v>
      </c>
      <c r="H24" s="3">
        <f t="shared" si="3"/>
        <v>3960000</v>
      </c>
      <c r="I24" s="12"/>
      <c r="J24" s="13">
        <v>680000</v>
      </c>
      <c r="K24" s="18"/>
      <c r="L24" s="29"/>
      <c r="M24" s="13"/>
      <c r="N24" s="13"/>
      <c r="O24" s="53">
        <f t="shared" si="0"/>
        <v>4640000</v>
      </c>
      <c r="P24" s="13">
        <v>3700000</v>
      </c>
      <c r="Q24" s="54">
        <f t="shared" si="1"/>
        <v>-940000</v>
      </c>
      <c r="S24" s="91"/>
      <c r="T24" s="5"/>
    </row>
    <row r="25" spans="1:20" ht="12.75" customHeight="1" x14ac:dyDescent="0.2">
      <c r="A25" s="25">
        <v>18</v>
      </c>
      <c r="B25" s="44">
        <v>43699</v>
      </c>
      <c r="C25" s="10" t="s">
        <v>829</v>
      </c>
      <c r="D25" s="8" t="s">
        <v>853</v>
      </c>
      <c r="E25" s="10" t="s">
        <v>112</v>
      </c>
      <c r="F25" s="8"/>
      <c r="G25" s="12"/>
      <c r="H25" s="3"/>
      <c r="I25" s="12"/>
      <c r="J25" s="13">
        <f>2470000+60000</f>
        <v>2530000</v>
      </c>
      <c r="K25" s="18"/>
      <c r="L25" s="29"/>
      <c r="M25" s="13"/>
      <c r="N25" s="13"/>
      <c r="O25" s="53">
        <f t="shared" si="0"/>
        <v>2530000</v>
      </c>
      <c r="P25" s="13">
        <v>13181818</v>
      </c>
      <c r="Q25" s="54">
        <f t="shared" si="1"/>
        <v>10651818</v>
      </c>
      <c r="S25" s="91"/>
      <c r="T25" s="5"/>
    </row>
    <row r="26" spans="1:20" ht="12.75" customHeight="1" x14ac:dyDescent="0.2">
      <c r="A26" s="25">
        <v>19</v>
      </c>
      <c r="B26" s="44">
        <v>43700</v>
      </c>
      <c r="C26" s="10" t="s">
        <v>78</v>
      </c>
      <c r="D26" s="8" t="s">
        <v>854</v>
      </c>
      <c r="E26" s="10" t="s">
        <v>184</v>
      </c>
      <c r="F26" s="8"/>
      <c r="G26" s="12">
        <v>212</v>
      </c>
      <c r="H26" s="3">
        <f t="shared" si="3"/>
        <v>3498000</v>
      </c>
      <c r="I26" s="12"/>
      <c r="J26" s="13">
        <v>1060000</v>
      </c>
      <c r="K26" s="18"/>
      <c r="L26" s="29"/>
      <c r="M26" s="13"/>
      <c r="N26" s="13"/>
      <c r="O26" s="53">
        <f t="shared" si="0"/>
        <v>4558000</v>
      </c>
      <c r="P26" s="13">
        <v>5000000</v>
      </c>
      <c r="Q26" s="54">
        <f t="shared" si="1"/>
        <v>442000</v>
      </c>
      <c r="S26" s="91"/>
      <c r="T26" s="5"/>
    </row>
    <row r="27" spans="1:20" ht="12.75" customHeight="1" x14ac:dyDescent="0.2">
      <c r="A27" s="25">
        <v>20</v>
      </c>
      <c r="B27" s="44">
        <v>43701</v>
      </c>
      <c r="C27" s="10" t="s">
        <v>154</v>
      </c>
      <c r="D27" s="8" t="s">
        <v>855</v>
      </c>
      <c r="E27" s="10" t="s">
        <v>867</v>
      </c>
      <c r="F27" s="8"/>
      <c r="G27" s="12">
        <v>252</v>
      </c>
      <c r="H27" s="3">
        <f t="shared" si="3"/>
        <v>4158000</v>
      </c>
      <c r="I27" s="12"/>
      <c r="J27" s="13">
        <v>1320000</v>
      </c>
      <c r="K27" s="18"/>
      <c r="L27" s="29"/>
      <c r="M27" s="13"/>
      <c r="N27" s="13"/>
      <c r="O27" s="53">
        <f t="shared" si="0"/>
        <v>5478000</v>
      </c>
      <c r="P27" s="13">
        <v>5800000</v>
      </c>
      <c r="Q27" s="54">
        <f t="shared" si="1"/>
        <v>322000</v>
      </c>
      <c r="S27" s="91"/>
      <c r="T27" s="5"/>
    </row>
    <row r="28" spans="1:20" ht="12.75" customHeight="1" x14ac:dyDescent="0.2">
      <c r="A28" s="25">
        <v>21</v>
      </c>
      <c r="B28" s="44">
        <v>43703</v>
      </c>
      <c r="C28" s="10" t="s">
        <v>830</v>
      </c>
      <c r="D28" s="8" t="s">
        <v>856</v>
      </c>
      <c r="E28" s="10" t="s">
        <v>868</v>
      </c>
      <c r="F28" s="8"/>
      <c r="G28" s="12"/>
      <c r="H28" s="3"/>
      <c r="I28" s="12"/>
      <c r="J28" s="13">
        <v>1320000</v>
      </c>
      <c r="K28" s="18"/>
      <c r="L28" s="29"/>
      <c r="M28" s="13"/>
      <c r="N28" s="13"/>
      <c r="O28" s="53">
        <f t="shared" si="0"/>
        <v>1320000</v>
      </c>
      <c r="P28" s="13">
        <v>6300000</v>
      </c>
      <c r="Q28" s="54">
        <f t="shared" si="1"/>
        <v>4980000</v>
      </c>
      <c r="S28" s="91"/>
      <c r="T28" s="5"/>
    </row>
    <row r="29" spans="1:20" ht="12.75" customHeight="1" x14ac:dyDescent="0.2">
      <c r="A29" s="25">
        <v>22</v>
      </c>
      <c r="B29" s="44">
        <v>43704</v>
      </c>
      <c r="C29" s="10" t="s">
        <v>831</v>
      </c>
      <c r="D29" s="8" t="s">
        <v>857</v>
      </c>
      <c r="E29" s="10" t="s">
        <v>869</v>
      </c>
      <c r="F29" s="8"/>
      <c r="G29" s="12">
        <v>252</v>
      </c>
      <c r="H29" s="3">
        <f t="shared" si="3"/>
        <v>4158000</v>
      </c>
      <c r="I29" s="12"/>
      <c r="J29" s="13">
        <v>1060000</v>
      </c>
      <c r="K29" s="18"/>
      <c r="L29" s="29"/>
      <c r="M29" s="13"/>
      <c r="N29" s="13"/>
      <c r="O29" s="53">
        <f t="shared" si="0"/>
        <v>5218000</v>
      </c>
      <c r="P29" s="13">
        <v>5000000</v>
      </c>
      <c r="Q29" s="54">
        <f t="shared" si="1"/>
        <v>-218000</v>
      </c>
      <c r="S29" s="91"/>
      <c r="T29" s="5"/>
    </row>
    <row r="30" spans="1:20" ht="12.75" customHeight="1" x14ac:dyDescent="0.2">
      <c r="A30" s="25">
        <v>23</v>
      </c>
      <c r="B30" s="44">
        <v>43705</v>
      </c>
      <c r="C30" s="10" t="s">
        <v>832</v>
      </c>
      <c r="D30" s="8" t="s">
        <v>858</v>
      </c>
      <c r="E30" s="10" t="s">
        <v>870</v>
      </c>
      <c r="F30" s="8"/>
      <c r="G30" s="12"/>
      <c r="H30" s="3"/>
      <c r="I30" s="12"/>
      <c r="J30" s="13">
        <f>1540000+120000</f>
        <v>1660000</v>
      </c>
      <c r="K30" s="18"/>
      <c r="L30" s="29"/>
      <c r="M30" s="13"/>
      <c r="N30" s="13"/>
      <c r="O30" s="53">
        <f t="shared" si="0"/>
        <v>1660000</v>
      </c>
      <c r="P30" s="13">
        <v>6200000</v>
      </c>
      <c r="Q30" s="54">
        <f t="shared" si="1"/>
        <v>4540000</v>
      </c>
      <c r="S30" s="91"/>
      <c r="T30" s="5"/>
    </row>
    <row r="31" spans="1:20" ht="12.75" customHeight="1" x14ac:dyDescent="0.2">
      <c r="A31" s="25">
        <v>24</v>
      </c>
      <c r="B31" s="44">
        <v>43706</v>
      </c>
      <c r="C31" s="10" t="s">
        <v>833</v>
      </c>
      <c r="D31" s="8" t="s">
        <v>859</v>
      </c>
      <c r="E31" s="10" t="s">
        <v>807</v>
      </c>
      <c r="F31" s="8"/>
      <c r="G31" s="12"/>
      <c r="H31" s="3"/>
      <c r="I31" s="12"/>
      <c r="J31" s="13">
        <v>1060000</v>
      </c>
      <c r="K31" s="18"/>
      <c r="L31" s="29"/>
      <c r="M31" s="13"/>
      <c r="N31" s="13"/>
      <c r="O31" s="53">
        <f t="shared" si="0"/>
        <v>1060000</v>
      </c>
      <c r="P31" s="13">
        <v>5000000</v>
      </c>
      <c r="Q31" s="54">
        <f t="shared" si="1"/>
        <v>3940000</v>
      </c>
      <c r="S31" s="91"/>
      <c r="T31" s="5"/>
    </row>
    <row r="32" spans="1:20" ht="12.75" customHeight="1" x14ac:dyDescent="0.2">
      <c r="A32" s="25">
        <v>25</v>
      </c>
      <c r="B32" s="44">
        <v>43707</v>
      </c>
      <c r="C32" s="10" t="s">
        <v>834</v>
      </c>
      <c r="D32" s="8" t="s">
        <v>860</v>
      </c>
      <c r="E32" s="10" t="s">
        <v>33</v>
      </c>
      <c r="F32" s="8"/>
      <c r="G32" s="12">
        <v>260</v>
      </c>
      <c r="H32" s="3">
        <f t="shared" si="3"/>
        <v>4290000</v>
      </c>
      <c r="I32" s="12"/>
      <c r="J32" s="13">
        <v>1720000</v>
      </c>
      <c r="K32" s="18"/>
      <c r="L32" s="29"/>
      <c r="M32" s="13"/>
      <c r="N32" s="13"/>
      <c r="O32" s="53">
        <f t="shared" si="0"/>
        <v>6010000</v>
      </c>
      <c r="P32" s="13">
        <v>7772727</v>
      </c>
      <c r="Q32" s="54">
        <f t="shared" si="1"/>
        <v>1762727</v>
      </c>
      <c r="S32" s="91"/>
      <c r="T32" s="5"/>
    </row>
    <row r="33" spans="1:20" ht="12.75" customHeight="1" x14ac:dyDescent="0.25">
      <c r="A33" s="25">
        <v>26</v>
      </c>
      <c r="B33" s="44">
        <v>43708</v>
      </c>
      <c r="C33" s="10" t="s">
        <v>835</v>
      </c>
      <c r="D33" s="45" t="s">
        <v>861</v>
      </c>
      <c r="E33" s="10" t="s">
        <v>871</v>
      </c>
      <c r="F33" s="8"/>
      <c r="G33" s="12">
        <v>230</v>
      </c>
      <c r="H33" s="3">
        <f t="shared" si="3"/>
        <v>3795000</v>
      </c>
      <c r="I33" s="12"/>
      <c r="J33" s="13">
        <v>680000</v>
      </c>
      <c r="K33" s="18"/>
      <c r="L33" s="29"/>
      <c r="M33" s="13"/>
      <c r="N33" s="13"/>
      <c r="O33" s="53">
        <f t="shared" si="0"/>
        <v>4475000</v>
      </c>
      <c r="P33" s="68">
        <v>3200000</v>
      </c>
      <c r="Q33" s="54">
        <f t="shared" si="1"/>
        <v>-1275000</v>
      </c>
      <c r="S33" s="5"/>
      <c r="T33" s="5"/>
    </row>
    <row r="34" spans="1:20" ht="12.75" customHeight="1" x14ac:dyDescent="0.25">
      <c r="A34" s="25"/>
      <c r="B34" s="44"/>
      <c r="C34" s="10"/>
      <c r="D34" s="8"/>
      <c r="E34" s="10"/>
      <c r="F34" s="8"/>
      <c r="G34" s="12"/>
      <c r="H34" s="3"/>
      <c r="I34" s="12"/>
      <c r="J34" s="3"/>
      <c r="K34" s="18"/>
      <c r="L34" s="29"/>
      <c r="M34" s="13"/>
      <c r="N34" s="13"/>
      <c r="O34" s="53">
        <f t="shared" si="0"/>
        <v>0</v>
      </c>
      <c r="P34" s="3"/>
      <c r="Q34" s="54">
        <f t="shared" si="1"/>
        <v>0</v>
      </c>
      <c r="S34" s="5"/>
      <c r="T34" s="5"/>
    </row>
    <row r="35" spans="1:20" ht="16.149999999999999" customHeight="1" x14ac:dyDescent="0.25">
      <c r="A35" s="25"/>
      <c r="B35" s="6"/>
      <c r="C35" s="182" t="s">
        <v>872</v>
      </c>
      <c r="D35" s="183"/>
      <c r="E35" s="183"/>
      <c r="F35" s="184"/>
      <c r="G35" s="46"/>
      <c r="H35" s="18"/>
      <c r="I35" s="46"/>
      <c r="J35" s="18"/>
      <c r="K35" s="18"/>
      <c r="L35" s="90">
        <v>1200000</v>
      </c>
      <c r="M35" s="28"/>
      <c r="N35" s="28"/>
      <c r="O35" s="53">
        <f t="shared" si="0"/>
        <v>1200000</v>
      </c>
      <c r="P35" s="28"/>
      <c r="Q35" s="54">
        <f t="shared" si="1"/>
        <v>-1200000</v>
      </c>
      <c r="S35" s="5"/>
      <c r="T35" s="5"/>
    </row>
    <row r="36" spans="1:20" ht="16.149999999999999" customHeight="1" x14ac:dyDescent="0.25">
      <c r="A36" s="25"/>
      <c r="B36" s="6"/>
      <c r="C36" s="182" t="s">
        <v>874</v>
      </c>
      <c r="D36" s="183"/>
      <c r="E36" s="183"/>
      <c r="F36" s="184"/>
      <c r="G36" s="46"/>
      <c r="H36" s="18"/>
      <c r="I36" s="46"/>
      <c r="J36" s="18"/>
      <c r="K36" s="18"/>
      <c r="L36" s="90">
        <v>250000</v>
      </c>
      <c r="M36" s="28"/>
      <c r="N36" s="28"/>
      <c r="O36" s="53">
        <f t="shared" si="0"/>
        <v>250000</v>
      </c>
      <c r="P36" s="28"/>
      <c r="Q36" s="54">
        <f t="shared" si="1"/>
        <v>-250000</v>
      </c>
      <c r="S36" s="5"/>
      <c r="T36" s="5"/>
    </row>
    <row r="37" spans="1:20" ht="16.149999999999999" customHeight="1" x14ac:dyDescent="0.25">
      <c r="A37" s="25"/>
      <c r="B37" s="6"/>
      <c r="C37" s="182" t="s">
        <v>882</v>
      </c>
      <c r="D37" s="183"/>
      <c r="E37" s="183"/>
      <c r="F37" s="184"/>
      <c r="G37" s="46"/>
      <c r="H37" s="18"/>
      <c r="I37" s="46"/>
      <c r="J37" s="18"/>
      <c r="K37" s="18"/>
      <c r="L37" s="90">
        <v>1150000</v>
      </c>
      <c r="M37" s="28"/>
      <c r="N37" s="28"/>
      <c r="O37" s="53">
        <f t="shared" si="0"/>
        <v>1150000</v>
      </c>
      <c r="P37" s="28"/>
      <c r="Q37" s="54">
        <f t="shared" si="1"/>
        <v>-1150000</v>
      </c>
      <c r="S37" s="5"/>
      <c r="T37" s="5"/>
    </row>
    <row r="38" spans="1:20" ht="16.149999999999999" customHeight="1" x14ac:dyDescent="0.25">
      <c r="A38" s="25"/>
      <c r="B38" s="6"/>
      <c r="C38" s="188" t="s">
        <v>873</v>
      </c>
      <c r="D38" s="189"/>
      <c r="E38" s="189"/>
      <c r="F38" s="190"/>
      <c r="G38" s="46"/>
      <c r="H38" s="18"/>
      <c r="I38" s="46"/>
      <c r="J38" s="18"/>
      <c r="K38" s="18"/>
      <c r="L38" s="90">
        <v>9975000</v>
      </c>
      <c r="M38" s="28"/>
      <c r="N38" s="28"/>
      <c r="O38" s="53">
        <f t="shared" si="0"/>
        <v>9975000</v>
      </c>
      <c r="P38" s="28"/>
      <c r="Q38" s="54">
        <f t="shared" si="1"/>
        <v>-9975000</v>
      </c>
      <c r="S38" s="5"/>
      <c r="T38" s="5"/>
    </row>
    <row r="39" spans="1:20" ht="16.149999999999999" customHeight="1" x14ac:dyDescent="0.25">
      <c r="A39" s="25"/>
      <c r="B39" s="6"/>
      <c r="C39" s="182" t="s">
        <v>875</v>
      </c>
      <c r="D39" s="183"/>
      <c r="E39" s="183"/>
      <c r="F39" s="184"/>
      <c r="G39" s="46"/>
      <c r="H39" s="18"/>
      <c r="I39" s="46"/>
      <c r="J39" s="18"/>
      <c r="K39" s="18"/>
      <c r="L39" s="90">
        <v>150000</v>
      </c>
      <c r="M39" s="28"/>
      <c r="N39" s="28"/>
      <c r="O39" s="53">
        <f t="shared" si="0"/>
        <v>150000</v>
      </c>
      <c r="P39" s="28"/>
      <c r="Q39" s="54">
        <f t="shared" si="1"/>
        <v>-150000</v>
      </c>
      <c r="S39" s="5"/>
      <c r="T39" s="5"/>
    </row>
    <row r="40" spans="1:20" ht="16.149999999999999" customHeight="1" x14ac:dyDescent="0.25">
      <c r="A40" s="25"/>
      <c r="B40" s="6"/>
      <c r="C40" s="182" t="s">
        <v>876</v>
      </c>
      <c r="D40" s="183"/>
      <c r="E40" s="183"/>
      <c r="F40" s="184"/>
      <c r="G40" s="46"/>
      <c r="H40" s="18"/>
      <c r="I40" s="46"/>
      <c r="J40" s="18"/>
      <c r="K40" s="18"/>
      <c r="L40" s="90">
        <v>1200000</v>
      </c>
      <c r="M40" s="28"/>
      <c r="N40" s="28"/>
      <c r="O40" s="53">
        <f t="shared" si="0"/>
        <v>1200000</v>
      </c>
      <c r="P40" s="28"/>
      <c r="Q40" s="54">
        <f t="shared" si="1"/>
        <v>-1200000</v>
      </c>
      <c r="S40" s="5"/>
      <c r="T40" s="5"/>
    </row>
    <row r="41" spans="1:20" ht="16.149999999999999" customHeight="1" x14ac:dyDescent="0.25">
      <c r="A41" s="25"/>
      <c r="B41" s="6"/>
      <c r="C41" s="182" t="s">
        <v>877</v>
      </c>
      <c r="D41" s="183"/>
      <c r="E41" s="183"/>
      <c r="F41" s="184"/>
      <c r="G41" s="46"/>
      <c r="H41" s="18"/>
      <c r="I41" s="46"/>
      <c r="J41" s="18"/>
      <c r="K41" s="18"/>
      <c r="L41" s="90">
        <v>350000</v>
      </c>
      <c r="M41" s="28"/>
      <c r="N41" s="28"/>
      <c r="O41" s="53">
        <f t="shared" si="0"/>
        <v>350000</v>
      </c>
      <c r="P41" s="28"/>
      <c r="Q41" s="54">
        <f t="shared" si="1"/>
        <v>-350000</v>
      </c>
      <c r="S41" s="5"/>
      <c r="T41" s="5"/>
    </row>
    <row r="42" spans="1:20" ht="16.149999999999999" customHeight="1" x14ac:dyDescent="0.25">
      <c r="A42" s="25"/>
      <c r="B42" s="6"/>
      <c r="C42" s="185" t="s">
        <v>880</v>
      </c>
      <c r="D42" s="186"/>
      <c r="E42" s="186"/>
      <c r="F42" s="187"/>
      <c r="G42" s="93"/>
      <c r="H42" s="48"/>
      <c r="I42" s="93"/>
      <c r="J42" s="48"/>
      <c r="K42" s="48"/>
      <c r="L42" s="48">
        <v>2100000</v>
      </c>
      <c r="M42" s="28"/>
      <c r="N42" s="28"/>
      <c r="O42" s="53">
        <f t="shared" si="0"/>
        <v>2100000</v>
      </c>
      <c r="P42" s="28"/>
      <c r="Q42" s="54">
        <f t="shared" si="1"/>
        <v>-2100000</v>
      </c>
      <c r="S42" s="5"/>
      <c r="T42" s="5"/>
    </row>
    <row r="43" spans="1:20" ht="16.149999999999999" customHeight="1" x14ac:dyDescent="0.25">
      <c r="A43" s="25"/>
      <c r="B43" s="6"/>
      <c r="C43" s="182" t="s">
        <v>879</v>
      </c>
      <c r="D43" s="183"/>
      <c r="E43" s="183"/>
      <c r="F43" s="184"/>
      <c r="G43" s="46"/>
      <c r="H43" s="18"/>
      <c r="I43" s="46"/>
      <c r="J43" s="18"/>
      <c r="K43" s="18"/>
      <c r="L43" s="28"/>
      <c r="M43" s="90">
        <v>5800000</v>
      </c>
      <c r="N43" s="28"/>
      <c r="O43" s="53">
        <f t="shared" si="0"/>
        <v>5800000</v>
      </c>
      <c r="P43" s="28"/>
      <c r="Q43" s="54">
        <f t="shared" si="1"/>
        <v>-5800000</v>
      </c>
      <c r="S43" s="5"/>
      <c r="T43" s="5"/>
    </row>
    <row r="44" spans="1:20" ht="16.149999999999999" customHeight="1" x14ac:dyDescent="0.25">
      <c r="A44" s="25"/>
      <c r="B44" s="6"/>
      <c r="C44" s="17" t="s">
        <v>881</v>
      </c>
      <c r="D44" s="30"/>
      <c r="E44" s="17"/>
      <c r="F44" s="30"/>
      <c r="G44" s="46"/>
      <c r="H44" s="18"/>
      <c r="I44" s="46"/>
      <c r="J44" s="18"/>
      <c r="K44" s="18">
        <v>300000</v>
      </c>
      <c r="L44" s="28"/>
      <c r="M44" s="28"/>
      <c r="N44" s="28"/>
      <c r="O44" s="53">
        <f t="shared" si="0"/>
        <v>300000</v>
      </c>
      <c r="P44" s="28"/>
      <c r="Q44" s="54">
        <f t="shared" si="1"/>
        <v>-300000</v>
      </c>
      <c r="S44" s="5"/>
      <c r="T44" s="5"/>
    </row>
    <row r="45" spans="1:20" ht="16.149999999999999" customHeight="1" x14ac:dyDescent="0.25">
      <c r="A45" s="8"/>
      <c r="B45" s="8"/>
      <c r="C45" s="17" t="s">
        <v>131</v>
      </c>
      <c r="D45" s="30"/>
      <c r="E45" s="17"/>
      <c r="F45" s="30"/>
      <c r="G45" s="30"/>
      <c r="H45" s="28"/>
      <c r="I45" s="30"/>
      <c r="J45" s="28"/>
      <c r="K45" s="28"/>
      <c r="L45" s="28">
        <f>1200000*1.1</f>
        <v>1320000</v>
      </c>
      <c r="M45" s="28"/>
      <c r="N45" s="28"/>
      <c r="O45" s="53">
        <f t="shared" si="0"/>
        <v>1320000</v>
      </c>
      <c r="P45" s="28"/>
      <c r="Q45" s="54">
        <f t="shared" si="1"/>
        <v>-1320000</v>
      </c>
    </row>
    <row r="46" spans="1:20" ht="16.149999999999999" customHeight="1" x14ac:dyDescent="0.25">
      <c r="A46" s="8"/>
      <c r="B46" s="8"/>
      <c r="C46" s="17" t="s">
        <v>132</v>
      </c>
      <c r="D46" s="30"/>
      <c r="E46" s="17"/>
      <c r="F46" s="30"/>
      <c r="G46" s="30"/>
      <c r="H46" s="28"/>
      <c r="I46" s="30"/>
      <c r="J46" s="28"/>
      <c r="K46" s="18">
        <v>10038462</v>
      </c>
      <c r="L46" s="28"/>
      <c r="M46" s="18"/>
      <c r="N46" s="28"/>
      <c r="O46" s="53">
        <f t="shared" si="0"/>
        <v>10038462</v>
      </c>
      <c r="P46" s="28"/>
      <c r="Q46" s="54">
        <f t="shared" si="1"/>
        <v>-10038462</v>
      </c>
    </row>
    <row r="47" spans="1:20" x14ac:dyDescent="0.25">
      <c r="A47" s="166" t="s">
        <v>19</v>
      </c>
      <c r="B47" s="167"/>
      <c r="C47" s="167"/>
      <c r="D47" s="167"/>
      <c r="E47" s="167"/>
      <c r="F47" s="168"/>
      <c r="G47" s="52">
        <f t="shared" ref="G47:O47" si="4">SUM(G7:G46)</f>
        <v>3369</v>
      </c>
      <c r="H47" s="4">
        <f t="shared" si="4"/>
        <v>56404900</v>
      </c>
      <c r="I47" s="4">
        <f t="shared" si="4"/>
        <v>0</v>
      </c>
      <c r="J47" s="4">
        <f t="shared" si="4"/>
        <v>36770000</v>
      </c>
      <c r="K47" s="4">
        <f t="shared" si="4"/>
        <v>10338462</v>
      </c>
      <c r="L47" s="4">
        <f t="shared" si="4"/>
        <v>17695000</v>
      </c>
      <c r="M47" s="4">
        <f t="shared" si="4"/>
        <v>5800000</v>
      </c>
      <c r="N47" s="4">
        <f t="shared" si="4"/>
        <v>0</v>
      </c>
      <c r="O47" s="4">
        <f t="shared" si="4"/>
        <v>127008362</v>
      </c>
      <c r="P47" s="51">
        <f>SUM(P8:P46)</f>
        <v>172443636</v>
      </c>
      <c r="Q47" s="4">
        <f>SUM(Q7:Q46)</f>
        <v>45435274</v>
      </c>
      <c r="R47" s="24"/>
    </row>
    <row r="48" spans="1:20" x14ac:dyDescent="0.25">
      <c r="O48" s="20"/>
      <c r="Q48" s="26"/>
    </row>
    <row r="49" spans="2:17" x14ac:dyDescent="0.25">
      <c r="P49" s="21" t="s">
        <v>20</v>
      </c>
      <c r="Q49" s="26">
        <f>'7.2019'!Q44+'8.2019'!Q47</f>
        <v>213838849.30769235</v>
      </c>
    </row>
    <row r="53" spans="2:17" x14ac:dyDescent="0.25">
      <c r="B53" s="6"/>
    </row>
    <row r="54" spans="2:17" x14ac:dyDescent="0.25">
      <c r="B54" s="6"/>
    </row>
    <row r="55" spans="2:17" x14ac:dyDescent="0.25">
      <c r="B55" s="6"/>
    </row>
    <row r="56" spans="2:17" x14ac:dyDescent="0.25">
      <c r="B56" s="6"/>
      <c r="H56" s="6"/>
      <c r="J56" s="6"/>
      <c r="K56" s="6"/>
      <c r="L56" s="6"/>
      <c r="M56" s="6"/>
      <c r="N56" s="6"/>
      <c r="O56" s="6"/>
      <c r="P56" s="6"/>
      <c r="Q56" s="6"/>
    </row>
  </sheetData>
  <mergeCells count="23">
    <mergeCell ref="C42:F42"/>
    <mergeCell ref="C43:F43"/>
    <mergeCell ref="C37:F37"/>
    <mergeCell ref="C38:F38"/>
    <mergeCell ref="C39:F39"/>
    <mergeCell ref="C40:F40"/>
    <mergeCell ref="C41:F41"/>
    <mergeCell ref="O5:O6"/>
    <mergeCell ref="P5:P6"/>
    <mergeCell ref="Q5:Q6"/>
    <mergeCell ref="A47:F4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35:F35"/>
    <mergeCell ref="C36:F36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53"/>
  <sheetViews>
    <sheetView topLeftCell="B24" workbookViewId="0">
      <selection activeCell="I35" sqref="I3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883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20" x14ac:dyDescent="0.2">
      <c r="A8" s="25">
        <v>1</v>
      </c>
      <c r="B8" s="44">
        <v>43711</v>
      </c>
      <c r="C8" s="10" t="s">
        <v>884</v>
      </c>
      <c r="D8" s="12" t="s">
        <v>885</v>
      </c>
      <c r="E8" s="10" t="s">
        <v>253</v>
      </c>
      <c r="F8" s="8"/>
      <c r="G8" s="12"/>
      <c r="H8" s="3"/>
      <c r="I8" s="12"/>
      <c r="J8" s="50">
        <v>540000</v>
      </c>
      <c r="K8" s="18"/>
      <c r="L8" s="29"/>
      <c r="M8" s="13"/>
      <c r="N8" s="13"/>
      <c r="O8" s="53">
        <f t="shared" ref="O8:O20" si="0">H8+J8+K8+L8+M8+N8</f>
        <v>540000</v>
      </c>
      <c r="P8" s="13">
        <v>3100000</v>
      </c>
      <c r="Q8" s="54">
        <f>P8-O8</f>
        <v>2560000</v>
      </c>
      <c r="S8" s="91"/>
      <c r="T8" s="5"/>
    </row>
    <row r="9" spans="1:20" ht="12.75" customHeight="1" x14ac:dyDescent="0.2">
      <c r="A9" s="25">
        <v>2</v>
      </c>
      <c r="B9" s="44">
        <v>43712</v>
      </c>
      <c r="C9" s="10" t="s">
        <v>886</v>
      </c>
      <c r="D9" s="8" t="s">
        <v>887</v>
      </c>
      <c r="E9" s="10" t="s">
        <v>253</v>
      </c>
      <c r="F9" s="8"/>
      <c r="G9" s="12">
        <v>100</v>
      </c>
      <c r="H9" s="3">
        <f t="shared" ref="H9:H16" si="1">G9*16330</f>
        <v>1633000</v>
      </c>
      <c r="I9" s="12"/>
      <c r="J9" s="50">
        <v>540000</v>
      </c>
      <c r="K9" s="18"/>
      <c r="L9" s="29"/>
      <c r="M9" s="13"/>
      <c r="N9" s="13"/>
      <c r="O9" s="53">
        <f t="shared" si="0"/>
        <v>2173000</v>
      </c>
      <c r="P9" s="13">
        <v>3100000</v>
      </c>
      <c r="Q9" s="54">
        <f t="shared" ref="Q9:Q43" si="2">P9-O9</f>
        <v>927000</v>
      </c>
      <c r="S9" s="91"/>
      <c r="T9" s="5"/>
    </row>
    <row r="10" spans="1:20" ht="12.75" customHeight="1" x14ac:dyDescent="0.2">
      <c r="A10" s="25">
        <v>3</v>
      </c>
      <c r="B10" s="44">
        <v>43713</v>
      </c>
      <c r="C10" s="10" t="s">
        <v>888</v>
      </c>
      <c r="D10" s="12" t="s">
        <v>889</v>
      </c>
      <c r="E10" s="10" t="s">
        <v>121</v>
      </c>
      <c r="F10" s="8"/>
      <c r="G10" s="12"/>
      <c r="H10" s="3"/>
      <c r="I10" s="12"/>
      <c r="J10" s="50">
        <v>2470000</v>
      </c>
      <c r="K10" s="18"/>
      <c r="L10" s="29"/>
      <c r="M10" s="13"/>
      <c r="N10" s="13"/>
      <c r="O10" s="53">
        <f t="shared" si="0"/>
        <v>2470000</v>
      </c>
      <c r="P10" s="13">
        <v>13181818</v>
      </c>
      <c r="Q10" s="54">
        <f t="shared" si="2"/>
        <v>10711818</v>
      </c>
      <c r="S10" s="91"/>
      <c r="T10" s="5"/>
    </row>
    <row r="11" spans="1:20" ht="12.75" customHeight="1" x14ac:dyDescent="0.2">
      <c r="A11" s="25">
        <v>4</v>
      </c>
      <c r="B11" s="44">
        <v>43715</v>
      </c>
      <c r="C11" s="10" t="s">
        <v>140</v>
      </c>
      <c r="D11" s="12" t="s">
        <v>890</v>
      </c>
      <c r="E11" s="10" t="s">
        <v>807</v>
      </c>
      <c r="F11" s="8"/>
      <c r="G11" s="12">
        <v>212</v>
      </c>
      <c r="H11" s="3">
        <f t="shared" si="1"/>
        <v>3461960</v>
      </c>
      <c r="I11" s="12"/>
      <c r="J11" s="50">
        <v>1060000</v>
      </c>
      <c r="K11" s="18"/>
      <c r="L11" s="29"/>
      <c r="M11" s="13"/>
      <c r="N11" s="13"/>
      <c r="O11" s="53">
        <f t="shared" si="0"/>
        <v>4521960</v>
      </c>
      <c r="P11" s="13">
        <v>5000000</v>
      </c>
      <c r="Q11" s="54">
        <f t="shared" si="2"/>
        <v>478040</v>
      </c>
      <c r="S11" s="91"/>
      <c r="T11" s="5"/>
    </row>
    <row r="12" spans="1:20" ht="12.75" customHeight="1" x14ac:dyDescent="0.2">
      <c r="A12" s="25">
        <v>5</v>
      </c>
      <c r="B12" s="44">
        <v>43718</v>
      </c>
      <c r="C12" s="10" t="s">
        <v>891</v>
      </c>
      <c r="D12" s="12" t="s">
        <v>892</v>
      </c>
      <c r="E12" s="10" t="s">
        <v>33</v>
      </c>
      <c r="F12" s="8"/>
      <c r="G12" s="12">
        <v>265</v>
      </c>
      <c r="H12" s="3">
        <f t="shared" si="1"/>
        <v>4327450</v>
      </c>
      <c r="I12" s="12"/>
      <c r="J12" s="50">
        <f>1720000+60000</f>
        <v>1780000</v>
      </c>
      <c r="K12" s="18"/>
      <c r="L12" s="29"/>
      <c r="M12" s="13"/>
      <c r="N12" s="13"/>
      <c r="O12" s="53">
        <f t="shared" si="0"/>
        <v>6107450</v>
      </c>
      <c r="P12" s="13">
        <v>7772727</v>
      </c>
      <c r="Q12" s="54">
        <f t="shared" si="2"/>
        <v>1665277</v>
      </c>
      <c r="S12" s="91"/>
      <c r="T12" s="5"/>
    </row>
    <row r="13" spans="1:20" ht="12.75" customHeight="1" x14ac:dyDescent="0.2">
      <c r="A13" s="25">
        <v>6</v>
      </c>
      <c r="B13" s="44">
        <v>43719</v>
      </c>
      <c r="C13" s="10" t="s">
        <v>143</v>
      </c>
      <c r="D13" s="12" t="s">
        <v>893</v>
      </c>
      <c r="E13" s="10" t="s">
        <v>112</v>
      </c>
      <c r="F13" s="8"/>
      <c r="G13" s="12"/>
      <c r="H13" s="3"/>
      <c r="I13" s="12"/>
      <c r="J13" s="50">
        <v>2470000</v>
      </c>
      <c r="K13" s="18"/>
      <c r="L13" s="29"/>
      <c r="M13" s="13"/>
      <c r="N13" s="13"/>
      <c r="O13" s="53">
        <f t="shared" si="0"/>
        <v>2470000</v>
      </c>
      <c r="P13" s="13">
        <v>13181818</v>
      </c>
      <c r="Q13" s="54">
        <f t="shared" si="2"/>
        <v>10711818</v>
      </c>
      <c r="S13" s="91"/>
      <c r="T13" s="5"/>
    </row>
    <row r="14" spans="1:20" ht="12.75" customHeight="1" x14ac:dyDescent="0.2">
      <c r="A14" s="25">
        <v>7</v>
      </c>
      <c r="B14" s="44">
        <v>43720</v>
      </c>
      <c r="C14" s="10" t="s">
        <v>894</v>
      </c>
      <c r="D14" s="12" t="s">
        <v>895</v>
      </c>
      <c r="E14" s="10" t="s">
        <v>896</v>
      </c>
      <c r="F14" s="8"/>
      <c r="G14" s="12">
        <v>210</v>
      </c>
      <c r="H14" s="3">
        <f t="shared" si="1"/>
        <v>3429300</v>
      </c>
      <c r="I14" s="12"/>
      <c r="J14" s="50">
        <v>990000</v>
      </c>
      <c r="K14" s="18"/>
      <c r="L14" s="29"/>
      <c r="M14" s="13"/>
      <c r="N14" s="13"/>
      <c r="O14" s="53">
        <f t="shared" si="0"/>
        <v>4419300</v>
      </c>
      <c r="P14" s="13">
        <v>4900000</v>
      </c>
      <c r="Q14" s="54">
        <f t="shared" si="2"/>
        <v>480700</v>
      </c>
      <c r="S14" s="91"/>
      <c r="T14" s="5"/>
    </row>
    <row r="15" spans="1:20" ht="12.75" customHeight="1" x14ac:dyDescent="0.2">
      <c r="A15" s="25">
        <v>8</v>
      </c>
      <c r="B15" s="44">
        <v>43721</v>
      </c>
      <c r="C15" s="10" t="s">
        <v>897</v>
      </c>
      <c r="D15" s="12" t="s">
        <v>898</v>
      </c>
      <c r="E15" s="10" t="s">
        <v>899</v>
      </c>
      <c r="F15" s="8"/>
      <c r="G15" s="12"/>
      <c r="H15" s="3"/>
      <c r="I15" s="12"/>
      <c r="J15" s="50">
        <v>930000</v>
      </c>
      <c r="K15" s="18"/>
      <c r="L15" s="29"/>
      <c r="M15" s="13"/>
      <c r="N15" s="13"/>
      <c r="O15" s="53">
        <f t="shared" si="0"/>
        <v>930000</v>
      </c>
      <c r="P15" s="13">
        <v>3500000</v>
      </c>
      <c r="Q15" s="54">
        <f t="shared" si="2"/>
        <v>2570000</v>
      </c>
      <c r="S15" s="91"/>
      <c r="T15" s="5"/>
    </row>
    <row r="16" spans="1:20" ht="12.75" customHeight="1" x14ac:dyDescent="0.2">
      <c r="A16" s="25">
        <v>9</v>
      </c>
      <c r="B16" s="44">
        <v>43724</v>
      </c>
      <c r="C16" s="10" t="s">
        <v>900</v>
      </c>
      <c r="D16" s="12" t="s">
        <v>901</v>
      </c>
      <c r="E16" s="10" t="s">
        <v>385</v>
      </c>
      <c r="F16" s="8"/>
      <c r="G16" s="12">
        <v>210</v>
      </c>
      <c r="H16" s="3">
        <f t="shared" si="1"/>
        <v>3429300</v>
      </c>
      <c r="I16" s="12"/>
      <c r="J16" s="50">
        <v>1060000</v>
      </c>
      <c r="K16" s="18"/>
      <c r="L16" s="29"/>
      <c r="M16" s="13"/>
      <c r="N16" s="13"/>
      <c r="O16" s="53">
        <f t="shared" si="0"/>
        <v>4489300</v>
      </c>
      <c r="P16" s="13">
        <v>5000000</v>
      </c>
      <c r="Q16" s="54">
        <f t="shared" si="2"/>
        <v>510700</v>
      </c>
      <c r="S16" s="91"/>
      <c r="T16" s="5"/>
    </row>
    <row r="17" spans="1:20" ht="12.75" customHeight="1" x14ac:dyDescent="0.2">
      <c r="A17" s="25">
        <v>10</v>
      </c>
      <c r="B17" s="44">
        <v>43725</v>
      </c>
      <c r="C17" s="10" t="s">
        <v>148</v>
      </c>
      <c r="D17" s="12" t="s">
        <v>902</v>
      </c>
      <c r="E17" s="10" t="s">
        <v>733</v>
      </c>
      <c r="F17" s="8"/>
      <c r="G17" s="12">
        <v>270</v>
      </c>
      <c r="H17" s="3">
        <f>G17*16200</f>
        <v>4374000</v>
      </c>
      <c r="I17" s="12"/>
      <c r="J17" s="50">
        <v>1320000</v>
      </c>
      <c r="K17" s="18"/>
      <c r="L17" s="29"/>
      <c r="M17" s="13"/>
      <c r="N17" s="13"/>
      <c r="O17" s="53">
        <f t="shared" si="0"/>
        <v>5694000</v>
      </c>
      <c r="P17" s="13">
        <v>6600000</v>
      </c>
      <c r="Q17" s="54">
        <f t="shared" si="2"/>
        <v>906000</v>
      </c>
      <c r="S17" s="91"/>
      <c r="T17" s="5"/>
    </row>
    <row r="18" spans="1:20" ht="12.75" customHeight="1" x14ac:dyDescent="0.2">
      <c r="A18" s="25">
        <v>11</v>
      </c>
      <c r="B18" s="44">
        <v>43726</v>
      </c>
      <c r="C18" s="10" t="s">
        <v>903</v>
      </c>
      <c r="D18" s="12" t="s">
        <v>904</v>
      </c>
      <c r="E18" s="10" t="s">
        <v>112</v>
      </c>
      <c r="F18" s="8"/>
      <c r="G18" s="12"/>
      <c r="H18" s="3"/>
      <c r="I18" s="12"/>
      <c r="J18" s="50">
        <v>2470000</v>
      </c>
      <c r="K18" s="18"/>
      <c r="L18" s="29"/>
      <c r="M18" s="13"/>
      <c r="N18" s="13"/>
      <c r="O18" s="53">
        <f t="shared" si="0"/>
        <v>2470000</v>
      </c>
      <c r="P18" s="13">
        <v>13181818</v>
      </c>
      <c r="Q18" s="54">
        <f t="shared" si="2"/>
        <v>10711818</v>
      </c>
      <c r="S18" s="91"/>
      <c r="T18" s="5"/>
    </row>
    <row r="19" spans="1:20" ht="12.75" customHeight="1" x14ac:dyDescent="0.2">
      <c r="A19" s="25">
        <v>12</v>
      </c>
      <c r="B19" s="44">
        <v>43727</v>
      </c>
      <c r="C19" s="10" t="s">
        <v>905</v>
      </c>
      <c r="D19" s="12" t="s">
        <v>906</v>
      </c>
      <c r="E19" s="10" t="s">
        <v>184</v>
      </c>
      <c r="F19" s="8"/>
      <c r="G19" s="12">
        <v>210</v>
      </c>
      <c r="H19" s="3">
        <f t="shared" ref="H19:H27" si="3">G19*16200</f>
        <v>3402000</v>
      </c>
      <c r="I19" s="12"/>
      <c r="J19" s="50">
        <v>1060000</v>
      </c>
      <c r="K19" s="18"/>
      <c r="L19" s="29"/>
      <c r="M19" s="13"/>
      <c r="N19" s="13"/>
      <c r="O19" s="53">
        <f t="shared" si="0"/>
        <v>4462000</v>
      </c>
      <c r="P19" s="13">
        <v>5000000</v>
      </c>
      <c r="Q19" s="54">
        <f t="shared" si="2"/>
        <v>538000</v>
      </c>
      <c r="S19" s="92"/>
      <c r="T19" s="5"/>
    </row>
    <row r="20" spans="1:20" ht="12.75" customHeight="1" x14ac:dyDescent="0.2">
      <c r="A20" s="25">
        <v>13</v>
      </c>
      <c r="B20" s="44">
        <v>43729</v>
      </c>
      <c r="C20" s="10" t="s">
        <v>152</v>
      </c>
      <c r="D20" s="12" t="s">
        <v>907</v>
      </c>
      <c r="E20" s="10" t="s">
        <v>799</v>
      </c>
      <c r="F20" s="8"/>
      <c r="G20" s="12">
        <v>196</v>
      </c>
      <c r="H20" s="3">
        <f t="shared" si="3"/>
        <v>3175200</v>
      </c>
      <c r="I20" s="12"/>
      <c r="J20" s="50">
        <v>680000</v>
      </c>
      <c r="K20" s="18"/>
      <c r="L20" s="29"/>
      <c r="M20" s="13"/>
      <c r="N20" s="13"/>
      <c r="O20" s="53">
        <f t="shared" si="0"/>
        <v>3855200</v>
      </c>
      <c r="P20" s="13">
        <v>3700000</v>
      </c>
      <c r="Q20" s="54">
        <f t="shared" si="2"/>
        <v>-155200</v>
      </c>
      <c r="S20" s="91"/>
      <c r="T20" s="5"/>
    </row>
    <row r="21" spans="1:20" ht="12.75" customHeight="1" x14ac:dyDescent="0.2">
      <c r="A21" s="25">
        <v>14</v>
      </c>
      <c r="B21" s="44">
        <v>43731</v>
      </c>
      <c r="C21" s="10" t="s">
        <v>908</v>
      </c>
      <c r="D21" s="12" t="s">
        <v>909</v>
      </c>
      <c r="E21" s="10" t="s">
        <v>255</v>
      </c>
      <c r="F21" s="8"/>
      <c r="G21" s="12"/>
      <c r="H21" s="3"/>
      <c r="I21" s="12"/>
      <c r="J21" s="50">
        <v>1320000</v>
      </c>
      <c r="K21" s="18"/>
      <c r="L21" s="29"/>
      <c r="M21" s="13"/>
      <c r="N21" s="13"/>
      <c r="O21" s="53">
        <f t="shared" ref="O21:O29" si="4">H21+J21+K21+L21+M21+N21</f>
        <v>1320000</v>
      </c>
      <c r="P21" s="13">
        <v>5600000</v>
      </c>
      <c r="Q21" s="54">
        <f t="shared" si="2"/>
        <v>4280000</v>
      </c>
      <c r="S21" s="91"/>
      <c r="T21" s="5"/>
    </row>
    <row r="22" spans="1:20" ht="12.75" customHeight="1" x14ac:dyDescent="0.2">
      <c r="A22" s="25">
        <v>15</v>
      </c>
      <c r="B22" s="44">
        <v>43732</v>
      </c>
      <c r="C22" s="10" t="s">
        <v>154</v>
      </c>
      <c r="D22" s="12" t="s">
        <v>910</v>
      </c>
      <c r="E22" s="10" t="s">
        <v>184</v>
      </c>
      <c r="F22" s="8"/>
      <c r="G22" s="12">
        <v>228</v>
      </c>
      <c r="H22" s="3">
        <f t="shared" si="3"/>
        <v>3693600</v>
      </c>
      <c r="I22" s="12"/>
      <c r="J22" s="59">
        <v>1060000</v>
      </c>
      <c r="K22" s="18"/>
      <c r="L22" s="29"/>
      <c r="M22" s="13"/>
      <c r="N22" s="13"/>
      <c r="O22" s="53">
        <f t="shared" si="4"/>
        <v>4753600</v>
      </c>
      <c r="P22" s="13">
        <v>5000000</v>
      </c>
      <c r="Q22" s="54">
        <f t="shared" si="2"/>
        <v>246400</v>
      </c>
      <c r="S22" s="91"/>
      <c r="T22" s="5"/>
    </row>
    <row r="23" spans="1:20" ht="12.75" customHeight="1" x14ac:dyDescent="0.2">
      <c r="A23" s="25">
        <v>16</v>
      </c>
      <c r="B23" s="44">
        <v>43733</v>
      </c>
      <c r="C23" s="10" t="s">
        <v>911</v>
      </c>
      <c r="D23" s="12" t="s">
        <v>912</v>
      </c>
      <c r="E23" s="10" t="s">
        <v>258</v>
      </c>
      <c r="F23" s="8"/>
      <c r="G23" s="12"/>
      <c r="H23" s="3"/>
      <c r="I23" s="12"/>
      <c r="J23" s="50">
        <v>1970000</v>
      </c>
      <c r="K23" s="18"/>
      <c r="L23" s="29"/>
      <c r="M23" s="13"/>
      <c r="N23" s="13"/>
      <c r="O23" s="53">
        <f t="shared" si="4"/>
        <v>1970000</v>
      </c>
      <c r="P23" s="13">
        <v>9545455</v>
      </c>
      <c r="Q23" s="54">
        <f t="shared" si="2"/>
        <v>7575455</v>
      </c>
      <c r="S23" s="91"/>
      <c r="T23" s="5"/>
    </row>
    <row r="24" spans="1:20" ht="12.75" customHeight="1" x14ac:dyDescent="0.2">
      <c r="A24" s="25">
        <v>17</v>
      </c>
      <c r="B24" s="44">
        <v>43734</v>
      </c>
      <c r="C24" s="10" t="s">
        <v>913</v>
      </c>
      <c r="D24" s="8" t="s">
        <v>914</v>
      </c>
      <c r="E24" s="10" t="s">
        <v>915</v>
      </c>
      <c r="F24" s="8"/>
      <c r="G24" s="12">
        <v>166</v>
      </c>
      <c r="H24" s="3">
        <f t="shared" si="3"/>
        <v>2689200</v>
      </c>
      <c r="I24" s="12"/>
      <c r="J24" s="50">
        <v>1320000</v>
      </c>
      <c r="K24" s="18"/>
      <c r="L24" s="29"/>
      <c r="M24" s="13"/>
      <c r="N24" s="13"/>
      <c r="O24" s="53">
        <f t="shared" si="4"/>
        <v>4009200</v>
      </c>
      <c r="P24" s="13">
        <v>5600000</v>
      </c>
      <c r="Q24" s="54">
        <f t="shared" si="2"/>
        <v>1590800</v>
      </c>
      <c r="S24" s="91"/>
      <c r="T24" s="5"/>
    </row>
    <row r="25" spans="1:20" ht="12.75" customHeight="1" x14ac:dyDescent="0.2">
      <c r="A25" s="25">
        <v>18</v>
      </c>
      <c r="B25" s="44">
        <v>43735</v>
      </c>
      <c r="C25" s="10" t="s">
        <v>916</v>
      </c>
      <c r="D25" s="8" t="s">
        <v>917</v>
      </c>
      <c r="E25" s="10" t="s">
        <v>184</v>
      </c>
      <c r="F25" s="8"/>
      <c r="G25" s="12"/>
      <c r="H25" s="3"/>
      <c r="I25" s="12"/>
      <c r="J25" s="50">
        <v>1060000</v>
      </c>
      <c r="K25" s="18"/>
      <c r="L25" s="29"/>
      <c r="M25" s="13"/>
      <c r="N25" s="13"/>
      <c r="O25" s="53">
        <f t="shared" si="4"/>
        <v>1060000</v>
      </c>
      <c r="P25" s="13">
        <v>5000000</v>
      </c>
      <c r="Q25" s="54">
        <f t="shared" si="2"/>
        <v>3940000</v>
      </c>
      <c r="S25" s="91"/>
      <c r="T25" s="5"/>
    </row>
    <row r="26" spans="1:20" ht="12.75" customHeight="1" x14ac:dyDescent="0.2">
      <c r="A26" s="25">
        <v>19</v>
      </c>
      <c r="B26" s="44">
        <v>43736</v>
      </c>
      <c r="C26" s="10" t="s">
        <v>158</v>
      </c>
      <c r="D26" s="8" t="s">
        <v>918</v>
      </c>
      <c r="E26" s="10" t="s">
        <v>919</v>
      </c>
      <c r="F26" s="8"/>
      <c r="G26" s="12">
        <v>225</v>
      </c>
      <c r="H26" s="3">
        <f t="shared" si="3"/>
        <v>3645000</v>
      </c>
      <c r="I26" s="12"/>
      <c r="J26" s="50">
        <v>1380000</v>
      </c>
      <c r="K26" s="18"/>
      <c r="L26" s="29"/>
      <c r="M26" s="13"/>
      <c r="N26" s="13"/>
      <c r="O26" s="53">
        <f t="shared" si="4"/>
        <v>5025000</v>
      </c>
      <c r="P26" s="94">
        <v>5000000</v>
      </c>
      <c r="Q26" s="54">
        <f t="shared" si="2"/>
        <v>-25000</v>
      </c>
      <c r="S26" s="91"/>
      <c r="T26" s="5"/>
    </row>
    <row r="27" spans="1:20" ht="12.75" customHeight="1" x14ac:dyDescent="0.2">
      <c r="A27" s="25">
        <v>20</v>
      </c>
      <c r="B27" s="44">
        <v>43738</v>
      </c>
      <c r="C27" s="10" t="s">
        <v>920</v>
      </c>
      <c r="D27" s="8" t="s">
        <v>921</v>
      </c>
      <c r="E27" s="10" t="s">
        <v>922</v>
      </c>
      <c r="F27" s="8"/>
      <c r="G27" s="12">
        <v>122</v>
      </c>
      <c r="H27" s="3">
        <f t="shared" si="3"/>
        <v>1976400</v>
      </c>
      <c r="I27" s="12"/>
      <c r="J27" s="50">
        <v>1120000</v>
      </c>
      <c r="K27" s="18"/>
      <c r="L27" s="29"/>
      <c r="M27" s="13"/>
      <c r="N27" s="13"/>
      <c r="O27" s="53">
        <f t="shared" si="4"/>
        <v>3096400</v>
      </c>
      <c r="P27" s="13">
        <v>6400000</v>
      </c>
      <c r="Q27" s="54">
        <f t="shared" si="2"/>
        <v>3303600</v>
      </c>
      <c r="S27" s="91"/>
      <c r="T27" s="5"/>
    </row>
    <row r="28" spans="1:20" ht="12.75" customHeight="1" x14ac:dyDescent="0.25">
      <c r="A28" s="25"/>
      <c r="B28" s="44"/>
      <c r="C28" s="10"/>
      <c r="D28" s="45"/>
      <c r="E28" s="10"/>
      <c r="F28" s="8"/>
      <c r="G28" s="12"/>
      <c r="H28" s="3"/>
      <c r="I28" s="12"/>
      <c r="J28" s="13"/>
      <c r="K28" s="18"/>
      <c r="L28" s="29"/>
      <c r="M28" s="13"/>
      <c r="N28" s="13"/>
      <c r="O28" s="53">
        <f t="shared" si="4"/>
        <v>0</v>
      </c>
      <c r="P28" s="68"/>
      <c r="Q28" s="54">
        <f t="shared" si="2"/>
        <v>0</v>
      </c>
      <c r="S28" s="5"/>
      <c r="T28" s="5"/>
    </row>
    <row r="29" spans="1:20" ht="12.75" customHeight="1" x14ac:dyDescent="0.25">
      <c r="A29" s="25"/>
      <c r="B29" s="44"/>
      <c r="C29" s="10"/>
      <c r="D29" s="8"/>
      <c r="E29" s="10"/>
      <c r="F29" s="8"/>
      <c r="G29" s="12"/>
      <c r="H29" s="3"/>
      <c r="I29" s="12"/>
      <c r="J29" s="3"/>
      <c r="K29" s="18"/>
      <c r="L29" s="29"/>
      <c r="M29" s="13"/>
      <c r="N29" s="13"/>
      <c r="O29" s="53">
        <f t="shared" si="4"/>
        <v>0</v>
      </c>
      <c r="P29" s="3"/>
      <c r="Q29" s="54">
        <f t="shared" si="2"/>
        <v>0</v>
      </c>
      <c r="S29" s="5"/>
      <c r="T29" s="5"/>
    </row>
    <row r="30" spans="1:20" ht="20.45" customHeight="1" x14ac:dyDescent="0.25">
      <c r="A30" s="25"/>
      <c r="B30" s="6"/>
      <c r="C30" s="182" t="s">
        <v>923</v>
      </c>
      <c r="D30" s="183"/>
      <c r="E30" s="183"/>
      <c r="F30" s="183"/>
      <c r="G30" s="80"/>
      <c r="H30" s="18"/>
      <c r="I30" s="46"/>
      <c r="J30" s="18"/>
      <c r="K30" s="18"/>
      <c r="L30" s="28"/>
      <c r="M30" s="90">
        <v>5800000</v>
      </c>
      <c r="N30" s="28"/>
      <c r="O30" s="53">
        <f t="shared" ref="O30:O43" si="5">H30+J30+K30+L30+M30+N30</f>
        <v>5800000</v>
      </c>
      <c r="P30" s="28"/>
      <c r="Q30" s="54">
        <f t="shared" si="2"/>
        <v>-5800000</v>
      </c>
      <c r="S30" s="5"/>
      <c r="T30" s="5"/>
    </row>
    <row r="31" spans="1:20" ht="20.45" customHeight="1" x14ac:dyDescent="0.25">
      <c r="A31" s="25"/>
      <c r="B31" s="6"/>
      <c r="C31" s="182" t="s">
        <v>924</v>
      </c>
      <c r="D31" s="183"/>
      <c r="E31" s="183"/>
      <c r="F31" s="183"/>
      <c r="G31" s="80"/>
      <c r="H31" s="18"/>
      <c r="I31" s="46"/>
      <c r="J31" s="18"/>
      <c r="K31" s="18"/>
      <c r="L31" s="90">
        <v>8485000</v>
      </c>
      <c r="M31" s="28"/>
      <c r="N31" s="28"/>
      <c r="O31" s="53">
        <f t="shared" si="5"/>
        <v>8485000</v>
      </c>
      <c r="P31" s="28"/>
      <c r="Q31" s="54">
        <f t="shared" si="2"/>
        <v>-8485000</v>
      </c>
      <c r="S31" s="5"/>
      <c r="T31" s="5"/>
    </row>
    <row r="32" spans="1:20" ht="20.45" customHeight="1" x14ac:dyDescent="0.25">
      <c r="A32" s="25"/>
      <c r="B32" s="6"/>
      <c r="C32" s="182" t="s">
        <v>925</v>
      </c>
      <c r="D32" s="183"/>
      <c r="E32" s="183"/>
      <c r="F32" s="183"/>
      <c r="G32" s="80"/>
      <c r="H32" s="18"/>
      <c r="I32" s="46"/>
      <c r="J32" s="18"/>
      <c r="K32" s="18"/>
      <c r="L32" s="90">
        <v>610000</v>
      </c>
      <c r="M32" s="28"/>
      <c r="N32" s="28"/>
      <c r="O32" s="53">
        <f t="shared" si="5"/>
        <v>610000</v>
      </c>
      <c r="P32" s="28"/>
      <c r="Q32" s="54">
        <f t="shared" si="2"/>
        <v>-610000</v>
      </c>
      <c r="S32" s="5"/>
      <c r="T32" s="5"/>
    </row>
    <row r="33" spans="1:20" ht="20.45" customHeight="1" x14ac:dyDescent="0.2">
      <c r="A33" s="25"/>
      <c r="B33" s="95"/>
      <c r="C33" s="193" t="s">
        <v>926</v>
      </c>
      <c r="D33" s="194"/>
      <c r="E33" s="194"/>
      <c r="F33" s="194"/>
      <c r="G33" s="96"/>
      <c r="H33" s="18"/>
      <c r="I33" s="46"/>
      <c r="J33" s="18"/>
      <c r="K33" s="18"/>
      <c r="L33" s="90">
        <v>230000</v>
      </c>
      <c r="M33" s="28"/>
      <c r="N33" s="28"/>
      <c r="O33" s="53">
        <f t="shared" si="5"/>
        <v>230000</v>
      </c>
      <c r="P33" s="28"/>
      <c r="Q33" s="54">
        <f t="shared" si="2"/>
        <v>-230000</v>
      </c>
      <c r="S33" s="5"/>
      <c r="T33" s="5"/>
    </row>
    <row r="34" spans="1:20" ht="20.45" customHeight="1" x14ac:dyDescent="0.25">
      <c r="A34" s="25"/>
      <c r="B34" s="6"/>
      <c r="C34" s="182" t="s">
        <v>927</v>
      </c>
      <c r="D34" s="183"/>
      <c r="E34" s="183"/>
      <c r="F34" s="183"/>
      <c r="G34" s="80"/>
      <c r="H34" s="18"/>
      <c r="I34" s="46"/>
      <c r="J34" s="18"/>
      <c r="K34" s="18"/>
      <c r="L34" s="90">
        <v>500000</v>
      </c>
      <c r="M34" s="28"/>
      <c r="N34" s="28"/>
      <c r="O34" s="53">
        <f t="shared" si="5"/>
        <v>500000</v>
      </c>
      <c r="P34" s="28"/>
      <c r="Q34" s="54">
        <f t="shared" si="2"/>
        <v>-500000</v>
      </c>
      <c r="S34" s="5"/>
      <c r="T34" s="5"/>
    </row>
    <row r="35" spans="1:20" ht="29.45" customHeight="1" x14ac:dyDescent="0.25">
      <c r="A35" s="25"/>
      <c r="B35" s="6"/>
      <c r="C35" s="182" t="s">
        <v>928</v>
      </c>
      <c r="D35" s="183"/>
      <c r="E35" s="183"/>
      <c r="F35" s="183"/>
      <c r="G35" s="80"/>
      <c r="H35" s="18"/>
      <c r="I35" s="46"/>
      <c r="J35" s="18"/>
      <c r="K35" s="18"/>
      <c r="L35" s="90">
        <v>1700000</v>
      </c>
      <c r="M35" s="28"/>
      <c r="N35" s="28"/>
      <c r="O35" s="53">
        <f t="shared" si="5"/>
        <v>1700000</v>
      </c>
      <c r="P35" s="28"/>
      <c r="Q35" s="54">
        <f t="shared" si="2"/>
        <v>-1700000</v>
      </c>
      <c r="S35" s="5"/>
      <c r="T35" s="5"/>
    </row>
    <row r="36" spans="1:20" ht="20.45" customHeight="1" x14ac:dyDescent="0.25">
      <c r="A36" s="25"/>
      <c r="B36" s="6"/>
      <c r="C36" s="182" t="s">
        <v>929</v>
      </c>
      <c r="D36" s="183"/>
      <c r="E36" s="183"/>
      <c r="F36" s="183"/>
      <c r="G36" s="80"/>
      <c r="H36" s="18"/>
      <c r="I36" s="46"/>
      <c r="J36" s="18"/>
      <c r="K36" s="18"/>
      <c r="L36" s="90">
        <v>1300000</v>
      </c>
      <c r="M36" s="28"/>
      <c r="N36" s="28"/>
      <c r="O36" s="53">
        <f t="shared" si="5"/>
        <v>1300000</v>
      </c>
      <c r="P36" s="28"/>
      <c r="Q36" s="54">
        <f t="shared" si="2"/>
        <v>-1300000</v>
      </c>
      <c r="S36" s="5"/>
      <c r="T36" s="5"/>
    </row>
    <row r="37" spans="1:20" ht="30.6" customHeight="1" x14ac:dyDescent="0.25">
      <c r="A37" s="25"/>
      <c r="B37" s="6"/>
      <c r="C37" s="182" t="s">
        <v>930</v>
      </c>
      <c r="D37" s="183"/>
      <c r="E37" s="183"/>
      <c r="F37" s="183"/>
      <c r="G37" s="80"/>
      <c r="H37" s="18"/>
      <c r="I37" s="46"/>
      <c r="J37" s="18"/>
      <c r="K37" s="18"/>
      <c r="L37" s="90">
        <v>7270000</v>
      </c>
      <c r="M37" s="28"/>
      <c r="N37" s="28"/>
      <c r="O37" s="53">
        <f t="shared" si="5"/>
        <v>7270000</v>
      </c>
      <c r="P37" s="28"/>
      <c r="Q37" s="54">
        <f t="shared" si="2"/>
        <v>-7270000</v>
      </c>
      <c r="S37" s="5"/>
      <c r="T37" s="5"/>
    </row>
    <row r="38" spans="1:20" ht="20.45" customHeight="1" x14ac:dyDescent="0.25">
      <c r="A38" s="25"/>
      <c r="B38" s="6"/>
      <c r="C38" s="182" t="s">
        <v>934</v>
      </c>
      <c r="D38" s="183"/>
      <c r="E38" s="183"/>
      <c r="F38" s="183"/>
      <c r="G38" s="80"/>
      <c r="H38" s="18"/>
      <c r="I38" s="46"/>
      <c r="J38" s="18"/>
      <c r="K38" s="18"/>
      <c r="L38" s="28"/>
      <c r="M38" s="28"/>
      <c r="N38" s="90">
        <f>11900000/4</f>
        <v>2975000</v>
      </c>
      <c r="O38" s="53">
        <f t="shared" si="5"/>
        <v>2975000</v>
      </c>
      <c r="P38" s="28"/>
      <c r="Q38" s="54">
        <f t="shared" si="2"/>
        <v>-2975000</v>
      </c>
      <c r="S38" s="5"/>
      <c r="T38" s="5"/>
    </row>
    <row r="39" spans="1:20" ht="18" customHeight="1" x14ac:dyDescent="0.25">
      <c r="A39" s="25"/>
      <c r="B39" s="6"/>
      <c r="C39" s="182" t="s">
        <v>931</v>
      </c>
      <c r="D39" s="183"/>
      <c r="E39" s="183"/>
      <c r="F39" s="183"/>
      <c r="G39" s="80"/>
      <c r="H39" s="18"/>
      <c r="I39" s="46"/>
      <c r="J39" s="18"/>
      <c r="K39" s="18"/>
      <c r="L39" s="90">
        <v>400000</v>
      </c>
      <c r="M39" s="28"/>
      <c r="N39" s="28"/>
      <c r="O39" s="53">
        <f t="shared" si="5"/>
        <v>400000</v>
      </c>
      <c r="P39" s="28"/>
      <c r="Q39" s="54">
        <f t="shared" si="2"/>
        <v>-400000</v>
      </c>
      <c r="S39" s="5"/>
      <c r="T39" s="5"/>
    </row>
    <row r="40" spans="1:20" ht="18" customHeight="1" x14ac:dyDescent="0.25">
      <c r="A40" s="25"/>
      <c r="B40" s="6"/>
      <c r="C40" s="182" t="s">
        <v>932</v>
      </c>
      <c r="D40" s="183"/>
      <c r="E40" s="183"/>
      <c r="F40" s="183"/>
      <c r="G40" s="80"/>
      <c r="H40" s="18"/>
      <c r="I40" s="46"/>
      <c r="J40" s="18"/>
      <c r="K40" s="18"/>
      <c r="L40" s="90">
        <v>150000</v>
      </c>
      <c r="M40" s="28"/>
      <c r="N40" s="28"/>
      <c r="O40" s="53">
        <f t="shared" si="5"/>
        <v>150000</v>
      </c>
      <c r="P40" s="28"/>
      <c r="Q40" s="54">
        <f t="shared" si="2"/>
        <v>-150000</v>
      </c>
      <c r="S40" s="5"/>
      <c r="T40" s="5"/>
    </row>
    <row r="41" spans="1:20" ht="18" customHeight="1" x14ac:dyDescent="0.25">
      <c r="A41" s="25"/>
      <c r="B41" s="6"/>
      <c r="C41" s="182" t="s">
        <v>933</v>
      </c>
      <c r="D41" s="183"/>
      <c r="E41" s="183"/>
      <c r="F41" s="183"/>
      <c r="G41" s="80"/>
      <c r="H41" s="18"/>
      <c r="I41" s="46"/>
      <c r="J41" s="18"/>
      <c r="K41" s="18"/>
      <c r="L41" s="90">
        <v>150000</v>
      </c>
      <c r="M41" s="28"/>
      <c r="N41" s="28"/>
      <c r="O41" s="53">
        <f t="shared" si="5"/>
        <v>150000</v>
      </c>
      <c r="P41" s="28"/>
      <c r="Q41" s="54">
        <f t="shared" si="2"/>
        <v>-150000</v>
      </c>
      <c r="S41" s="5"/>
      <c r="T41" s="5"/>
    </row>
    <row r="42" spans="1:20" ht="18" customHeight="1" x14ac:dyDescent="0.25">
      <c r="A42" s="8"/>
      <c r="B42" s="8"/>
      <c r="C42" s="182" t="s">
        <v>131</v>
      </c>
      <c r="D42" s="183"/>
      <c r="E42" s="183"/>
      <c r="F42" s="183"/>
      <c r="G42" s="80"/>
      <c r="H42" s="28"/>
      <c r="I42" s="30"/>
      <c r="J42" s="28"/>
      <c r="K42" s="28"/>
      <c r="L42" s="90">
        <f>1200000*1.1</f>
        <v>1320000</v>
      </c>
      <c r="M42" s="28"/>
      <c r="N42" s="28"/>
      <c r="O42" s="53">
        <f t="shared" si="5"/>
        <v>1320000</v>
      </c>
      <c r="P42" s="28"/>
      <c r="Q42" s="54">
        <f t="shared" si="2"/>
        <v>-1320000</v>
      </c>
    </row>
    <row r="43" spans="1:20" ht="18" customHeight="1" x14ac:dyDescent="0.25">
      <c r="A43" s="8"/>
      <c r="B43" s="8"/>
      <c r="C43" s="191" t="s">
        <v>132</v>
      </c>
      <c r="D43" s="192"/>
      <c r="E43" s="192"/>
      <c r="F43" s="192"/>
      <c r="G43" s="97"/>
      <c r="H43" s="28"/>
      <c r="I43" s="30"/>
      <c r="J43" s="28"/>
      <c r="K43" s="48">
        <v>8307692</v>
      </c>
      <c r="L43" s="28"/>
      <c r="M43" s="18"/>
      <c r="N43" s="28"/>
      <c r="O43" s="53">
        <f t="shared" si="5"/>
        <v>8307692</v>
      </c>
      <c r="P43" s="28"/>
      <c r="Q43" s="54">
        <f t="shared" si="2"/>
        <v>-8307692</v>
      </c>
    </row>
    <row r="44" spans="1:20" x14ac:dyDescent="0.25">
      <c r="A44" s="166" t="s">
        <v>19</v>
      </c>
      <c r="B44" s="167"/>
      <c r="C44" s="167"/>
      <c r="D44" s="167"/>
      <c r="E44" s="167"/>
      <c r="F44" s="168"/>
      <c r="G44" s="52">
        <f t="shared" ref="G44:O44" si="6">SUM(G7:G43)</f>
        <v>2414</v>
      </c>
      <c r="H44" s="4">
        <f t="shared" si="6"/>
        <v>39236410</v>
      </c>
      <c r="I44" s="4">
        <f t="shared" si="6"/>
        <v>0</v>
      </c>
      <c r="J44" s="4">
        <f t="shared" si="6"/>
        <v>26600000</v>
      </c>
      <c r="K44" s="4">
        <f t="shared" si="6"/>
        <v>8307692</v>
      </c>
      <c r="L44" s="4">
        <f t="shared" si="6"/>
        <v>22115000</v>
      </c>
      <c r="M44" s="4">
        <f t="shared" si="6"/>
        <v>5800000</v>
      </c>
      <c r="N44" s="4">
        <f t="shared" si="6"/>
        <v>2975000</v>
      </c>
      <c r="O44" s="4">
        <f t="shared" si="6"/>
        <v>105034102</v>
      </c>
      <c r="P44" s="51">
        <f>SUM(P8:P43)</f>
        <v>129363636</v>
      </c>
      <c r="Q44" s="4">
        <f>SUM(Q7:Q43)</f>
        <v>24329534</v>
      </c>
      <c r="R44" s="24"/>
    </row>
    <row r="45" spans="1:20" x14ac:dyDescent="0.25">
      <c r="O45" s="20"/>
      <c r="Q45" s="26"/>
    </row>
    <row r="46" spans="1:20" x14ac:dyDescent="0.25">
      <c r="P46" s="21" t="s">
        <v>20</v>
      </c>
      <c r="Q46" s="26">
        <f>'8.2019'!Q49+'9.2019'!Q44</f>
        <v>238168383.30769235</v>
      </c>
    </row>
    <row r="50" spans="2:17" x14ac:dyDescent="0.25">
      <c r="B50" s="6"/>
    </row>
    <row r="51" spans="2:17" x14ac:dyDescent="0.25">
      <c r="B51" s="6"/>
    </row>
    <row r="52" spans="2:17" x14ac:dyDescent="0.25">
      <c r="B52" s="6"/>
    </row>
    <row r="53" spans="2:17" x14ac:dyDescent="0.25">
      <c r="B53" s="6"/>
      <c r="H53" s="6"/>
      <c r="J53" s="6"/>
      <c r="K53" s="6"/>
      <c r="L53" s="6"/>
      <c r="M53" s="6"/>
      <c r="N53" s="6"/>
      <c r="O53" s="6"/>
      <c r="P53" s="6"/>
      <c r="Q53" s="6"/>
    </row>
  </sheetData>
  <mergeCells count="28">
    <mergeCell ref="C43:F43"/>
    <mergeCell ref="O5:O6"/>
    <mergeCell ref="C35:F35"/>
    <mergeCell ref="C36:F36"/>
    <mergeCell ref="C37:F37"/>
    <mergeCell ref="C38:F38"/>
    <mergeCell ref="C39:F39"/>
    <mergeCell ref="C30:F30"/>
    <mergeCell ref="C31:F31"/>
    <mergeCell ref="C32:F32"/>
    <mergeCell ref="C33:F33"/>
    <mergeCell ref="C34:F34"/>
    <mergeCell ref="P5:P6"/>
    <mergeCell ref="Q5:Q6"/>
    <mergeCell ref="A44:F44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40:F40"/>
    <mergeCell ref="C41:F41"/>
    <mergeCell ref="C42:F42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47"/>
  <sheetViews>
    <sheetView topLeftCell="C16" workbookViewId="0">
      <selection activeCell="I47" sqref="I4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7109375" style="6" customWidth="1"/>
    <col min="19" max="19" width="16.85546875" style="6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935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20" x14ac:dyDescent="0.2">
      <c r="A8" s="25">
        <v>1</v>
      </c>
      <c r="B8" s="44">
        <v>43739</v>
      </c>
      <c r="C8" s="10" t="s">
        <v>936</v>
      </c>
      <c r="D8" s="12" t="s">
        <v>937</v>
      </c>
      <c r="E8" s="10" t="s">
        <v>799</v>
      </c>
      <c r="F8" s="8"/>
      <c r="G8" s="12">
        <v>210</v>
      </c>
      <c r="H8" s="3">
        <f>G8*16200</f>
        <v>3402000</v>
      </c>
      <c r="I8" s="12"/>
      <c r="J8" s="50">
        <v>680000</v>
      </c>
      <c r="K8" s="18"/>
      <c r="L8" s="29"/>
      <c r="M8" s="13"/>
      <c r="N8" s="13"/>
      <c r="O8" s="53">
        <f t="shared" ref="O8:O37" si="0">H8+J8+K8+L8+M8+N8</f>
        <v>4082000</v>
      </c>
      <c r="P8" s="13">
        <v>2800000</v>
      </c>
      <c r="Q8" s="54">
        <f>P8-O8</f>
        <v>-1282000</v>
      </c>
      <c r="S8" s="91"/>
      <c r="T8" s="5"/>
    </row>
    <row r="9" spans="1:20" ht="12.75" customHeight="1" x14ac:dyDescent="0.2">
      <c r="A9" s="25">
        <v>2</v>
      </c>
      <c r="B9" s="44">
        <v>43740</v>
      </c>
      <c r="C9" s="10" t="s">
        <v>938</v>
      </c>
      <c r="D9" s="8" t="s">
        <v>939</v>
      </c>
      <c r="E9" s="10" t="s">
        <v>256</v>
      </c>
      <c r="F9" s="8"/>
      <c r="G9" s="12"/>
      <c r="H9" s="3"/>
      <c r="I9" s="12"/>
      <c r="J9" s="50">
        <f>810000+220000</f>
        <v>1030000</v>
      </c>
      <c r="K9" s="18"/>
      <c r="L9" s="29"/>
      <c r="M9" s="13"/>
      <c r="N9" s="13"/>
      <c r="O9" s="53">
        <f t="shared" si="0"/>
        <v>1030000</v>
      </c>
      <c r="P9" s="13">
        <v>3200000</v>
      </c>
      <c r="Q9" s="54">
        <f t="shared" ref="Q9:Q37" si="1">P9-O9</f>
        <v>2170000</v>
      </c>
      <c r="S9" s="91"/>
      <c r="T9" s="5"/>
    </row>
    <row r="10" spans="1:20" ht="12.75" customHeight="1" x14ac:dyDescent="0.2">
      <c r="A10" s="25">
        <v>3</v>
      </c>
      <c r="B10" s="44">
        <v>43741</v>
      </c>
      <c r="C10" s="10" t="s">
        <v>202</v>
      </c>
      <c r="D10" s="12" t="s">
        <v>940</v>
      </c>
      <c r="E10" s="10" t="s">
        <v>382</v>
      </c>
      <c r="F10" s="8"/>
      <c r="G10" s="12"/>
      <c r="H10" s="3"/>
      <c r="I10" s="12"/>
      <c r="J10" s="50">
        <v>1380000</v>
      </c>
      <c r="K10" s="18"/>
      <c r="L10" s="29"/>
      <c r="M10" s="13"/>
      <c r="N10" s="13"/>
      <c r="O10" s="53">
        <f t="shared" si="0"/>
        <v>1380000</v>
      </c>
      <c r="P10" s="13">
        <v>5600000</v>
      </c>
      <c r="Q10" s="54">
        <f t="shared" si="1"/>
        <v>4220000</v>
      </c>
      <c r="S10" s="91"/>
      <c r="T10" s="5"/>
    </row>
    <row r="11" spans="1:20" ht="12.75" customHeight="1" x14ac:dyDescent="0.2">
      <c r="A11" s="25">
        <v>4</v>
      </c>
      <c r="B11" s="44">
        <v>43742</v>
      </c>
      <c r="C11" s="10" t="s">
        <v>941</v>
      </c>
      <c r="D11" s="12" t="s">
        <v>942</v>
      </c>
      <c r="E11" s="10" t="s">
        <v>108</v>
      </c>
      <c r="F11" s="8"/>
      <c r="G11" s="12">
        <v>200</v>
      </c>
      <c r="H11" s="3">
        <f>G11*16630</f>
        <v>3326000</v>
      </c>
      <c r="I11" s="12"/>
      <c r="J11" s="50">
        <v>680000</v>
      </c>
      <c r="K11" s="18"/>
      <c r="L11" s="29"/>
      <c r="M11" s="13"/>
      <c r="N11" s="13"/>
      <c r="O11" s="53">
        <f t="shared" si="0"/>
        <v>4006000</v>
      </c>
      <c r="P11" s="13">
        <v>3800000</v>
      </c>
      <c r="Q11" s="54">
        <f t="shared" si="1"/>
        <v>-206000</v>
      </c>
      <c r="S11" s="91"/>
      <c r="T11" s="5"/>
    </row>
    <row r="12" spans="1:20" ht="12.75" customHeight="1" x14ac:dyDescent="0.2">
      <c r="A12" s="25">
        <v>5</v>
      </c>
      <c r="B12" s="44">
        <v>43743</v>
      </c>
      <c r="C12" s="10" t="s">
        <v>943</v>
      </c>
      <c r="D12" s="12" t="s">
        <v>944</v>
      </c>
      <c r="E12" s="10" t="s">
        <v>945</v>
      </c>
      <c r="F12" s="8"/>
      <c r="G12" s="12">
        <v>244</v>
      </c>
      <c r="H12" s="3">
        <f t="shared" ref="H12:H19" si="2">G12*16630</f>
        <v>4057720</v>
      </c>
      <c r="I12" s="12"/>
      <c r="J12" s="50">
        <f>1320000+60000</f>
        <v>1380000</v>
      </c>
      <c r="K12" s="18"/>
      <c r="L12" s="29"/>
      <c r="M12" s="13"/>
      <c r="N12" s="13"/>
      <c r="O12" s="53">
        <f t="shared" si="0"/>
        <v>5437720</v>
      </c>
      <c r="P12" s="13">
        <v>5800000</v>
      </c>
      <c r="Q12" s="54">
        <f t="shared" si="1"/>
        <v>362280</v>
      </c>
      <c r="S12" s="91"/>
      <c r="T12" s="5"/>
    </row>
    <row r="13" spans="1:20" ht="12.75" customHeight="1" x14ac:dyDescent="0.2">
      <c r="A13" s="25">
        <v>6</v>
      </c>
      <c r="B13" s="44">
        <v>43745</v>
      </c>
      <c r="C13" s="10" t="s">
        <v>946</v>
      </c>
      <c r="D13" s="12" t="s">
        <v>947</v>
      </c>
      <c r="E13" s="10" t="s">
        <v>948</v>
      </c>
      <c r="F13" s="8"/>
      <c r="G13" s="12"/>
      <c r="H13" s="3"/>
      <c r="I13" s="12"/>
      <c r="J13" s="50">
        <v>1060000</v>
      </c>
      <c r="K13" s="18"/>
      <c r="L13" s="29"/>
      <c r="M13" s="13"/>
      <c r="N13" s="13"/>
      <c r="O13" s="53">
        <f t="shared" si="0"/>
        <v>1060000</v>
      </c>
      <c r="P13" s="13">
        <v>5200000</v>
      </c>
      <c r="Q13" s="54">
        <f t="shared" si="1"/>
        <v>4140000</v>
      </c>
      <c r="S13" s="91"/>
      <c r="T13" s="5"/>
    </row>
    <row r="14" spans="1:20" ht="12.75" customHeight="1" x14ac:dyDescent="0.2">
      <c r="A14" s="25">
        <v>7</v>
      </c>
      <c r="B14" s="44">
        <v>43746</v>
      </c>
      <c r="C14" s="10" t="s">
        <v>949</v>
      </c>
      <c r="D14" s="12" t="s">
        <v>950</v>
      </c>
      <c r="E14" s="10" t="s">
        <v>945</v>
      </c>
      <c r="F14" s="8"/>
      <c r="G14" s="12">
        <v>260</v>
      </c>
      <c r="H14" s="3">
        <f t="shared" si="2"/>
        <v>4323800</v>
      </c>
      <c r="I14" s="12"/>
      <c r="J14" s="50">
        <v>1380000</v>
      </c>
      <c r="K14" s="18"/>
      <c r="L14" s="29"/>
      <c r="M14" s="13"/>
      <c r="N14" s="13"/>
      <c r="O14" s="53">
        <f t="shared" si="0"/>
        <v>5703800</v>
      </c>
      <c r="P14" s="13">
        <v>5800000</v>
      </c>
      <c r="Q14" s="54">
        <f t="shared" si="1"/>
        <v>96200</v>
      </c>
      <c r="S14" s="91"/>
      <c r="T14" s="5"/>
    </row>
    <row r="15" spans="1:20" ht="12.75" customHeight="1" x14ac:dyDescent="0.2">
      <c r="A15" s="25">
        <v>8</v>
      </c>
      <c r="B15" s="44">
        <v>43748</v>
      </c>
      <c r="C15" s="10" t="s">
        <v>951</v>
      </c>
      <c r="D15" s="12" t="s">
        <v>952</v>
      </c>
      <c r="E15" s="10" t="s">
        <v>953</v>
      </c>
      <c r="F15" s="8"/>
      <c r="G15" s="12"/>
      <c r="H15" s="3"/>
      <c r="I15" s="12"/>
      <c r="J15" s="50">
        <v>1060000</v>
      </c>
      <c r="K15" s="18"/>
      <c r="L15" s="29"/>
      <c r="M15" s="13"/>
      <c r="N15" s="13"/>
      <c r="O15" s="53">
        <f t="shared" si="0"/>
        <v>1060000</v>
      </c>
      <c r="P15" s="13">
        <v>5000000</v>
      </c>
      <c r="Q15" s="54">
        <f t="shared" si="1"/>
        <v>3940000</v>
      </c>
      <c r="S15" s="91"/>
      <c r="T15" s="5"/>
    </row>
    <row r="16" spans="1:20" ht="12.75" customHeight="1" x14ac:dyDescent="0.2">
      <c r="A16" s="25">
        <v>9</v>
      </c>
      <c r="B16" s="44">
        <v>43749</v>
      </c>
      <c r="C16" s="10" t="s">
        <v>954</v>
      </c>
      <c r="D16" s="12" t="s">
        <v>955</v>
      </c>
      <c r="E16" s="10" t="s">
        <v>799</v>
      </c>
      <c r="F16" s="8"/>
      <c r="G16" s="12">
        <v>186</v>
      </c>
      <c r="H16" s="3">
        <f t="shared" si="2"/>
        <v>3093180</v>
      </c>
      <c r="I16" s="12"/>
      <c r="J16" s="50">
        <v>680000</v>
      </c>
      <c r="K16" s="18"/>
      <c r="L16" s="29"/>
      <c r="M16" s="13"/>
      <c r="N16" s="13"/>
      <c r="O16" s="53">
        <f t="shared" si="0"/>
        <v>3773180</v>
      </c>
      <c r="P16" s="13">
        <v>3100000</v>
      </c>
      <c r="Q16" s="54">
        <f t="shared" si="1"/>
        <v>-673180</v>
      </c>
      <c r="S16" s="91"/>
      <c r="T16" s="5"/>
    </row>
    <row r="17" spans="1:20" ht="12.75" customHeight="1" x14ac:dyDescent="0.2">
      <c r="A17" s="25">
        <v>10</v>
      </c>
      <c r="B17" s="44">
        <v>43750</v>
      </c>
      <c r="C17" s="10" t="s">
        <v>956</v>
      </c>
      <c r="D17" s="12" t="s">
        <v>957</v>
      </c>
      <c r="E17" s="10" t="s">
        <v>112</v>
      </c>
      <c r="F17" s="8"/>
      <c r="G17" s="12"/>
      <c r="H17" s="3"/>
      <c r="I17" s="12"/>
      <c r="J17" s="50">
        <v>2470000</v>
      </c>
      <c r="K17" s="18"/>
      <c r="L17" s="29"/>
      <c r="M17" s="13"/>
      <c r="N17" s="13"/>
      <c r="O17" s="53">
        <f t="shared" si="0"/>
        <v>2470000</v>
      </c>
      <c r="P17" s="13">
        <v>13181818</v>
      </c>
      <c r="Q17" s="54">
        <f t="shared" si="1"/>
        <v>10711818</v>
      </c>
      <c r="S17" s="91"/>
      <c r="T17" s="5"/>
    </row>
    <row r="18" spans="1:20" ht="12.75" customHeight="1" x14ac:dyDescent="0.2">
      <c r="A18" s="25">
        <v>11</v>
      </c>
      <c r="B18" s="44">
        <v>43752</v>
      </c>
      <c r="C18" s="10" t="s">
        <v>958</v>
      </c>
      <c r="D18" s="12" t="s">
        <v>959</v>
      </c>
      <c r="E18" s="10" t="s">
        <v>960</v>
      </c>
      <c r="F18" s="8"/>
      <c r="G18" s="12">
        <v>216</v>
      </c>
      <c r="H18" s="3">
        <f t="shared" si="2"/>
        <v>3592080</v>
      </c>
      <c r="I18" s="12"/>
      <c r="J18" s="50">
        <v>930000</v>
      </c>
      <c r="K18" s="18"/>
      <c r="L18" s="29"/>
      <c r="M18" s="13"/>
      <c r="N18" s="13"/>
      <c r="O18" s="53">
        <f t="shared" si="0"/>
        <v>4522080</v>
      </c>
      <c r="P18" s="13">
        <v>3500000</v>
      </c>
      <c r="Q18" s="54">
        <f t="shared" si="1"/>
        <v>-1022080</v>
      </c>
      <c r="S18" s="91"/>
      <c r="T18" s="5"/>
    </row>
    <row r="19" spans="1:20" ht="12.75" customHeight="1" x14ac:dyDescent="0.2">
      <c r="A19" s="25">
        <v>12</v>
      </c>
      <c r="B19" s="44">
        <v>43753</v>
      </c>
      <c r="C19" s="10" t="s">
        <v>961</v>
      </c>
      <c r="D19" s="12" t="s">
        <v>962</v>
      </c>
      <c r="E19" s="10" t="s">
        <v>184</v>
      </c>
      <c r="F19" s="8"/>
      <c r="G19" s="12">
        <v>180</v>
      </c>
      <c r="H19" s="3">
        <f t="shared" si="2"/>
        <v>2993400</v>
      </c>
      <c r="I19" s="12"/>
      <c r="J19" s="50">
        <v>1060000</v>
      </c>
      <c r="K19" s="18"/>
      <c r="L19" s="29"/>
      <c r="M19" s="13"/>
      <c r="N19" s="13"/>
      <c r="O19" s="53">
        <f t="shared" si="0"/>
        <v>4053400</v>
      </c>
      <c r="P19" s="13">
        <v>5000000</v>
      </c>
      <c r="Q19" s="54">
        <f t="shared" si="1"/>
        <v>946600</v>
      </c>
      <c r="S19" s="91"/>
      <c r="T19" s="5"/>
    </row>
    <row r="20" spans="1:20" ht="12.75" customHeight="1" x14ac:dyDescent="0.2">
      <c r="A20" s="25">
        <v>13</v>
      </c>
      <c r="B20" s="44">
        <v>43754</v>
      </c>
      <c r="C20" s="10" t="s">
        <v>963</v>
      </c>
      <c r="D20" s="12" t="s">
        <v>964</v>
      </c>
      <c r="E20" s="10" t="s">
        <v>678</v>
      </c>
      <c r="F20" s="8"/>
      <c r="G20" s="12"/>
      <c r="H20" s="3"/>
      <c r="I20" s="12"/>
      <c r="J20" s="50">
        <v>1320000</v>
      </c>
      <c r="K20" s="18"/>
      <c r="L20" s="29"/>
      <c r="M20" s="13"/>
      <c r="N20" s="13"/>
      <c r="O20" s="53">
        <f t="shared" si="0"/>
        <v>1320000</v>
      </c>
      <c r="P20" s="13">
        <v>6300000</v>
      </c>
      <c r="Q20" s="54">
        <f t="shared" si="1"/>
        <v>4980000</v>
      </c>
      <c r="S20" s="91"/>
      <c r="T20" s="5"/>
    </row>
    <row r="21" spans="1:20" ht="12.75" customHeight="1" x14ac:dyDescent="0.2">
      <c r="A21" s="25">
        <v>14</v>
      </c>
      <c r="B21" s="44">
        <v>43755</v>
      </c>
      <c r="C21" s="10" t="s">
        <v>965</v>
      </c>
      <c r="D21" s="12" t="s">
        <v>966</v>
      </c>
      <c r="E21" s="10" t="s">
        <v>731</v>
      </c>
      <c r="F21" s="8"/>
      <c r="G21" s="12">
        <v>140</v>
      </c>
      <c r="H21" s="3">
        <f>G21*16220</f>
        <v>2270800</v>
      </c>
      <c r="I21" s="12"/>
      <c r="J21" s="50">
        <f>1320000+60000</f>
        <v>1380000</v>
      </c>
      <c r="K21" s="18"/>
      <c r="L21" s="29"/>
      <c r="M21" s="13"/>
      <c r="N21" s="13"/>
      <c r="O21" s="53">
        <f t="shared" si="0"/>
        <v>3650800</v>
      </c>
      <c r="P21" s="13">
        <v>5600000</v>
      </c>
      <c r="Q21" s="54">
        <f t="shared" si="1"/>
        <v>1949200</v>
      </c>
      <c r="S21" s="91"/>
      <c r="T21" s="5"/>
    </row>
    <row r="22" spans="1:20" ht="12.75" customHeight="1" x14ac:dyDescent="0.2">
      <c r="A22" s="25">
        <v>15</v>
      </c>
      <c r="B22" s="44">
        <v>43756</v>
      </c>
      <c r="C22" s="10" t="s">
        <v>214</v>
      </c>
      <c r="D22" s="12" t="s">
        <v>967</v>
      </c>
      <c r="E22" s="10" t="s">
        <v>968</v>
      </c>
      <c r="F22" s="8"/>
      <c r="G22" s="12"/>
      <c r="H22" s="3"/>
      <c r="I22" s="12"/>
      <c r="J22" s="50">
        <v>540000</v>
      </c>
      <c r="K22" s="18"/>
      <c r="L22" s="29"/>
      <c r="M22" s="13"/>
      <c r="N22" s="13"/>
      <c r="O22" s="53">
        <f t="shared" si="0"/>
        <v>540000</v>
      </c>
      <c r="P22" s="13">
        <v>2700000</v>
      </c>
      <c r="Q22" s="54">
        <f t="shared" si="1"/>
        <v>2160000</v>
      </c>
      <c r="S22" s="91"/>
      <c r="T22" s="5"/>
    </row>
    <row r="23" spans="1:20" ht="12.75" customHeight="1" x14ac:dyDescent="0.2">
      <c r="A23" s="25">
        <v>16</v>
      </c>
      <c r="B23" s="44">
        <v>43757</v>
      </c>
      <c r="C23" s="10" t="s">
        <v>969</v>
      </c>
      <c r="D23" s="12" t="s">
        <v>970</v>
      </c>
      <c r="E23" s="10" t="s">
        <v>255</v>
      </c>
      <c r="F23" s="8"/>
      <c r="G23" s="12">
        <v>168</v>
      </c>
      <c r="H23" s="3">
        <f t="shared" ref="H23:H31" si="3">G23*16220</f>
        <v>2724960</v>
      </c>
      <c r="I23" s="12"/>
      <c r="J23" s="50">
        <f>1320000+60000</f>
        <v>1380000</v>
      </c>
      <c r="K23" s="18"/>
      <c r="L23" s="29"/>
      <c r="M23" s="13"/>
      <c r="N23" s="13"/>
      <c r="O23" s="53">
        <f t="shared" si="0"/>
        <v>4104960</v>
      </c>
      <c r="P23" s="13">
        <v>5600000</v>
      </c>
      <c r="Q23" s="54">
        <f t="shared" si="1"/>
        <v>1495040</v>
      </c>
      <c r="S23" s="91"/>
      <c r="T23" s="5"/>
    </row>
    <row r="24" spans="1:20" ht="12.75" customHeight="1" x14ac:dyDescent="0.2">
      <c r="A24" s="25">
        <v>17</v>
      </c>
      <c r="B24" s="44">
        <v>43760</v>
      </c>
      <c r="C24" s="10" t="s">
        <v>971</v>
      </c>
      <c r="D24" s="12" t="s">
        <v>972</v>
      </c>
      <c r="E24" s="10" t="s">
        <v>626</v>
      </c>
      <c r="F24" s="8"/>
      <c r="G24" s="12">
        <v>245</v>
      </c>
      <c r="H24" s="3">
        <f t="shared" si="3"/>
        <v>3973900</v>
      </c>
      <c r="I24" s="12"/>
      <c r="J24" s="50">
        <f>1320000+60000</f>
        <v>1380000</v>
      </c>
      <c r="K24" s="18"/>
      <c r="L24" s="29"/>
      <c r="M24" s="13"/>
      <c r="N24" s="13"/>
      <c r="O24" s="53">
        <f t="shared" si="0"/>
        <v>5353900</v>
      </c>
      <c r="P24" s="13">
        <v>5500000</v>
      </c>
      <c r="Q24" s="54">
        <f t="shared" si="1"/>
        <v>146100</v>
      </c>
      <c r="S24" s="91"/>
      <c r="T24" s="5"/>
    </row>
    <row r="25" spans="1:20" ht="12.75" customHeight="1" x14ac:dyDescent="0.2">
      <c r="A25" s="25">
        <v>18</v>
      </c>
      <c r="B25" s="44">
        <v>43761</v>
      </c>
      <c r="C25" s="10" t="s">
        <v>973</v>
      </c>
      <c r="D25" s="12" t="s">
        <v>974</v>
      </c>
      <c r="E25" s="10" t="s">
        <v>255</v>
      </c>
      <c r="F25" s="8"/>
      <c r="G25" s="12"/>
      <c r="H25" s="3">
        <f t="shared" si="3"/>
        <v>0</v>
      </c>
      <c r="I25" s="12"/>
      <c r="J25" s="50">
        <v>1380000</v>
      </c>
      <c r="K25" s="18"/>
      <c r="L25" s="29"/>
      <c r="M25" s="13"/>
      <c r="N25" s="13"/>
      <c r="O25" s="53">
        <f t="shared" si="0"/>
        <v>1380000</v>
      </c>
      <c r="P25" s="13">
        <v>5600000</v>
      </c>
      <c r="Q25" s="54">
        <f t="shared" si="1"/>
        <v>4220000</v>
      </c>
      <c r="S25" s="91"/>
      <c r="T25" s="5"/>
    </row>
    <row r="26" spans="1:20" ht="12.75" customHeight="1" x14ac:dyDescent="0.2">
      <c r="A26" s="25">
        <v>19</v>
      </c>
      <c r="B26" s="44">
        <v>43762</v>
      </c>
      <c r="C26" s="10" t="s">
        <v>975</v>
      </c>
      <c r="D26" s="12" t="s">
        <v>976</v>
      </c>
      <c r="E26" s="10" t="s">
        <v>977</v>
      </c>
      <c r="F26" s="8"/>
      <c r="G26" s="12"/>
      <c r="H26" s="3">
        <f t="shared" si="3"/>
        <v>0</v>
      </c>
      <c r="I26" s="12"/>
      <c r="J26" s="50">
        <v>200000</v>
      </c>
      <c r="K26" s="18"/>
      <c r="L26" s="29"/>
      <c r="M26" s="13"/>
      <c r="N26" s="13"/>
      <c r="O26" s="53">
        <f t="shared" si="0"/>
        <v>200000</v>
      </c>
      <c r="P26" s="13">
        <v>1500000</v>
      </c>
      <c r="Q26" s="54">
        <f t="shared" si="1"/>
        <v>1300000</v>
      </c>
      <c r="S26" s="91"/>
      <c r="T26" s="5"/>
    </row>
    <row r="27" spans="1:20" ht="12.75" customHeight="1" x14ac:dyDescent="0.2">
      <c r="A27" s="25">
        <v>20</v>
      </c>
      <c r="B27" s="44">
        <v>43763</v>
      </c>
      <c r="C27" s="10" t="s">
        <v>978</v>
      </c>
      <c r="D27" s="12" t="s">
        <v>979</v>
      </c>
      <c r="E27" s="10" t="s">
        <v>980</v>
      </c>
      <c r="F27" s="8"/>
      <c r="G27" s="12"/>
      <c r="H27" s="3"/>
      <c r="I27" s="12"/>
      <c r="J27" s="50">
        <v>930000</v>
      </c>
      <c r="K27" s="18"/>
      <c r="L27" s="29"/>
      <c r="M27" s="13"/>
      <c r="N27" s="13"/>
      <c r="O27" s="53">
        <f t="shared" si="0"/>
        <v>930000</v>
      </c>
      <c r="P27" s="13">
        <v>3700000</v>
      </c>
      <c r="Q27" s="54">
        <f t="shared" si="1"/>
        <v>2770000</v>
      </c>
      <c r="S27" s="91"/>
      <c r="T27" s="5"/>
    </row>
    <row r="28" spans="1:20" ht="12.75" customHeight="1" x14ac:dyDescent="0.2">
      <c r="A28" s="25">
        <v>21</v>
      </c>
      <c r="B28" s="44">
        <v>43766</v>
      </c>
      <c r="C28" s="10" t="s">
        <v>981</v>
      </c>
      <c r="D28" s="12" t="s">
        <v>982</v>
      </c>
      <c r="E28" s="10" t="s">
        <v>960</v>
      </c>
      <c r="F28" s="8"/>
      <c r="G28" s="12">
        <v>227</v>
      </c>
      <c r="H28" s="3">
        <f t="shared" si="3"/>
        <v>3681940</v>
      </c>
      <c r="I28" s="12"/>
      <c r="J28" s="50">
        <v>930000</v>
      </c>
      <c r="K28" s="18"/>
      <c r="L28" s="29"/>
      <c r="M28" s="13"/>
      <c r="N28" s="13"/>
      <c r="O28" s="53">
        <f t="shared" si="0"/>
        <v>4611940</v>
      </c>
      <c r="P28" s="13">
        <v>3500000</v>
      </c>
      <c r="Q28" s="54">
        <f t="shared" si="1"/>
        <v>-1111940</v>
      </c>
      <c r="S28" s="91"/>
      <c r="T28" s="5"/>
    </row>
    <row r="29" spans="1:20" ht="12.75" customHeight="1" x14ac:dyDescent="0.2">
      <c r="A29" s="25">
        <v>22</v>
      </c>
      <c r="B29" s="44">
        <v>43767</v>
      </c>
      <c r="C29" s="10" t="s">
        <v>983</v>
      </c>
      <c r="D29" s="12" t="s">
        <v>984</v>
      </c>
      <c r="E29" s="10" t="s">
        <v>985</v>
      </c>
      <c r="F29" s="8"/>
      <c r="G29" s="12">
        <v>110</v>
      </c>
      <c r="H29" s="3">
        <f t="shared" si="3"/>
        <v>1784200</v>
      </c>
      <c r="I29" s="12"/>
      <c r="J29" s="50">
        <v>540000</v>
      </c>
      <c r="K29" s="18"/>
      <c r="L29" s="29"/>
      <c r="M29" s="13"/>
      <c r="N29" s="13"/>
      <c r="O29" s="53">
        <f t="shared" si="0"/>
        <v>2324200</v>
      </c>
      <c r="P29" s="13">
        <v>2800000</v>
      </c>
      <c r="Q29" s="54">
        <f t="shared" si="1"/>
        <v>475800</v>
      </c>
      <c r="S29" s="91"/>
      <c r="T29" s="5"/>
    </row>
    <row r="30" spans="1:20" ht="12.75" customHeight="1" x14ac:dyDescent="0.2">
      <c r="A30" s="25">
        <v>23</v>
      </c>
      <c r="B30" s="44">
        <v>43768</v>
      </c>
      <c r="C30" s="10" t="s">
        <v>986</v>
      </c>
      <c r="D30" s="12" t="s">
        <v>987</v>
      </c>
      <c r="E30" s="10" t="s">
        <v>258</v>
      </c>
      <c r="F30" s="8"/>
      <c r="G30" s="12"/>
      <c r="H30" s="3"/>
      <c r="I30" s="12"/>
      <c r="J30" s="50">
        <v>1970000</v>
      </c>
      <c r="K30" s="18"/>
      <c r="L30" s="29"/>
      <c r="M30" s="13"/>
      <c r="N30" s="13"/>
      <c r="O30" s="53">
        <f t="shared" si="0"/>
        <v>1970000</v>
      </c>
      <c r="P30" s="13">
        <v>9545455</v>
      </c>
      <c r="Q30" s="54">
        <f t="shared" si="1"/>
        <v>7575455</v>
      </c>
      <c r="S30" s="91"/>
      <c r="T30" s="5"/>
    </row>
    <row r="31" spans="1:20" ht="12.75" customHeight="1" x14ac:dyDescent="0.2">
      <c r="A31" s="25">
        <v>24</v>
      </c>
      <c r="B31" s="44">
        <v>43769</v>
      </c>
      <c r="C31" s="10" t="s">
        <v>988</v>
      </c>
      <c r="D31" s="12" t="s">
        <v>989</v>
      </c>
      <c r="E31" s="10" t="s">
        <v>255</v>
      </c>
      <c r="F31" s="8"/>
      <c r="G31" s="12">
        <v>170</v>
      </c>
      <c r="H31" s="3">
        <f t="shared" si="3"/>
        <v>2757400</v>
      </c>
      <c r="I31" s="12"/>
      <c r="J31" s="50">
        <v>1380000</v>
      </c>
      <c r="K31" s="18"/>
      <c r="L31" s="29"/>
      <c r="M31" s="13"/>
      <c r="N31" s="13"/>
      <c r="O31" s="53">
        <f t="shared" si="0"/>
        <v>4137400</v>
      </c>
      <c r="P31" s="13">
        <v>5600000</v>
      </c>
      <c r="Q31" s="54">
        <f t="shared" si="1"/>
        <v>1462600</v>
      </c>
      <c r="S31" s="92"/>
      <c r="T31" s="5"/>
    </row>
    <row r="32" spans="1:20" ht="25.9" customHeight="1" x14ac:dyDescent="0.25">
      <c r="A32" s="25"/>
      <c r="B32" s="6"/>
      <c r="C32" s="196" t="s">
        <v>990</v>
      </c>
      <c r="D32" s="197"/>
      <c r="E32" s="197"/>
      <c r="F32" s="198"/>
      <c r="G32" s="46"/>
      <c r="H32" s="18"/>
      <c r="I32" s="46"/>
      <c r="J32" s="18"/>
      <c r="K32" s="18"/>
      <c r="L32" s="90">
        <v>450000</v>
      </c>
      <c r="M32" s="28"/>
      <c r="N32" s="28"/>
      <c r="O32" s="53">
        <f t="shared" si="0"/>
        <v>450000</v>
      </c>
      <c r="P32" s="28"/>
      <c r="Q32" s="54">
        <f t="shared" si="1"/>
        <v>-450000</v>
      </c>
      <c r="S32" s="5"/>
      <c r="T32" s="5"/>
    </row>
    <row r="33" spans="1:20" ht="17.45" customHeight="1" x14ac:dyDescent="0.25">
      <c r="A33" s="25"/>
      <c r="B33" s="6"/>
      <c r="C33" s="182" t="s">
        <v>994</v>
      </c>
      <c r="D33" s="183"/>
      <c r="E33" s="183"/>
      <c r="F33" s="184"/>
      <c r="G33" s="46"/>
      <c r="H33" s="18"/>
      <c r="I33" s="46"/>
      <c r="J33" s="18"/>
      <c r="K33" s="18"/>
      <c r="L33" s="28"/>
      <c r="M33" s="48">
        <v>5800000</v>
      </c>
      <c r="N33" s="28"/>
      <c r="O33" s="53">
        <f t="shared" si="0"/>
        <v>5800000</v>
      </c>
      <c r="P33" s="28"/>
      <c r="Q33" s="54">
        <f t="shared" si="1"/>
        <v>-5800000</v>
      </c>
      <c r="S33" s="5"/>
      <c r="T33" s="5"/>
    </row>
    <row r="34" spans="1:20" ht="25.9" customHeight="1" x14ac:dyDescent="0.25">
      <c r="A34" s="25"/>
      <c r="B34" s="6"/>
      <c r="C34" s="182" t="s">
        <v>991</v>
      </c>
      <c r="D34" s="183"/>
      <c r="E34" s="183"/>
      <c r="F34" s="184"/>
      <c r="G34" s="46"/>
      <c r="H34" s="18"/>
      <c r="I34" s="46"/>
      <c r="J34" s="18"/>
      <c r="K34" s="18"/>
      <c r="L34" s="90">
        <v>4500000</v>
      </c>
      <c r="M34" s="28"/>
      <c r="N34" s="28"/>
      <c r="O34" s="53">
        <f t="shared" si="0"/>
        <v>4500000</v>
      </c>
      <c r="P34" s="28"/>
      <c r="Q34" s="54">
        <f t="shared" si="1"/>
        <v>-4500000</v>
      </c>
      <c r="S34" s="5"/>
      <c r="T34" s="5"/>
    </row>
    <row r="35" spans="1:20" ht="27.6" customHeight="1" x14ac:dyDescent="0.25">
      <c r="A35" s="25"/>
      <c r="B35" s="6"/>
      <c r="C35" s="182" t="s">
        <v>992</v>
      </c>
      <c r="D35" s="183"/>
      <c r="E35" s="183"/>
      <c r="F35" s="184"/>
      <c r="G35" s="46"/>
      <c r="H35" s="18"/>
      <c r="I35" s="46"/>
      <c r="J35" s="18"/>
      <c r="K35" s="18"/>
      <c r="L35" s="90">
        <v>2500000</v>
      </c>
      <c r="M35" s="28"/>
      <c r="N35" s="28"/>
      <c r="O35" s="53">
        <f t="shared" si="0"/>
        <v>2500000</v>
      </c>
      <c r="P35" s="28"/>
      <c r="Q35" s="54">
        <f t="shared" si="1"/>
        <v>-2500000</v>
      </c>
      <c r="S35" s="5"/>
      <c r="T35" s="5"/>
    </row>
    <row r="36" spans="1:20" ht="14.45" customHeight="1" x14ac:dyDescent="0.25">
      <c r="A36" s="8"/>
      <c r="B36" s="8"/>
      <c r="C36" s="182" t="s">
        <v>131</v>
      </c>
      <c r="D36" s="183"/>
      <c r="E36" s="183"/>
      <c r="F36" s="184"/>
      <c r="G36" s="30"/>
      <c r="H36" s="28"/>
      <c r="I36" s="30"/>
      <c r="J36" s="28"/>
      <c r="K36" s="28"/>
      <c r="L36" s="90">
        <f>1200000*1.1</f>
        <v>1320000</v>
      </c>
      <c r="M36" s="28"/>
      <c r="N36" s="28"/>
      <c r="O36" s="53">
        <f t="shared" si="0"/>
        <v>1320000</v>
      </c>
      <c r="P36" s="28"/>
      <c r="Q36" s="54">
        <f t="shared" si="1"/>
        <v>-1320000</v>
      </c>
    </row>
    <row r="37" spans="1:20" ht="14.45" customHeight="1" x14ac:dyDescent="0.25">
      <c r="A37" s="8"/>
      <c r="B37" s="8"/>
      <c r="C37" s="191" t="s">
        <v>132</v>
      </c>
      <c r="D37" s="192"/>
      <c r="E37" s="192"/>
      <c r="F37" s="195"/>
      <c r="G37" s="30"/>
      <c r="H37" s="28"/>
      <c r="I37" s="30"/>
      <c r="J37" s="28"/>
      <c r="K37" s="48">
        <v>9000000</v>
      </c>
      <c r="L37" s="28"/>
      <c r="M37" s="18"/>
      <c r="N37" s="28"/>
      <c r="O37" s="53">
        <f t="shared" si="0"/>
        <v>9000000</v>
      </c>
      <c r="P37" s="28"/>
      <c r="Q37" s="54">
        <f t="shared" si="1"/>
        <v>-9000000</v>
      </c>
    </row>
    <row r="38" spans="1:20" x14ac:dyDescent="0.25">
      <c r="A38" s="166" t="s">
        <v>19</v>
      </c>
      <c r="B38" s="167"/>
      <c r="C38" s="167"/>
      <c r="D38" s="167"/>
      <c r="E38" s="167"/>
      <c r="F38" s="168"/>
      <c r="G38" s="52">
        <f t="shared" ref="G38:O38" si="4">SUM(G7:G37)</f>
        <v>2556</v>
      </c>
      <c r="H38" s="4">
        <f t="shared" si="4"/>
        <v>41981380</v>
      </c>
      <c r="I38" s="4">
        <f t="shared" si="4"/>
        <v>0</v>
      </c>
      <c r="J38" s="4">
        <f t="shared" si="4"/>
        <v>27120000</v>
      </c>
      <c r="K38" s="4">
        <f t="shared" si="4"/>
        <v>9000000</v>
      </c>
      <c r="L38" s="4">
        <f t="shared" si="4"/>
        <v>8770000</v>
      </c>
      <c r="M38" s="4">
        <f t="shared" si="4"/>
        <v>5800000</v>
      </c>
      <c r="N38" s="4">
        <f t="shared" si="4"/>
        <v>0</v>
      </c>
      <c r="O38" s="4">
        <f t="shared" si="4"/>
        <v>92671380</v>
      </c>
      <c r="P38" s="51">
        <f>SUM(P8:P37)</f>
        <v>119927273</v>
      </c>
      <c r="Q38" s="4">
        <f>SUM(Q7:Q37)</f>
        <v>27255893</v>
      </c>
      <c r="R38" s="24"/>
    </row>
    <row r="39" spans="1:20" x14ac:dyDescent="0.25">
      <c r="O39" s="20"/>
      <c r="Q39" s="26"/>
    </row>
    <row r="40" spans="1:20" x14ac:dyDescent="0.25">
      <c r="P40" s="21" t="s">
        <v>20</v>
      </c>
      <c r="Q40" s="26">
        <f>'9.2019'!Q46+'10.2019'!Q38</f>
        <v>265424276.30769235</v>
      </c>
    </row>
    <row r="41" spans="1:20" x14ac:dyDescent="0.25">
      <c r="C41" s="6" t="s">
        <v>993</v>
      </c>
    </row>
    <row r="44" spans="1:20" x14ac:dyDescent="0.25">
      <c r="B44" s="6"/>
    </row>
    <row r="45" spans="1:20" x14ac:dyDescent="0.25">
      <c r="B45" s="6"/>
    </row>
    <row r="46" spans="1:20" x14ac:dyDescent="0.25">
      <c r="B46" s="6"/>
    </row>
    <row r="47" spans="1:20" x14ac:dyDescent="0.25">
      <c r="B47" s="6"/>
      <c r="H47" s="6"/>
      <c r="J47" s="6"/>
      <c r="K47" s="6"/>
      <c r="L47" s="6"/>
      <c r="M47" s="6"/>
      <c r="N47" s="6"/>
      <c r="O47" s="6"/>
      <c r="P47" s="6"/>
      <c r="Q47" s="6"/>
    </row>
  </sheetData>
  <mergeCells count="20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37:F37"/>
    <mergeCell ref="O5:O6"/>
    <mergeCell ref="P5:P6"/>
    <mergeCell ref="Q5:Q6"/>
    <mergeCell ref="A38:F38"/>
    <mergeCell ref="C32:F32"/>
    <mergeCell ref="C33:F33"/>
    <mergeCell ref="C34:F34"/>
    <mergeCell ref="C35:F35"/>
    <mergeCell ref="C36:F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46"/>
  <sheetViews>
    <sheetView topLeftCell="C20" workbookViewId="0">
      <selection activeCell="G33" sqref="G3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995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x14ac:dyDescent="0.25">
      <c r="A8" s="25">
        <v>1</v>
      </c>
      <c r="B8" s="44">
        <v>43771</v>
      </c>
      <c r="C8" s="10" t="s">
        <v>996</v>
      </c>
      <c r="D8" s="12" t="s">
        <v>1012</v>
      </c>
      <c r="E8" s="10" t="s">
        <v>741</v>
      </c>
      <c r="F8" s="8"/>
      <c r="G8" s="12">
        <v>200</v>
      </c>
      <c r="H8" s="3">
        <f>G8*16050</f>
        <v>3210000</v>
      </c>
      <c r="I8" s="12"/>
      <c r="J8" s="13">
        <v>930000</v>
      </c>
      <c r="K8" s="18"/>
      <c r="L8" s="29"/>
      <c r="M8" s="13"/>
      <c r="N8" s="13"/>
      <c r="O8" s="53">
        <f>H8+J8+K8+L8+M8+N8</f>
        <v>4140000</v>
      </c>
      <c r="P8" s="13">
        <v>3500000</v>
      </c>
      <c r="Q8" s="54">
        <f>P8-O8</f>
        <v>-640000</v>
      </c>
      <c r="R8" s="5"/>
    </row>
    <row r="9" spans="1:18" ht="12.75" customHeight="1" x14ac:dyDescent="0.25">
      <c r="A9" s="25">
        <v>2</v>
      </c>
      <c r="B9" s="44">
        <v>43773</v>
      </c>
      <c r="C9" s="10" t="s">
        <v>997</v>
      </c>
      <c r="D9" s="8" t="s">
        <v>1013</v>
      </c>
      <c r="E9" s="10" t="s">
        <v>1034</v>
      </c>
      <c r="F9" s="8"/>
      <c r="G9" s="12"/>
      <c r="H9" s="3"/>
      <c r="I9" s="12"/>
      <c r="J9" s="13">
        <v>1320000</v>
      </c>
      <c r="K9" s="18"/>
      <c r="L9" s="29"/>
      <c r="M9" s="13"/>
      <c r="N9" s="13"/>
      <c r="O9" s="53">
        <f t="shared" ref="O9:O36" si="0">H9+J9+K9+L9+M9+N9</f>
        <v>1320000</v>
      </c>
      <c r="P9" s="57">
        <v>5500000</v>
      </c>
      <c r="Q9" s="54">
        <f t="shared" ref="Q9:Q36" si="1">P9-O9</f>
        <v>4180000</v>
      </c>
      <c r="R9" s="5"/>
    </row>
    <row r="10" spans="1:18" ht="12.75" customHeight="1" x14ac:dyDescent="0.25">
      <c r="A10" s="25">
        <v>3</v>
      </c>
      <c r="B10" s="44">
        <v>43775</v>
      </c>
      <c r="C10" s="10" t="s">
        <v>274</v>
      </c>
      <c r="D10" s="12" t="s">
        <v>1014</v>
      </c>
      <c r="E10" s="10" t="s">
        <v>1035</v>
      </c>
      <c r="F10" s="8"/>
      <c r="G10" s="12">
        <v>240</v>
      </c>
      <c r="H10" s="3">
        <f t="shared" ref="H10:H15" si="2">G10*16050</f>
        <v>3852000</v>
      </c>
      <c r="I10" s="12"/>
      <c r="J10" s="13">
        <f>1320000+60000</f>
        <v>1380000</v>
      </c>
      <c r="K10" s="18"/>
      <c r="L10" s="29"/>
      <c r="M10" s="13"/>
      <c r="N10" s="13"/>
      <c r="O10" s="53">
        <f t="shared" si="0"/>
        <v>5232000</v>
      </c>
      <c r="P10" s="13">
        <v>5600000</v>
      </c>
      <c r="Q10" s="54">
        <f t="shared" si="1"/>
        <v>368000</v>
      </c>
      <c r="R10" s="5"/>
    </row>
    <row r="11" spans="1:18" ht="12.75" customHeight="1" x14ac:dyDescent="0.25">
      <c r="A11" s="25">
        <v>4</v>
      </c>
      <c r="B11" s="44">
        <v>43776</v>
      </c>
      <c r="C11" s="10" t="s">
        <v>275</v>
      </c>
      <c r="D11" s="12" t="s">
        <v>1015</v>
      </c>
      <c r="E11" s="10" t="s">
        <v>1036</v>
      </c>
      <c r="F11" s="8"/>
      <c r="G11" s="12"/>
      <c r="H11" s="3"/>
      <c r="I11" s="12"/>
      <c r="J11" s="13">
        <v>1320000</v>
      </c>
      <c r="K11" s="18"/>
      <c r="L11" s="29"/>
      <c r="M11" s="13"/>
      <c r="N11" s="13"/>
      <c r="O11" s="53">
        <f t="shared" si="0"/>
        <v>1320000</v>
      </c>
      <c r="P11" s="57">
        <v>6100000</v>
      </c>
      <c r="Q11" s="54">
        <f t="shared" si="1"/>
        <v>4780000</v>
      </c>
      <c r="R11" s="5"/>
    </row>
    <row r="12" spans="1:18" ht="12.75" customHeight="1" x14ac:dyDescent="0.25">
      <c r="A12" s="25">
        <v>5</v>
      </c>
      <c r="B12" s="44">
        <v>43777</v>
      </c>
      <c r="C12" s="10" t="s">
        <v>998</v>
      </c>
      <c r="D12" s="12" t="s">
        <v>1016</v>
      </c>
      <c r="E12" s="10" t="s">
        <v>1037</v>
      </c>
      <c r="F12" s="8"/>
      <c r="G12" s="12">
        <v>160</v>
      </c>
      <c r="H12" s="3">
        <f t="shared" si="2"/>
        <v>2568000</v>
      </c>
      <c r="I12" s="12"/>
      <c r="J12" s="57">
        <v>1520000</v>
      </c>
      <c r="K12" s="18"/>
      <c r="L12" s="29"/>
      <c r="M12" s="13"/>
      <c r="N12" s="13"/>
      <c r="O12" s="53">
        <f t="shared" si="0"/>
        <v>4088000</v>
      </c>
      <c r="P12" s="57">
        <v>5500000</v>
      </c>
      <c r="Q12" s="54">
        <f t="shared" si="1"/>
        <v>1412000</v>
      </c>
      <c r="R12" s="5"/>
    </row>
    <row r="13" spans="1:18" ht="12.75" customHeight="1" x14ac:dyDescent="0.25">
      <c r="A13" s="25">
        <v>6</v>
      </c>
      <c r="B13" s="44">
        <v>43778</v>
      </c>
      <c r="C13" s="10" t="s">
        <v>277</v>
      </c>
      <c r="D13" s="12" t="s">
        <v>1017</v>
      </c>
      <c r="E13" s="10" t="s">
        <v>1035</v>
      </c>
      <c r="F13" s="8"/>
      <c r="G13" s="12">
        <v>240</v>
      </c>
      <c r="H13" s="3">
        <f t="shared" si="2"/>
        <v>3852000</v>
      </c>
      <c r="I13" s="12"/>
      <c r="J13" s="13">
        <f>1320000</f>
        <v>1320000</v>
      </c>
      <c r="K13" s="18"/>
      <c r="L13" s="29"/>
      <c r="M13" s="13"/>
      <c r="N13" s="13"/>
      <c r="O13" s="53">
        <f t="shared" si="0"/>
        <v>5172000</v>
      </c>
      <c r="P13" s="13">
        <v>5600000</v>
      </c>
      <c r="Q13" s="54">
        <f t="shared" si="1"/>
        <v>428000</v>
      </c>
      <c r="R13" s="5"/>
    </row>
    <row r="14" spans="1:18" ht="12.75" customHeight="1" x14ac:dyDescent="0.25">
      <c r="A14" s="25">
        <v>7</v>
      </c>
      <c r="B14" s="44">
        <v>43780</v>
      </c>
      <c r="C14" s="10" t="s">
        <v>279</v>
      </c>
      <c r="D14" s="12" t="s">
        <v>1018</v>
      </c>
      <c r="E14" s="10" t="s">
        <v>112</v>
      </c>
      <c r="F14" s="8"/>
      <c r="G14" s="12"/>
      <c r="H14" s="3"/>
      <c r="I14" s="12"/>
      <c r="J14" s="13">
        <v>2470000</v>
      </c>
      <c r="K14" s="18"/>
      <c r="L14" s="29"/>
      <c r="M14" s="13"/>
      <c r="N14" s="13"/>
      <c r="O14" s="53">
        <f t="shared" si="0"/>
        <v>2470000</v>
      </c>
      <c r="P14" s="13">
        <v>13181818</v>
      </c>
      <c r="Q14" s="54">
        <f t="shared" si="1"/>
        <v>10711818</v>
      </c>
      <c r="R14" s="5"/>
    </row>
    <row r="15" spans="1:18" ht="12.75" customHeight="1" x14ac:dyDescent="0.25">
      <c r="A15" s="25">
        <v>8</v>
      </c>
      <c r="B15" s="44">
        <v>43782</v>
      </c>
      <c r="C15" s="10" t="s">
        <v>999</v>
      </c>
      <c r="D15" s="12" t="s">
        <v>1019</v>
      </c>
      <c r="E15" s="10" t="s">
        <v>116</v>
      </c>
      <c r="F15" s="8"/>
      <c r="G15" s="12">
        <v>210</v>
      </c>
      <c r="H15" s="3">
        <f t="shared" si="2"/>
        <v>3370500</v>
      </c>
      <c r="I15" s="12"/>
      <c r="J15" s="13">
        <f>810000+60000</f>
        <v>870000</v>
      </c>
      <c r="K15" s="18"/>
      <c r="L15" s="29"/>
      <c r="M15" s="13"/>
      <c r="N15" s="13"/>
      <c r="O15" s="53">
        <f t="shared" si="0"/>
        <v>4240500</v>
      </c>
      <c r="P15" s="13">
        <v>3600000</v>
      </c>
      <c r="Q15" s="54">
        <f t="shared" si="1"/>
        <v>-640500</v>
      </c>
      <c r="R15" s="5"/>
    </row>
    <row r="16" spans="1:18" ht="12.75" customHeight="1" x14ac:dyDescent="0.25">
      <c r="A16" s="25">
        <v>9</v>
      </c>
      <c r="B16" s="44">
        <v>43783</v>
      </c>
      <c r="C16" s="10" t="s">
        <v>1000</v>
      </c>
      <c r="D16" s="12" t="s">
        <v>1020</v>
      </c>
      <c r="E16" s="10" t="s">
        <v>1038</v>
      </c>
      <c r="F16" s="8"/>
      <c r="G16" s="12"/>
      <c r="H16" s="3"/>
      <c r="I16" s="12"/>
      <c r="J16" s="13">
        <v>690000</v>
      </c>
      <c r="K16" s="18"/>
      <c r="L16" s="29"/>
      <c r="M16" s="13"/>
      <c r="N16" s="13"/>
      <c r="O16" s="53">
        <f t="shared" si="0"/>
        <v>690000</v>
      </c>
      <c r="P16" s="13">
        <v>3000000</v>
      </c>
      <c r="Q16" s="54">
        <f t="shared" si="1"/>
        <v>2310000</v>
      </c>
      <c r="R16" s="5"/>
    </row>
    <row r="17" spans="1:18" ht="12.75" customHeight="1" x14ac:dyDescent="0.25">
      <c r="A17" s="25">
        <v>10</v>
      </c>
      <c r="B17" s="44">
        <v>43784</v>
      </c>
      <c r="C17" s="10" t="s">
        <v>1001</v>
      </c>
      <c r="D17" s="12" t="s">
        <v>1021</v>
      </c>
      <c r="E17" s="10" t="s">
        <v>1039</v>
      </c>
      <c r="F17" s="8"/>
      <c r="G17" s="12"/>
      <c r="H17" s="3"/>
      <c r="I17" s="12"/>
      <c r="J17" s="13">
        <v>690000</v>
      </c>
      <c r="K17" s="18"/>
      <c r="L17" s="29"/>
      <c r="M17" s="13"/>
      <c r="N17" s="13"/>
      <c r="O17" s="53">
        <f t="shared" si="0"/>
        <v>690000</v>
      </c>
      <c r="P17" s="13">
        <v>2700000</v>
      </c>
      <c r="Q17" s="54">
        <f t="shared" si="1"/>
        <v>2010000</v>
      </c>
      <c r="R17" s="5"/>
    </row>
    <row r="18" spans="1:18" ht="12.75" customHeight="1" x14ac:dyDescent="0.25">
      <c r="A18" s="25">
        <v>11</v>
      </c>
      <c r="B18" s="44">
        <v>43785</v>
      </c>
      <c r="C18" s="10" t="s">
        <v>1002</v>
      </c>
      <c r="D18" s="12" t="s">
        <v>1022</v>
      </c>
      <c r="E18" s="10" t="s">
        <v>1040</v>
      </c>
      <c r="F18" s="8"/>
      <c r="G18" s="12">
        <v>190</v>
      </c>
      <c r="H18" s="3">
        <f>G18*15960</f>
        <v>3032400</v>
      </c>
      <c r="I18" s="12"/>
      <c r="J18" s="13">
        <v>870000</v>
      </c>
      <c r="K18" s="18"/>
      <c r="L18" s="29"/>
      <c r="M18" s="13"/>
      <c r="N18" s="13"/>
      <c r="O18" s="53">
        <f t="shared" si="0"/>
        <v>3902400</v>
      </c>
      <c r="P18" s="13">
        <v>4200000</v>
      </c>
      <c r="Q18" s="54">
        <f t="shared" si="1"/>
        <v>297600</v>
      </c>
      <c r="R18" s="5"/>
    </row>
    <row r="19" spans="1:18" ht="12.75" customHeight="1" x14ac:dyDescent="0.25">
      <c r="A19" s="25">
        <v>12</v>
      </c>
      <c r="B19" s="44">
        <v>43787</v>
      </c>
      <c r="C19" s="10" t="s">
        <v>1003</v>
      </c>
      <c r="D19" s="12" t="s">
        <v>1023</v>
      </c>
      <c r="E19" s="10" t="s">
        <v>1041</v>
      </c>
      <c r="F19" s="8"/>
      <c r="G19" s="12"/>
      <c r="H19" s="3"/>
      <c r="I19" s="12"/>
      <c r="J19" s="13">
        <v>1500000</v>
      </c>
      <c r="K19" s="18"/>
      <c r="L19" s="29"/>
      <c r="M19" s="13"/>
      <c r="N19" s="13"/>
      <c r="O19" s="53">
        <f t="shared" si="0"/>
        <v>1500000</v>
      </c>
      <c r="P19" s="13">
        <v>5520000</v>
      </c>
      <c r="Q19" s="54">
        <f t="shared" si="1"/>
        <v>4020000</v>
      </c>
      <c r="R19" s="5"/>
    </row>
    <row r="20" spans="1:18" ht="12.75" customHeight="1" x14ac:dyDescent="0.25">
      <c r="A20" s="25">
        <v>13</v>
      </c>
      <c r="B20" s="44">
        <v>43789</v>
      </c>
      <c r="C20" s="10" t="s">
        <v>1004</v>
      </c>
      <c r="D20" s="12" t="s">
        <v>1024</v>
      </c>
      <c r="E20" s="10" t="s">
        <v>1042</v>
      </c>
      <c r="F20" s="8"/>
      <c r="G20" s="12">
        <v>196</v>
      </c>
      <c r="H20" s="3">
        <f t="shared" ref="H20:H29" si="3">G20*15960</f>
        <v>3128160</v>
      </c>
      <c r="I20" s="12"/>
      <c r="J20" s="13">
        <v>1130000</v>
      </c>
      <c r="K20" s="18"/>
      <c r="L20" s="29"/>
      <c r="M20" s="13"/>
      <c r="N20" s="13"/>
      <c r="O20" s="53">
        <f t="shared" si="0"/>
        <v>4258160</v>
      </c>
      <c r="P20" s="13">
        <v>6400000</v>
      </c>
      <c r="Q20" s="54">
        <f t="shared" si="1"/>
        <v>2141840</v>
      </c>
      <c r="R20" s="5"/>
    </row>
    <row r="21" spans="1:18" ht="12.75" customHeight="1" x14ac:dyDescent="0.25">
      <c r="A21" s="25">
        <v>14</v>
      </c>
      <c r="B21" s="44">
        <v>43790</v>
      </c>
      <c r="C21" s="10" t="s">
        <v>1005</v>
      </c>
      <c r="D21" s="12" t="s">
        <v>1025</v>
      </c>
      <c r="E21" s="10" t="s">
        <v>260</v>
      </c>
      <c r="F21" s="8"/>
      <c r="G21" s="12">
        <v>150</v>
      </c>
      <c r="H21" s="3">
        <f t="shared" si="3"/>
        <v>2394000</v>
      </c>
      <c r="I21" s="12"/>
      <c r="J21" s="13">
        <v>1320000</v>
      </c>
      <c r="K21" s="18"/>
      <c r="L21" s="29"/>
      <c r="M21" s="13"/>
      <c r="N21" s="13"/>
      <c r="O21" s="53">
        <f t="shared" si="0"/>
        <v>3714000</v>
      </c>
      <c r="P21" s="13">
        <v>5500000</v>
      </c>
      <c r="Q21" s="54">
        <f t="shared" si="1"/>
        <v>1786000</v>
      </c>
      <c r="R21" s="5"/>
    </row>
    <row r="22" spans="1:18" ht="12.75" customHeight="1" x14ac:dyDescent="0.25">
      <c r="A22" s="25">
        <v>15</v>
      </c>
      <c r="B22" s="44">
        <v>43791</v>
      </c>
      <c r="C22" s="10" t="s">
        <v>1006</v>
      </c>
      <c r="D22" s="12" t="s">
        <v>1026</v>
      </c>
      <c r="E22" s="10" t="s">
        <v>1043</v>
      </c>
      <c r="F22" s="8"/>
      <c r="G22" s="12">
        <v>204</v>
      </c>
      <c r="H22" s="3">
        <f t="shared" si="3"/>
        <v>3255840</v>
      </c>
      <c r="I22" s="12"/>
      <c r="J22" s="13">
        <v>810000</v>
      </c>
      <c r="K22" s="18"/>
      <c r="L22" s="29"/>
      <c r="M22" s="13"/>
      <c r="N22" s="13"/>
      <c r="O22" s="53">
        <f t="shared" si="0"/>
        <v>4065840</v>
      </c>
      <c r="P22" s="13">
        <v>5000000</v>
      </c>
      <c r="Q22" s="54">
        <f t="shared" si="1"/>
        <v>934160</v>
      </c>
      <c r="R22" s="5"/>
    </row>
    <row r="23" spans="1:18" ht="12.75" customHeight="1" x14ac:dyDescent="0.25">
      <c r="A23" s="25">
        <v>16</v>
      </c>
      <c r="B23" s="44">
        <v>43792</v>
      </c>
      <c r="C23" s="10" t="s">
        <v>1007</v>
      </c>
      <c r="D23" s="12" t="s">
        <v>1027</v>
      </c>
      <c r="E23" s="10" t="s">
        <v>118</v>
      </c>
      <c r="F23" s="8"/>
      <c r="G23" s="12"/>
      <c r="H23" s="3"/>
      <c r="I23" s="12"/>
      <c r="J23" s="13">
        <v>1250000</v>
      </c>
      <c r="K23" s="18"/>
      <c r="L23" s="29"/>
      <c r="M23" s="13"/>
      <c r="N23" s="13"/>
      <c r="O23" s="53">
        <f t="shared" si="0"/>
        <v>1250000</v>
      </c>
      <c r="P23" s="13">
        <v>5600000</v>
      </c>
      <c r="Q23" s="54">
        <f t="shared" si="1"/>
        <v>4350000</v>
      </c>
      <c r="R23" s="5"/>
    </row>
    <row r="24" spans="1:18" ht="12.75" customHeight="1" x14ac:dyDescent="0.25">
      <c r="A24" s="25">
        <v>17</v>
      </c>
      <c r="B24" s="44">
        <v>43794</v>
      </c>
      <c r="C24" s="10" t="s">
        <v>1008</v>
      </c>
      <c r="D24" s="12" t="s">
        <v>1028</v>
      </c>
      <c r="E24" s="10" t="s">
        <v>766</v>
      </c>
      <c r="F24" s="8"/>
      <c r="G24" s="12">
        <v>216</v>
      </c>
      <c r="H24" s="3">
        <f t="shared" si="3"/>
        <v>3447360</v>
      </c>
      <c r="I24" s="12"/>
      <c r="J24" s="13">
        <v>1050000</v>
      </c>
      <c r="K24" s="18"/>
      <c r="L24" s="29"/>
      <c r="M24" s="13"/>
      <c r="N24" s="13"/>
      <c r="O24" s="53">
        <f t="shared" si="0"/>
        <v>4497360</v>
      </c>
      <c r="P24" s="13">
        <v>5000000</v>
      </c>
      <c r="Q24" s="54">
        <f t="shared" si="1"/>
        <v>502640</v>
      </c>
      <c r="R24" s="5"/>
    </row>
    <row r="25" spans="1:18" ht="12.75" customHeight="1" x14ac:dyDescent="0.25">
      <c r="A25" s="25">
        <v>18</v>
      </c>
      <c r="B25" s="44">
        <v>43795</v>
      </c>
      <c r="C25" s="10" t="s">
        <v>1009</v>
      </c>
      <c r="D25" s="12" t="s">
        <v>1029</v>
      </c>
      <c r="E25" s="10" t="s">
        <v>258</v>
      </c>
      <c r="F25" s="8"/>
      <c r="G25" s="12"/>
      <c r="H25" s="3"/>
      <c r="I25" s="12"/>
      <c r="J25" s="13">
        <v>1970000</v>
      </c>
      <c r="K25" s="18"/>
      <c r="L25" s="29"/>
      <c r="M25" s="13"/>
      <c r="N25" s="13"/>
      <c r="O25" s="53">
        <f t="shared" si="0"/>
        <v>1970000</v>
      </c>
      <c r="P25" s="13">
        <v>9545455</v>
      </c>
      <c r="Q25" s="54">
        <f t="shared" si="1"/>
        <v>7575455</v>
      </c>
      <c r="R25" s="5"/>
    </row>
    <row r="26" spans="1:18" ht="12.75" customHeight="1" x14ac:dyDescent="0.25">
      <c r="A26" s="25">
        <v>19</v>
      </c>
      <c r="B26" s="44">
        <v>43796</v>
      </c>
      <c r="C26" s="10" t="s">
        <v>293</v>
      </c>
      <c r="D26" s="12" t="s">
        <v>1030</v>
      </c>
      <c r="E26" s="10" t="s">
        <v>255</v>
      </c>
      <c r="F26" s="8"/>
      <c r="G26" s="12">
        <v>158</v>
      </c>
      <c r="H26" s="3">
        <f t="shared" si="3"/>
        <v>2521680</v>
      </c>
      <c r="I26" s="12"/>
      <c r="J26" s="13">
        <v>1320000</v>
      </c>
      <c r="K26" s="18"/>
      <c r="L26" s="29"/>
      <c r="M26" s="13"/>
      <c r="N26" s="13"/>
      <c r="O26" s="53">
        <f t="shared" si="0"/>
        <v>3841680</v>
      </c>
      <c r="P26" s="13">
        <v>5600000</v>
      </c>
      <c r="Q26" s="54">
        <f t="shared" si="1"/>
        <v>1758320</v>
      </c>
      <c r="R26" s="5"/>
    </row>
    <row r="27" spans="1:18" ht="12.75" customHeight="1" x14ac:dyDescent="0.25">
      <c r="A27" s="25">
        <v>20</v>
      </c>
      <c r="B27" s="44">
        <v>43797</v>
      </c>
      <c r="C27" s="10" t="s">
        <v>1010</v>
      </c>
      <c r="D27" s="12" t="s">
        <v>1031</v>
      </c>
      <c r="E27" s="10" t="s">
        <v>1035</v>
      </c>
      <c r="F27" s="8"/>
      <c r="G27" s="12"/>
      <c r="H27" s="3"/>
      <c r="I27" s="12"/>
      <c r="J27" s="13">
        <v>1320000</v>
      </c>
      <c r="K27" s="18"/>
      <c r="L27" s="29"/>
      <c r="M27" s="13"/>
      <c r="N27" s="13"/>
      <c r="O27" s="53">
        <f t="shared" si="0"/>
        <v>1320000</v>
      </c>
      <c r="P27" s="13">
        <v>5600000</v>
      </c>
      <c r="Q27" s="54">
        <f t="shared" si="1"/>
        <v>4280000</v>
      </c>
      <c r="R27" s="5"/>
    </row>
    <row r="28" spans="1:18" ht="12.75" customHeight="1" x14ac:dyDescent="0.25">
      <c r="A28" s="25">
        <v>21</v>
      </c>
      <c r="B28" s="44">
        <v>43798</v>
      </c>
      <c r="C28" s="10" t="s">
        <v>295</v>
      </c>
      <c r="D28" s="12" t="s">
        <v>1032</v>
      </c>
      <c r="E28" s="10" t="s">
        <v>184</v>
      </c>
      <c r="F28" s="8"/>
      <c r="G28" s="12">
        <v>255</v>
      </c>
      <c r="H28" s="3">
        <f t="shared" si="3"/>
        <v>4069800</v>
      </c>
      <c r="I28" s="12"/>
      <c r="J28" s="13">
        <v>1050000</v>
      </c>
      <c r="K28" s="18"/>
      <c r="L28" s="29"/>
      <c r="M28" s="13"/>
      <c r="N28" s="13"/>
      <c r="O28" s="53">
        <f t="shared" si="0"/>
        <v>5119800</v>
      </c>
      <c r="P28" s="13">
        <v>5000000</v>
      </c>
      <c r="Q28" s="54">
        <f t="shared" si="1"/>
        <v>-119800</v>
      </c>
      <c r="R28" s="5"/>
    </row>
    <row r="29" spans="1:18" ht="12.75" customHeight="1" x14ac:dyDescent="0.25">
      <c r="A29" s="25">
        <v>22</v>
      </c>
      <c r="B29" s="44">
        <v>43799</v>
      </c>
      <c r="C29" s="10" t="s">
        <v>1011</v>
      </c>
      <c r="D29" s="12" t="s">
        <v>1033</v>
      </c>
      <c r="E29" s="10" t="s">
        <v>1043</v>
      </c>
      <c r="F29" s="8"/>
      <c r="G29" s="98">
        <v>200</v>
      </c>
      <c r="H29" s="57">
        <f t="shared" si="3"/>
        <v>3192000</v>
      </c>
      <c r="I29" s="12"/>
      <c r="J29" s="59">
        <v>810000</v>
      </c>
      <c r="K29" s="18"/>
      <c r="L29" s="29"/>
      <c r="M29" s="13"/>
      <c r="N29" s="13"/>
      <c r="O29" s="53">
        <f t="shared" si="0"/>
        <v>4002000</v>
      </c>
      <c r="P29" s="13">
        <v>5000000</v>
      </c>
      <c r="Q29" s="54">
        <f t="shared" si="1"/>
        <v>998000</v>
      </c>
      <c r="R29" s="5"/>
    </row>
    <row r="30" spans="1:18" ht="12.75" customHeight="1" x14ac:dyDescent="0.25">
      <c r="A30" s="25"/>
      <c r="B30" s="44"/>
      <c r="C30" s="10"/>
      <c r="D30" s="12"/>
      <c r="E30" s="10"/>
      <c r="F30" s="8"/>
      <c r="G30" s="12"/>
      <c r="H30" s="3"/>
      <c r="I30" s="12"/>
      <c r="J30" s="13"/>
      <c r="K30" s="18"/>
      <c r="L30" s="29"/>
      <c r="M30" s="13"/>
      <c r="N30" s="13"/>
      <c r="O30" s="53"/>
      <c r="P30" s="13"/>
      <c r="Q30" s="54"/>
      <c r="R30" s="5"/>
    </row>
    <row r="31" spans="1:18" ht="12.75" customHeight="1" x14ac:dyDescent="0.25">
      <c r="A31" s="25"/>
      <c r="B31" s="44"/>
      <c r="C31" s="10"/>
      <c r="D31" s="12"/>
      <c r="E31" s="10"/>
      <c r="F31" s="8"/>
      <c r="G31" s="12"/>
      <c r="H31" s="3"/>
      <c r="I31" s="12"/>
      <c r="J31" s="13"/>
      <c r="K31" s="18"/>
      <c r="L31" s="29"/>
      <c r="M31" s="13"/>
      <c r="N31" s="13"/>
      <c r="O31" s="53"/>
      <c r="P31" s="13"/>
      <c r="Q31" s="54"/>
      <c r="R31" s="5"/>
    </row>
    <row r="32" spans="1:18" ht="25.9" customHeight="1" x14ac:dyDescent="0.25">
      <c r="A32" s="25"/>
      <c r="B32" s="6"/>
      <c r="C32" s="196" t="s">
        <v>1044</v>
      </c>
      <c r="D32" s="197"/>
      <c r="E32" s="197"/>
      <c r="F32" s="198"/>
      <c r="G32" s="46"/>
      <c r="H32" s="18"/>
      <c r="I32" s="46"/>
      <c r="J32" s="18"/>
      <c r="K32" s="18"/>
      <c r="L32" s="28">
        <v>2200000</v>
      </c>
      <c r="M32" s="28"/>
      <c r="N32" s="28"/>
      <c r="O32" s="53">
        <f t="shared" si="0"/>
        <v>2200000</v>
      </c>
      <c r="P32" s="28"/>
      <c r="Q32" s="54">
        <f t="shared" si="1"/>
        <v>-2200000</v>
      </c>
      <c r="R32" s="5"/>
    </row>
    <row r="33" spans="1:18" ht="17.45" customHeight="1" x14ac:dyDescent="0.25">
      <c r="A33" s="25"/>
      <c r="B33" s="6"/>
      <c r="C33" s="182" t="s">
        <v>1045</v>
      </c>
      <c r="D33" s="183"/>
      <c r="E33" s="183"/>
      <c r="F33" s="184"/>
      <c r="G33" s="46"/>
      <c r="H33" s="18"/>
      <c r="I33" s="46"/>
      <c r="J33" s="18"/>
      <c r="K33" s="18"/>
      <c r="L33" s="28">
        <v>400000</v>
      </c>
      <c r="M33" s="18"/>
      <c r="N33" s="28"/>
      <c r="O33" s="53">
        <f t="shared" si="0"/>
        <v>400000</v>
      </c>
      <c r="P33" s="28"/>
      <c r="Q33" s="54">
        <f t="shared" si="1"/>
        <v>-400000</v>
      </c>
      <c r="R33" s="5"/>
    </row>
    <row r="34" spans="1:18" ht="25.9" customHeight="1" x14ac:dyDescent="0.25">
      <c r="A34" s="25"/>
      <c r="B34" s="6"/>
      <c r="C34" s="182" t="s">
        <v>1046</v>
      </c>
      <c r="D34" s="183"/>
      <c r="E34" s="183"/>
      <c r="F34" s="184"/>
      <c r="G34" s="46"/>
      <c r="H34" s="18"/>
      <c r="I34" s="46"/>
      <c r="J34" s="18"/>
      <c r="K34" s="18"/>
      <c r="L34" s="28">
        <v>200000</v>
      </c>
      <c r="M34" s="28"/>
      <c r="N34" s="28"/>
      <c r="O34" s="53">
        <f t="shared" si="0"/>
        <v>200000</v>
      </c>
      <c r="P34" s="28"/>
      <c r="Q34" s="54">
        <f t="shared" si="1"/>
        <v>-200000</v>
      </c>
      <c r="R34" s="5"/>
    </row>
    <row r="35" spans="1:18" ht="14.45" customHeight="1" x14ac:dyDescent="0.25">
      <c r="A35" s="8"/>
      <c r="B35" s="8"/>
      <c r="C35" s="182" t="s">
        <v>131</v>
      </c>
      <c r="D35" s="183"/>
      <c r="E35" s="183"/>
      <c r="F35" s="184"/>
      <c r="G35" s="30"/>
      <c r="H35" s="28"/>
      <c r="I35" s="30"/>
      <c r="J35" s="28"/>
      <c r="K35" s="28"/>
      <c r="L35" s="28">
        <f>1200000*1.1</f>
        <v>1320000</v>
      </c>
      <c r="M35" s="28"/>
      <c r="N35" s="28"/>
      <c r="O35" s="53">
        <f t="shared" si="0"/>
        <v>1320000</v>
      </c>
      <c r="P35" s="28"/>
      <c r="Q35" s="54">
        <f t="shared" si="1"/>
        <v>-1320000</v>
      </c>
    </row>
    <row r="36" spans="1:18" ht="14.45" customHeight="1" x14ac:dyDescent="0.25">
      <c r="A36" s="8"/>
      <c r="B36" s="8"/>
      <c r="C36" s="191" t="s">
        <v>132</v>
      </c>
      <c r="D36" s="192"/>
      <c r="E36" s="192"/>
      <c r="F36" s="195"/>
      <c r="G36" s="30"/>
      <c r="H36" s="28"/>
      <c r="I36" s="30"/>
      <c r="J36" s="28"/>
      <c r="K36" s="28">
        <v>9000000</v>
      </c>
      <c r="L36" s="28"/>
      <c r="M36" s="18"/>
      <c r="N36" s="28"/>
      <c r="O36" s="53">
        <f t="shared" si="0"/>
        <v>9000000</v>
      </c>
      <c r="P36" s="28"/>
      <c r="Q36" s="54">
        <f t="shared" si="1"/>
        <v>-9000000</v>
      </c>
    </row>
    <row r="37" spans="1:18" x14ac:dyDescent="0.25">
      <c r="A37" s="166" t="s">
        <v>19</v>
      </c>
      <c r="B37" s="167"/>
      <c r="C37" s="167"/>
      <c r="D37" s="167"/>
      <c r="E37" s="167"/>
      <c r="F37" s="168"/>
      <c r="G37" s="88">
        <f t="shared" ref="G37:O37" si="4">SUM(G7:G36)</f>
        <v>2619</v>
      </c>
      <c r="H37" s="4">
        <f>SUM(H7:H36)</f>
        <v>41893740</v>
      </c>
      <c r="I37" s="4">
        <f t="shared" si="4"/>
        <v>0</v>
      </c>
      <c r="J37" s="4">
        <f t="shared" si="4"/>
        <v>26910000</v>
      </c>
      <c r="K37" s="4">
        <f t="shared" si="4"/>
        <v>9000000</v>
      </c>
      <c r="L37" s="4">
        <f t="shared" si="4"/>
        <v>4120000</v>
      </c>
      <c r="M37" s="4">
        <f t="shared" si="4"/>
        <v>0</v>
      </c>
      <c r="N37" s="4">
        <f t="shared" si="4"/>
        <v>0</v>
      </c>
      <c r="O37" s="4">
        <f t="shared" si="4"/>
        <v>81923740</v>
      </c>
      <c r="P37" s="51">
        <f>SUM(P8:P36)</f>
        <v>122247273</v>
      </c>
      <c r="Q37" s="4">
        <f>SUM(Q7:Q36)</f>
        <v>40323533</v>
      </c>
    </row>
    <row r="38" spans="1:18" x14ac:dyDescent="0.25">
      <c r="O38" s="20"/>
      <c r="Q38" s="26"/>
    </row>
    <row r="39" spans="1:18" x14ac:dyDescent="0.25">
      <c r="P39" s="21" t="s">
        <v>20</v>
      </c>
      <c r="Q39" s="26">
        <f>'10.2019'!Q40+'11.2019'!Q37</f>
        <v>305747809.30769235</v>
      </c>
    </row>
    <row r="40" spans="1:18" x14ac:dyDescent="0.25">
      <c r="C40" s="6" t="s">
        <v>993</v>
      </c>
    </row>
    <row r="43" spans="1:18" x14ac:dyDescent="0.25">
      <c r="B43" s="6"/>
    </row>
    <row r="44" spans="1:18" x14ac:dyDescent="0.25">
      <c r="B44" s="6"/>
    </row>
    <row r="45" spans="1:18" x14ac:dyDescent="0.25">
      <c r="B45" s="6"/>
    </row>
    <row r="46" spans="1:18" x14ac:dyDescent="0.25">
      <c r="B46" s="6"/>
      <c r="H46" s="6"/>
      <c r="J46" s="6"/>
      <c r="K46" s="6"/>
      <c r="L46" s="6"/>
      <c r="M46" s="6"/>
      <c r="N46" s="6"/>
      <c r="O46" s="6"/>
      <c r="P46" s="6"/>
      <c r="Q46" s="6"/>
    </row>
  </sheetData>
  <mergeCells count="19">
    <mergeCell ref="C36:F36"/>
    <mergeCell ref="A37:F37"/>
    <mergeCell ref="O5:O6"/>
    <mergeCell ref="C32:F32"/>
    <mergeCell ref="C33:F33"/>
    <mergeCell ref="C34:F34"/>
    <mergeCell ref="C35:F35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P5:P6"/>
    <mergeCell ref="Q5:Q6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3"/>
  <sheetViews>
    <sheetView topLeftCell="B21" workbookViewId="0">
      <selection activeCell="K52" sqref="K52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1047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2.75" customHeight="1" x14ac:dyDescent="0.25">
      <c r="A8" s="25">
        <v>1</v>
      </c>
      <c r="B8" s="44">
        <v>43801</v>
      </c>
      <c r="C8" s="10" t="s">
        <v>1048</v>
      </c>
      <c r="D8" s="12" t="s">
        <v>1066</v>
      </c>
      <c r="E8" s="10" t="s">
        <v>1088</v>
      </c>
      <c r="F8" s="8"/>
      <c r="G8" s="12"/>
      <c r="H8" s="3"/>
      <c r="I8" s="12"/>
      <c r="J8" s="50">
        <v>1500000</v>
      </c>
      <c r="K8" s="18"/>
      <c r="L8" s="29"/>
      <c r="M8" s="13"/>
      <c r="N8" s="13"/>
      <c r="O8" s="53">
        <f>H8+J8+K8+L8+M8+N8</f>
        <v>1500000</v>
      </c>
      <c r="P8" s="13">
        <v>6800000</v>
      </c>
      <c r="Q8" s="54">
        <f>P8-O8</f>
        <v>5300000</v>
      </c>
      <c r="R8" s="5"/>
    </row>
    <row r="9" spans="1:18" ht="12.75" customHeight="1" x14ac:dyDescent="0.25">
      <c r="A9" s="25">
        <v>2</v>
      </c>
      <c r="B9" s="44">
        <v>43803</v>
      </c>
      <c r="C9" s="10" t="s">
        <v>338</v>
      </c>
      <c r="D9" s="8" t="s">
        <v>1067</v>
      </c>
      <c r="E9" s="10" t="s">
        <v>1089</v>
      </c>
      <c r="F9" s="8"/>
      <c r="G9" s="12">
        <v>240</v>
      </c>
      <c r="H9" s="3">
        <f>G9*15980</f>
        <v>3835200</v>
      </c>
      <c r="I9" s="12"/>
      <c r="J9" s="50">
        <v>1320000</v>
      </c>
      <c r="K9" s="18"/>
      <c r="L9" s="99"/>
      <c r="M9" s="3"/>
      <c r="N9" s="3"/>
      <c r="O9" s="53">
        <f t="shared" ref="O9:O43" si="0">H9+J9+K9+L9+M9+N9</f>
        <v>5155200</v>
      </c>
      <c r="P9" s="3">
        <v>5600000</v>
      </c>
      <c r="Q9" s="54">
        <f t="shared" ref="Q9:Q43" si="1">P9-O9</f>
        <v>444800</v>
      </c>
      <c r="R9" s="5"/>
    </row>
    <row r="10" spans="1:18" ht="12.75" customHeight="1" x14ac:dyDescent="0.25">
      <c r="A10" s="25">
        <v>3</v>
      </c>
      <c r="B10" s="44">
        <v>43804</v>
      </c>
      <c r="C10" s="10" t="s">
        <v>1049</v>
      </c>
      <c r="D10" s="12" t="s">
        <v>1068</v>
      </c>
      <c r="E10" s="10" t="s">
        <v>1090</v>
      </c>
      <c r="F10" s="8"/>
      <c r="G10" s="12"/>
      <c r="H10" s="3"/>
      <c r="I10" s="12"/>
      <c r="J10" s="50">
        <v>1750000</v>
      </c>
      <c r="K10" s="18"/>
      <c r="L10" s="99"/>
      <c r="M10" s="3"/>
      <c r="N10" s="3"/>
      <c r="O10" s="53">
        <f t="shared" si="0"/>
        <v>1750000</v>
      </c>
      <c r="P10" s="3">
        <v>8000000</v>
      </c>
      <c r="Q10" s="54">
        <f t="shared" si="1"/>
        <v>6250000</v>
      </c>
      <c r="R10" s="5"/>
    </row>
    <row r="11" spans="1:18" ht="12.75" customHeight="1" x14ac:dyDescent="0.25">
      <c r="A11" s="25">
        <v>4</v>
      </c>
      <c r="B11" s="44">
        <v>43805</v>
      </c>
      <c r="C11" s="10" t="s">
        <v>1050</v>
      </c>
      <c r="D11" s="12" t="s">
        <v>1069</v>
      </c>
      <c r="E11" s="10" t="s">
        <v>117</v>
      </c>
      <c r="F11" s="8"/>
      <c r="G11" s="12">
        <v>150</v>
      </c>
      <c r="H11" s="3">
        <f t="shared" ref="H11:H19" si="2">G11*15980</f>
        <v>2397000</v>
      </c>
      <c r="I11" s="12"/>
      <c r="J11" s="50">
        <v>1320000</v>
      </c>
      <c r="K11" s="18"/>
      <c r="L11" s="99"/>
      <c r="M11" s="3"/>
      <c r="N11" s="3"/>
      <c r="O11" s="53">
        <f t="shared" si="0"/>
        <v>3717000</v>
      </c>
      <c r="P11" s="3">
        <v>5500000</v>
      </c>
      <c r="Q11" s="54">
        <f t="shared" si="1"/>
        <v>1783000</v>
      </c>
      <c r="R11" s="5"/>
    </row>
    <row r="12" spans="1:18" ht="12.75" customHeight="1" x14ac:dyDescent="0.25">
      <c r="A12" s="25">
        <v>5</v>
      </c>
      <c r="B12" s="44">
        <v>43806</v>
      </c>
      <c r="C12" s="10" t="s">
        <v>1051</v>
      </c>
      <c r="D12" s="12" t="s">
        <v>1070</v>
      </c>
      <c r="E12" s="10" t="s">
        <v>1043</v>
      </c>
      <c r="F12" s="8"/>
      <c r="G12" s="12"/>
      <c r="H12" s="3"/>
      <c r="I12" s="12"/>
      <c r="J12" s="50">
        <v>810000</v>
      </c>
      <c r="K12" s="18"/>
      <c r="L12" s="99"/>
      <c r="M12" s="3"/>
      <c r="N12" s="3"/>
      <c r="O12" s="53">
        <f t="shared" si="0"/>
        <v>810000</v>
      </c>
      <c r="P12" s="3">
        <v>5363636</v>
      </c>
      <c r="Q12" s="54">
        <f t="shared" si="1"/>
        <v>4553636</v>
      </c>
      <c r="R12" s="5"/>
    </row>
    <row r="13" spans="1:18" ht="12.75" customHeight="1" x14ac:dyDescent="0.25">
      <c r="A13" s="25">
        <v>6</v>
      </c>
      <c r="B13" s="44">
        <v>43808</v>
      </c>
      <c r="C13" s="10" t="s">
        <v>1052</v>
      </c>
      <c r="D13" s="12" t="s">
        <v>1071</v>
      </c>
      <c r="E13" s="10" t="s">
        <v>184</v>
      </c>
      <c r="F13" s="8"/>
      <c r="G13" s="12">
        <v>233</v>
      </c>
      <c r="H13" s="3">
        <f t="shared" si="2"/>
        <v>3723340</v>
      </c>
      <c r="I13" s="12"/>
      <c r="J13" s="50">
        <v>1050000</v>
      </c>
      <c r="K13" s="18"/>
      <c r="L13" s="99"/>
      <c r="M13" s="3"/>
      <c r="N13" s="3"/>
      <c r="O13" s="53">
        <f t="shared" si="0"/>
        <v>4773340</v>
      </c>
      <c r="P13" s="3">
        <v>5000000</v>
      </c>
      <c r="Q13" s="54">
        <f t="shared" si="1"/>
        <v>226660</v>
      </c>
      <c r="R13" s="5"/>
    </row>
    <row r="14" spans="1:18" ht="12.75" customHeight="1" x14ac:dyDescent="0.25">
      <c r="A14" s="25">
        <v>7</v>
      </c>
      <c r="B14" s="44">
        <v>43809</v>
      </c>
      <c r="C14" s="10" t="s">
        <v>1053</v>
      </c>
      <c r="D14" s="12" t="s">
        <v>1072</v>
      </c>
      <c r="E14" s="10" t="s">
        <v>1091</v>
      </c>
      <c r="F14" s="8"/>
      <c r="G14" s="12"/>
      <c r="H14" s="3"/>
      <c r="I14" s="12"/>
      <c r="J14" s="57">
        <f>810000+120000</f>
        <v>930000</v>
      </c>
      <c r="K14" s="18"/>
      <c r="L14" s="99"/>
      <c r="M14" s="3"/>
      <c r="N14" s="3"/>
      <c r="O14" s="53">
        <f t="shared" si="0"/>
        <v>930000</v>
      </c>
      <c r="P14" s="3">
        <v>3500000</v>
      </c>
      <c r="Q14" s="54">
        <f t="shared" si="1"/>
        <v>2570000</v>
      </c>
      <c r="R14" s="5"/>
    </row>
    <row r="15" spans="1:18" ht="12.75" customHeight="1" x14ac:dyDescent="0.25">
      <c r="A15" s="25">
        <v>8</v>
      </c>
      <c r="B15" s="44">
        <v>43810</v>
      </c>
      <c r="C15" s="10" t="s">
        <v>1054</v>
      </c>
      <c r="D15" s="12" t="s">
        <v>1073</v>
      </c>
      <c r="E15" s="10" t="s">
        <v>1092</v>
      </c>
      <c r="F15" s="8"/>
      <c r="G15" s="12">
        <v>190</v>
      </c>
      <c r="H15" s="3">
        <f t="shared" si="2"/>
        <v>3036200</v>
      </c>
      <c r="I15" s="12"/>
      <c r="J15" s="50">
        <v>990000</v>
      </c>
      <c r="K15" s="18"/>
      <c r="L15" s="99"/>
      <c r="M15" s="3"/>
      <c r="N15" s="3"/>
      <c r="O15" s="53">
        <f t="shared" si="0"/>
        <v>4026200</v>
      </c>
      <c r="P15" s="3">
        <v>4900000</v>
      </c>
      <c r="Q15" s="54">
        <f t="shared" si="1"/>
        <v>873800</v>
      </c>
      <c r="R15" s="5"/>
    </row>
    <row r="16" spans="1:18" ht="12.75" customHeight="1" x14ac:dyDescent="0.25">
      <c r="A16" s="25">
        <v>9</v>
      </c>
      <c r="B16" s="44">
        <v>43811</v>
      </c>
      <c r="C16" s="10" t="s">
        <v>344</v>
      </c>
      <c r="D16" s="12" t="s">
        <v>1074</v>
      </c>
      <c r="E16" s="10" t="s">
        <v>1093</v>
      </c>
      <c r="F16" s="8"/>
      <c r="G16" s="12"/>
      <c r="H16" s="3"/>
      <c r="I16" s="12"/>
      <c r="J16" s="50">
        <v>1320000</v>
      </c>
      <c r="K16" s="18"/>
      <c r="L16" s="99"/>
      <c r="M16" s="3"/>
      <c r="N16" s="3"/>
      <c r="O16" s="53">
        <f t="shared" si="0"/>
        <v>1320000</v>
      </c>
      <c r="P16" s="3">
        <v>5500000</v>
      </c>
      <c r="Q16" s="54">
        <f t="shared" si="1"/>
        <v>4180000</v>
      </c>
      <c r="R16" s="5"/>
    </row>
    <row r="17" spans="1:18" ht="12.75" customHeight="1" x14ac:dyDescent="0.25">
      <c r="A17" s="25">
        <v>10</v>
      </c>
      <c r="B17" s="44">
        <v>43812</v>
      </c>
      <c r="C17" s="10" t="s">
        <v>345</v>
      </c>
      <c r="D17" s="12" t="s">
        <v>1075</v>
      </c>
      <c r="E17" s="10" t="s">
        <v>766</v>
      </c>
      <c r="F17" s="8"/>
      <c r="G17" s="12">
        <v>242</v>
      </c>
      <c r="H17" s="3">
        <f t="shared" si="2"/>
        <v>3867160</v>
      </c>
      <c r="I17" s="12"/>
      <c r="J17" s="50">
        <v>1050000</v>
      </c>
      <c r="K17" s="18"/>
      <c r="L17" s="99"/>
      <c r="M17" s="3"/>
      <c r="N17" s="3"/>
      <c r="O17" s="53">
        <f t="shared" si="0"/>
        <v>4917160</v>
      </c>
      <c r="P17" s="3">
        <v>5000000</v>
      </c>
      <c r="Q17" s="54">
        <f t="shared" si="1"/>
        <v>82840</v>
      </c>
      <c r="R17" s="5"/>
    </row>
    <row r="18" spans="1:18" ht="12.75" customHeight="1" x14ac:dyDescent="0.25">
      <c r="A18" s="25">
        <v>11</v>
      </c>
      <c r="B18" s="44">
        <v>43813</v>
      </c>
      <c r="C18" s="10" t="s">
        <v>346</v>
      </c>
      <c r="D18" s="12" t="s">
        <v>1076</v>
      </c>
      <c r="E18" s="10" t="s">
        <v>766</v>
      </c>
      <c r="F18" s="8"/>
      <c r="G18" s="12"/>
      <c r="H18" s="3"/>
      <c r="I18" s="12"/>
      <c r="J18" s="50">
        <v>1050000</v>
      </c>
      <c r="K18" s="18"/>
      <c r="L18" s="99"/>
      <c r="M18" s="3"/>
      <c r="N18" s="3"/>
      <c r="O18" s="53">
        <f t="shared" si="0"/>
        <v>1050000</v>
      </c>
      <c r="P18" s="3">
        <v>5000000</v>
      </c>
      <c r="Q18" s="54">
        <f t="shared" si="1"/>
        <v>3950000</v>
      </c>
      <c r="R18" s="5"/>
    </row>
    <row r="19" spans="1:18" ht="12.75" customHeight="1" x14ac:dyDescent="0.25">
      <c r="A19" s="25">
        <v>12</v>
      </c>
      <c r="B19" s="44">
        <v>43814</v>
      </c>
      <c r="C19" s="10" t="s">
        <v>1055</v>
      </c>
      <c r="D19" s="12" t="s">
        <v>1077</v>
      </c>
      <c r="E19" s="10" t="s">
        <v>1043</v>
      </c>
      <c r="F19" s="8"/>
      <c r="G19" s="12">
        <v>193</v>
      </c>
      <c r="H19" s="3">
        <f t="shared" si="2"/>
        <v>3084140</v>
      </c>
      <c r="I19" s="12"/>
      <c r="J19" s="50">
        <v>810000</v>
      </c>
      <c r="K19" s="18"/>
      <c r="L19" s="99"/>
      <c r="M19" s="3"/>
      <c r="N19" s="3"/>
      <c r="O19" s="53">
        <f t="shared" si="0"/>
        <v>3894140</v>
      </c>
      <c r="P19" s="3">
        <v>5363636</v>
      </c>
      <c r="Q19" s="54">
        <f t="shared" si="1"/>
        <v>1469496</v>
      </c>
      <c r="R19" s="5"/>
    </row>
    <row r="20" spans="1:18" ht="12.75" customHeight="1" x14ac:dyDescent="0.25">
      <c r="A20" s="25">
        <v>13</v>
      </c>
      <c r="B20" s="44">
        <v>43815</v>
      </c>
      <c r="C20" s="10" t="s">
        <v>1056</v>
      </c>
      <c r="D20" s="12" t="s">
        <v>1078</v>
      </c>
      <c r="E20" s="10" t="s">
        <v>977</v>
      </c>
      <c r="F20" s="8"/>
      <c r="G20" s="12"/>
      <c r="H20" s="3"/>
      <c r="I20" s="12"/>
      <c r="J20" s="50">
        <v>1290000</v>
      </c>
      <c r="K20" s="18"/>
      <c r="L20" s="99"/>
      <c r="M20" s="3"/>
      <c r="N20" s="3"/>
      <c r="O20" s="53">
        <f t="shared" si="0"/>
        <v>1290000</v>
      </c>
      <c r="P20" s="3">
        <v>0</v>
      </c>
      <c r="Q20" s="54">
        <f t="shared" si="1"/>
        <v>-1290000</v>
      </c>
      <c r="R20" s="5"/>
    </row>
    <row r="21" spans="1:18" ht="12.75" customHeight="1" x14ac:dyDescent="0.25">
      <c r="A21" s="25">
        <v>14</v>
      </c>
      <c r="B21" s="44">
        <v>43816</v>
      </c>
      <c r="C21" s="10" t="s">
        <v>1057</v>
      </c>
      <c r="D21" s="12" t="s">
        <v>1078</v>
      </c>
      <c r="E21" s="10" t="s">
        <v>1094</v>
      </c>
      <c r="F21" s="8"/>
      <c r="G21" s="12"/>
      <c r="H21" s="3"/>
      <c r="I21" s="12"/>
      <c r="J21" s="50">
        <v>0</v>
      </c>
      <c r="K21" s="18"/>
      <c r="L21" s="99"/>
      <c r="M21" s="3"/>
      <c r="N21" s="3"/>
      <c r="O21" s="53">
        <f t="shared" si="0"/>
        <v>0</v>
      </c>
      <c r="P21" s="3">
        <v>6818182</v>
      </c>
      <c r="Q21" s="54">
        <f t="shared" si="1"/>
        <v>6818182</v>
      </c>
      <c r="R21" s="5"/>
    </row>
    <row r="22" spans="1:18" ht="12.75" customHeight="1" x14ac:dyDescent="0.25">
      <c r="A22" s="25">
        <v>15</v>
      </c>
      <c r="B22" s="44">
        <v>43817</v>
      </c>
      <c r="C22" s="10" t="s">
        <v>1058</v>
      </c>
      <c r="D22" s="12" t="s">
        <v>1078</v>
      </c>
      <c r="E22" s="10" t="s">
        <v>1095</v>
      </c>
      <c r="F22" s="8"/>
      <c r="G22" s="12"/>
      <c r="H22" s="3"/>
      <c r="I22" s="12"/>
      <c r="J22" s="50">
        <v>950000</v>
      </c>
      <c r="K22" s="18"/>
      <c r="L22" s="99"/>
      <c r="M22" s="3"/>
      <c r="N22" s="3"/>
      <c r="O22" s="53">
        <f t="shared" si="0"/>
        <v>950000</v>
      </c>
      <c r="P22" s="3">
        <v>4300000</v>
      </c>
      <c r="Q22" s="54">
        <f t="shared" si="1"/>
        <v>3350000</v>
      </c>
      <c r="R22" s="5"/>
    </row>
    <row r="23" spans="1:18" ht="12.75" customHeight="1" x14ac:dyDescent="0.25">
      <c r="A23" s="25">
        <v>16</v>
      </c>
      <c r="B23" s="44">
        <v>43819</v>
      </c>
      <c r="C23" s="10" t="s">
        <v>350</v>
      </c>
      <c r="D23" s="12" t="s">
        <v>1079</v>
      </c>
      <c r="E23" s="10" t="s">
        <v>113</v>
      </c>
      <c r="F23" s="8"/>
      <c r="G23" s="12">
        <v>270</v>
      </c>
      <c r="H23" s="3">
        <f>G23*16060</f>
        <v>4336200</v>
      </c>
      <c r="I23" s="12"/>
      <c r="J23" s="50">
        <v>1580000</v>
      </c>
      <c r="K23" s="18"/>
      <c r="L23" s="99"/>
      <c r="M23" s="3"/>
      <c r="N23" s="3"/>
      <c r="O23" s="53">
        <f t="shared" si="0"/>
        <v>5916200</v>
      </c>
      <c r="P23" s="3">
        <v>6100000</v>
      </c>
      <c r="Q23" s="54">
        <f t="shared" si="1"/>
        <v>183800</v>
      </c>
      <c r="R23" s="5"/>
    </row>
    <row r="24" spans="1:18" ht="12.75" customHeight="1" x14ac:dyDescent="0.25">
      <c r="A24" s="25">
        <v>17</v>
      </c>
      <c r="B24" s="44">
        <v>43820</v>
      </c>
      <c r="C24" s="10" t="s">
        <v>351</v>
      </c>
      <c r="D24" s="12" t="s">
        <v>1080</v>
      </c>
      <c r="E24" s="10" t="s">
        <v>766</v>
      </c>
      <c r="F24" s="8"/>
      <c r="G24" s="12"/>
      <c r="H24" s="3"/>
      <c r="I24" s="12"/>
      <c r="J24" s="50">
        <v>1050000</v>
      </c>
      <c r="K24" s="18"/>
      <c r="L24" s="99"/>
      <c r="M24" s="3"/>
      <c r="N24" s="3"/>
      <c r="O24" s="53">
        <f t="shared" si="0"/>
        <v>1050000</v>
      </c>
      <c r="P24" s="3">
        <v>5000000</v>
      </c>
      <c r="Q24" s="54">
        <f t="shared" si="1"/>
        <v>3950000</v>
      </c>
      <c r="R24" s="5"/>
    </row>
    <row r="25" spans="1:18" ht="12.75" customHeight="1" x14ac:dyDescent="0.25">
      <c r="A25" s="25">
        <v>18</v>
      </c>
      <c r="B25" s="44">
        <v>43822</v>
      </c>
      <c r="C25" s="10" t="s">
        <v>1059</v>
      </c>
      <c r="D25" s="12" t="s">
        <v>1081</v>
      </c>
      <c r="E25" s="10" t="s">
        <v>1092</v>
      </c>
      <c r="F25" s="8"/>
      <c r="G25" s="12">
        <v>256</v>
      </c>
      <c r="H25" s="3">
        <f t="shared" ref="H25:H32" si="3">G25*16060</f>
        <v>4111360</v>
      </c>
      <c r="I25" s="12"/>
      <c r="J25" s="50">
        <v>990000</v>
      </c>
      <c r="K25" s="18"/>
      <c r="L25" s="99"/>
      <c r="M25" s="3"/>
      <c r="N25" s="3"/>
      <c r="O25" s="53">
        <f t="shared" si="0"/>
        <v>5101360</v>
      </c>
      <c r="P25" s="3">
        <v>4900000</v>
      </c>
      <c r="Q25" s="54">
        <f t="shared" si="1"/>
        <v>-201360</v>
      </c>
      <c r="R25" s="5"/>
    </row>
    <row r="26" spans="1:18" ht="12.75" customHeight="1" x14ac:dyDescent="0.25">
      <c r="A26" s="25">
        <v>19</v>
      </c>
      <c r="B26" s="44">
        <v>43823</v>
      </c>
      <c r="C26" s="10" t="s">
        <v>353</v>
      </c>
      <c r="D26" s="12" t="s">
        <v>1082</v>
      </c>
      <c r="E26" s="10" t="s">
        <v>1096</v>
      </c>
      <c r="F26" s="8"/>
      <c r="G26" s="12"/>
      <c r="H26" s="3"/>
      <c r="I26" s="12"/>
      <c r="J26" s="50">
        <v>1130000</v>
      </c>
      <c r="K26" s="18"/>
      <c r="L26" s="99"/>
      <c r="M26" s="3"/>
      <c r="N26" s="3"/>
      <c r="O26" s="53">
        <f t="shared" si="0"/>
        <v>1130000</v>
      </c>
      <c r="P26" s="3">
        <v>6600000</v>
      </c>
      <c r="Q26" s="54">
        <f t="shared" si="1"/>
        <v>5470000</v>
      </c>
      <c r="R26" s="5"/>
    </row>
    <row r="27" spans="1:18" ht="12.75" customHeight="1" x14ac:dyDescent="0.25">
      <c r="A27" s="25">
        <v>20</v>
      </c>
      <c r="B27" s="44">
        <v>43824</v>
      </c>
      <c r="C27" s="10" t="s">
        <v>1060</v>
      </c>
      <c r="D27" s="12" t="s">
        <v>1083</v>
      </c>
      <c r="E27" s="10" t="s">
        <v>122</v>
      </c>
      <c r="F27" s="8"/>
      <c r="G27" s="12">
        <v>265</v>
      </c>
      <c r="H27" s="3">
        <f t="shared" si="3"/>
        <v>4255900</v>
      </c>
      <c r="I27" s="12"/>
      <c r="J27" s="50">
        <v>1230000</v>
      </c>
      <c r="K27" s="18"/>
      <c r="L27" s="99"/>
      <c r="M27" s="3"/>
      <c r="N27" s="3"/>
      <c r="O27" s="53">
        <f t="shared" si="0"/>
        <v>5485900</v>
      </c>
      <c r="P27" s="3">
        <v>3500000</v>
      </c>
      <c r="Q27" s="54">
        <f t="shared" si="1"/>
        <v>-1985900</v>
      </c>
      <c r="R27" s="5"/>
    </row>
    <row r="28" spans="1:18" ht="12.75" customHeight="1" x14ac:dyDescent="0.25">
      <c r="A28" s="25">
        <v>21</v>
      </c>
      <c r="B28" s="44">
        <v>43825</v>
      </c>
      <c r="C28" s="10" t="s">
        <v>1061</v>
      </c>
      <c r="D28" s="12" t="s">
        <v>1083</v>
      </c>
      <c r="E28" s="10" t="s">
        <v>1097</v>
      </c>
      <c r="F28" s="8"/>
      <c r="G28" s="12"/>
      <c r="H28" s="3"/>
      <c r="I28" s="12"/>
      <c r="J28" s="50">
        <v>0</v>
      </c>
      <c r="K28" s="18"/>
      <c r="L28" s="99"/>
      <c r="M28" s="3"/>
      <c r="N28" s="3"/>
      <c r="O28" s="53">
        <f t="shared" si="0"/>
        <v>0</v>
      </c>
      <c r="P28" s="3">
        <v>2500000</v>
      </c>
      <c r="Q28" s="54">
        <f t="shared" si="1"/>
        <v>2500000</v>
      </c>
      <c r="R28" s="5"/>
    </row>
    <row r="29" spans="1:18" ht="12.75" customHeight="1" x14ac:dyDescent="0.25">
      <c r="A29" s="25">
        <v>22</v>
      </c>
      <c r="B29" s="44">
        <v>43825</v>
      </c>
      <c r="C29" s="10" t="s">
        <v>1062</v>
      </c>
      <c r="D29" s="12" t="s">
        <v>1084</v>
      </c>
      <c r="E29" s="10" t="s">
        <v>1043</v>
      </c>
      <c r="F29" s="8"/>
      <c r="G29" s="12"/>
      <c r="H29" s="3"/>
      <c r="I29" s="12"/>
      <c r="J29" s="50">
        <f>810000+120000+310000</f>
        <v>1240000</v>
      </c>
      <c r="K29" s="18"/>
      <c r="L29" s="99"/>
      <c r="M29" s="3"/>
      <c r="N29" s="3"/>
      <c r="O29" s="53">
        <f t="shared" si="0"/>
        <v>1240000</v>
      </c>
      <c r="P29" s="3">
        <v>5363636</v>
      </c>
      <c r="Q29" s="54">
        <f t="shared" si="1"/>
        <v>4123636</v>
      </c>
      <c r="R29" s="5"/>
    </row>
    <row r="30" spans="1:18" ht="12.75" customHeight="1" x14ac:dyDescent="0.25">
      <c r="A30" s="25"/>
      <c r="B30" s="44">
        <v>43826</v>
      </c>
      <c r="C30" s="10" t="s">
        <v>1063</v>
      </c>
      <c r="D30" s="12" t="s">
        <v>1085</v>
      </c>
      <c r="E30" s="10" t="s">
        <v>1043</v>
      </c>
      <c r="F30" s="8"/>
      <c r="G30" s="12">
        <v>190</v>
      </c>
      <c r="H30" s="3">
        <f t="shared" si="3"/>
        <v>3051400</v>
      </c>
      <c r="I30" s="12"/>
      <c r="J30" s="50">
        <v>810000</v>
      </c>
      <c r="K30" s="18"/>
      <c r="L30" s="99"/>
      <c r="M30" s="3"/>
      <c r="N30" s="3"/>
      <c r="O30" s="53">
        <f t="shared" si="0"/>
        <v>3861400</v>
      </c>
      <c r="P30" s="3">
        <v>5363636</v>
      </c>
      <c r="Q30" s="54">
        <f t="shared" si="1"/>
        <v>1502236</v>
      </c>
      <c r="R30" s="5"/>
    </row>
    <row r="31" spans="1:18" ht="12.75" customHeight="1" x14ac:dyDescent="0.25">
      <c r="A31" s="25"/>
      <c r="B31" s="44">
        <v>43827</v>
      </c>
      <c r="C31" s="10" t="s">
        <v>1064</v>
      </c>
      <c r="D31" s="12" t="s">
        <v>1086</v>
      </c>
      <c r="E31" s="10" t="s">
        <v>980</v>
      </c>
      <c r="F31" s="8"/>
      <c r="G31" s="12"/>
      <c r="H31" s="3"/>
      <c r="I31" s="12"/>
      <c r="J31" s="50">
        <f>810000+120000</f>
        <v>930000</v>
      </c>
      <c r="K31" s="18"/>
      <c r="L31" s="99"/>
      <c r="M31" s="3"/>
      <c r="N31" s="3"/>
      <c r="O31" s="53">
        <f t="shared" si="0"/>
        <v>930000</v>
      </c>
      <c r="P31" s="3">
        <v>4000000</v>
      </c>
      <c r="Q31" s="54">
        <f t="shared" si="1"/>
        <v>3070000</v>
      </c>
      <c r="R31" s="5"/>
    </row>
    <row r="32" spans="1:18" ht="12.75" customHeight="1" x14ac:dyDescent="0.25">
      <c r="A32" s="25"/>
      <c r="B32" s="44">
        <v>43830</v>
      </c>
      <c r="C32" s="10" t="s">
        <v>1065</v>
      </c>
      <c r="D32" s="12" t="s">
        <v>1087</v>
      </c>
      <c r="E32" s="10" t="s">
        <v>121</v>
      </c>
      <c r="F32" s="8"/>
      <c r="G32" s="12">
        <v>180</v>
      </c>
      <c r="H32" s="3">
        <f t="shared" si="3"/>
        <v>2890800</v>
      </c>
      <c r="I32" s="12"/>
      <c r="J32" s="50">
        <v>2470000</v>
      </c>
      <c r="K32" s="18"/>
      <c r="L32" s="99"/>
      <c r="M32" s="3"/>
      <c r="N32" s="3"/>
      <c r="O32" s="53">
        <f t="shared" si="0"/>
        <v>5360800</v>
      </c>
      <c r="P32" s="3">
        <v>13181818</v>
      </c>
      <c r="Q32" s="54">
        <f t="shared" si="1"/>
        <v>7821018</v>
      </c>
      <c r="R32" s="5"/>
    </row>
    <row r="33" spans="1:18" ht="12.75" customHeight="1" x14ac:dyDescent="0.25">
      <c r="A33" s="25"/>
      <c r="B33" s="44"/>
      <c r="C33" s="10"/>
      <c r="D33" s="12"/>
      <c r="E33" s="10"/>
      <c r="F33" s="8"/>
      <c r="G33" s="98">
        <v>200</v>
      </c>
      <c r="H33" s="57">
        <f>G33*16060</f>
        <v>3212000</v>
      </c>
      <c r="I33" s="12"/>
      <c r="J33" s="13"/>
      <c r="K33" s="18"/>
      <c r="L33" s="29"/>
      <c r="M33" s="13"/>
      <c r="N33" s="13"/>
      <c r="O33" s="53">
        <f t="shared" si="0"/>
        <v>3212000</v>
      </c>
      <c r="P33" s="13"/>
      <c r="Q33" s="54">
        <f t="shared" si="1"/>
        <v>-3212000</v>
      </c>
      <c r="R33" s="5"/>
    </row>
    <row r="34" spans="1:18" ht="25.9" customHeight="1" x14ac:dyDescent="0.25">
      <c r="A34" s="25"/>
      <c r="B34" s="6"/>
      <c r="C34" s="196" t="s">
        <v>1098</v>
      </c>
      <c r="D34" s="197"/>
      <c r="E34" s="197"/>
      <c r="F34" s="198"/>
      <c r="G34" s="46"/>
      <c r="H34" s="18"/>
      <c r="I34" s="46"/>
      <c r="J34" s="18"/>
      <c r="K34" s="18"/>
      <c r="L34" s="28"/>
      <c r="M34" s="90">
        <v>17400000</v>
      </c>
      <c r="N34" s="28"/>
      <c r="O34" s="53">
        <f t="shared" si="0"/>
        <v>17400000</v>
      </c>
      <c r="P34" s="28"/>
      <c r="Q34" s="54">
        <f t="shared" si="1"/>
        <v>-17400000</v>
      </c>
      <c r="R34" s="5"/>
    </row>
    <row r="35" spans="1:18" ht="22.5" customHeight="1" x14ac:dyDescent="0.25">
      <c r="A35" s="25"/>
      <c r="B35" s="6"/>
      <c r="C35" s="182" t="s">
        <v>1099</v>
      </c>
      <c r="D35" s="183"/>
      <c r="E35" s="183"/>
      <c r="F35" s="184"/>
      <c r="G35" s="46"/>
      <c r="H35" s="18"/>
      <c r="I35" s="46"/>
      <c r="J35" s="18"/>
      <c r="K35" s="18"/>
      <c r="L35" s="90">
        <v>900000</v>
      </c>
      <c r="M35" s="18"/>
      <c r="N35" s="28"/>
      <c r="O35" s="53">
        <f t="shared" si="0"/>
        <v>900000</v>
      </c>
      <c r="P35" s="28"/>
      <c r="Q35" s="54">
        <f t="shared" si="1"/>
        <v>-900000</v>
      </c>
      <c r="R35" s="5"/>
    </row>
    <row r="36" spans="1:18" ht="25.9" customHeight="1" x14ac:dyDescent="0.25">
      <c r="A36" s="25"/>
      <c r="B36" s="6"/>
      <c r="C36" s="182" t="s">
        <v>1100</v>
      </c>
      <c r="D36" s="183"/>
      <c r="E36" s="183"/>
      <c r="F36" s="184"/>
      <c r="G36" s="46"/>
      <c r="H36" s="18"/>
      <c r="I36" s="46"/>
      <c r="J36" s="18"/>
      <c r="K36" s="18"/>
      <c r="L36" s="90">
        <v>900000</v>
      </c>
      <c r="M36" s="28"/>
      <c r="N36" s="28"/>
      <c r="O36" s="53">
        <f t="shared" si="0"/>
        <v>900000</v>
      </c>
      <c r="P36" s="28"/>
      <c r="Q36" s="54">
        <f t="shared" si="1"/>
        <v>-900000</v>
      </c>
      <c r="R36" s="5"/>
    </row>
    <row r="37" spans="1:18" ht="16.149999999999999" customHeight="1" x14ac:dyDescent="0.25">
      <c r="A37" s="25"/>
      <c r="B37" s="6"/>
      <c r="C37" s="196" t="s">
        <v>1101</v>
      </c>
      <c r="D37" s="197"/>
      <c r="E37" s="197"/>
      <c r="F37" s="198"/>
      <c r="G37" s="46"/>
      <c r="H37" s="18"/>
      <c r="I37" s="46"/>
      <c r="J37" s="18"/>
      <c r="K37" s="18"/>
      <c r="L37" s="90">
        <v>2800000</v>
      </c>
      <c r="M37" s="28"/>
      <c r="N37" s="28"/>
      <c r="O37" s="53">
        <f t="shared" si="0"/>
        <v>2800000</v>
      </c>
      <c r="P37" s="28"/>
      <c r="Q37" s="54">
        <f t="shared" si="1"/>
        <v>-2800000</v>
      </c>
      <c r="R37" s="5"/>
    </row>
    <row r="38" spans="1:18" ht="16.149999999999999" customHeight="1" x14ac:dyDescent="0.25">
      <c r="A38" s="25"/>
      <c r="B38" s="6"/>
      <c r="C38" s="196" t="s">
        <v>1102</v>
      </c>
      <c r="D38" s="197"/>
      <c r="E38" s="197"/>
      <c r="F38" s="198"/>
      <c r="G38" s="46"/>
      <c r="H38" s="18"/>
      <c r="I38" s="46"/>
      <c r="J38" s="18"/>
      <c r="K38" s="18"/>
      <c r="L38" s="90">
        <v>300000</v>
      </c>
      <c r="M38" s="28"/>
      <c r="N38" s="28"/>
      <c r="O38" s="53">
        <f t="shared" si="0"/>
        <v>300000</v>
      </c>
      <c r="P38" s="28"/>
      <c r="Q38" s="54">
        <f t="shared" si="1"/>
        <v>-300000</v>
      </c>
      <c r="R38" s="5"/>
    </row>
    <row r="39" spans="1:18" ht="16.149999999999999" customHeight="1" x14ac:dyDescent="0.25">
      <c r="A39" s="25"/>
      <c r="B39" s="6"/>
      <c r="C39" s="199" t="s">
        <v>1105</v>
      </c>
      <c r="D39" s="200"/>
      <c r="E39" s="200"/>
      <c r="F39" s="201"/>
      <c r="G39" s="93"/>
      <c r="H39" s="48"/>
      <c r="I39" s="93"/>
      <c r="J39" s="48"/>
      <c r="K39" s="48"/>
      <c r="L39" s="48"/>
      <c r="M39" s="48"/>
      <c r="N39" s="48">
        <v>3100000</v>
      </c>
      <c r="O39" s="53">
        <f t="shared" si="0"/>
        <v>3100000</v>
      </c>
      <c r="P39" s="28"/>
      <c r="Q39" s="54">
        <f t="shared" si="1"/>
        <v>-3100000</v>
      </c>
      <c r="R39" s="5"/>
    </row>
    <row r="40" spans="1:18" ht="16.149999999999999" customHeight="1" x14ac:dyDescent="0.25">
      <c r="A40" s="25"/>
      <c r="B40" s="6"/>
      <c r="C40" s="196" t="s">
        <v>1103</v>
      </c>
      <c r="D40" s="197"/>
      <c r="E40" s="197"/>
      <c r="F40" s="198"/>
      <c r="G40" s="46"/>
      <c r="H40" s="18"/>
      <c r="I40" s="46"/>
      <c r="J40" s="18"/>
      <c r="K40" s="18"/>
      <c r="L40" s="90">
        <v>440000</v>
      </c>
      <c r="M40" s="28"/>
      <c r="N40" s="28"/>
      <c r="O40" s="53">
        <f t="shared" si="0"/>
        <v>440000</v>
      </c>
      <c r="P40" s="28"/>
      <c r="Q40" s="54">
        <f t="shared" si="1"/>
        <v>-440000</v>
      </c>
      <c r="R40" s="5"/>
    </row>
    <row r="41" spans="1:18" ht="16.149999999999999" customHeight="1" x14ac:dyDescent="0.25">
      <c r="A41" s="8"/>
      <c r="B41" s="8"/>
      <c r="C41" s="182" t="s">
        <v>131</v>
      </c>
      <c r="D41" s="183"/>
      <c r="E41" s="183"/>
      <c r="F41" s="184"/>
      <c r="G41" s="30"/>
      <c r="H41" s="28"/>
      <c r="I41" s="30"/>
      <c r="J41" s="28"/>
      <c r="K41" s="28"/>
      <c r="L41" s="90">
        <f>1200000*1.1</f>
        <v>1320000</v>
      </c>
      <c r="M41" s="28"/>
      <c r="N41" s="28"/>
      <c r="O41" s="53">
        <f t="shared" si="0"/>
        <v>1320000</v>
      </c>
      <c r="P41" s="28"/>
      <c r="Q41" s="54">
        <f t="shared" si="1"/>
        <v>-1320000</v>
      </c>
    </row>
    <row r="42" spans="1:18" ht="16.149999999999999" customHeight="1" x14ac:dyDescent="0.25">
      <c r="A42" s="8"/>
      <c r="B42" s="8"/>
      <c r="C42" s="100" t="s">
        <v>1104</v>
      </c>
      <c r="D42" s="101"/>
      <c r="E42" s="101"/>
      <c r="F42" s="102"/>
      <c r="G42" s="30"/>
      <c r="H42" s="28"/>
      <c r="I42" s="30"/>
      <c r="J42" s="28"/>
      <c r="K42" s="28">
        <v>6000000</v>
      </c>
      <c r="L42" s="28"/>
      <c r="M42" s="28"/>
      <c r="N42" s="28"/>
      <c r="O42" s="53">
        <f t="shared" si="0"/>
        <v>6000000</v>
      </c>
      <c r="P42" s="28"/>
      <c r="Q42" s="54">
        <f t="shared" si="1"/>
        <v>-6000000</v>
      </c>
    </row>
    <row r="43" spans="1:18" ht="16.149999999999999" customHeight="1" x14ac:dyDescent="0.25">
      <c r="A43" s="8"/>
      <c r="B43" s="8"/>
      <c r="C43" s="191" t="s">
        <v>132</v>
      </c>
      <c r="D43" s="192"/>
      <c r="E43" s="192"/>
      <c r="F43" s="195"/>
      <c r="G43" s="30"/>
      <c r="H43" s="28"/>
      <c r="I43" s="30"/>
      <c r="J43" s="28"/>
      <c r="K43" s="28">
        <v>9346154</v>
      </c>
      <c r="L43" s="28"/>
      <c r="M43" s="18"/>
      <c r="N43" s="28"/>
      <c r="O43" s="53">
        <f t="shared" si="0"/>
        <v>9346154</v>
      </c>
      <c r="P43" s="28"/>
      <c r="Q43" s="54">
        <f t="shared" si="1"/>
        <v>-9346154</v>
      </c>
    </row>
    <row r="44" spans="1:18" x14ac:dyDescent="0.25">
      <c r="A44" s="166" t="s">
        <v>19</v>
      </c>
      <c r="B44" s="167"/>
      <c r="C44" s="167"/>
      <c r="D44" s="167"/>
      <c r="E44" s="167"/>
      <c r="F44" s="168"/>
      <c r="G44" s="88">
        <f t="shared" ref="G44:O44" si="4">SUM(G7:G43)</f>
        <v>2609</v>
      </c>
      <c r="H44" s="4">
        <f>SUM(H7:H43)</f>
        <v>41800700</v>
      </c>
      <c r="I44" s="4">
        <f t="shared" si="4"/>
        <v>0</v>
      </c>
      <c r="J44" s="4">
        <f t="shared" si="4"/>
        <v>27570000</v>
      </c>
      <c r="K44" s="4">
        <f t="shared" si="4"/>
        <v>15346154</v>
      </c>
      <c r="L44" s="4">
        <f t="shared" si="4"/>
        <v>6660000</v>
      </c>
      <c r="M44" s="4">
        <f t="shared" si="4"/>
        <v>17400000</v>
      </c>
      <c r="N44" s="4">
        <f t="shared" si="4"/>
        <v>3100000</v>
      </c>
      <c r="O44" s="4">
        <f t="shared" si="4"/>
        <v>111876854</v>
      </c>
      <c r="P44" s="51">
        <f>SUM(P8:P43)</f>
        <v>133154544</v>
      </c>
      <c r="Q44" s="4">
        <f>SUM(Q7:Q43)</f>
        <v>21277690</v>
      </c>
    </row>
    <row r="45" spans="1:18" x14ac:dyDescent="0.25">
      <c r="O45" s="20"/>
      <c r="Q45" s="26"/>
    </row>
    <row r="46" spans="1:18" x14ac:dyDescent="0.25">
      <c r="P46" s="21" t="s">
        <v>20</v>
      </c>
      <c r="Q46" s="26">
        <f>'11.2019'!Q39+'12.2019'!Q44</f>
        <v>327025499.30769235</v>
      </c>
    </row>
    <row r="47" spans="1:18" x14ac:dyDescent="0.25">
      <c r="C47" s="6" t="s">
        <v>993</v>
      </c>
    </row>
    <row r="50" spans="2:17" x14ac:dyDescent="0.25">
      <c r="B50" s="6"/>
    </row>
    <row r="51" spans="2:17" x14ac:dyDescent="0.25">
      <c r="B51" s="6"/>
    </row>
    <row r="52" spans="2:17" x14ac:dyDescent="0.25">
      <c r="B52" s="6"/>
    </row>
    <row r="53" spans="2:17" x14ac:dyDescent="0.25">
      <c r="B53" s="6"/>
      <c r="H53" s="6"/>
      <c r="J53" s="6"/>
      <c r="K53" s="6"/>
      <c r="L53" s="6"/>
      <c r="M53" s="6"/>
      <c r="N53" s="6"/>
      <c r="O53" s="6"/>
      <c r="P53" s="6"/>
      <c r="Q53" s="6"/>
    </row>
  </sheetData>
  <mergeCells count="23">
    <mergeCell ref="C41:F41"/>
    <mergeCell ref="C43:F43"/>
    <mergeCell ref="A44:F44"/>
    <mergeCell ref="C37:F37"/>
    <mergeCell ref="C38:F38"/>
    <mergeCell ref="C40:F40"/>
    <mergeCell ref="C39:F39"/>
    <mergeCell ref="C36:F36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4:F34"/>
    <mergeCell ref="C35:F35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9"/>
  <sheetViews>
    <sheetView workbookViewId="0">
      <selection activeCell="Q30" sqref="Q3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7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7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7" ht="15.75" x14ac:dyDescent="0.25">
      <c r="A3" s="7"/>
      <c r="B3" s="170" t="s">
        <v>1106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4" spans="1:17" x14ac:dyDescent="0.25">
      <c r="A4" s="171" t="s">
        <v>1</v>
      </c>
      <c r="B4" s="173" t="s">
        <v>2</v>
      </c>
      <c r="C4" s="171" t="s">
        <v>3</v>
      </c>
      <c r="D4" s="171" t="s">
        <v>5</v>
      </c>
      <c r="E4" s="175" t="s">
        <v>4</v>
      </c>
      <c r="F4" s="175" t="s">
        <v>17</v>
      </c>
      <c r="G4" s="177" t="s">
        <v>6</v>
      </c>
      <c r="H4" s="177"/>
      <c r="I4" s="177"/>
      <c r="J4" s="177"/>
      <c r="K4" s="177"/>
      <c r="L4" s="177"/>
      <c r="M4" s="177"/>
      <c r="N4" s="177"/>
      <c r="O4" s="164" t="s">
        <v>18</v>
      </c>
      <c r="P4" s="164" t="s">
        <v>13</v>
      </c>
      <c r="Q4" s="164" t="s">
        <v>14</v>
      </c>
    </row>
    <row r="5" spans="1:17" x14ac:dyDescent="0.25">
      <c r="A5" s="172"/>
      <c r="B5" s="174"/>
      <c r="C5" s="172"/>
      <c r="D5" s="172"/>
      <c r="E5" s="176"/>
      <c r="F5" s="176"/>
      <c r="G5" s="31" t="s">
        <v>7</v>
      </c>
      <c r="H5" s="2" t="s">
        <v>15</v>
      </c>
      <c r="I5" s="31" t="s">
        <v>16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165"/>
      <c r="P5" s="165"/>
      <c r="Q5" s="165"/>
    </row>
    <row r="6" spans="1:17" x14ac:dyDescent="0.25">
      <c r="A6" s="8"/>
      <c r="B6" s="22"/>
      <c r="C6" s="9"/>
      <c r="D6" s="10"/>
      <c r="E6" s="11"/>
      <c r="F6" s="12"/>
      <c r="G6" s="13"/>
      <c r="H6" s="14"/>
      <c r="I6" s="14"/>
      <c r="J6" s="3"/>
      <c r="K6" s="3"/>
      <c r="L6" s="3"/>
      <c r="M6" s="3"/>
      <c r="N6" s="3"/>
      <c r="O6" s="15"/>
      <c r="P6" s="55"/>
      <c r="Q6" s="15"/>
    </row>
    <row r="7" spans="1:17" x14ac:dyDescent="0.25">
      <c r="A7" s="25">
        <v>1</v>
      </c>
      <c r="B7" s="44">
        <v>43833</v>
      </c>
      <c r="C7" s="10" t="s">
        <v>1107</v>
      </c>
      <c r="D7" s="12" t="s">
        <v>1119</v>
      </c>
      <c r="E7" s="10" t="s">
        <v>1133</v>
      </c>
      <c r="F7" s="8"/>
      <c r="G7" s="12"/>
      <c r="H7" s="3"/>
      <c r="I7" s="12"/>
      <c r="J7" s="13">
        <v>1130000</v>
      </c>
      <c r="K7" s="18"/>
      <c r="L7" s="29"/>
      <c r="M7" s="13"/>
      <c r="N7" s="13"/>
      <c r="O7" s="53">
        <f>H7+J7+K7+L7+M7+N7</f>
        <v>1130000</v>
      </c>
      <c r="P7" s="13">
        <v>6400000</v>
      </c>
      <c r="Q7" s="54">
        <f>P7-O7</f>
        <v>5270000</v>
      </c>
    </row>
    <row r="8" spans="1:17" x14ac:dyDescent="0.25">
      <c r="A8" s="25">
        <v>2</v>
      </c>
      <c r="B8" s="44">
        <v>43834</v>
      </c>
      <c r="C8" s="10" t="s">
        <v>404</v>
      </c>
      <c r="D8" s="8" t="s">
        <v>1120</v>
      </c>
      <c r="E8" s="10" t="s">
        <v>122</v>
      </c>
      <c r="F8" s="8"/>
      <c r="G8" s="12">
        <v>220</v>
      </c>
      <c r="H8" s="3">
        <f>G8*16590</f>
        <v>3649800</v>
      </c>
      <c r="I8" s="12"/>
      <c r="J8" s="13">
        <v>930000</v>
      </c>
      <c r="K8" s="18"/>
      <c r="L8" s="99"/>
      <c r="M8" s="3"/>
      <c r="N8" s="3"/>
      <c r="O8" s="53">
        <f t="shared" ref="O8:O26" si="0">H8+J8+K8+L8+M8+N8</f>
        <v>4579800</v>
      </c>
      <c r="P8" s="3">
        <v>3500000</v>
      </c>
      <c r="Q8" s="54">
        <f t="shared" ref="Q8:Q26" si="1">P8-O8</f>
        <v>-1079800</v>
      </c>
    </row>
    <row r="9" spans="1:17" x14ac:dyDescent="0.25">
      <c r="A9" s="25">
        <v>3</v>
      </c>
      <c r="B9" s="44">
        <v>43836</v>
      </c>
      <c r="C9" s="10" t="s">
        <v>1108</v>
      </c>
      <c r="D9" s="12" t="s">
        <v>1121</v>
      </c>
      <c r="E9" s="10" t="s">
        <v>1043</v>
      </c>
      <c r="F9" s="8"/>
      <c r="G9" s="12"/>
      <c r="H9" s="3"/>
      <c r="I9" s="12"/>
      <c r="J9" s="13">
        <v>810000</v>
      </c>
      <c r="K9" s="18"/>
      <c r="L9" s="99"/>
      <c r="M9" s="3"/>
      <c r="N9" s="3"/>
      <c r="O9" s="53">
        <f t="shared" si="0"/>
        <v>810000</v>
      </c>
      <c r="P9" s="3">
        <v>5363636</v>
      </c>
      <c r="Q9" s="54">
        <f t="shared" si="1"/>
        <v>4553636</v>
      </c>
    </row>
    <row r="10" spans="1:17" x14ac:dyDescent="0.25">
      <c r="A10" s="25">
        <v>4</v>
      </c>
      <c r="B10" s="44">
        <v>43837</v>
      </c>
      <c r="C10" s="10" t="s">
        <v>1109</v>
      </c>
      <c r="D10" s="12" t="s">
        <v>1122</v>
      </c>
      <c r="E10" s="10" t="s">
        <v>331</v>
      </c>
      <c r="F10" s="8"/>
      <c r="G10" s="12"/>
      <c r="H10" s="3"/>
      <c r="I10" s="12"/>
      <c r="J10" s="13">
        <f>930000+300000</f>
        <v>1230000</v>
      </c>
      <c r="K10" s="18"/>
      <c r="L10" s="99"/>
      <c r="M10" s="3"/>
      <c r="N10" s="3"/>
      <c r="O10" s="53">
        <f t="shared" si="0"/>
        <v>1230000</v>
      </c>
      <c r="P10" s="3">
        <v>3500000</v>
      </c>
      <c r="Q10" s="54">
        <f t="shared" si="1"/>
        <v>2270000</v>
      </c>
    </row>
    <row r="11" spans="1:17" x14ac:dyDescent="0.25">
      <c r="A11" s="25">
        <v>5</v>
      </c>
      <c r="B11" s="44">
        <v>43838</v>
      </c>
      <c r="C11" s="10" t="s">
        <v>1110</v>
      </c>
      <c r="D11" s="12" t="s">
        <v>1122</v>
      </c>
      <c r="E11" s="10" t="s">
        <v>1134</v>
      </c>
      <c r="F11" s="8"/>
      <c r="G11" s="12"/>
      <c r="H11" s="3"/>
      <c r="I11" s="12"/>
      <c r="J11" s="13">
        <v>0</v>
      </c>
      <c r="K11" s="18"/>
      <c r="L11" s="99"/>
      <c r="M11" s="3"/>
      <c r="N11" s="3"/>
      <c r="O11" s="53">
        <f t="shared" si="0"/>
        <v>0</v>
      </c>
      <c r="P11" s="3">
        <v>2500000</v>
      </c>
      <c r="Q11" s="54">
        <f t="shared" si="1"/>
        <v>2500000</v>
      </c>
    </row>
    <row r="12" spans="1:17" x14ac:dyDescent="0.25">
      <c r="A12" s="25">
        <v>6</v>
      </c>
      <c r="B12" s="44">
        <v>43839</v>
      </c>
      <c r="C12" s="10" t="s">
        <v>1111</v>
      </c>
      <c r="D12" s="12" t="s">
        <v>1123</v>
      </c>
      <c r="E12" s="10" t="s">
        <v>1043</v>
      </c>
      <c r="F12" s="8"/>
      <c r="G12" s="12">
        <v>202</v>
      </c>
      <c r="H12" s="3">
        <f t="shared" ref="H12:H17" si="2">G12*16590</f>
        <v>3351180</v>
      </c>
      <c r="I12" s="12"/>
      <c r="J12" s="13">
        <v>810000</v>
      </c>
      <c r="K12" s="18"/>
      <c r="L12" s="99"/>
      <c r="M12" s="3"/>
      <c r="N12" s="3"/>
      <c r="O12" s="53">
        <f t="shared" si="0"/>
        <v>4161180</v>
      </c>
      <c r="P12" s="3">
        <v>5000000</v>
      </c>
      <c r="Q12" s="54">
        <f t="shared" si="1"/>
        <v>838820</v>
      </c>
    </row>
    <row r="13" spans="1:17" x14ac:dyDescent="0.25">
      <c r="A13" s="25">
        <v>7</v>
      </c>
      <c r="B13" s="44">
        <v>43840</v>
      </c>
      <c r="C13" s="10" t="s">
        <v>409</v>
      </c>
      <c r="D13" s="12" t="s">
        <v>1124</v>
      </c>
      <c r="E13" s="10" t="s">
        <v>1038</v>
      </c>
      <c r="F13" s="8"/>
      <c r="G13" s="12"/>
      <c r="H13" s="3"/>
      <c r="I13" s="12"/>
      <c r="J13" s="13">
        <f>990000-300000</f>
        <v>690000</v>
      </c>
      <c r="K13" s="18"/>
      <c r="L13" s="99"/>
      <c r="M13" s="3"/>
      <c r="N13" s="3"/>
      <c r="O13" s="53">
        <f t="shared" si="0"/>
        <v>690000</v>
      </c>
      <c r="P13" s="3">
        <v>2900000</v>
      </c>
      <c r="Q13" s="54">
        <f t="shared" si="1"/>
        <v>2210000</v>
      </c>
    </row>
    <row r="14" spans="1:17" x14ac:dyDescent="0.25">
      <c r="A14" s="25">
        <v>8</v>
      </c>
      <c r="B14" s="44">
        <v>43842</v>
      </c>
      <c r="C14" s="10" t="s">
        <v>1112</v>
      </c>
      <c r="D14" s="12" t="s">
        <v>1125</v>
      </c>
      <c r="E14" s="10" t="s">
        <v>1043</v>
      </c>
      <c r="F14" s="8"/>
      <c r="G14" s="12"/>
      <c r="H14" s="3"/>
      <c r="I14" s="12"/>
      <c r="J14" s="13">
        <v>810000</v>
      </c>
      <c r="K14" s="18"/>
      <c r="L14" s="99"/>
      <c r="M14" s="3"/>
      <c r="N14" s="3"/>
      <c r="O14" s="53">
        <f t="shared" si="0"/>
        <v>810000</v>
      </c>
      <c r="P14" s="3">
        <v>5363636</v>
      </c>
      <c r="Q14" s="54">
        <f t="shared" si="1"/>
        <v>4553636</v>
      </c>
    </row>
    <row r="15" spans="1:17" x14ac:dyDescent="0.25">
      <c r="A15" s="25">
        <v>9</v>
      </c>
      <c r="B15" s="44">
        <v>43843</v>
      </c>
      <c r="C15" s="10" t="s">
        <v>1113</v>
      </c>
      <c r="D15" s="12" t="s">
        <v>1126</v>
      </c>
      <c r="E15" s="10" t="s">
        <v>108</v>
      </c>
      <c r="F15" s="8"/>
      <c r="G15" s="12">
        <v>268</v>
      </c>
      <c r="H15" s="3">
        <f t="shared" si="2"/>
        <v>4446120</v>
      </c>
      <c r="I15" s="12"/>
      <c r="J15" s="13">
        <v>680000</v>
      </c>
      <c r="K15" s="18"/>
      <c r="L15" s="99"/>
      <c r="M15" s="3"/>
      <c r="N15" s="3"/>
      <c r="O15" s="53">
        <f t="shared" si="0"/>
        <v>5126120</v>
      </c>
      <c r="P15" s="3">
        <v>3800000</v>
      </c>
      <c r="Q15" s="54">
        <f t="shared" si="1"/>
        <v>-1326120</v>
      </c>
    </row>
    <row r="16" spans="1:17" x14ac:dyDescent="0.25">
      <c r="A16" s="25">
        <v>10</v>
      </c>
      <c r="B16" s="44">
        <v>43844</v>
      </c>
      <c r="C16" s="10" t="s">
        <v>1114</v>
      </c>
      <c r="D16" s="12" t="s">
        <v>1127</v>
      </c>
      <c r="E16" s="10" t="s">
        <v>1043</v>
      </c>
      <c r="F16" s="8"/>
      <c r="G16" s="12"/>
      <c r="H16" s="3"/>
      <c r="I16" s="12"/>
      <c r="J16" s="13">
        <v>810000</v>
      </c>
      <c r="K16" s="18"/>
      <c r="L16" s="99"/>
      <c r="M16" s="3"/>
      <c r="N16" s="3"/>
      <c r="O16" s="53">
        <f t="shared" si="0"/>
        <v>810000</v>
      </c>
      <c r="P16" s="3">
        <v>5363636</v>
      </c>
      <c r="Q16" s="54">
        <f t="shared" si="1"/>
        <v>4553636</v>
      </c>
    </row>
    <row r="17" spans="1:17" x14ac:dyDescent="0.25">
      <c r="A17" s="25">
        <v>11</v>
      </c>
      <c r="B17" s="44">
        <v>43845</v>
      </c>
      <c r="C17" s="10" t="s">
        <v>413</v>
      </c>
      <c r="D17" s="12" t="s">
        <v>1128</v>
      </c>
      <c r="E17" s="10" t="s">
        <v>1135</v>
      </c>
      <c r="F17" s="8"/>
      <c r="G17" s="12">
        <v>200</v>
      </c>
      <c r="H17" s="3">
        <f t="shared" si="2"/>
        <v>3318000</v>
      </c>
      <c r="I17" s="12"/>
      <c r="J17" s="13">
        <f>810000+60000</f>
        <v>870000</v>
      </c>
      <c r="K17" s="18"/>
      <c r="L17" s="99"/>
      <c r="M17" s="3"/>
      <c r="N17" s="3"/>
      <c r="O17" s="53">
        <f t="shared" si="0"/>
        <v>4188000</v>
      </c>
      <c r="P17" s="3">
        <v>3500000</v>
      </c>
      <c r="Q17" s="54">
        <f t="shared" si="1"/>
        <v>-688000</v>
      </c>
    </row>
    <row r="18" spans="1:17" x14ac:dyDescent="0.25">
      <c r="A18" s="25">
        <v>12</v>
      </c>
      <c r="B18" s="44">
        <v>43846</v>
      </c>
      <c r="C18" s="10" t="s">
        <v>1115</v>
      </c>
      <c r="D18" s="12" t="s">
        <v>1129</v>
      </c>
      <c r="E18" s="10" t="s">
        <v>122</v>
      </c>
      <c r="F18" s="8"/>
      <c r="G18" s="12"/>
      <c r="H18" s="3"/>
      <c r="I18" s="12"/>
      <c r="J18" s="13">
        <v>1230000</v>
      </c>
      <c r="K18" s="18"/>
      <c r="L18" s="99"/>
      <c r="M18" s="3"/>
      <c r="N18" s="3"/>
      <c r="O18" s="53">
        <f t="shared" si="0"/>
        <v>1230000</v>
      </c>
      <c r="P18" s="3">
        <v>3500000</v>
      </c>
      <c r="Q18" s="54">
        <f t="shared" si="1"/>
        <v>2270000</v>
      </c>
    </row>
    <row r="19" spans="1:17" x14ac:dyDescent="0.25">
      <c r="A19" s="25">
        <v>13</v>
      </c>
      <c r="B19" s="44">
        <v>43847</v>
      </c>
      <c r="C19" s="10" t="s">
        <v>1116</v>
      </c>
      <c r="D19" s="12" t="s">
        <v>1129</v>
      </c>
      <c r="E19" s="10" t="s">
        <v>1134</v>
      </c>
      <c r="F19" s="8"/>
      <c r="G19" s="12"/>
      <c r="H19" s="3"/>
      <c r="I19" s="12"/>
      <c r="J19" s="13">
        <v>0</v>
      </c>
      <c r="K19" s="18"/>
      <c r="L19" s="99"/>
      <c r="M19" s="3"/>
      <c r="N19" s="3"/>
      <c r="O19" s="53">
        <f t="shared" si="0"/>
        <v>0</v>
      </c>
      <c r="P19" s="3">
        <v>2500000</v>
      </c>
      <c r="Q19" s="54">
        <f t="shared" si="1"/>
        <v>2500000</v>
      </c>
    </row>
    <row r="20" spans="1:17" x14ac:dyDescent="0.25">
      <c r="A20" s="25">
        <v>14</v>
      </c>
      <c r="B20" s="44">
        <v>43848</v>
      </c>
      <c r="C20" s="10" t="s">
        <v>1117</v>
      </c>
      <c r="D20" s="12" t="s">
        <v>1130</v>
      </c>
      <c r="E20" s="10" t="s">
        <v>108</v>
      </c>
      <c r="F20" s="8"/>
      <c r="G20" s="12"/>
      <c r="H20" s="3"/>
      <c r="I20" s="12"/>
      <c r="J20" s="13">
        <v>680000</v>
      </c>
      <c r="K20" s="18"/>
      <c r="L20" s="99"/>
      <c r="M20" s="3"/>
      <c r="N20" s="3"/>
      <c r="O20" s="53">
        <f t="shared" si="0"/>
        <v>680000</v>
      </c>
      <c r="P20" s="3">
        <v>3800000</v>
      </c>
      <c r="Q20" s="54">
        <f t="shared" si="1"/>
        <v>3120000</v>
      </c>
    </row>
    <row r="21" spans="1:17" x14ac:dyDescent="0.25">
      <c r="A21" s="25">
        <v>15</v>
      </c>
      <c r="B21" s="44">
        <v>43849</v>
      </c>
      <c r="C21" s="10" t="s">
        <v>1118</v>
      </c>
      <c r="D21" s="12" t="s">
        <v>1131</v>
      </c>
      <c r="E21" s="10" t="s">
        <v>1043</v>
      </c>
      <c r="F21" s="8"/>
      <c r="G21" s="12">
        <v>276</v>
      </c>
      <c r="H21" s="3">
        <f>G21*16540</f>
        <v>4565040</v>
      </c>
      <c r="I21" s="12"/>
      <c r="J21" s="13">
        <v>810000</v>
      </c>
      <c r="K21" s="18"/>
      <c r="L21" s="99"/>
      <c r="M21" s="3"/>
      <c r="N21" s="3"/>
      <c r="O21" s="53">
        <f t="shared" si="0"/>
        <v>5375040</v>
      </c>
      <c r="P21" s="3">
        <v>5363636</v>
      </c>
      <c r="Q21" s="54">
        <f t="shared" si="1"/>
        <v>-11404</v>
      </c>
    </row>
    <row r="22" spans="1:17" x14ac:dyDescent="0.25">
      <c r="A22" s="25">
        <v>16</v>
      </c>
      <c r="B22" s="44">
        <v>43861</v>
      </c>
      <c r="C22" s="10" t="s">
        <v>426</v>
      </c>
      <c r="D22" s="12" t="s">
        <v>1132</v>
      </c>
      <c r="E22" s="10" t="s">
        <v>1136</v>
      </c>
      <c r="F22" s="8"/>
      <c r="G22" s="98">
        <v>268</v>
      </c>
      <c r="H22" s="57">
        <f>G22*16540</f>
        <v>4432720</v>
      </c>
      <c r="I22" s="98"/>
      <c r="J22" s="57">
        <v>1190000</v>
      </c>
      <c r="K22" s="48"/>
      <c r="L22" s="60"/>
      <c r="M22" s="57"/>
      <c r="N22" s="57"/>
      <c r="O22" s="103">
        <f t="shared" si="0"/>
        <v>5622720</v>
      </c>
      <c r="P22" s="57">
        <v>7500000</v>
      </c>
      <c r="Q22" s="104">
        <f t="shared" si="1"/>
        <v>1877280</v>
      </c>
    </row>
    <row r="23" spans="1:17" x14ac:dyDescent="0.25">
      <c r="A23" s="25"/>
      <c r="B23" s="44"/>
      <c r="C23" s="10"/>
      <c r="D23" s="12"/>
      <c r="E23" s="10"/>
      <c r="F23" s="8"/>
      <c r="G23" s="12"/>
      <c r="H23" s="3"/>
      <c r="I23" s="12"/>
      <c r="J23" s="13"/>
      <c r="K23" s="18"/>
      <c r="L23" s="29"/>
      <c r="M23" s="13"/>
      <c r="N23" s="13"/>
      <c r="O23" s="53">
        <f t="shared" si="0"/>
        <v>0</v>
      </c>
      <c r="P23" s="13"/>
      <c r="Q23" s="54">
        <f t="shared" si="1"/>
        <v>0</v>
      </c>
    </row>
    <row r="24" spans="1:17" x14ac:dyDescent="0.25">
      <c r="A24" s="8"/>
      <c r="B24" s="8"/>
      <c r="C24" s="182" t="s">
        <v>131</v>
      </c>
      <c r="D24" s="183"/>
      <c r="E24" s="183"/>
      <c r="F24" s="184"/>
      <c r="G24" s="30"/>
      <c r="H24" s="28"/>
      <c r="I24" s="30"/>
      <c r="J24" s="28"/>
      <c r="K24" s="28"/>
      <c r="L24" s="90">
        <f>1200000*1.1</f>
        <v>1320000</v>
      </c>
      <c r="M24" s="28"/>
      <c r="N24" s="28"/>
      <c r="O24" s="53">
        <f t="shared" si="0"/>
        <v>1320000</v>
      </c>
      <c r="P24" s="28"/>
      <c r="Q24" s="54">
        <f t="shared" si="1"/>
        <v>-1320000</v>
      </c>
    </row>
    <row r="25" spans="1:17" x14ac:dyDescent="0.25">
      <c r="A25" s="8"/>
      <c r="B25" s="8"/>
      <c r="C25" s="100" t="s">
        <v>1137</v>
      </c>
      <c r="D25" s="101"/>
      <c r="E25" s="101"/>
      <c r="F25" s="102"/>
      <c r="G25" s="30"/>
      <c r="H25" s="28"/>
      <c r="I25" s="30"/>
      <c r="J25" s="28"/>
      <c r="K25" s="28">
        <v>300000</v>
      </c>
      <c r="L25" s="28"/>
      <c r="M25" s="28"/>
      <c r="N25" s="28"/>
      <c r="O25" s="53">
        <f t="shared" si="0"/>
        <v>300000</v>
      </c>
      <c r="P25" s="28"/>
      <c r="Q25" s="54">
        <f t="shared" si="1"/>
        <v>-300000</v>
      </c>
    </row>
    <row r="26" spans="1:17" x14ac:dyDescent="0.25">
      <c r="A26" s="8"/>
      <c r="B26" s="8"/>
      <c r="C26" s="191" t="s">
        <v>132</v>
      </c>
      <c r="D26" s="192"/>
      <c r="E26" s="192"/>
      <c r="F26" s="195"/>
      <c r="G26" s="30"/>
      <c r="H26" s="28"/>
      <c r="I26" s="30"/>
      <c r="J26" s="28"/>
      <c r="K26" s="28">
        <v>5192308</v>
      </c>
      <c r="L26" s="28"/>
      <c r="M26" s="18"/>
      <c r="N26" s="28"/>
      <c r="O26" s="53">
        <f t="shared" si="0"/>
        <v>5192308</v>
      </c>
      <c r="P26" s="28"/>
      <c r="Q26" s="54">
        <f t="shared" si="1"/>
        <v>-5192308</v>
      </c>
    </row>
    <row r="27" spans="1:17" x14ac:dyDescent="0.25">
      <c r="A27" s="166" t="s">
        <v>19</v>
      </c>
      <c r="B27" s="167"/>
      <c r="C27" s="167"/>
      <c r="D27" s="167"/>
      <c r="E27" s="167"/>
      <c r="F27" s="168"/>
      <c r="G27" s="88">
        <f t="shared" ref="G27:O27" si="3">SUM(G6:G26)</f>
        <v>1434</v>
      </c>
      <c r="H27" s="4">
        <f>SUM(H6:H26)</f>
        <v>23762860</v>
      </c>
      <c r="I27" s="4">
        <f t="shared" si="3"/>
        <v>0</v>
      </c>
      <c r="J27" s="4">
        <f t="shared" si="3"/>
        <v>12680000</v>
      </c>
      <c r="K27" s="4">
        <f t="shared" si="3"/>
        <v>5492308</v>
      </c>
      <c r="L27" s="4">
        <f t="shared" si="3"/>
        <v>1320000</v>
      </c>
      <c r="M27" s="4">
        <f t="shared" si="3"/>
        <v>0</v>
      </c>
      <c r="N27" s="4">
        <f t="shared" si="3"/>
        <v>0</v>
      </c>
      <c r="O27" s="4">
        <f t="shared" si="3"/>
        <v>43255168</v>
      </c>
      <c r="P27" s="51">
        <f>SUM(P7:P26)</f>
        <v>69854544</v>
      </c>
      <c r="Q27" s="4">
        <f>SUM(Q6:Q26)</f>
        <v>26599376</v>
      </c>
    </row>
    <row r="28" spans="1:17" x14ac:dyDescent="0.25">
      <c r="O28" s="20"/>
      <c r="Q28" s="26"/>
    </row>
    <row r="29" spans="1:17" x14ac:dyDescent="0.25">
      <c r="P29" s="21" t="s">
        <v>20</v>
      </c>
      <c r="Q29" s="26">
        <f>Q27</f>
        <v>26599376</v>
      </c>
    </row>
  </sheetData>
  <mergeCells count="16">
    <mergeCell ref="Q4:Q5"/>
    <mergeCell ref="C24:F24"/>
    <mergeCell ref="C26:F26"/>
    <mergeCell ref="A27:F27"/>
    <mergeCell ref="A1:Q1"/>
    <mergeCell ref="A2:Q2"/>
    <mergeCell ref="B3:Q3"/>
    <mergeCell ref="A4:A5"/>
    <mergeCell ref="B4:B5"/>
    <mergeCell ref="C4:C5"/>
    <mergeCell ref="D4:D5"/>
    <mergeCell ref="E4:E5"/>
    <mergeCell ref="F4:F5"/>
    <mergeCell ref="G4:N4"/>
    <mergeCell ref="O4:O5"/>
    <mergeCell ref="P4:P5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41"/>
  <sheetViews>
    <sheetView workbookViewId="0">
      <selection activeCell="K37" sqref="K3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1138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2.75" customHeight="1" x14ac:dyDescent="0.25">
      <c r="A8" s="25">
        <v>1</v>
      </c>
      <c r="B8" s="44">
        <v>43864</v>
      </c>
      <c r="C8" s="10" t="s">
        <v>1139</v>
      </c>
      <c r="D8" s="12" t="s">
        <v>1157</v>
      </c>
      <c r="E8" s="10" t="s">
        <v>1043</v>
      </c>
      <c r="F8" s="8"/>
      <c r="G8" s="12"/>
      <c r="H8" s="3"/>
      <c r="I8" s="12"/>
      <c r="J8" s="13">
        <f>810000+120000</f>
        <v>930000</v>
      </c>
      <c r="K8" s="18"/>
      <c r="L8" s="29"/>
      <c r="M8" s="13"/>
      <c r="N8" s="13"/>
      <c r="O8" s="53">
        <f>H8+J8+K8+L8+M8+N8</f>
        <v>930000</v>
      </c>
      <c r="P8" s="13">
        <v>5000000</v>
      </c>
      <c r="Q8" s="54">
        <f>P8-O8</f>
        <v>4070000</v>
      </c>
      <c r="R8" s="5"/>
    </row>
    <row r="9" spans="1:18" ht="12.75" customHeight="1" x14ac:dyDescent="0.25">
      <c r="A9" s="25">
        <v>2</v>
      </c>
      <c r="B9" s="44">
        <v>43865</v>
      </c>
      <c r="C9" s="10" t="s">
        <v>1140</v>
      </c>
      <c r="D9" s="8" t="s">
        <v>1158</v>
      </c>
      <c r="E9" s="10" t="s">
        <v>1176</v>
      </c>
      <c r="F9" s="8"/>
      <c r="G9" s="12"/>
      <c r="H9" s="3">
        <f t="shared" ref="H9:H16" si="0">G9*16130</f>
        <v>0</v>
      </c>
      <c r="I9" s="12"/>
      <c r="J9" s="13">
        <v>690000</v>
      </c>
      <c r="K9" s="18"/>
      <c r="L9" s="99"/>
      <c r="M9" s="3"/>
      <c r="N9" s="3"/>
      <c r="O9" s="53">
        <f t="shared" ref="O9:O31" si="1">H9+J9+K9+L9+M9+N9</f>
        <v>690000</v>
      </c>
      <c r="P9" s="3">
        <v>3000000</v>
      </c>
      <c r="Q9" s="54">
        <f t="shared" ref="Q9:Q31" si="2">P9-O9</f>
        <v>2310000</v>
      </c>
      <c r="R9" s="5"/>
    </row>
    <row r="10" spans="1:18" ht="12.75" customHeight="1" x14ac:dyDescent="0.25">
      <c r="A10" s="25"/>
      <c r="B10" s="44">
        <v>43866</v>
      </c>
      <c r="C10" s="10" t="s">
        <v>1141</v>
      </c>
      <c r="D10" s="8" t="s">
        <v>1159</v>
      </c>
      <c r="E10" s="10" t="s">
        <v>1177</v>
      </c>
      <c r="F10" s="8"/>
      <c r="G10" s="12"/>
      <c r="H10" s="3">
        <f t="shared" si="0"/>
        <v>0</v>
      </c>
      <c r="I10" s="12"/>
      <c r="J10" s="13">
        <v>1230000</v>
      </c>
      <c r="K10" s="18"/>
      <c r="L10" s="99"/>
      <c r="M10" s="3"/>
      <c r="N10" s="3"/>
      <c r="O10" s="53">
        <f t="shared" si="1"/>
        <v>1230000</v>
      </c>
      <c r="P10" s="3">
        <v>3500000</v>
      </c>
      <c r="Q10" s="54">
        <f t="shared" si="2"/>
        <v>2270000</v>
      </c>
      <c r="R10" s="5"/>
    </row>
    <row r="11" spans="1:18" ht="12.75" customHeight="1" x14ac:dyDescent="0.25">
      <c r="A11" s="25"/>
      <c r="B11" s="44">
        <v>43867</v>
      </c>
      <c r="C11" s="10" t="s">
        <v>1142</v>
      </c>
      <c r="D11" s="8" t="s">
        <v>1159</v>
      </c>
      <c r="E11" s="10" t="s">
        <v>1134</v>
      </c>
      <c r="F11" s="8"/>
      <c r="G11" s="12"/>
      <c r="H11" s="3">
        <f t="shared" si="0"/>
        <v>0</v>
      </c>
      <c r="I11" s="12"/>
      <c r="J11" s="13">
        <v>0</v>
      </c>
      <c r="K11" s="18"/>
      <c r="L11" s="99"/>
      <c r="M11" s="3"/>
      <c r="N11" s="3"/>
      <c r="O11" s="53">
        <f t="shared" si="1"/>
        <v>0</v>
      </c>
      <c r="P11" s="3">
        <v>2400000</v>
      </c>
      <c r="Q11" s="54">
        <f t="shared" si="2"/>
        <v>2400000</v>
      </c>
      <c r="R11" s="5"/>
    </row>
    <row r="12" spans="1:18" ht="12.75" customHeight="1" x14ac:dyDescent="0.25">
      <c r="A12" s="25"/>
      <c r="B12" s="44">
        <v>43871</v>
      </c>
      <c r="C12" s="10" t="s">
        <v>1143</v>
      </c>
      <c r="D12" s="8" t="s">
        <v>1160</v>
      </c>
      <c r="E12" s="10" t="s">
        <v>1178</v>
      </c>
      <c r="F12" s="8"/>
      <c r="G12" s="12">
        <v>260</v>
      </c>
      <c r="H12" s="3">
        <f t="shared" si="0"/>
        <v>4193800</v>
      </c>
      <c r="I12" s="12"/>
      <c r="J12" s="57">
        <f>1090000+140000</f>
        <v>1230000</v>
      </c>
      <c r="K12" s="18"/>
      <c r="L12" s="99"/>
      <c r="M12" s="3"/>
      <c r="N12" s="3"/>
      <c r="O12" s="53">
        <f t="shared" si="1"/>
        <v>5423800</v>
      </c>
      <c r="P12" s="3">
        <v>2700000</v>
      </c>
      <c r="Q12" s="54">
        <f t="shared" si="2"/>
        <v>-2723800</v>
      </c>
      <c r="R12" s="5"/>
    </row>
    <row r="13" spans="1:18" ht="12.75" customHeight="1" x14ac:dyDescent="0.25">
      <c r="A13" s="25"/>
      <c r="B13" s="44">
        <v>43872</v>
      </c>
      <c r="C13" s="10" t="s">
        <v>1144</v>
      </c>
      <c r="D13" s="8" t="s">
        <v>1160</v>
      </c>
      <c r="E13" s="10" t="s">
        <v>1038</v>
      </c>
      <c r="F13" s="8"/>
      <c r="G13" s="12"/>
      <c r="H13" s="3">
        <f t="shared" si="0"/>
        <v>0</v>
      </c>
      <c r="I13" s="12"/>
      <c r="J13" s="13">
        <v>0</v>
      </c>
      <c r="K13" s="18"/>
      <c r="L13" s="99"/>
      <c r="M13" s="3"/>
      <c r="N13" s="3"/>
      <c r="O13" s="53">
        <f t="shared" si="1"/>
        <v>0</v>
      </c>
      <c r="P13" s="3">
        <v>2750000</v>
      </c>
      <c r="Q13" s="54">
        <f t="shared" si="2"/>
        <v>2750000</v>
      </c>
      <c r="R13" s="5"/>
    </row>
    <row r="14" spans="1:18" ht="12.75" customHeight="1" x14ac:dyDescent="0.25">
      <c r="A14" s="25"/>
      <c r="B14" s="44">
        <v>43872</v>
      </c>
      <c r="C14" s="10" t="s">
        <v>1145</v>
      </c>
      <c r="D14" s="8" t="s">
        <v>1161</v>
      </c>
      <c r="E14" s="10" t="s">
        <v>330</v>
      </c>
      <c r="F14" s="8"/>
      <c r="G14" s="12"/>
      <c r="H14" s="3">
        <f t="shared" si="0"/>
        <v>0</v>
      </c>
      <c r="I14" s="12"/>
      <c r="J14" s="13">
        <v>680000</v>
      </c>
      <c r="K14" s="18"/>
      <c r="L14" s="99"/>
      <c r="M14" s="3"/>
      <c r="N14" s="3"/>
      <c r="O14" s="53">
        <f t="shared" si="1"/>
        <v>680000</v>
      </c>
      <c r="P14" s="3">
        <v>3200000</v>
      </c>
      <c r="Q14" s="54">
        <f t="shared" si="2"/>
        <v>2520000</v>
      </c>
      <c r="R14" s="5"/>
    </row>
    <row r="15" spans="1:18" ht="12.75" customHeight="1" x14ac:dyDescent="0.25">
      <c r="A15" s="25"/>
      <c r="B15" s="44">
        <v>43873</v>
      </c>
      <c r="C15" s="10" t="s">
        <v>1146</v>
      </c>
      <c r="D15" s="8" t="s">
        <v>1162</v>
      </c>
      <c r="E15" s="10" t="s">
        <v>330</v>
      </c>
      <c r="F15" s="8"/>
      <c r="G15" s="12"/>
      <c r="H15" s="3">
        <f t="shared" si="0"/>
        <v>0</v>
      </c>
      <c r="I15" s="12"/>
      <c r="J15" s="13">
        <v>680000</v>
      </c>
      <c r="K15" s="18"/>
      <c r="L15" s="99"/>
      <c r="M15" s="3"/>
      <c r="N15" s="3"/>
      <c r="O15" s="53">
        <f t="shared" si="1"/>
        <v>680000</v>
      </c>
      <c r="P15" s="3">
        <v>3200000</v>
      </c>
      <c r="Q15" s="54">
        <f t="shared" si="2"/>
        <v>2520000</v>
      </c>
      <c r="R15" s="5"/>
    </row>
    <row r="16" spans="1:18" ht="12.75" customHeight="1" x14ac:dyDescent="0.25">
      <c r="A16" s="25"/>
      <c r="B16" s="44">
        <v>43874</v>
      </c>
      <c r="C16" s="10" t="s">
        <v>1147</v>
      </c>
      <c r="D16" s="8" t="s">
        <v>1163</v>
      </c>
      <c r="E16" s="10" t="s">
        <v>1179</v>
      </c>
      <c r="F16" s="8"/>
      <c r="G16" s="12">
        <v>260</v>
      </c>
      <c r="H16" s="3">
        <f t="shared" si="0"/>
        <v>4193800</v>
      </c>
      <c r="I16" s="12"/>
      <c r="J16" s="13">
        <v>1050000</v>
      </c>
      <c r="K16" s="18"/>
      <c r="L16" s="99"/>
      <c r="M16" s="3"/>
      <c r="N16" s="3"/>
      <c r="O16" s="53">
        <f t="shared" si="1"/>
        <v>5243800</v>
      </c>
      <c r="P16" s="3">
        <v>5400000</v>
      </c>
      <c r="Q16" s="54">
        <f t="shared" si="2"/>
        <v>156200</v>
      </c>
      <c r="R16" s="5"/>
    </row>
    <row r="17" spans="1:18" ht="12.75" customHeight="1" x14ac:dyDescent="0.25">
      <c r="A17" s="25"/>
      <c r="B17" s="44">
        <v>43875</v>
      </c>
      <c r="C17" s="10" t="s">
        <v>468</v>
      </c>
      <c r="D17" s="8" t="s">
        <v>1164</v>
      </c>
      <c r="E17" s="10" t="s">
        <v>1180</v>
      </c>
      <c r="F17" s="8"/>
      <c r="G17" s="12"/>
      <c r="H17" s="3"/>
      <c r="I17" s="12"/>
      <c r="J17" s="13">
        <f>1500000-270000</f>
        <v>1230000</v>
      </c>
      <c r="K17" s="18"/>
      <c r="L17" s="99"/>
      <c r="M17" s="3"/>
      <c r="N17" s="3"/>
      <c r="O17" s="53">
        <f t="shared" si="1"/>
        <v>1230000</v>
      </c>
      <c r="P17" s="3">
        <v>4900000</v>
      </c>
      <c r="Q17" s="54">
        <f t="shared" si="2"/>
        <v>3670000</v>
      </c>
      <c r="R17" s="5"/>
    </row>
    <row r="18" spans="1:18" ht="12.75" customHeight="1" x14ac:dyDescent="0.25">
      <c r="A18" s="25"/>
      <c r="B18" s="44">
        <v>43878</v>
      </c>
      <c r="C18" s="10" t="s">
        <v>1148</v>
      </c>
      <c r="D18" s="8" t="s">
        <v>1165</v>
      </c>
      <c r="E18" s="10" t="s">
        <v>330</v>
      </c>
      <c r="F18" s="8"/>
      <c r="G18" s="12">
        <v>210</v>
      </c>
      <c r="H18" s="3">
        <f>G18*15170</f>
        <v>3185700</v>
      </c>
      <c r="I18" s="12"/>
      <c r="J18" s="13">
        <v>680000</v>
      </c>
      <c r="K18" s="18"/>
      <c r="L18" s="99"/>
      <c r="M18" s="3"/>
      <c r="N18" s="3"/>
      <c r="O18" s="53">
        <f t="shared" si="1"/>
        <v>3865700</v>
      </c>
      <c r="P18" s="3">
        <v>3200000</v>
      </c>
      <c r="Q18" s="54">
        <f t="shared" si="2"/>
        <v>-665700</v>
      </c>
      <c r="R18" s="5"/>
    </row>
    <row r="19" spans="1:18" ht="12.75" customHeight="1" x14ac:dyDescent="0.25">
      <c r="A19" s="25"/>
      <c r="B19" s="44">
        <v>43879</v>
      </c>
      <c r="C19" s="10" t="s">
        <v>1149</v>
      </c>
      <c r="D19" s="8" t="s">
        <v>1166</v>
      </c>
      <c r="E19" s="10" t="s">
        <v>330</v>
      </c>
      <c r="F19" s="8"/>
      <c r="G19" s="12"/>
      <c r="H19" s="3">
        <f t="shared" ref="H19:H28" si="3">G19*15170</f>
        <v>0</v>
      </c>
      <c r="I19" s="12"/>
      <c r="J19" s="13">
        <v>680000</v>
      </c>
      <c r="K19" s="18"/>
      <c r="L19" s="99"/>
      <c r="M19" s="3"/>
      <c r="N19" s="3"/>
      <c r="O19" s="53">
        <f t="shared" si="1"/>
        <v>680000</v>
      </c>
      <c r="P19" s="3">
        <v>3200000</v>
      </c>
      <c r="Q19" s="54">
        <f t="shared" si="2"/>
        <v>2520000</v>
      </c>
      <c r="R19" s="5"/>
    </row>
    <row r="20" spans="1:18" ht="12.75" customHeight="1" x14ac:dyDescent="0.25">
      <c r="A20" s="25"/>
      <c r="B20" s="44">
        <v>43880</v>
      </c>
      <c r="C20" s="10" t="s">
        <v>1150</v>
      </c>
      <c r="D20" s="8" t="s">
        <v>1167</v>
      </c>
      <c r="E20" s="10" t="s">
        <v>330</v>
      </c>
      <c r="F20" s="8"/>
      <c r="G20" s="12"/>
      <c r="H20" s="3">
        <f t="shared" si="3"/>
        <v>0</v>
      </c>
      <c r="I20" s="12"/>
      <c r="J20" s="13">
        <v>680000</v>
      </c>
      <c r="K20" s="18"/>
      <c r="L20" s="99"/>
      <c r="M20" s="3"/>
      <c r="N20" s="3"/>
      <c r="O20" s="53">
        <f t="shared" si="1"/>
        <v>680000</v>
      </c>
      <c r="P20" s="3">
        <v>3200000</v>
      </c>
      <c r="Q20" s="54">
        <f t="shared" si="2"/>
        <v>2520000</v>
      </c>
      <c r="R20" s="5"/>
    </row>
    <row r="21" spans="1:18" ht="12" customHeight="1" x14ac:dyDescent="0.25">
      <c r="A21" s="25">
        <v>3</v>
      </c>
      <c r="B21" s="44">
        <v>43881</v>
      </c>
      <c r="C21" s="10" t="s">
        <v>1151</v>
      </c>
      <c r="D21" s="12" t="s">
        <v>1168</v>
      </c>
      <c r="E21" s="10" t="s">
        <v>330</v>
      </c>
      <c r="F21" s="8"/>
      <c r="G21" s="12">
        <v>255</v>
      </c>
      <c r="H21" s="3">
        <f t="shared" si="3"/>
        <v>3868350</v>
      </c>
      <c r="I21" s="12"/>
      <c r="J21" s="13">
        <v>680000</v>
      </c>
      <c r="K21" s="18"/>
      <c r="L21" s="99"/>
      <c r="M21" s="3"/>
      <c r="N21" s="3"/>
      <c r="O21" s="53">
        <f t="shared" si="1"/>
        <v>4548350</v>
      </c>
      <c r="P21" s="3">
        <v>3200000</v>
      </c>
      <c r="Q21" s="54">
        <f t="shared" si="2"/>
        <v>-1348350</v>
      </c>
      <c r="R21" s="5"/>
    </row>
    <row r="22" spans="1:18" x14ac:dyDescent="0.25">
      <c r="A22" s="25">
        <v>4</v>
      </c>
      <c r="B22" s="105" t="s">
        <v>1183</v>
      </c>
      <c r="C22" s="106" t="s">
        <v>1152</v>
      </c>
      <c r="D22" s="98" t="s">
        <v>1169</v>
      </c>
      <c r="E22" s="106" t="s">
        <v>1181</v>
      </c>
      <c r="F22" s="98"/>
      <c r="G22" s="98"/>
      <c r="H22" s="57">
        <f t="shared" si="3"/>
        <v>0</v>
      </c>
      <c r="I22" s="98"/>
      <c r="J22" s="57">
        <v>450000</v>
      </c>
      <c r="K22" s="48"/>
      <c r="L22" s="60"/>
      <c r="M22" s="57"/>
      <c r="N22" s="57"/>
      <c r="O22" s="103">
        <f t="shared" si="1"/>
        <v>450000</v>
      </c>
      <c r="P22" s="57">
        <v>2500000</v>
      </c>
      <c r="Q22" s="104">
        <f t="shared" si="2"/>
        <v>2050000</v>
      </c>
      <c r="R22" s="5"/>
    </row>
    <row r="23" spans="1:18" ht="12.75" customHeight="1" x14ac:dyDescent="0.25">
      <c r="A23" s="25">
        <v>5</v>
      </c>
      <c r="B23" s="44">
        <v>43883</v>
      </c>
      <c r="C23" s="10" t="s">
        <v>1153</v>
      </c>
      <c r="D23" s="12" t="s">
        <v>1170</v>
      </c>
      <c r="E23" s="10" t="s">
        <v>1181</v>
      </c>
      <c r="F23" s="8"/>
      <c r="G23" s="12"/>
      <c r="H23" s="3">
        <f t="shared" si="3"/>
        <v>0</v>
      </c>
      <c r="I23" s="12"/>
      <c r="J23" s="13">
        <v>450000</v>
      </c>
      <c r="K23" s="18"/>
      <c r="L23" s="99"/>
      <c r="M23" s="3"/>
      <c r="N23" s="3"/>
      <c r="O23" s="53">
        <f t="shared" si="1"/>
        <v>450000</v>
      </c>
      <c r="P23" s="3">
        <v>2500000</v>
      </c>
      <c r="Q23" s="54">
        <f t="shared" si="2"/>
        <v>2050000</v>
      </c>
      <c r="R23" s="5"/>
    </row>
    <row r="24" spans="1:18" ht="12.75" customHeight="1" x14ac:dyDescent="0.25">
      <c r="A24" s="25">
        <v>6</v>
      </c>
      <c r="B24" s="44">
        <v>43885</v>
      </c>
      <c r="C24" s="10" t="s">
        <v>1154</v>
      </c>
      <c r="D24" s="12" t="s">
        <v>1171</v>
      </c>
      <c r="E24" s="10" t="s">
        <v>330</v>
      </c>
      <c r="F24" s="8"/>
      <c r="G24" s="12"/>
      <c r="H24" s="3">
        <f t="shared" si="3"/>
        <v>0</v>
      </c>
      <c r="I24" s="12"/>
      <c r="J24" s="13">
        <v>680000</v>
      </c>
      <c r="K24" s="18"/>
      <c r="L24" s="99"/>
      <c r="M24" s="3"/>
      <c r="N24" s="3"/>
      <c r="O24" s="53">
        <f t="shared" si="1"/>
        <v>680000</v>
      </c>
      <c r="P24" s="3">
        <v>3200000</v>
      </c>
      <c r="Q24" s="54">
        <f t="shared" si="2"/>
        <v>2520000</v>
      </c>
      <c r="R24" s="5"/>
    </row>
    <row r="25" spans="1:18" ht="12.75" customHeight="1" x14ac:dyDescent="0.25">
      <c r="A25" s="25">
        <v>7</v>
      </c>
      <c r="B25" s="44">
        <v>43886</v>
      </c>
      <c r="C25" s="10" t="s">
        <v>1155</v>
      </c>
      <c r="D25" s="12" t="s">
        <v>1172</v>
      </c>
      <c r="E25" s="10" t="s">
        <v>330</v>
      </c>
      <c r="F25" s="8"/>
      <c r="G25" s="12">
        <v>230</v>
      </c>
      <c r="H25" s="3">
        <f t="shared" si="3"/>
        <v>3489100</v>
      </c>
      <c r="I25" s="12"/>
      <c r="J25" s="13">
        <v>680000</v>
      </c>
      <c r="K25" s="18"/>
      <c r="L25" s="99"/>
      <c r="M25" s="3"/>
      <c r="N25" s="3"/>
      <c r="O25" s="53">
        <f t="shared" si="1"/>
        <v>4169100</v>
      </c>
      <c r="P25" s="3">
        <v>3200000</v>
      </c>
      <c r="Q25" s="54">
        <f t="shared" si="2"/>
        <v>-969100</v>
      </c>
      <c r="R25" s="5"/>
    </row>
    <row r="26" spans="1:18" ht="12.75" customHeight="1" x14ac:dyDescent="0.25">
      <c r="A26" s="25">
        <v>8</v>
      </c>
      <c r="B26" s="44">
        <v>43887</v>
      </c>
      <c r="C26" s="10" t="s">
        <v>1156</v>
      </c>
      <c r="D26" s="12" t="s">
        <v>1173</v>
      </c>
      <c r="E26" s="10" t="s">
        <v>330</v>
      </c>
      <c r="F26" s="8"/>
      <c r="G26" s="12"/>
      <c r="H26" s="3">
        <f t="shared" si="3"/>
        <v>0</v>
      </c>
      <c r="I26" s="12"/>
      <c r="J26" s="13">
        <v>680000</v>
      </c>
      <c r="K26" s="18"/>
      <c r="L26" s="99"/>
      <c r="M26" s="3"/>
      <c r="N26" s="3"/>
      <c r="O26" s="53">
        <f t="shared" si="1"/>
        <v>680000</v>
      </c>
      <c r="P26" s="3">
        <v>3200000</v>
      </c>
      <c r="Q26" s="54">
        <f t="shared" si="2"/>
        <v>2520000</v>
      </c>
      <c r="R26" s="5"/>
    </row>
    <row r="27" spans="1:18" ht="12.75" customHeight="1" x14ac:dyDescent="0.25">
      <c r="A27" s="25">
        <v>9</v>
      </c>
      <c r="B27" s="44">
        <v>43888</v>
      </c>
      <c r="C27" s="10" t="s">
        <v>478</v>
      </c>
      <c r="D27" s="12" t="s">
        <v>1174</v>
      </c>
      <c r="E27" s="10" t="s">
        <v>122</v>
      </c>
      <c r="F27" s="8"/>
      <c r="G27" s="12"/>
      <c r="H27" s="3">
        <f t="shared" si="3"/>
        <v>0</v>
      </c>
      <c r="I27" s="12"/>
      <c r="J27" s="13">
        <v>930000</v>
      </c>
      <c r="K27" s="18"/>
      <c r="L27" s="99"/>
      <c r="M27" s="3"/>
      <c r="N27" s="3"/>
      <c r="O27" s="53">
        <f t="shared" si="1"/>
        <v>930000</v>
      </c>
      <c r="P27" s="3">
        <v>3500000</v>
      </c>
      <c r="Q27" s="54">
        <f t="shared" si="2"/>
        <v>2570000</v>
      </c>
      <c r="R27" s="5"/>
    </row>
    <row r="28" spans="1:18" ht="12.75" customHeight="1" x14ac:dyDescent="0.25">
      <c r="A28" s="25">
        <v>10</v>
      </c>
      <c r="B28" s="44">
        <v>43889</v>
      </c>
      <c r="C28" s="10" t="s">
        <v>479</v>
      </c>
      <c r="D28" s="12" t="s">
        <v>1175</v>
      </c>
      <c r="E28" s="10" t="s">
        <v>1182</v>
      </c>
      <c r="F28" s="8"/>
      <c r="G28" s="12">
        <v>256</v>
      </c>
      <c r="H28" s="3">
        <f t="shared" si="3"/>
        <v>3883520</v>
      </c>
      <c r="I28" s="12"/>
      <c r="J28" s="13">
        <v>1230000</v>
      </c>
      <c r="K28" s="18"/>
      <c r="L28" s="99"/>
      <c r="M28" s="3"/>
      <c r="N28" s="3"/>
      <c r="O28" s="53">
        <f t="shared" si="1"/>
        <v>5113520</v>
      </c>
      <c r="P28" s="3">
        <v>6000000</v>
      </c>
      <c r="Q28" s="54">
        <f t="shared" si="2"/>
        <v>886480</v>
      </c>
      <c r="R28" s="5"/>
    </row>
    <row r="29" spans="1:18" ht="12.75" customHeight="1" x14ac:dyDescent="0.25">
      <c r="A29" s="25"/>
      <c r="B29" s="44"/>
      <c r="C29" s="10"/>
      <c r="D29" s="12"/>
      <c r="E29" s="10"/>
      <c r="F29" s="8"/>
      <c r="G29" s="12"/>
      <c r="H29" s="3"/>
      <c r="I29" s="12"/>
      <c r="J29" s="13"/>
      <c r="K29" s="18"/>
      <c r="L29" s="29"/>
      <c r="M29" s="13"/>
      <c r="N29" s="13"/>
      <c r="O29" s="53">
        <f t="shared" si="1"/>
        <v>0</v>
      </c>
      <c r="P29" s="13"/>
      <c r="Q29" s="54">
        <f t="shared" si="2"/>
        <v>0</v>
      </c>
      <c r="R29" s="5"/>
    </row>
    <row r="30" spans="1:18" ht="16.149999999999999" customHeight="1" x14ac:dyDescent="0.25">
      <c r="A30" s="8"/>
      <c r="B30" s="8"/>
      <c r="C30" s="182" t="s">
        <v>131</v>
      </c>
      <c r="D30" s="183"/>
      <c r="E30" s="183"/>
      <c r="F30" s="184"/>
      <c r="G30" s="30"/>
      <c r="H30" s="28"/>
      <c r="I30" s="30"/>
      <c r="J30" s="28"/>
      <c r="K30" s="28"/>
      <c r="L30" s="28">
        <f>1200000*1.1</f>
        <v>1320000</v>
      </c>
      <c r="M30" s="28"/>
      <c r="N30" s="28"/>
      <c r="O30" s="53">
        <f t="shared" si="1"/>
        <v>1320000</v>
      </c>
      <c r="P30" s="28"/>
      <c r="Q30" s="54">
        <f t="shared" si="2"/>
        <v>-1320000</v>
      </c>
    </row>
    <row r="31" spans="1:18" ht="16.149999999999999" customHeight="1" x14ac:dyDescent="0.25">
      <c r="A31" s="8"/>
      <c r="B31" s="8"/>
      <c r="C31" s="191" t="s">
        <v>132</v>
      </c>
      <c r="D31" s="192"/>
      <c r="E31" s="192"/>
      <c r="F31" s="195"/>
      <c r="G31" s="30"/>
      <c r="H31" s="28"/>
      <c r="I31" s="30"/>
      <c r="J31" s="28"/>
      <c r="K31" s="28">
        <v>8653846</v>
      </c>
      <c r="L31" s="28"/>
      <c r="M31" s="18"/>
      <c r="N31" s="28"/>
      <c r="O31" s="53">
        <f t="shared" si="1"/>
        <v>8653846</v>
      </c>
      <c r="P31" s="28"/>
      <c r="Q31" s="54">
        <f t="shared" si="2"/>
        <v>-8653846</v>
      </c>
    </row>
    <row r="32" spans="1:18" x14ac:dyDescent="0.25">
      <c r="A32" s="166" t="s">
        <v>19</v>
      </c>
      <c r="B32" s="167"/>
      <c r="C32" s="167"/>
      <c r="D32" s="167"/>
      <c r="E32" s="167"/>
      <c r="F32" s="168"/>
      <c r="G32" s="88">
        <f t="shared" ref="G32:O32" si="4">SUM(G7:G31)</f>
        <v>1471</v>
      </c>
      <c r="H32" s="4">
        <f t="shared" si="4"/>
        <v>22814270</v>
      </c>
      <c r="I32" s="4">
        <f t="shared" si="4"/>
        <v>0</v>
      </c>
      <c r="J32" s="4">
        <f t="shared" si="4"/>
        <v>15540000</v>
      </c>
      <c r="K32" s="4">
        <f t="shared" si="4"/>
        <v>8653846</v>
      </c>
      <c r="L32" s="4">
        <f t="shared" si="4"/>
        <v>1320000</v>
      </c>
      <c r="M32" s="4">
        <f t="shared" si="4"/>
        <v>0</v>
      </c>
      <c r="N32" s="4">
        <f t="shared" si="4"/>
        <v>0</v>
      </c>
      <c r="O32" s="4">
        <f t="shared" si="4"/>
        <v>48328116</v>
      </c>
      <c r="P32" s="51">
        <f>SUM(P8:P31)</f>
        <v>72950000</v>
      </c>
      <c r="Q32" s="4">
        <f>SUM(Q7:Q31)</f>
        <v>24621884</v>
      </c>
    </row>
    <row r="33" spans="2:17" x14ac:dyDescent="0.25">
      <c r="O33" s="20"/>
      <c r="Q33" s="26"/>
    </row>
    <row r="34" spans="2:17" x14ac:dyDescent="0.25">
      <c r="P34" s="21" t="s">
        <v>20</v>
      </c>
      <c r="Q34" s="26">
        <f>'01.2020'!Q29+'02.2020'!Q32</f>
        <v>51221260</v>
      </c>
    </row>
    <row r="35" spans="2:17" x14ac:dyDescent="0.25">
      <c r="C35" s="6" t="s">
        <v>993</v>
      </c>
    </row>
    <row r="38" spans="2:17" x14ac:dyDescent="0.25">
      <c r="B38" s="6"/>
    </row>
    <row r="39" spans="2:17" x14ac:dyDescent="0.25">
      <c r="B39" s="6"/>
    </row>
    <row r="40" spans="2:17" x14ac:dyDescent="0.25">
      <c r="B40" s="6"/>
    </row>
    <row r="41" spans="2:17" x14ac:dyDescent="0.25">
      <c r="B41" s="6"/>
      <c r="H41" s="6"/>
      <c r="J41" s="6"/>
      <c r="K41" s="6"/>
      <c r="L41" s="6"/>
      <c r="M41" s="6"/>
      <c r="N41" s="6"/>
      <c r="O41" s="6"/>
      <c r="P41" s="6"/>
      <c r="Q41" s="6"/>
    </row>
  </sheetData>
  <mergeCells count="16">
    <mergeCell ref="A32:F32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0:F30"/>
    <mergeCell ref="C31:F31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58"/>
  <sheetViews>
    <sheetView topLeftCell="C25" workbookViewId="0">
      <selection activeCell="E49" sqref="E49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1184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4" spans="1:18" s="1" customFormat="1" x14ac:dyDescent="0.25">
      <c r="A4" s="171" t="s">
        <v>1</v>
      </c>
      <c r="B4" s="173" t="s">
        <v>2</v>
      </c>
      <c r="C4" s="171" t="s">
        <v>3</v>
      </c>
      <c r="D4" s="171" t="s">
        <v>5</v>
      </c>
      <c r="E4" s="175" t="s">
        <v>4</v>
      </c>
      <c r="F4" s="175" t="s">
        <v>17</v>
      </c>
      <c r="G4" s="177" t="s">
        <v>6</v>
      </c>
      <c r="H4" s="177"/>
      <c r="I4" s="177"/>
      <c r="J4" s="177"/>
      <c r="K4" s="177"/>
      <c r="L4" s="177"/>
      <c r="M4" s="177"/>
      <c r="N4" s="177"/>
      <c r="O4" s="164" t="s">
        <v>18</v>
      </c>
      <c r="P4" s="164" t="s">
        <v>13</v>
      </c>
      <c r="Q4" s="164" t="s">
        <v>14</v>
      </c>
    </row>
    <row r="5" spans="1:18" s="1" customFormat="1" x14ac:dyDescent="0.25">
      <c r="A5" s="172"/>
      <c r="B5" s="174"/>
      <c r="C5" s="172"/>
      <c r="D5" s="172"/>
      <c r="E5" s="176"/>
      <c r="F5" s="176"/>
      <c r="G5" s="31" t="s">
        <v>7</v>
      </c>
      <c r="H5" s="2" t="s">
        <v>15</v>
      </c>
      <c r="I5" s="31" t="s">
        <v>16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165"/>
      <c r="P5" s="165"/>
      <c r="Q5" s="165"/>
    </row>
    <row r="6" spans="1:18" s="16" customFormat="1" x14ac:dyDescent="0.25">
      <c r="A6" s="8"/>
      <c r="B6" s="22"/>
      <c r="C6" s="9"/>
      <c r="D6" s="10"/>
      <c r="E6" s="11"/>
      <c r="F6" s="12"/>
      <c r="G6" s="13"/>
      <c r="H6" s="14"/>
      <c r="I6" s="14"/>
      <c r="J6" s="3"/>
      <c r="K6" s="3"/>
      <c r="L6" s="3"/>
      <c r="M6" s="3"/>
      <c r="N6" s="3"/>
      <c r="O6" s="15"/>
      <c r="P6" s="55"/>
      <c r="Q6" s="15"/>
    </row>
    <row r="7" spans="1:18" ht="12.75" customHeight="1" x14ac:dyDescent="0.25">
      <c r="A7" s="25">
        <v>1</v>
      </c>
      <c r="B7" s="44">
        <v>43891</v>
      </c>
      <c r="C7" s="10" t="s">
        <v>1185</v>
      </c>
      <c r="D7" s="12" t="s">
        <v>1205</v>
      </c>
      <c r="E7" s="10" t="s">
        <v>330</v>
      </c>
      <c r="F7" s="8"/>
      <c r="G7" s="12"/>
      <c r="H7" s="3"/>
      <c r="I7" s="12"/>
      <c r="J7" s="50">
        <v>680000</v>
      </c>
      <c r="K7" s="18"/>
      <c r="L7" s="29"/>
      <c r="M7" s="13"/>
      <c r="N7" s="13"/>
      <c r="O7" s="53">
        <f>H7+J7+K7+L7+M7+N7</f>
        <v>680000</v>
      </c>
      <c r="P7" s="13">
        <v>3200000</v>
      </c>
      <c r="Q7" s="54">
        <f>P7-O7</f>
        <v>2520000</v>
      </c>
      <c r="R7" s="5"/>
    </row>
    <row r="8" spans="1:18" ht="12.75" customHeight="1" x14ac:dyDescent="0.25">
      <c r="A8" s="25">
        <v>2</v>
      </c>
      <c r="B8" s="44">
        <v>43892</v>
      </c>
      <c r="C8" s="10" t="s">
        <v>498</v>
      </c>
      <c r="D8" s="8" t="s">
        <v>1206</v>
      </c>
      <c r="E8" s="10" t="s">
        <v>330</v>
      </c>
      <c r="F8" s="8"/>
      <c r="G8" s="12">
        <v>220</v>
      </c>
      <c r="H8" s="3">
        <f>G8*14780</f>
        <v>3251600</v>
      </c>
      <c r="I8" s="12"/>
      <c r="J8" s="50">
        <v>680000</v>
      </c>
      <c r="K8" s="18"/>
      <c r="L8" s="99"/>
      <c r="M8" s="3"/>
      <c r="N8" s="3"/>
      <c r="O8" s="53">
        <f t="shared" ref="O8:O44" si="0">H8+J8+K8+L8+M8+N8</f>
        <v>3931600</v>
      </c>
      <c r="P8" s="3">
        <v>3200000</v>
      </c>
      <c r="Q8" s="54">
        <f t="shared" ref="Q8:Q44" si="1">P8-O8</f>
        <v>-731600</v>
      </c>
      <c r="R8" s="5"/>
    </row>
    <row r="9" spans="1:18" ht="12.75" customHeight="1" x14ac:dyDescent="0.25">
      <c r="A9" s="25">
        <v>3</v>
      </c>
      <c r="B9" s="44">
        <v>43893</v>
      </c>
      <c r="C9" s="10" t="s">
        <v>499</v>
      </c>
      <c r="D9" s="8" t="s">
        <v>1207</v>
      </c>
      <c r="E9" s="10" t="s">
        <v>330</v>
      </c>
      <c r="F9" s="8"/>
      <c r="G9" s="12"/>
      <c r="H9" s="3">
        <f t="shared" ref="H9:H19" si="2">G9*14780</f>
        <v>0</v>
      </c>
      <c r="I9" s="12"/>
      <c r="J9" s="50">
        <v>680000</v>
      </c>
      <c r="K9" s="18"/>
      <c r="L9" s="99"/>
      <c r="M9" s="3"/>
      <c r="N9" s="3"/>
      <c r="O9" s="53">
        <f t="shared" si="0"/>
        <v>680000</v>
      </c>
      <c r="P9" s="3">
        <v>3200000</v>
      </c>
      <c r="Q9" s="54">
        <f t="shared" si="1"/>
        <v>2520000</v>
      </c>
      <c r="R9" s="5"/>
    </row>
    <row r="10" spans="1:18" ht="12.75" customHeight="1" x14ac:dyDescent="0.25">
      <c r="A10" s="25">
        <v>4</v>
      </c>
      <c r="B10" s="44">
        <v>43894</v>
      </c>
      <c r="C10" s="10" t="s">
        <v>1186</v>
      </c>
      <c r="D10" s="8" t="s">
        <v>1208</v>
      </c>
      <c r="E10" s="10" t="s">
        <v>330</v>
      </c>
      <c r="F10" s="8"/>
      <c r="G10" s="12"/>
      <c r="H10" s="3">
        <f t="shared" si="2"/>
        <v>0</v>
      </c>
      <c r="I10" s="12"/>
      <c r="J10" s="50">
        <v>680000</v>
      </c>
      <c r="K10" s="18"/>
      <c r="L10" s="99"/>
      <c r="M10" s="3"/>
      <c r="N10" s="3"/>
      <c r="O10" s="53">
        <f t="shared" si="0"/>
        <v>680000</v>
      </c>
      <c r="P10" s="3">
        <v>3200000</v>
      </c>
      <c r="Q10" s="54">
        <f t="shared" si="1"/>
        <v>2520000</v>
      </c>
      <c r="R10" s="5"/>
    </row>
    <row r="11" spans="1:18" ht="12.75" customHeight="1" x14ac:dyDescent="0.25">
      <c r="A11" s="25">
        <v>5</v>
      </c>
      <c r="B11" s="44">
        <v>43895</v>
      </c>
      <c r="C11" s="10" t="s">
        <v>1187</v>
      </c>
      <c r="D11" s="8" t="s">
        <v>1209</v>
      </c>
      <c r="E11" s="10" t="s">
        <v>330</v>
      </c>
      <c r="F11" s="8"/>
      <c r="G11" s="12">
        <v>285</v>
      </c>
      <c r="H11" s="3">
        <f t="shared" si="2"/>
        <v>4212300</v>
      </c>
      <c r="I11" s="12"/>
      <c r="J11" s="50">
        <v>680000</v>
      </c>
      <c r="K11" s="18"/>
      <c r="L11" s="99"/>
      <c r="M11" s="3"/>
      <c r="N11" s="3"/>
      <c r="O11" s="53">
        <f t="shared" si="0"/>
        <v>4892300</v>
      </c>
      <c r="P11" s="3">
        <v>3200000</v>
      </c>
      <c r="Q11" s="54">
        <f t="shared" si="1"/>
        <v>-1692300</v>
      </c>
      <c r="R11" s="5"/>
    </row>
    <row r="12" spans="1:18" ht="12.75" customHeight="1" x14ac:dyDescent="0.25">
      <c r="A12" s="25">
        <v>6</v>
      </c>
      <c r="B12" s="44">
        <v>43896</v>
      </c>
      <c r="C12" s="10" t="s">
        <v>1188</v>
      </c>
      <c r="D12" s="8" t="s">
        <v>1210</v>
      </c>
      <c r="E12" s="10" t="s">
        <v>330</v>
      </c>
      <c r="F12" s="8"/>
      <c r="G12" s="12"/>
      <c r="H12" s="3">
        <f t="shared" si="2"/>
        <v>0</v>
      </c>
      <c r="I12" s="12"/>
      <c r="J12" s="50">
        <v>680000</v>
      </c>
      <c r="K12" s="18"/>
      <c r="L12" s="99"/>
      <c r="M12" s="3"/>
      <c r="N12" s="3"/>
      <c r="O12" s="53">
        <f t="shared" si="0"/>
        <v>680000</v>
      </c>
      <c r="P12" s="3">
        <v>3200000</v>
      </c>
      <c r="Q12" s="54">
        <f t="shared" si="1"/>
        <v>2520000</v>
      </c>
      <c r="R12" s="5"/>
    </row>
    <row r="13" spans="1:18" ht="12.75" customHeight="1" x14ac:dyDescent="0.25">
      <c r="A13" s="25">
        <v>7</v>
      </c>
      <c r="B13" s="44">
        <v>43897</v>
      </c>
      <c r="C13" s="10" t="s">
        <v>1189</v>
      </c>
      <c r="D13" s="8" t="s">
        <v>1211</v>
      </c>
      <c r="E13" s="10" t="s">
        <v>330</v>
      </c>
      <c r="F13" s="8"/>
      <c r="G13" s="12">
        <v>290</v>
      </c>
      <c r="H13" s="3">
        <f t="shared" si="2"/>
        <v>4286200</v>
      </c>
      <c r="I13" s="12"/>
      <c r="J13" s="50">
        <v>680000</v>
      </c>
      <c r="K13" s="18"/>
      <c r="L13" s="99"/>
      <c r="M13" s="3"/>
      <c r="N13" s="3"/>
      <c r="O13" s="53">
        <f t="shared" si="0"/>
        <v>4966200</v>
      </c>
      <c r="P13" s="3">
        <v>3200000</v>
      </c>
      <c r="Q13" s="54">
        <f t="shared" si="1"/>
        <v>-1766200</v>
      </c>
      <c r="R13" s="5"/>
    </row>
    <row r="14" spans="1:18" ht="12.75" customHeight="1" x14ac:dyDescent="0.25">
      <c r="A14" s="25">
        <v>8</v>
      </c>
      <c r="B14" s="44">
        <v>43899</v>
      </c>
      <c r="C14" s="10" t="s">
        <v>1190</v>
      </c>
      <c r="D14" s="8" t="s">
        <v>1212</v>
      </c>
      <c r="E14" s="10" t="s">
        <v>1043</v>
      </c>
      <c r="F14" s="8"/>
      <c r="G14" s="12">
        <v>86</v>
      </c>
      <c r="H14" s="3">
        <f t="shared" si="2"/>
        <v>1271080</v>
      </c>
      <c r="I14" s="12"/>
      <c r="J14" s="50">
        <v>810000</v>
      </c>
      <c r="K14" s="18"/>
      <c r="L14" s="99"/>
      <c r="M14" s="3"/>
      <c r="N14" s="3"/>
      <c r="O14" s="53">
        <f t="shared" si="0"/>
        <v>2081080</v>
      </c>
      <c r="P14" s="3">
        <v>5000000</v>
      </c>
      <c r="Q14" s="54">
        <f t="shared" si="1"/>
        <v>2918920</v>
      </c>
      <c r="R14" s="5"/>
    </row>
    <row r="15" spans="1:18" ht="12.75" customHeight="1" x14ac:dyDescent="0.25">
      <c r="A15" s="25">
        <v>9</v>
      </c>
      <c r="B15" s="44">
        <v>43900</v>
      </c>
      <c r="C15" s="10" t="s">
        <v>1191</v>
      </c>
      <c r="D15" s="8" t="s">
        <v>1213</v>
      </c>
      <c r="E15" s="10" t="s">
        <v>121</v>
      </c>
      <c r="F15" s="8"/>
      <c r="G15" s="12"/>
      <c r="H15" s="3">
        <f t="shared" si="2"/>
        <v>0</v>
      </c>
      <c r="I15" s="12"/>
      <c r="J15" s="50">
        <v>2670000</v>
      </c>
      <c r="K15" s="18"/>
      <c r="L15" s="99"/>
      <c r="M15" s="3"/>
      <c r="N15" s="3"/>
      <c r="O15" s="53">
        <f t="shared" si="0"/>
        <v>2670000</v>
      </c>
      <c r="P15" s="3">
        <v>13181818</v>
      </c>
      <c r="Q15" s="54">
        <f t="shared" si="1"/>
        <v>10511818</v>
      </c>
      <c r="R15" s="5"/>
    </row>
    <row r="16" spans="1:18" ht="12.75" customHeight="1" x14ac:dyDescent="0.25">
      <c r="A16" s="25">
        <v>10</v>
      </c>
      <c r="B16" s="44">
        <v>43900</v>
      </c>
      <c r="C16" s="10" t="s">
        <v>1191</v>
      </c>
      <c r="D16" s="8" t="s">
        <v>1214</v>
      </c>
      <c r="E16" s="10" t="s">
        <v>1231</v>
      </c>
      <c r="F16" s="8"/>
      <c r="G16" s="12"/>
      <c r="H16" s="3">
        <f t="shared" si="2"/>
        <v>0</v>
      </c>
      <c r="I16" s="12"/>
      <c r="J16" s="50">
        <v>0</v>
      </c>
      <c r="K16" s="18"/>
      <c r="L16" s="99"/>
      <c r="M16" s="3"/>
      <c r="N16" s="3"/>
      <c r="O16" s="53">
        <f t="shared" si="0"/>
        <v>0</v>
      </c>
      <c r="P16" s="3">
        <v>500000</v>
      </c>
      <c r="Q16" s="54">
        <f t="shared" si="1"/>
        <v>500000</v>
      </c>
      <c r="R16" s="5"/>
    </row>
    <row r="17" spans="1:18" ht="12.75" customHeight="1" x14ac:dyDescent="0.25">
      <c r="A17" s="25">
        <v>11</v>
      </c>
      <c r="B17" s="44">
        <v>43901</v>
      </c>
      <c r="C17" s="10" t="s">
        <v>1192</v>
      </c>
      <c r="D17" s="8" t="s">
        <v>1215</v>
      </c>
      <c r="E17" s="10" t="s">
        <v>330</v>
      </c>
      <c r="F17" s="8"/>
      <c r="G17" s="12">
        <v>210</v>
      </c>
      <c r="H17" s="3">
        <f t="shared" si="2"/>
        <v>3103800</v>
      </c>
      <c r="I17" s="12"/>
      <c r="J17" s="50">
        <v>680000</v>
      </c>
      <c r="K17" s="18"/>
      <c r="L17" s="99"/>
      <c r="M17" s="3"/>
      <c r="N17" s="3"/>
      <c r="O17" s="53">
        <f t="shared" si="0"/>
        <v>3783800</v>
      </c>
      <c r="P17" s="3">
        <v>3200000</v>
      </c>
      <c r="Q17" s="54">
        <f t="shared" si="1"/>
        <v>-583800</v>
      </c>
      <c r="R17" s="5"/>
    </row>
    <row r="18" spans="1:18" ht="12.75" customHeight="1" x14ac:dyDescent="0.25">
      <c r="A18" s="25">
        <v>12</v>
      </c>
      <c r="B18" s="44">
        <v>43902</v>
      </c>
      <c r="C18" s="10" t="s">
        <v>1193</v>
      </c>
      <c r="D18" s="8" t="s">
        <v>1216</v>
      </c>
      <c r="E18" s="10" t="s">
        <v>330</v>
      </c>
      <c r="F18" s="8"/>
      <c r="G18" s="12"/>
      <c r="H18" s="3">
        <f t="shared" si="2"/>
        <v>0</v>
      </c>
      <c r="I18" s="12"/>
      <c r="J18" s="50">
        <v>680000</v>
      </c>
      <c r="K18" s="18"/>
      <c r="L18" s="99"/>
      <c r="M18" s="3"/>
      <c r="N18" s="3"/>
      <c r="O18" s="53">
        <f t="shared" si="0"/>
        <v>680000</v>
      </c>
      <c r="P18" s="3">
        <v>3200000</v>
      </c>
      <c r="Q18" s="54">
        <f t="shared" si="1"/>
        <v>2520000</v>
      </c>
      <c r="R18" s="5"/>
    </row>
    <row r="19" spans="1:18" ht="12.75" customHeight="1" x14ac:dyDescent="0.25">
      <c r="A19" s="25">
        <v>13</v>
      </c>
      <c r="B19" s="44">
        <v>43903</v>
      </c>
      <c r="C19" s="10" t="s">
        <v>1194</v>
      </c>
      <c r="D19" s="8" t="s">
        <v>1217</v>
      </c>
      <c r="E19" s="10" t="s">
        <v>331</v>
      </c>
      <c r="F19" s="8"/>
      <c r="G19" s="12">
        <v>270</v>
      </c>
      <c r="H19" s="3">
        <f t="shared" si="2"/>
        <v>3990600</v>
      </c>
      <c r="I19" s="12"/>
      <c r="J19" s="50">
        <v>930000</v>
      </c>
      <c r="K19" s="18"/>
      <c r="L19" s="99"/>
      <c r="M19" s="3"/>
      <c r="N19" s="3"/>
      <c r="O19" s="53">
        <f t="shared" si="0"/>
        <v>4920600</v>
      </c>
      <c r="P19" s="3">
        <v>3500000</v>
      </c>
      <c r="Q19" s="54">
        <f t="shared" si="1"/>
        <v>-1420600</v>
      </c>
      <c r="R19" s="5"/>
    </row>
    <row r="20" spans="1:18" ht="12.75" customHeight="1" x14ac:dyDescent="0.25">
      <c r="A20" s="25">
        <v>14</v>
      </c>
      <c r="B20" s="44">
        <v>43905</v>
      </c>
      <c r="C20" s="10" t="s">
        <v>510</v>
      </c>
      <c r="D20" s="8" t="s">
        <v>1218</v>
      </c>
      <c r="E20" s="10" t="s">
        <v>330</v>
      </c>
      <c r="F20" s="8"/>
      <c r="G20" s="12"/>
      <c r="H20" s="3"/>
      <c r="I20" s="12"/>
      <c r="J20" s="50">
        <v>680000</v>
      </c>
      <c r="K20" s="18"/>
      <c r="L20" s="99"/>
      <c r="M20" s="3"/>
      <c r="N20" s="3"/>
      <c r="O20" s="53">
        <f t="shared" si="0"/>
        <v>680000</v>
      </c>
      <c r="P20" s="3">
        <v>3200000</v>
      </c>
      <c r="Q20" s="54">
        <f t="shared" si="1"/>
        <v>2520000</v>
      </c>
      <c r="R20" s="5"/>
    </row>
    <row r="21" spans="1:18" ht="12.75" customHeight="1" x14ac:dyDescent="0.25">
      <c r="A21" s="25">
        <v>15</v>
      </c>
      <c r="B21" s="44">
        <v>43906</v>
      </c>
      <c r="C21" s="10" t="s">
        <v>511</v>
      </c>
      <c r="D21" s="8" t="s">
        <v>1219</v>
      </c>
      <c r="E21" s="10" t="s">
        <v>330</v>
      </c>
      <c r="F21" s="8"/>
      <c r="G21" s="12"/>
      <c r="H21" s="3"/>
      <c r="I21" s="12"/>
      <c r="J21" s="50">
        <v>680000</v>
      </c>
      <c r="K21" s="18"/>
      <c r="L21" s="99"/>
      <c r="M21" s="3"/>
      <c r="N21" s="3"/>
      <c r="O21" s="53">
        <f t="shared" si="0"/>
        <v>680000</v>
      </c>
      <c r="P21" s="3">
        <v>3200000</v>
      </c>
      <c r="Q21" s="54">
        <f t="shared" si="1"/>
        <v>2520000</v>
      </c>
      <c r="R21" s="5"/>
    </row>
    <row r="22" spans="1:18" ht="12.75" customHeight="1" x14ac:dyDescent="0.25">
      <c r="A22" s="25">
        <v>16</v>
      </c>
      <c r="B22" s="44">
        <v>43907</v>
      </c>
      <c r="C22" s="10" t="s">
        <v>1195</v>
      </c>
      <c r="D22" s="8" t="s">
        <v>1220</v>
      </c>
      <c r="E22" s="10" t="s">
        <v>330</v>
      </c>
      <c r="F22" s="8"/>
      <c r="G22" s="12">
        <v>195</v>
      </c>
      <c r="H22" s="3">
        <f>G22*13030</f>
        <v>2540850</v>
      </c>
      <c r="I22" s="12"/>
      <c r="J22" s="50">
        <v>680000</v>
      </c>
      <c r="K22" s="18"/>
      <c r="L22" s="99"/>
      <c r="M22" s="3"/>
      <c r="N22" s="3"/>
      <c r="O22" s="53">
        <f t="shared" si="0"/>
        <v>3220850</v>
      </c>
      <c r="P22" s="3">
        <v>3200000</v>
      </c>
      <c r="Q22" s="54">
        <f t="shared" si="1"/>
        <v>-20850</v>
      </c>
      <c r="R22" s="5"/>
    </row>
    <row r="23" spans="1:18" ht="12.75" customHeight="1" x14ac:dyDescent="0.25">
      <c r="A23" s="25">
        <v>17</v>
      </c>
      <c r="B23" s="44">
        <v>43908</v>
      </c>
      <c r="C23" s="10" t="s">
        <v>1196</v>
      </c>
      <c r="D23" s="8" t="s">
        <v>1221</v>
      </c>
      <c r="E23" s="10" t="s">
        <v>330</v>
      </c>
      <c r="F23" s="8"/>
      <c r="G23" s="12"/>
      <c r="H23" s="3">
        <f t="shared" ref="H23:H29" si="3">G23*13030</f>
        <v>0</v>
      </c>
      <c r="I23" s="12"/>
      <c r="J23" s="50">
        <v>680000</v>
      </c>
      <c r="K23" s="18"/>
      <c r="L23" s="99"/>
      <c r="M23" s="3"/>
      <c r="N23" s="3"/>
      <c r="O23" s="53">
        <f t="shared" si="0"/>
        <v>680000</v>
      </c>
      <c r="P23" s="3">
        <v>4000000</v>
      </c>
      <c r="Q23" s="54">
        <f t="shared" si="1"/>
        <v>3320000</v>
      </c>
      <c r="R23" s="5"/>
    </row>
    <row r="24" spans="1:18" ht="12.75" customHeight="1" x14ac:dyDescent="0.25">
      <c r="A24" s="25">
        <v>18</v>
      </c>
      <c r="B24" s="44">
        <v>43911</v>
      </c>
      <c r="C24" s="10" t="s">
        <v>1197</v>
      </c>
      <c r="D24" s="8" t="s">
        <v>1222</v>
      </c>
      <c r="E24" s="10" t="s">
        <v>494</v>
      </c>
      <c r="F24" s="8"/>
      <c r="G24" s="12">
        <v>196</v>
      </c>
      <c r="H24" s="3">
        <f t="shared" si="3"/>
        <v>2553880</v>
      </c>
      <c r="I24" s="12"/>
      <c r="J24" s="50">
        <f>870000+60000</f>
        <v>930000</v>
      </c>
      <c r="K24" s="18"/>
      <c r="L24" s="99"/>
      <c r="M24" s="3"/>
      <c r="N24" s="3"/>
      <c r="O24" s="53">
        <f t="shared" si="0"/>
        <v>3483880</v>
      </c>
      <c r="P24" s="3">
        <v>3700000</v>
      </c>
      <c r="Q24" s="54">
        <f t="shared" si="1"/>
        <v>216120</v>
      </c>
      <c r="R24" s="5"/>
    </row>
    <row r="25" spans="1:18" ht="12.75" customHeight="1" x14ac:dyDescent="0.25">
      <c r="A25" s="25">
        <v>19</v>
      </c>
      <c r="B25" s="44">
        <v>43912</v>
      </c>
      <c r="C25" s="10" t="s">
        <v>1198</v>
      </c>
      <c r="D25" s="8" t="s">
        <v>1223</v>
      </c>
      <c r="E25" s="10" t="s">
        <v>330</v>
      </c>
      <c r="F25" s="8"/>
      <c r="G25" s="12"/>
      <c r="H25" s="3">
        <f t="shared" si="3"/>
        <v>0</v>
      </c>
      <c r="I25" s="12"/>
      <c r="J25" s="50">
        <v>680000</v>
      </c>
      <c r="K25" s="18"/>
      <c r="L25" s="99"/>
      <c r="M25" s="3"/>
      <c r="N25" s="3"/>
      <c r="O25" s="53">
        <f t="shared" si="0"/>
        <v>680000</v>
      </c>
      <c r="P25" s="3">
        <v>3200000</v>
      </c>
      <c r="Q25" s="54">
        <f t="shared" si="1"/>
        <v>2520000</v>
      </c>
      <c r="R25" s="5"/>
    </row>
    <row r="26" spans="1:18" ht="12.75" customHeight="1" x14ac:dyDescent="0.25">
      <c r="A26" s="25">
        <v>20</v>
      </c>
      <c r="B26" s="44">
        <v>43913</v>
      </c>
      <c r="C26" s="10" t="s">
        <v>1199</v>
      </c>
      <c r="D26" s="8" t="s">
        <v>1224</v>
      </c>
      <c r="E26" s="10" t="s">
        <v>330</v>
      </c>
      <c r="F26" s="8"/>
      <c r="G26" s="12"/>
      <c r="H26" s="3">
        <f t="shared" si="3"/>
        <v>0</v>
      </c>
      <c r="I26" s="12"/>
      <c r="J26" s="50">
        <v>680000</v>
      </c>
      <c r="K26" s="18"/>
      <c r="L26" s="99"/>
      <c r="M26" s="3"/>
      <c r="N26" s="3"/>
      <c r="O26" s="53">
        <f t="shared" si="0"/>
        <v>680000</v>
      </c>
      <c r="P26" s="3">
        <v>3200000</v>
      </c>
      <c r="Q26" s="54">
        <f t="shared" si="1"/>
        <v>2520000</v>
      </c>
      <c r="R26" s="5"/>
    </row>
    <row r="27" spans="1:18" ht="12.75" customHeight="1" x14ac:dyDescent="0.25">
      <c r="A27" s="25">
        <v>21</v>
      </c>
      <c r="B27" s="44">
        <v>43914</v>
      </c>
      <c r="C27" s="10" t="s">
        <v>1200</v>
      </c>
      <c r="D27" s="8" t="s">
        <v>1225</v>
      </c>
      <c r="E27" s="10" t="s">
        <v>330</v>
      </c>
      <c r="F27" s="8"/>
      <c r="G27" s="12">
        <v>296</v>
      </c>
      <c r="H27" s="3">
        <f t="shared" si="3"/>
        <v>3856880</v>
      </c>
      <c r="I27" s="12"/>
      <c r="J27" s="50">
        <v>680000</v>
      </c>
      <c r="K27" s="18"/>
      <c r="L27" s="99"/>
      <c r="M27" s="3"/>
      <c r="N27" s="3"/>
      <c r="O27" s="53">
        <f t="shared" si="0"/>
        <v>4536880</v>
      </c>
      <c r="P27" s="3">
        <v>3200000</v>
      </c>
      <c r="Q27" s="54">
        <f t="shared" si="1"/>
        <v>-1336880</v>
      </c>
      <c r="R27" s="5"/>
    </row>
    <row r="28" spans="1:18" ht="12.75" customHeight="1" x14ac:dyDescent="0.25">
      <c r="A28" s="25">
        <v>22</v>
      </c>
      <c r="B28" s="44">
        <v>43915</v>
      </c>
      <c r="C28" s="10" t="s">
        <v>1201</v>
      </c>
      <c r="D28" s="8" t="s">
        <v>1226</v>
      </c>
      <c r="E28" s="10" t="s">
        <v>330</v>
      </c>
      <c r="F28" s="8"/>
      <c r="G28" s="12"/>
      <c r="H28" s="3">
        <f t="shared" si="3"/>
        <v>0</v>
      </c>
      <c r="I28" s="12"/>
      <c r="J28" s="50">
        <v>680000</v>
      </c>
      <c r="K28" s="18"/>
      <c r="L28" s="99"/>
      <c r="M28" s="3"/>
      <c r="N28" s="3"/>
      <c r="O28" s="53">
        <f t="shared" si="0"/>
        <v>680000</v>
      </c>
      <c r="P28" s="3">
        <v>3200000</v>
      </c>
      <c r="Q28" s="54">
        <f t="shared" si="1"/>
        <v>2520000</v>
      </c>
      <c r="R28" s="5"/>
    </row>
    <row r="29" spans="1:18" ht="12.75" customHeight="1" x14ac:dyDescent="0.25">
      <c r="A29" s="25">
        <v>23</v>
      </c>
      <c r="B29" s="44">
        <v>43916</v>
      </c>
      <c r="C29" s="10" t="s">
        <v>1202</v>
      </c>
      <c r="D29" s="8" t="s">
        <v>1227</v>
      </c>
      <c r="E29" s="10" t="s">
        <v>494</v>
      </c>
      <c r="F29" s="8"/>
      <c r="G29" s="12">
        <v>285</v>
      </c>
      <c r="H29" s="3">
        <f t="shared" si="3"/>
        <v>3713550</v>
      </c>
      <c r="I29" s="12"/>
      <c r="J29" s="50">
        <v>810000</v>
      </c>
      <c r="K29" s="18"/>
      <c r="L29" s="99"/>
      <c r="M29" s="3"/>
      <c r="N29" s="3"/>
      <c r="O29" s="53">
        <f t="shared" si="0"/>
        <v>4523550</v>
      </c>
      <c r="P29" s="3">
        <v>3700000</v>
      </c>
      <c r="Q29" s="54">
        <f t="shared" si="1"/>
        <v>-823550</v>
      </c>
      <c r="R29" s="5"/>
    </row>
    <row r="30" spans="1:18" ht="12.75" customHeight="1" x14ac:dyDescent="0.25">
      <c r="A30" s="25">
        <v>24</v>
      </c>
      <c r="B30" s="44">
        <v>43917</v>
      </c>
      <c r="C30" s="10" t="s">
        <v>1203</v>
      </c>
      <c r="D30" s="8" t="s">
        <v>1228</v>
      </c>
      <c r="E30" s="10" t="s">
        <v>1232</v>
      </c>
      <c r="F30" s="8"/>
      <c r="G30" s="12"/>
      <c r="H30" s="3"/>
      <c r="I30" s="12"/>
      <c r="J30" s="50">
        <v>2470000</v>
      </c>
      <c r="K30" s="18"/>
      <c r="L30" s="99"/>
      <c r="M30" s="3"/>
      <c r="N30" s="3"/>
      <c r="O30" s="53">
        <f t="shared" si="0"/>
        <v>2470000</v>
      </c>
      <c r="P30" s="3">
        <v>13000000</v>
      </c>
      <c r="Q30" s="54">
        <f t="shared" si="1"/>
        <v>10530000</v>
      </c>
      <c r="R30" s="5"/>
    </row>
    <row r="31" spans="1:18" ht="12.75" customHeight="1" x14ac:dyDescent="0.25">
      <c r="A31" s="25">
        <v>25</v>
      </c>
      <c r="B31" s="44">
        <v>43920</v>
      </c>
      <c r="C31" s="10" t="s">
        <v>521</v>
      </c>
      <c r="D31" s="8" t="s">
        <v>1229</v>
      </c>
      <c r="E31" s="10" t="s">
        <v>331</v>
      </c>
      <c r="F31" s="8"/>
      <c r="G31" s="12"/>
      <c r="H31" s="3"/>
      <c r="I31" s="12"/>
      <c r="J31" s="50">
        <v>930000</v>
      </c>
      <c r="K31" s="18"/>
      <c r="L31" s="99"/>
      <c r="M31" s="3"/>
      <c r="N31" s="3"/>
      <c r="O31" s="53">
        <f t="shared" si="0"/>
        <v>930000</v>
      </c>
      <c r="P31" s="3">
        <v>3500000</v>
      </c>
      <c r="Q31" s="54">
        <f t="shared" si="1"/>
        <v>2570000</v>
      </c>
      <c r="R31" s="5"/>
    </row>
    <row r="32" spans="1:18" ht="12.75" customHeight="1" x14ac:dyDescent="0.25">
      <c r="A32" s="25">
        <v>26</v>
      </c>
      <c r="B32" s="44">
        <v>43921</v>
      </c>
      <c r="C32" s="10" t="s">
        <v>1204</v>
      </c>
      <c r="D32" s="8" t="s">
        <v>1230</v>
      </c>
      <c r="E32" s="10" t="s">
        <v>331</v>
      </c>
      <c r="F32" s="8"/>
      <c r="G32" s="12">
        <f>240+68</f>
        <v>308</v>
      </c>
      <c r="H32" s="3">
        <f>G32*11250</f>
        <v>3465000</v>
      </c>
      <c r="I32" s="12"/>
      <c r="J32" s="50">
        <v>930000</v>
      </c>
      <c r="K32" s="18"/>
      <c r="L32" s="99"/>
      <c r="M32" s="3"/>
      <c r="N32" s="3"/>
      <c r="O32" s="53">
        <f t="shared" si="0"/>
        <v>4395000</v>
      </c>
      <c r="P32" s="3">
        <v>3300000</v>
      </c>
      <c r="Q32" s="54">
        <f t="shared" si="1"/>
        <v>-1095000</v>
      </c>
      <c r="R32" s="5"/>
    </row>
    <row r="33" spans="1:18" ht="12.75" customHeight="1" x14ac:dyDescent="0.25">
      <c r="A33" s="25"/>
      <c r="B33" s="44"/>
      <c r="C33" s="10"/>
      <c r="D33" s="12"/>
      <c r="E33" s="10"/>
      <c r="F33" s="8"/>
      <c r="G33" s="12"/>
      <c r="H33" s="3"/>
      <c r="I33" s="12"/>
      <c r="J33" s="13"/>
      <c r="K33" s="18"/>
      <c r="L33" s="29"/>
      <c r="M33" s="13"/>
      <c r="N33" s="13"/>
      <c r="O33" s="53">
        <f t="shared" si="0"/>
        <v>0</v>
      </c>
      <c r="P33" s="13"/>
      <c r="Q33" s="54">
        <f t="shared" si="1"/>
        <v>0</v>
      </c>
      <c r="R33" s="5"/>
    </row>
    <row r="34" spans="1:18" ht="16.149999999999999" customHeight="1" x14ac:dyDescent="0.25">
      <c r="A34" s="8"/>
      <c r="B34" s="8"/>
      <c r="C34" s="182" t="s">
        <v>131</v>
      </c>
      <c r="D34" s="183"/>
      <c r="E34" s="183"/>
      <c r="F34" s="184"/>
      <c r="G34" s="30"/>
      <c r="H34" s="28"/>
      <c r="I34" s="30"/>
      <c r="J34" s="28"/>
      <c r="K34" s="28"/>
      <c r="L34" s="90">
        <f>1200000*1.1</f>
        <v>1320000</v>
      </c>
      <c r="M34" s="28"/>
      <c r="N34" s="28"/>
      <c r="O34" s="53">
        <f t="shared" si="0"/>
        <v>1320000</v>
      </c>
      <c r="P34" s="28"/>
      <c r="Q34" s="54">
        <f t="shared" si="1"/>
        <v>-1320000</v>
      </c>
    </row>
    <row r="35" spans="1:18" ht="16.149999999999999" customHeight="1" x14ac:dyDescent="0.25">
      <c r="A35" s="8"/>
      <c r="B35" s="8"/>
      <c r="C35" s="196" t="s">
        <v>924</v>
      </c>
      <c r="D35" s="197"/>
      <c r="E35" s="197"/>
      <c r="F35" s="198"/>
      <c r="G35" s="30"/>
      <c r="H35" s="28"/>
      <c r="I35" s="30"/>
      <c r="J35" s="28"/>
      <c r="K35" s="28"/>
      <c r="L35" s="90">
        <v>8580000</v>
      </c>
      <c r="M35" s="28"/>
      <c r="N35" s="28"/>
      <c r="O35" s="53">
        <f t="shared" si="0"/>
        <v>8580000</v>
      </c>
      <c r="P35" s="28"/>
      <c r="Q35" s="54">
        <f t="shared" si="1"/>
        <v>-8580000</v>
      </c>
    </row>
    <row r="36" spans="1:18" ht="16.149999999999999" customHeight="1" x14ac:dyDescent="0.25">
      <c r="A36" s="8"/>
      <c r="B36" s="8"/>
      <c r="C36" s="100" t="s">
        <v>1233</v>
      </c>
      <c r="D36" s="101"/>
      <c r="E36" s="101"/>
      <c r="F36" s="102"/>
      <c r="G36" s="30"/>
      <c r="H36" s="28"/>
      <c r="I36" s="30"/>
      <c r="J36" s="28"/>
      <c r="K36" s="28"/>
      <c r="L36" s="90">
        <v>610000</v>
      </c>
      <c r="M36" s="28"/>
      <c r="N36" s="28"/>
      <c r="O36" s="53">
        <f t="shared" si="0"/>
        <v>610000</v>
      </c>
      <c r="P36" s="28"/>
      <c r="Q36" s="54">
        <f t="shared" si="1"/>
        <v>-610000</v>
      </c>
    </row>
    <row r="37" spans="1:18" ht="16.149999999999999" customHeight="1" x14ac:dyDescent="0.25">
      <c r="A37" s="8"/>
      <c r="B37" s="8"/>
      <c r="C37" s="100" t="s">
        <v>1234</v>
      </c>
      <c r="D37" s="101"/>
      <c r="E37" s="101"/>
      <c r="F37" s="102"/>
      <c r="G37" s="30"/>
      <c r="H37" s="28"/>
      <c r="I37" s="30"/>
      <c r="J37" s="28"/>
      <c r="K37" s="28"/>
      <c r="L37" s="90">
        <v>300000</v>
      </c>
      <c r="M37" s="28"/>
      <c r="N37" s="28"/>
      <c r="O37" s="53">
        <f t="shared" si="0"/>
        <v>300000</v>
      </c>
      <c r="P37" s="28"/>
      <c r="Q37" s="54">
        <f t="shared" si="1"/>
        <v>-300000</v>
      </c>
    </row>
    <row r="38" spans="1:18" ht="36.75" customHeight="1" x14ac:dyDescent="0.25">
      <c r="A38" s="8"/>
      <c r="B38" s="8"/>
      <c r="C38" s="196" t="s">
        <v>1235</v>
      </c>
      <c r="D38" s="197"/>
      <c r="E38" s="197"/>
      <c r="F38" s="198"/>
      <c r="G38" s="30"/>
      <c r="H38" s="28"/>
      <c r="I38" s="30"/>
      <c r="J38" s="28"/>
      <c r="K38" s="28"/>
      <c r="L38" s="90">
        <v>410000</v>
      </c>
      <c r="M38" s="28"/>
      <c r="N38" s="28"/>
      <c r="O38" s="53">
        <f t="shared" si="0"/>
        <v>410000</v>
      </c>
      <c r="P38" s="28"/>
      <c r="Q38" s="54">
        <f t="shared" si="1"/>
        <v>-410000</v>
      </c>
    </row>
    <row r="39" spans="1:18" ht="16.149999999999999" customHeight="1" x14ac:dyDescent="0.25">
      <c r="A39" s="8"/>
      <c r="B39" s="8"/>
      <c r="C39" s="196" t="s">
        <v>1236</v>
      </c>
      <c r="D39" s="197"/>
      <c r="E39" s="197"/>
      <c r="F39" s="198"/>
      <c r="G39" s="30"/>
      <c r="H39" s="28"/>
      <c r="I39" s="30"/>
      <c r="J39" s="28"/>
      <c r="K39" s="28"/>
      <c r="L39" s="90">
        <v>120000</v>
      </c>
      <c r="M39" s="28"/>
      <c r="N39" s="28"/>
      <c r="O39" s="53">
        <f t="shared" si="0"/>
        <v>120000</v>
      </c>
      <c r="P39" s="28"/>
      <c r="Q39" s="54">
        <f t="shared" si="1"/>
        <v>-120000</v>
      </c>
    </row>
    <row r="40" spans="1:18" ht="16.149999999999999" customHeight="1" x14ac:dyDescent="0.2">
      <c r="A40" s="8"/>
      <c r="B40" s="8"/>
      <c r="C40" s="107" t="s">
        <v>1237</v>
      </c>
      <c r="D40" s="101"/>
      <c r="E40" s="101"/>
      <c r="F40" s="102"/>
      <c r="G40" s="30"/>
      <c r="H40" s="28"/>
      <c r="I40" s="30"/>
      <c r="J40" s="28"/>
      <c r="K40" s="28"/>
      <c r="L40" s="90">
        <v>600000</v>
      </c>
      <c r="M40" s="28"/>
      <c r="N40" s="28"/>
      <c r="O40" s="53">
        <f t="shared" si="0"/>
        <v>600000</v>
      </c>
      <c r="P40" s="28"/>
      <c r="Q40" s="54">
        <f t="shared" si="1"/>
        <v>-600000</v>
      </c>
    </row>
    <row r="41" spans="1:18" ht="16.149999999999999" customHeight="1" x14ac:dyDescent="0.2">
      <c r="A41" s="8"/>
      <c r="B41" s="8"/>
      <c r="C41" s="108" t="s">
        <v>1238</v>
      </c>
      <c r="D41" s="101"/>
      <c r="E41" s="101"/>
      <c r="F41" s="102"/>
      <c r="G41" s="30"/>
      <c r="H41" s="28"/>
      <c r="I41" s="30"/>
      <c r="J41" s="28"/>
      <c r="K41" s="28"/>
      <c r="L41" s="90">
        <v>1600000</v>
      </c>
      <c r="M41" s="28"/>
      <c r="N41" s="28"/>
      <c r="O41" s="53">
        <f t="shared" si="0"/>
        <v>1600000</v>
      </c>
      <c r="P41" s="28"/>
      <c r="Q41" s="54">
        <f t="shared" si="1"/>
        <v>-1600000</v>
      </c>
    </row>
    <row r="42" spans="1:18" ht="16.149999999999999" customHeight="1" x14ac:dyDescent="0.2">
      <c r="A42" s="8"/>
      <c r="B42" s="8"/>
      <c r="C42" s="108" t="s">
        <v>1239</v>
      </c>
      <c r="D42" s="101"/>
      <c r="E42" s="101"/>
      <c r="F42" s="102"/>
      <c r="G42" s="30"/>
      <c r="H42" s="28"/>
      <c r="I42" s="30"/>
      <c r="J42" s="28"/>
      <c r="K42" s="28"/>
      <c r="L42" s="90">
        <v>740000</v>
      </c>
      <c r="M42" s="28"/>
      <c r="N42" s="28"/>
      <c r="O42" s="53">
        <f t="shared" si="0"/>
        <v>740000</v>
      </c>
      <c r="P42" s="28"/>
      <c r="Q42" s="54">
        <f t="shared" si="1"/>
        <v>-740000</v>
      </c>
    </row>
    <row r="43" spans="1:18" ht="16.149999999999999" customHeight="1" x14ac:dyDescent="0.2">
      <c r="A43" s="8"/>
      <c r="B43" s="8"/>
      <c r="C43" s="108" t="s">
        <v>1240</v>
      </c>
      <c r="D43" s="101"/>
      <c r="E43" s="101"/>
      <c r="F43" s="102"/>
      <c r="G43" s="30"/>
      <c r="H43" s="28"/>
      <c r="I43" s="30"/>
      <c r="J43" s="28"/>
      <c r="K43" s="28"/>
      <c r="L43" s="90">
        <v>200000</v>
      </c>
      <c r="M43" s="28"/>
      <c r="N43" s="28"/>
      <c r="O43" s="53">
        <f t="shared" si="0"/>
        <v>200000</v>
      </c>
      <c r="P43" s="28"/>
      <c r="Q43" s="54">
        <f t="shared" si="1"/>
        <v>-200000</v>
      </c>
    </row>
    <row r="44" spans="1:18" ht="16.149999999999999" customHeight="1" x14ac:dyDescent="0.25">
      <c r="A44" s="8"/>
      <c r="B44" s="8"/>
      <c r="C44" s="191" t="s">
        <v>132</v>
      </c>
      <c r="D44" s="192"/>
      <c r="E44" s="192"/>
      <c r="F44" s="195"/>
      <c r="G44" s="30"/>
      <c r="H44" s="28"/>
      <c r="I44" s="30"/>
      <c r="J44" s="28"/>
      <c r="K44" s="48">
        <v>9000000</v>
      </c>
      <c r="L44" s="28"/>
      <c r="M44" s="18"/>
      <c r="N44" s="28"/>
      <c r="O44" s="53">
        <f t="shared" si="0"/>
        <v>9000000</v>
      </c>
      <c r="P44" s="28"/>
      <c r="Q44" s="54">
        <f t="shared" si="1"/>
        <v>-9000000</v>
      </c>
    </row>
    <row r="45" spans="1:18" x14ac:dyDescent="0.25">
      <c r="A45" s="166" t="s">
        <v>19</v>
      </c>
      <c r="B45" s="167"/>
      <c r="C45" s="167"/>
      <c r="D45" s="167"/>
      <c r="E45" s="167"/>
      <c r="F45" s="168"/>
      <c r="G45" s="88">
        <f t="shared" ref="G45:O45" si="4">SUM(G6:G44)</f>
        <v>2641</v>
      </c>
      <c r="H45" s="4">
        <f t="shared" si="4"/>
        <v>36245740</v>
      </c>
      <c r="I45" s="4">
        <f t="shared" si="4"/>
        <v>0</v>
      </c>
      <c r="J45" s="4">
        <f t="shared" si="4"/>
        <v>22040000</v>
      </c>
      <c r="K45" s="4">
        <f t="shared" si="4"/>
        <v>9000000</v>
      </c>
      <c r="L45" s="4">
        <f t="shared" si="4"/>
        <v>14480000</v>
      </c>
      <c r="M45" s="4">
        <f t="shared" si="4"/>
        <v>0</v>
      </c>
      <c r="N45" s="4">
        <f t="shared" si="4"/>
        <v>0</v>
      </c>
      <c r="O45" s="4">
        <f t="shared" si="4"/>
        <v>81765740</v>
      </c>
      <c r="P45" s="51">
        <f>SUM(P7:P44)</f>
        <v>104581818</v>
      </c>
      <c r="Q45" s="4">
        <f>SUM(Q6:Q44)</f>
        <v>22816078</v>
      </c>
    </row>
    <row r="46" spans="1:18" x14ac:dyDescent="0.25">
      <c r="O46" s="20"/>
      <c r="Q46" s="26"/>
    </row>
    <row r="47" spans="1:18" x14ac:dyDescent="0.25">
      <c r="P47" s="21" t="s">
        <v>20</v>
      </c>
      <c r="Q47" s="26">
        <f>Q45+'02.2020'!Q34</f>
        <v>74037338</v>
      </c>
    </row>
    <row r="50" spans="2:17" x14ac:dyDescent="0.25">
      <c r="O50" s="20"/>
      <c r="Q50" s="26"/>
    </row>
    <row r="51" spans="2:17" x14ac:dyDescent="0.25">
      <c r="P51" s="21"/>
      <c r="Q51" s="26"/>
    </row>
    <row r="52" spans="2:17" x14ac:dyDescent="0.25">
      <c r="C52" s="6" t="s">
        <v>993</v>
      </c>
    </row>
    <row r="55" spans="2:17" x14ac:dyDescent="0.25">
      <c r="B55" s="6"/>
    </row>
    <row r="56" spans="2:17" x14ac:dyDescent="0.25">
      <c r="B56" s="6"/>
    </row>
    <row r="57" spans="2:17" x14ac:dyDescent="0.25">
      <c r="B57" s="6"/>
    </row>
    <row r="58" spans="2:17" x14ac:dyDescent="0.25">
      <c r="B58" s="6"/>
      <c r="H58" s="6"/>
      <c r="J58" s="6"/>
      <c r="K58" s="6"/>
      <c r="L58" s="6"/>
      <c r="M58" s="6"/>
      <c r="N58" s="6"/>
      <c r="O58" s="6"/>
      <c r="P58" s="6"/>
      <c r="Q58" s="6"/>
    </row>
  </sheetData>
  <mergeCells count="19">
    <mergeCell ref="A1:Q1"/>
    <mergeCell ref="A2:Q2"/>
    <mergeCell ref="B3:Q3"/>
    <mergeCell ref="C38:F38"/>
    <mergeCell ref="A4:A5"/>
    <mergeCell ref="B4:B5"/>
    <mergeCell ref="C4:C5"/>
    <mergeCell ref="D4:D5"/>
    <mergeCell ref="E4:E5"/>
    <mergeCell ref="F4:F5"/>
    <mergeCell ref="G4:N4"/>
    <mergeCell ref="O4:O5"/>
    <mergeCell ref="P4:P5"/>
    <mergeCell ref="Q4:Q5"/>
    <mergeCell ref="C34:F34"/>
    <mergeCell ref="C35:F35"/>
    <mergeCell ref="C39:F39"/>
    <mergeCell ref="C44:F44"/>
    <mergeCell ref="A45:F45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53"/>
  <sheetViews>
    <sheetView topLeftCell="C19" workbookViewId="0">
      <selection activeCell="Q51" sqref="Q51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1241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2.75" customHeight="1" x14ac:dyDescent="0.25">
      <c r="A8" s="25">
        <v>1</v>
      </c>
      <c r="B8" s="44">
        <v>43922</v>
      </c>
      <c r="C8" s="10" t="s">
        <v>1242</v>
      </c>
      <c r="D8" s="12" t="s">
        <v>1264</v>
      </c>
      <c r="E8" s="10" t="s">
        <v>112</v>
      </c>
      <c r="F8" s="8"/>
      <c r="G8" s="12"/>
      <c r="H8" s="3"/>
      <c r="I8" s="12"/>
      <c r="J8" s="13">
        <v>2470000</v>
      </c>
      <c r="K8" s="18"/>
      <c r="L8" s="29"/>
      <c r="M8" s="13"/>
      <c r="N8" s="13"/>
      <c r="O8" s="53">
        <f>H8+J8+K8+L8+M8+N8</f>
        <v>2470000</v>
      </c>
      <c r="P8" s="13">
        <v>12272727</v>
      </c>
      <c r="Q8" s="54">
        <f>P8-O8</f>
        <v>9802727</v>
      </c>
      <c r="R8" s="5"/>
    </row>
    <row r="9" spans="1:18" ht="12.75" customHeight="1" x14ac:dyDescent="0.25">
      <c r="A9" s="25">
        <v>2</v>
      </c>
      <c r="B9" s="44">
        <v>43923</v>
      </c>
      <c r="C9" s="10" t="s">
        <v>1243</v>
      </c>
      <c r="D9" s="8" t="s">
        <v>849</v>
      </c>
      <c r="E9" s="10" t="s">
        <v>118</v>
      </c>
      <c r="F9" s="8"/>
      <c r="G9" s="12">
        <v>220</v>
      </c>
      <c r="H9" s="3">
        <f>G9*11250</f>
        <v>2475000</v>
      </c>
      <c r="I9" s="12"/>
      <c r="J9" s="13">
        <v>1250000</v>
      </c>
      <c r="K9" s="18"/>
      <c r="L9" s="99"/>
      <c r="M9" s="3"/>
      <c r="N9" s="3"/>
      <c r="O9" s="53">
        <f t="shared" ref="O9:O41" si="0">H9+J9+K9+L9+M9+N9</f>
        <v>3725000</v>
      </c>
      <c r="P9" s="3">
        <v>4900000</v>
      </c>
      <c r="Q9" s="54">
        <f t="shared" ref="Q9:Q41" si="1">P9-O9</f>
        <v>1175000</v>
      </c>
      <c r="R9" s="5"/>
    </row>
    <row r="10" spans="1:18" ht="12.75" customHeight="1" x14ac:dyDescent="0.25">
      <c r="A10" s="25">
        <v>3</v>
      </c>
      <c r="B10" s="44">
        <v>43924</v>
      </c>
      <c r="C10" s="10" t="s">
        <v>1244</v>
      </c>
      <c r="D10" s="8" t="s">
        <v>1265</v>
      </c>
      <c r="E10" s="10" t="s">
        <v>331</v>
      </c>
      <c r="F10" s="8"/>
      <c r="G10" s="12"/>
      <c r="H10" s="3">
        <f t="shared" ref="H10:H16" si="2">G10*11250</f>
        <v>0</v>
      </c>
      <c r="I10" s="12"/>
      <c r="J10" s="13">
        <v>930000</v>
      </c>
      <c r="K10" s="18"/>
      <c r="L10" s="99"/>
      <c r="M10" s="3"/>
      <c r="N10" s="3"/>
      <c r="O10" s="53">
        <f t="shared" si="0"/>
        <v>930000</v>
      </c>
      <c r="P10" s="3">
        <v>3200000</v>
      </c>
      <c r="Q10" s="54">
        <f t="shared" si="1"/>
        <v>2270000</v>
      </c>
      <c r="R10" s="5"/>
    </row>
    <row r="11" spans="1:18" ht="12.75" customHeight="1" x14ac:dyDescent="0.25">
      <c r="A11" s="25">
        <v>4</v>
      </c>
      <c r="B11" s="44">
        <v>43925</v>
      </c>
      <c r="C11" s="10" t="s">
        <v>1245</v>
      </c>
      <c r="D11" s="8" t="s">
        <v>1266</v>
      </c>
      <c r="E11" s="10" t="s">
        <v>1286</v>
      </c>
      <c r="F11" s="8"/>
      <c r="G11" s="12">
        <v>206</v>
      </c>
      <c r="H11" s="3">
        <f t="shared" si="2"/>
        <v>2317500</v>
      </c>
      <c r="I11" s="12"/>
      <c r="J11" s="13">
        <v>680000</v>
      </c>
      <c r="K11" s="18"/>
      <c r="L11" s="99"/>
      <c r="M11" s="3"/>
      <c r="N11" s="3"/>
      <c r="O11" s="53">
        <f t="shared" si="0"/>
        <v>2997500</v>
      </c>
      <c r="P11" s="3">
        <v>3400000</v>
      </c>
      <c r="Q11" s="54">
        <f t="shared" si="1"/>
        <v>402500</v>
      </c>
      <c r="R11" s="5"/>
    </row>
    <row r="12" spans="1:18" ht="12.75" customHeight="1" x14ac:dyDescent="0.25">
      <c r="A12" s="25">
        <v>5</v>
      </c>
      <c r="B12" s="44">
        <v>43926</v>
      </c>
      <c r="C12" s="10" t="s">
        <v>1246</v>
      </c>
      <c r="D12" s="8" t="s">
        <v>1267</v>
      </c>
      <c r="E12" s="10" t="s">
        <v>330</v>
      </c>
      <c r="F12" s="8"/>
      <c r="G12" s="12"/>
      <c r="H12" s="3">
        <f t="shared" si="2"/>
        <v>0</v>
      </c>
      <c r="I12" s="12"/>
      <c r="J12" s="13">
        <v>680000</v>
      </c>
      <c r="K12" s="18"/>
      <c r="L12" s="99"/>
      <c r="M12" s="3"/>
      <c r="N12" s="3"/>
      <c r="O12" s="53">
        <f t="shared" si="0"/>
        <v>680000</v>
      </c>
      <c r="P12" s="3">
        <v>3200000</v>
      </c>
      <c r="Q12" s="54">
        <f t="shared" si="1"/>
        <v>2520000</v>
      </c>
      <c r="R12" s="5"/>
    </row>
    <row r="13" spans="1:18" ht="12.75" customHeight="1" x14ac:dyDescent="0.25">
      <c r="A13" s="25">
        <v>6</v>
      </c>
      <c r="B13" s="44">
        <v>43927</v>
      </c>
      <c r="C13" s="10" t="s">
        <v>1247</v>
      </c>
      <c r="D13" s="8" t="s">
        <v>1268</v>
      </c>
      <c r="E13" s="10" t="s">
        <v>330</v>
      </c>
      <c r="F13" s="8"/>
      <c r="G13" s="12"/>
      <c r="H13" s="3">
        <f t="shared" si="2"/>
        <v>0</v>
      </c>
      <c r="I13" s="12"/>
      <c r="J13" s="13">
        <v>680000</v>
      </c>
      <c r="K13" s="18"/>
      <c r="L13" s="99"/>
      <c r="M13" s="3"/>
      <c r="N13" s="3"/>
      <c r="O13" s="53">
        <f t="shared" si="0"/>
        <v>680000</v>
      </c>
      <c r="P13" s="3">
        <v>3200000</v>
      </c>
      <c r="Q13" s="54">
        <f t="shared" si="1"/>
        <v>2520000</v>
      </c>
      <c r="R13" s="5"/>
    </row>
    <row r="14" spans="1:18" ht="12.75" customHeight="1" x14ac:dyDescent="0.25">
      <c r="A14" s="25">
        <v>7</v>
      </c>
      <c r="B14" s="44">
        <v>43928</v>
      </c>
      <c r="C14" s="10" t="s">
        <v>1248</v>
      </c>
      <c r="D14" s="8" t="s">
        <v>1269</v>
      </c>
      <c r="E14" s="10" t="s">
        <v>330</v>
      </c>
      <c r="F14" s="8"/>
      <c r="G14" s="12">
        <v>290</v>
      </c>
      <c r="H14" s="3">
        <f t="shared" si="2"/>
        <v>3262500</v>
      </c>
      <c r="I14" s="12"/>
      <c r="J14" s="13">
        <v>680000</v>
      </c>
      <c r="K14" s="18"/>
      <c r="L14" s="99"/>
      <c r="M14" s="3"/>
      <c r="N14" s="3"/>
      <c r="O14" s="53">
        <f t="shared" si="0"/>
        <v>3942500</v>
      </c>
      <c r="P14" s="3">
        <v>3200000</v>
      </c>
      <c r="Q14" s="54">
        <f t="shared" si="1"/>
        <v>-742500</v>
      </c>
      <c r="R14" s="5"/>
    </row>
    <row r="15" spans="1:18" ht="12.75" customHeight="1" x14ac:dyDescent="0.25">
      <c r="A15" s="25">
        <v>8</v>
      </c>
      <c r="B15" s="44">
        <v>43930</v>
      </c>
      <c r="C15" s="10" t="s">
        <v>1249</v>
      </c>
      <c r="D15" s="8" t="s">
        <v>1270</v>
      </c>
      <c r="E15" s="10" t="s">
        <v>112</v>
      </c>
      <c r="F15" s="8"/>
      <c r="G15" s="12">
        <v>100</v>
      </c>
      <c r="H15" s="3">
        <f t="shared" si="2"/>
        <v>1125000</v>
      </c>
      <c r="I15" s="12"/>
      <c r="J15" s="13">
        <v>2470000</v>
      </c>
      <c r="K15" s="18"/>
      <c r="L15" s="99"/>
      <c r="M15" s="3"/>
      <c r="N15" s="3"/>
      <c r="O15" s="53">
        <f t="shared" si="0"/>
        <v>3595000</v>
      </c>
      <c r="P15" s="3">
        <v>12272727</v>
      </c>
      <c r="Q15" s="54">
        <f t="shared" si="1"/>
        <v>8677727</v>
      </c>
      <c r="R15" s="5"/>
    </row>
    <row r="16" spans="1:18" ht="12.75" customHeight="1" x14ac:dyDescent="0.25">
      <c r="A16" s="25">
        <v>9</v>
      </c>
      <c r="B16" s="44">
        <v>43931</v>
      </c>
      <c r="C16" s="10" t="s">
        <v>1250</v>
      </c>
      <c r="D16" s="8" t="s">
        <v>1271</v>
      </c>
      <c r="E16" s="10" t="s">
        <v>1038</v>
      </c>
      <c r="F16" s="8"/>
      <c r="G16" s="12">
        <v>265</v>
      </c>
      <c r="H16" s="3">
        <f t="shared" si="2"/>
        <v>2981250</v>
      </c>
      <c r="I16" s="12"/>
      <c r="J16" s="13">
        <v>680000</v>
      </c>
      <c r="K16" s="18"/>
      <c r="L16" s="99"/>
      <c r="M16" s="3"/>
      <c r="N16" s="3"/>
      <c r="O16" s="53">
        <f t="shared" si="0"/>
        <v>3661250</v>
      </c>
      <c r="P16" s="3">
        <v>2600000</v>
      </c>
      <c r="Q16" s="54">
        <f t="shared" si="1"/>
        <v>-1061250</v>
      </c>
      <c r="R16" s="5"/>
    </row>
    <row r="17" spans="1:18" ht="12.75" customHeight="1" x14ac:dyDescent="0.25">
      <c r="A17" s="25">
        <v>10</v>
      </c>
      <c r="B17" s="44">
        <v>43933</v>
      </c>
      <c r="C17" s="10" t="s">
        <v>1251</v>
      </c>
      <c r="D17" s="8" t="s">
        <v>1272</v>
      </c>
      <c r="E17" s="10" t="s">
        <v>330</v>
      </c>
      <c r="F17" s="8"/>
      <c r="G17" s="12"/>
      <c r="H17" s="3"/>
      <c r="I17" s="12"/>
      <c r="J17" s="13">
        <v>680000</v>
      </c>
      <c r="K17" s="18"/>
      <c r="L17" s="99"/>
      <c r="M17" s="3"/>
      <c r="N17" s="3"/>
      <c r="O17" s="53">
        <f t="shared" si="0"/>
        <v>680000</v>
      </c>
      <c r="P17" s="3">
        <v>3200000</v>
      </c>
      <c r="Q17" s="54">
        <f t="shared" si="1"/>
        <v>2520000</v>
      </c>
      <c r="R17" s="5"/>
    </row>
    <row r="18" spans="1:18" ht="12.75" customHeight="1" x14ac:dyDescent="0.25">
      <c r="A18" s="25">
        <v>11</v>
      </c>
      <c r="B18" s="44">
        <v>43934</v>
      </c>
      <c r="C18" s="10" t="s">
        <v>1252</v>
      </c>
      <c r="D18" s="12" t="s">
        <v>1273</v>
      </c>
      <c r="E18" s="10" t="s">
        <v>330</v>
      </c>
      <c r="F18" s="8"/>
      <c r="G18" s="12"/>
      <c r="H18" s="3"/>
      <c r="I18" s="12"/>
      <c r="J18" s="13">
        <v>680000</v>
      </c>
      <c r="K18" s="18"/>
      <c r="L18" s="99"/>
      <c r="M18" s="3"/>
      <c r="N18" s="3"/>
      <c r="O18" s="53">
        <f t="shared" si="0"/>
        <v>680000</v>
      </c>
      <c r="P18" s="3">
        <v>3200000</v>
      </c>
      <c r="Q18" s="54">
        <f t="shared" si="1"/>
        <v>2520000</v>
      </c>
      <c r="R18" s="5"/>
    </row>
    <row r="19" spans="1:18" ht="12.75" customHeight="1" x14ac:dyDescent="0.25">
      <c r="A19" s="25">
        <v>12</v>
      </c>
      <c r="B19" s="44">
        <v>43935</v>
      </c>
      <c r="C19" s="10" t="s">
        <v>1253</v>
      </c>
      <c r="D19" s="8" t="s">
        <v>1274</v>
      </c>
      <c r="E19" s="10" t="s">
        <v>330</v>
      </c>
      <c r="F19" s="8"/>
      <c r="G19" s="12"/>
      <c r="H19" s="3"/>
      <c r="I19" s="12"/>
      <c r="J19" s="13">
        <v>680000</v>
      </c>
      <c r="K19" s="18"/>
      <c r="L19" s="99"/>
      <c r="M19" s="3"/>
      <c r="N19" s="3"/>
      <c r="O19" s="53">
        <f t="shared" si="0"/>
        <v>680000</v>
      </c>
      <c r="P19" s="3">
        <v>3200000</v>
      </c>
      <c r="Q19" s="54">
        <f t="shared" si="1"/>
        <v>2520000</v>
      </c>
      <c r="R19" s="5"/>
    </row>
    <row r="20" spans="1:18" ht="12.75" customHeight="1" x14ac:dyDescent="0.25">
      <c r="A20" s="25">
        <v>13</v>
      </c>
      <c r="B20" s="44">
        <v>43936</v>
      </c>
      <c r="C20" s="10" t="s">
        <v>1254</v>
      </c>
      <c r="D20" s="8" t="s">
        <v>1275</v>
      </c>
      <c r="E20" s="10" t="s">
        <v>1287</v>
      </c>
      <c r="F20" s="8"/>
      <c r="G20" s="12">
        <v>270</v>
      </c>
      <c r="H20" s="3">
        <f>G20*10820</f>
        <v>2921400</v>
      </c>
      <c r="I20" s="12"/>
      <c r="J20" s="13">
        <v>680000</v>
      </c>
      <c r="K20" s="18"/>
      <c r="L20" s="99"/>
      <c r="M20" s="3"/>
      <c r="N20" s="3"/>
      <c r="O20" s="53">
        <f t="shared" si="0"/>
        <v>3601400</v>
      </c>
      <c r="P20" s="3">
        <v>2800000</v>
      </c>
      <c r="Q20" s="54">
        <f t="shared" si="1"/>
        <v>-801400</v>
      </c>
      <c r="R20" s="5"/>
    </row>
    <row r="21" spans="1:18" ht="12.75" customHeight="1" x14ac:dyDescent="0.25">
      <c r="A21" s="25">
        <v>14</v>
      </c>
      <c r="B21" s="44">
        <v>43937</v>
      </c>
      <c r="C21" s="10" t="s">
        <v>1255</v>
      </c>
      <c r="D21" s="8" t="s">
        <v>1276</v>
      </c>
      <c r="E21" s="10" t="s">
        <v>331</v>
      </c>
      <c r="F21" s="8"/>
      <c r="G21" s="12"/>
      <c r="H21" s="3">
        <f t="shared" ref="H21:H30" si="3">G21*10820</f>
        <v>0</v>
      </c>
      <c r="I21" s="12"/>
      <c r="J21" s="13">
        <v>930000</v>
      </c>
      <c r="K21" s="18"/>
      <c r="L21" s="99"/>
      <c r="M21" s="3"/>
      <c r="N21" s="3"/>
      <c r="O21" s="53">
        <f t="shared" si="0"/>
        <v>930000</v>
      </c>
      <c r="P21" s="3">
        <v>3200000</v>
      </c>
      <c r="Q21" s="54">
        <f t="shared" si="1"/>
        <v>2270000</v>
      </c>
      <c r="R21" s="5"/>
    </row>
    <row r="22" spans="1:18" ht="12.75" customHeight="1" x14ac:dyDescent="0.25">
      <c r="A22" s="25">
        <v>15</v>
      </c>
      <c r="B22" s="44">
        <v>43938</v>
      </c>
      <c r="C22" s="10" t="s">
        <v>1256</v>
      </c>
      <c r="D22" s="8" t="s">
        <v>1277</v>
      </c>
      <c r="E22" s="10" t="s">
        <v>1287</v>
      </c>
      <c r="F22" s="8"/>
      <c r="G22" s="12"/>
      <c r="H22" s="3">
        <f t="shared" si="3"/>
        <v>0</v>
      </c>
      <c r="I22" s="12"/>
      <c r="J22" s="13">
        <v>680000</v>
      </c>
      <c r="K22" s="18"/>
      <c r="L22" s="99"/>
      <c r="M22" s="3"/>
      <c r="N22" s="3"/>
      <c r="O22" s="53">
        <f t="shared" si="0"/>
        <v>680000</v>
      </c>
      <c r="P22" s="3">
        <v>2800000</v>
      </c>
      <c r="Q22" s="54">
        <f t="shared" si="1"/>
        <v>2120000</v>
      </c>
      <c r="R22" s="5"/>
    </row>
    <row r="23" spans="1:18" ht="12.75" customHeight="1" x14ac:dyDescent="0.25">
      <c r="A23" s="25">
        <v>16</v>
      </c>
      <c r="B23" s="44">
        <v>43940</v>
      </c>
      <c r="C23" s="10" t="s">
        <v>1257</v>
      </c>
      <c r="D23" s="8" t="s">
        <v>1278</v>
      </c>
      <c r="E23" s="10" t="s">
        <v>330</v>
      </c>
      <c r="F23" s="8"/>
      <c r="G23" s="12">
        <v>276</v>
      </c>
      <c r="H23" s="3">
        <f t="shared" si="3"/>
        <v>2986320</v>
      </c>
      <c r="I23" s="12"/>
      <c r="J23" s="13">
        <v>680000</v>
      </c>
      <c r="K23" s="18"/>
      <c r="L23" s="99"/>
      <c r="M23" s="3"/>
      <c r="N23" s="3"/>
      <c r="O23" s="53">
        <f t="shared" si="0"/>
        <v>3666320</v>
      </c>
      <c r="P23" s="3">
        <v>3200000</v>
      </c>
      <c r="Q23" s="54">
        <f t="shared" si="1"/>
        <v>-466320</v>
      </c>
      <c r="R23" s="5"/>
    </row>
    <row r="24" spans="1:18" ht="12.75" customHeight="1" x14ac:dyDescent="0.25">
      <c r="A24" s="25">
        <v>17</v>
      </c>
      <c r="B24" s="44">
        <v>43941</v>
      </c>
      <c r="C24" s="10" t="s">
        <v>1258</v>
      </c>
      <c r="D24" s="8" t="s">
        <v>1279</v>
      </c>
      <c r="E24" s="10" t="s">
        <v>330</v>
      </c>
      <c r="F24" s="8"/>
      <c r="G24" s="12">
        <v>90</v>
      </c>
      <c r="H24" s="3">
        <f t="shared" si="3"/>
        <v>973800</v>
      </c>
      <c r="I24" s="12"/>
      <c r="J24" s="13">
        <v>680000</v>
      </c>
      <c r="K24" s="18"/>
      <c r="L24" s="99"/>
      <c r="M24" s="3"/>
      <c r="N24" s="3"/>
      <c r="O24" s="53">
        <f t="shared" si="0"/>
        <v>1653800</v>
      </c>
      <c r="P24" s="3">
        <v>3200000</v>
      </c>
      <c r="Q24" s="54">
        <f t="shared" si="1"/>
        <v>1546200</v>
      </c>
      <c r="R24" s="5"/>
    </row>
    <row r="25" spans="1:18" ht="12.75" customHeight="1" x14ac:dyDescent="0.25">
      <c r="A25" s="25">
        <v>18</v>
      </c>
      <c r="B25" s="44">
        <v>43942</v>
      </c>
      <c r="C25" s="10" t="s">
        <v>1259</v>
      </c>
      <c r="D25" s="8" t="s">
        <v>1280</v>
      </c>
      <c r="E25" s="10" t="s">
        <v>258</v>
      </c>
      <c r="F25" s="8"/>
      <c r="G25" s="12"/>
      <c r="H25" s="3">
        <f t="shared" si="3"/>
        <v>0</v>
      </c>
      <c r="I25" s="12"/>
      <c r="J25" s="13">
        <v>1720000</v>
      </c>
      <c r="K25" s="18"/>
      <c r="L25" s="99"/>
      <c r="M25" s="3"/>
      <c r="N25" s="3"/>
      <c r="O25" s="53">
        <f t="shared" si="0"/>
        <v>1720000</v>
      </c>
      <c r="P25" s="3">
        <v>8818182</v>
      </c>
      <c r="Q25" s="54">
        <f t="shared" si="1"/>
        <v>7098182</v>
      </c>
      <c r="R25" s="5"/>
    </row>
    <row r="26" spans="1:18" ht="12.75" customHeight="1" x14ac:dyDescent="0.25">
      <c r="A26" s="25">
        <v>19</v>
      </c>
      <c r="B26" s="44">
        <v>43943</v>
      </c>
      <c r="C26" s="10" t="s">
        <v>1260</v>
      </c>
      <c r="D26" s="8" t="s">
        <v>1281</v>
      </c>
      <c r="E26" s="10" t="s">
        <v>330</v>
      </c>
      <c r="F26" s="8"/>
      <c r="G26" s="12">
        <v>250</v>
      </c>
      <c r="H26" s="3">
        <f t="shared" si="3"/>
        <v>2705000</v>
      </c>
      <c r="I26" s="12"/>
      <c r="J26" s="13">
        <v>680000</v>
      </c>
      <c r="K26" s="18"/>
      <c r="L26" s="99"/>
      <c r="M26" s="3"/>
      <c r="N26" s="3"/>
      <c r="O26" s="53">
        <f t="shared" si="0"/>
        <v>3385000</v>
      </c>
      <c r="P26" s="3">
        <v>3200000</v>
      </c>
      <c r="Q26" s="54">
        <f t="shared" si="1"/>
        <v>-185000</v>
      </c>
      <c r="R26" s="5"/>
    </row>
    <row r="27" spans="1:18" ht="12.75" customHeight="1" x14ac:dyDescent="0.25">
      <c r="A27" s="25">
        <v>20</v>
      </c>
      <c r="B27" s="44">
        <v>43944</v>
      </c>
      <c r="C27" s="10" t="s">
        <v>590</v>
      </c>
      <c r="D27" s="8" t="s">
        <v>1282</v>
      </c>
      <c r="E27" s="10" t="s">
        <v>112</v>
      </c>
      <c r="F27" s="8"/>
      <c r="G27" s="12">
        <v>216</v>
      </c>
      <c r="H27" s="3">
        <f t="shared" si="3"/>
        <v>2337120</v>
      </c>
      <c r="I27" s="12"/>
      <c r="J27" s="13">
        <v>2470000</v>
      </c>
      <c r="K27" s="18"/>
      <c r="L27" s="99"/>
      <c r="M27" s="3"/>
      <c r="N27" s="3"/>
      <c r="O27" s="53">
        <f t="shared" si="0"/>
        <v>4807120</v>
      </c>
      <c r="P27" s="3">
        <v>12272727</v>
      </c>
      <c r="Q27" s="54">
        <f t="shared" si="1"/>
        <v>7465607</v>
      </c>
      <c r="R27" s="5"/>
    </row>
    <row r="28" spans="1:18" ht="12.75" customHeight="1" x14ac:dyDescent="0.25">
      <c r="A28" s="25">
        <v>21</v>
      </c>
      <c r="B28" s="44">
        <v>43945</v>
      </c>
      <c r="C28" s="10" t="s">
        <v>1261</v>
      </c>
      <c r="D28" s="8" t="s">
        <v>1283</v>
      </c>
      <c r="E28" s="10" t="s">
        <v>799</v>
      </c>
      <c r="F28" s="8"/>
      <c r="G28" s="12"/>
      <c r="H28" s="3"/>
      <c r="I28" s="12"/>
      <c r="J28" s="13">
        <v>680000</v>
      </c>
      <c r="K28" s="18"/>
      <c r="L28" s="99"/>
      <c r="M28" s="3"/>
      <c r="N28" s="3"/>
      <c r="O28" s="53">
        <f t="shared" si="0"/>
        <v>680000</v>
      </c>
      <c r="P28" s="3">
        <v>3700000</v>
      </c>
      <c r="Q28" s="54">
        <f t="shared" si="1"/>
        <v>3020000</v>
      </c>
      <c r="R28" s="5"/>
    </row>
    <row r="29" spans="1:18" ht="12.75" customHeight="1" x14ac:dyDescent="0.25">
      <c r="A29" s="25">
        <v>22</v>
      </c>
      <c r="B29" s="44">
        <v>43949</v>
      </c>
      <c r="C29" s="10" t="s">
        <v>1262</v>
      </c>
      <c r="D29" s="12" t="s">
        <v>1284</v>
      </c>
      <c r="E29" s="111" t="s">
        <v>1288</v>
      </c>
      <c r="F29" s="12"/>
      <c r="G29" s="98">
        <v>115</v>
      </c>
      <c r="H29" s="57">
        <f t="shared" si="3"/>
        <v>1244300</v>
      </c>
      <c r="I29" s="12"/>
      <c r="J29" s="13">
        <f>200000+100000</f>
        <v>300000</v>
      </c>
      <c r="K29" s="18"/>
      <c r="L29" s="99"/>
      <c r="M29" s="3"/>
      <c r="N29" s="3"/>
      <c r="O29" s="53">
        <f t="shared" si="0"/>
        <v>1544300</v>
      </c>
      <c r="P29" s="57">
        <f>2040000/1.1</f>
        <v>1854545.4545454544</v>
      </c>
      <c r="Q29" s="54">
        <f t="shared" si="1"/>
        <v>310245.45454545435</v>
      </c>
      <c r="R29" s="5"/>
    </row>
    <row r="30" spans="1:18" ht="12.75" customHeight="1" x14ac:dyDescent="0.25">
      <c r="A30" s="25">
        <v>23</v>
      </c>
      <c r="B30" s="44">
        <v>43950</v>
      </c>
      <c r="C30" s="10" t="s">
        <v>1263</v>
      </c>
      <c r="D30" s="8" t="s">
        <v>1285</v>
      </c>
      <c r="E30" s="10" t="s">
        <v>112</v>
      </c>
      <c r="F30" s="8"/>
      <c r="G30" s="98">
        <v>230</v>
      </c>
      <c r="H30" s="57">
        <f t="shared" si="3"/>
        <v>2488600</v>
      </c>
      <c r="I30" s="12"/>
      <c r="J30" s="13">
        <v>2470000</v>
      </c>
      <c r="K30" s="18"/>
      <c r="L30" s="99"/>
      <c r="M30" s="3"/>
      <c r="N30" s="3"/>
      <c r="O30" s="53">
        <f t="shared" si="0"/>
        <v>4958600</v>
      </c>
      <c r="P30" s="3">
        <v>12272727</v>
      </c>
      <c r="Q30" s="54">
        <f t="shared" si="1"/>
        <v>7314127</v>
      </c>
      <c r="R30" s="5"/>
    </row>
    <row r="31" spans="1:18" ht="12.75" customHeight="1" x14ac:dyDescent="0.25">
      <c r="A31" s="25"/>
      <c r="B31" s="44"/>
      <c r="C31" s="10"/>
      <c r="D31" s="12"/>
      <c r="E31" s="10"/>
      <c r="F31" s="8"/>
      <c r="G31" s="12"/>
      <c r="H31" s="3"/>
      <c r="I31" s="12"/>
      <c r="J31" s="13"/>
      <c r="K31" s="18"/>
      <c r="L31" s="29"/>
      <c r="M31" s="13"/>
      <c r="N31" s="13"/>
      <c r="O31" s="53">
        <f t="shared" si="0"/>
        <v>0</v>
      </c>
      <c r="P31" s="13"/>
      <c r="Q31" s="54">
        <f t="shared" si="1"/>
        <v>0</v>
      </c>
      <c r="R31" s="5"/>
    </row>
    <row r="32" spans="1:18" ht="16.149999999999999" customHeight="1" x14ac:dyDescent="0.25">
      <c r="A32" s="8"/>
      <c r="B32" s="8"/>
      <c r="C32" s="182" t="s">
        <v>131</v>
      </c>
      <c r="D32" s="183"/>
      <c r="E32" s="183"/>
      <c r="F32" s="184"/>
      <c r="G32" s="30"/>
      <c r="H32" s="28"/>
      <c r="I32" s="30"/>
      <c r="J32" s="28"/>
      <c r="K32" s="28"/>
      <c r="L32" s="28">
        <f>1200000*1.1</f>
        <v>1320000</v>
      </c>
      <c r="M32" s="28"/>
      <c r="N32" s="28"/>
      <c r="O32" s="53">
        <f t="shared" si="0"/>
        <v>1320000</v>
      </c>
      <c r="P32" s="28"/>
      <c r="Q32" s="54">
        <f t="shared" si="1"/>
        <v>-1320000</v>
      </c>
    </row>
    <row r="33" spans="1:17" ht="16.149999999999999" customHeight="1" x14ac:dyDescent="0.25">
      <c r="A33" s="8"/>
      <c r="B33" s="8"/>
      <c r="C33" s="196" t="s">
        <v>1289</v>
      </c>
      <c r="D33" s="197"/>
      <c r="E33" s="197"/>
      <c r="F33" s="198"/>
      <c r="G33" s="30"/>
      <c r="H33" s="28"/>
      <c r="I33" s="30"/>
      <c r="J33" s="28"/>
      <c r="K33" s="28"/>
      <c r="L33" s="28">
        <v>500000</v>
      </c>
      <c r="M33" s="28"/>
      <c r="N33" s="28"/>
      <c r="O33" s="53">
        <f t="shared" si="0"/>
        <v>500000</v>
      </c>
      <c r="P33" s="28"/>
      <c r="Q33" s="54">
        <f t="shared" si="1"/>
        <v>-500000</v>
      </c>
    </row>
    <row r="34" spans="1:17" ht="16.149999999999999" customHeight="1" x14ac:dyDescent="0.25">
      <c r="A34" s="8"/>
      <c r="B34" s="8"/>
      <c r="C34" s="100" t="s">
        <v>1290</v>
      </c>
      <c r="D34" s="101"/>
      <c r="E34" s="101"/>
      <c r="F34" s="102"/>
      <c r="G34" s="30"/>
      <c r="H34" s="28"/>
      <c r="I34" s="30"/>
      <c r="J34" s="28"/>
      <c r="K34" s="28"/>
      <c r="L34" s="28">
        <v>170000</v>
      </c>
      <c r="M34" s="28"/>
      <c r="N34" s="28"/>
      <c r="O34" s="53">
        <f t="shared" si="0"/>
        <v>170000</v>
      </c>
      <c r="P34" s="28"/>
      <c r="Q34" s="54">
        <f t="shared" si="1"/>
        <v>-170000</v>
      </c>
    </row>
    <row r="35" spans="1:17" ht="16.149999999999999" customHeight="1" x14ac:dyDescent="0.25">
      <c r="A35" s="8"/>
      <c r="B35" s="8"/>
      <c r="C35" s="196" t="s">
        <v>1291</v>
      </c>
      <c r="D35" s="197"/>
      <c r="E35" s="197"/>
      <c r="F35" s="198"/>
      <c r="G35" s="30"/>
      <c r="H35" s="28"/>
      <c r="I35" s="30"/>
      <c r="J35" s="28"/>
      <c r="K35" s="28"/>
      <c r="L35" s="28">
        <v>150000</v>
      </c>
      <c r="M35" s="28"/>
      <c r="N35" s="28"/>
      <c r="O35" s="53">
        <f t="shared" si="0"/>
        <v>150000</v>
      </c>
      <c r="P35" s="28"/>
      <c r="Q35" s="54">
        <f t="shared" si="1"/>
        <v>-150000</v>
      </c>
    </row>
    <row r="36" spans="1:17" ht="36.75" customHeight="1" x14ac:dyDescent="0.25">
      <c r="A36" s="8"/>
      <c r="B36" s="8"/>
      <c r="C36" s="196" t="s">
        <v>1292</v>
      </c>
      <c r="D36" s="197"/>
      <c r="E36" s="197"/>
      <c r="F36" s="198"/>
      <c r="G36" s="30"/>
      <c r="H36" s="28"/>
      <c r="I36" s="30"/>
      <c r="J36" s="28"/>
      <c r="K36" s="28"/>
      <c r="L36" s="28">
        <v>150000</v>
      </c>
      <c r="M36" s="28"/>
      <c r="N36" s="28"/>
      <c r="O36" s="53">
        <f t="shared" si="0"/>
        <v>150000</v>
      </c>
      <c r="P36" s="28"/>
      <c r="Q36" s="54">
        <f t="shared" si="1"/>
        <v>-150000</v>
      </c>
    </row>
    <row r="37" spans="1:17" ht="16.149999999999999" customHeight="1" x14ac:dyDescent="0.25">
      <c r="A37" s="8"/>
      <c r="B37" s="8"/>
      <c r="C37" s="196" t="s">
        <v>1293</v>
      </c>
      <c r="D37" s="197"/>
      <c r="E37" s="197"/>
      <c r="F37" s="198"/>
      <c r="G37" s="30"/>
      <c r="H37" s="28"/>
      <c r="I37" s="30"/>
      <c r="J37" s="28"/>
      <c r="K37" s="28"/>
      <c r="L37" s="28">
        <v>400000</v>
      </c>
      <c r="M37" s="28"/>
      <c r="N37" s="28"/>
      <c r="O37" s="53">
        <f t="shared" si="0"/>
        <v>400000</v>
      </c>
      <c r="P37" s="28"/>
      <c r="Q37" s="54">
        <f t="shared" si="1"/>
        <v>-400000</v>
      </c>
    </row>
    <row r="38" spans="1:17" ht="16.149999999999999" customHeight="1" x14ac:dyDescent="0.25">
      <c r="A38" s="8"/>
      <c r="B38" s="8"/>
      <c r="C38" s="202" t="s">
        <v>1295</v>
      </c>
      <c r="D38" s="203"/>
      <c r="E38" s="203"/>
      <c r="F38" s="204"/>
      <c r="G38" s="30"/>
      <c r="H38" s="28"/>
      <c r="I38" s="30"/>
      <c r="J38" s="28"/>
      <c r="K38" s="28"/>
      <c r="L38" s="28">
        <v>550000</v>
      </c>
      <c r="M38" s="28"/>
      <c r="N38" s="28"/>
      <c r="O38" s="53">
        <f t="shared" si="0"/>
        <v>550000</v>
      </c>
      <c r="P38" s="28"/>
      <c r="Q38" s="54">
        <f t="shared" si="1"/>
        <v>-550000</v>
      </c>
    </row>
    <row r="39" spans="1:17" ht="16.149999999999999" customHeight="1" x14ac:dyDescent="0.2">
      <c r="A39" s="8"/>
      <c r="B39" s="8"/>
      <c r="C39" s="107" t="s">
        <v>1294</v>
      </c>
      <c r="D39" s="101"/>
      <c r="E39" s="101"/>
      <c r="F39" s="102"/>
      <c r="G39" s="30"/>
      <c r="H39" s="28"/>
      <c r="I39" s="30"/>
      <c r="J39" s="28"/>
      <c r="K39" s="28"/>
      <c r="L39" s="28">
        <v>140000</v>
      </c>
      <c r="M39" s="28"/>
      <c r="N39" s="28"/>
      <c r="O39" s="53">
        <f t="shared" si="0"/>
        <v>140000</v>
      </c>
      <c r="P39" s="28"/>
      <c r="Q39" s="54">
        <f t="shared" si="1"/>
        <v>-140000</v>
      </c>
    </row>
    <row r="40" spans="1:17" ht="16.149999999999999" customHeight="1" x14ac:dyDescent="0.2">
      <c r="A40" s="8"/>
      <c r="B40" s="8"/>
      <c r="C40" s="107" t="s">
        <v>1296</v>
      </c>
      <c r="D40" s="101"/>
      <c r="E40" s="101"/>
      <c r="F40" s="102"/>
      <c r="G40" s="30"/>
      <c r="H40" s="28"/>
      <c r="I40" s="30"/>
      <c r="J40" s="28"/>
      <c r="K40" s="28"/>
      <c r="L40" s="28"/>
      <c r="M40" s="28"/>
      <c r="N40" s="48">
        <f>11900000/4</f>
        <v>2975000</v>
      </c>
      <c r="O40" s="53">
        <f t="shared" si="0"/>
        <v>2975000</v>
      </c>
      <c r="P40" s="28"/>
      <c r="Q40" s="54">
        <f t="shared" si="1"/>
        <v>-2975000</v>
      </c>
    </row>
    <row r="41" spans="1:17" ht="16.149999999999999" customHeight="1" x14ac:dyDescent="0.25">
      <c r="A41" s="8"/>
      <c r="B41" s="8"/>
      <c r="C41" s="191" t="s">
        <v>132</v>
      </c>
      <c r="D41" s="192"/>
      <c r="E41" s="192"/>
      <c r="F41" s="195"/>
      <c r="G41" s="30"/>
      <c r="H41" s="28"/>
      <c r="I41" s="30"/>
      <c r="J41" s="28"/>
      <c r="K41" s="28">
        <v>9346154</v>
      </c>
      <c r="L41" s="28"/>
      <c r="M41" s="28"/>
      <c r="N41" s="28"/>
      <c r="O41" s="53">
        <f t="shared" si="0"/>
        <v>9346154</v>
      </c>
      <c r="P41" s="28"/>
      <c r="Q41" s="54">
        <f t="shared" si="1"/>
        <v>-9346154</v>
      </c>
    </row>
    <row r="42" spans="1:17" x14ac:dyDescent="0.25">
      <c r="A42" s="166" t="s">
        <v>19</v>
      </c>
      <c r="B42" s="167"/>
      <c r="C42" s="167"/>
      <c r="D42" s="167"/>
      <c r="E42" s="167"/>
      <c r="F42" s="168"/>
      <c r="G42" s="88">
        <f t="shared" ref="G42:O42" si="4">SUM(G7:G41)</f>
        <v>2528</v>
      </c>
      <c r="H42" s="4">
        <f t="shared" si="4"/>
        <v>27817790</v>
      </c>
      <c r="I42" s="4">
        <f t="shared" si="4"/>
        <v>0</v>
      </c>
      <c r="J42" s="4">
        <f t="shared" si="4"/>
        <v>24530000</v>
      </c>
      <c r="K42" s="4">
        <f t="shared" si="4"/>
        <v>9346154</v>
      </c>
      <c r="L42" s="4">
        <f t="shared" si="4"/>
        <v>3380000</v>
      </c>
      <c r="M42" s="4">
        <f t="shared" si="4"/>
        <v>0</v>
      </c>
      <c r="N42" s="4">
        <f t="shared" si="4"/>
        <v>2975000</v>
      </c>
      <c r="O42" s="4">
        <f t="shared" si="4"/>
        <v>68048944</v>
      </c>
      <c r="P42" s="4">
        <f>SUM(P8:P41)</f>
        <v>115163635.45454545</v>
      </c>
      <c r="Q42" s="4">
        <f>SUM(Q7:Q41)</f>
        <v>47114691.454545453</v>
      </c>
    </row>
    <row r="43" spans="1:17" x14ac:dyDescent="0.25">
      <c r="O43" s="20"/>
      <c r="Q43" s="26"/>
    </row>
    <row r="44" spans="1:17" x14ac:dyDescent="0.25">
      <c r="P44" s="21" t="s">
        <v>20</v>
      </c>
      <c r="Q44" s="26">
        <f>'03.2020'!Q47+'04.2020'!Q42</f>
        <v>121152029.45454545</v>
      </c>
    </row>
    <row r="45" spans="1:17" x14ac:dyDescent="0.25">
      <c r="C45" s="6" t="s">
        <v>993</v>
      </c>
    </row>
    <row r="46" spans="1:17" x14ac:dyDescent="0.25">
      <c r="C46" s="205"/>
      <c r="D46" s="205"/>
      <c r="E46" s="205"/>
      <c r="F46" s="205"/>
      <c r="H46" s="109"/>
    </row>
    <row r="47" spans="1:17" x14ac:dyDescent="0.25">
      <c r="C47" s="206"/>
      <c r="D47" s="206"/>
      <c r="E47" s="206"/>
      <c r="F47" s="206"/>
      <c r="H47" s="109"/>
    </row>
    <row r="48" spans="1:17" x14ac:dyDescent="0.25">
      <c r="B48" s="6"/>
      <c r="C48" s="110"/>
      <c r="D48" s="110"/>
      <c r="E48" s="110"/>
      <c r="F48" s="110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27">
    <mergeCell ref="C36:F36"/>
    <mergeCell ref="C35:F35"/>
    <mergeCell ref="C37:F37"/>
    <mergeCell ref="A42:F42"/>
    <mergeCell ref="C46:F46"/>
    <mergeCell ref="C41:F41"/>
    <mergeCell ref="C53:F53"/>
    <mergeCell ref="C47:F47"/>
    <mergeCell ref="C50:F50"/>
    <mergeCell ref="C51:F51"/>
    <mergeCell ref="C49:F49"/>
    <mergeCell ref="C32:F32"/>
    <mergeCell ref="C38:F38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3:F33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51"/>
  <sheetViews>
    <sheetView topLeftCell="B1" workbookViewId="0">
      <selection activeCell="M24" sqref="M24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7109375" style="6" customWidth="1"/>
    <col min="6" max="6" width="14.285156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7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7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7" ht="15.75" x14ac:dyDescent="0.25">
      <c r="A3" s="7"/>
      <c r="B3" s="170" t="s">
        <v>1297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7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7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7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7" ht="12.75" customHeight="1" x14ac:dyDescent="0.25">
      <c r="A8" s="25">
        <v>1</v>
      </c>
      <c r="B8" s="44">
        <v>43956</v>
      </c>
      <c r="C8" s="10" t="s">
        <v>1298</v>
      </c>
      <c r="D8" s="12" t="s">
        <v>1315</v>
      </c>
      <c r="E8" s="10" t="s">
        <v>799</v>
      </c>
      <c r="F8" s="8"/>
      <c r="G8" s="12"/>
      <c r="H8" s="3"/>
      <c r="I8" s="12"/>
      <c r="J8" s="50">
        <v>680000</v>
      </c>
      <c r="K8" s="18"/>
      <c r="L8" s="29"/>
      <c r="M8" s="13"/>
      <c r="N8" s="13"/>
      <c r="O8" s="53">
        <f>H8+J8+K8+L8+M8+N8</f>
        <v>680000</v>
      </c>
      <c r="P8" s="13">
        <v>1909091</v>
      </c>
      <c r="Q8" s="54">
        <f>P8-O8</f>
        <v>1229091</v>
      </c>
    </row>
    <row r="9" spans="1:17" ht="12.75" customHeight="1" x14ac:dyDescent="0.25">
      <c r="A9" s="25">
        <v>2</v>
      </c>
      <c r="B9" s="44">
        <v>43957</v>
      </c>
      <c r="C9" s="10" t="s">
        <v>635</v>
      </c>
      <c r="D9" s="8" t="s">
        <v>1316</v>
      </c>
      <c r="E9" s="10" t="s">
        <v>1336</v>
      </c>
      <c r="F9" s="8"/>
      <c r="G9" s="12">
        <v>110</v>
      </c>
      <c r="H9" s="3">
        <f>G9*9940</f>
        <v>1093400</v>
      </c>
      <c r="I9" s="12"/>
      <c r="J9" s="50">
        <v>930000</v>
      </c>
      <c r="K9" s="18"/>
      <c r="L9" s="99"/>
      <c r="M9" s="3"/>
      <c r="N9" s="3"/>
      <c r="O9" s="53">
        <f t="shared" ref="O9:O36" si="0">H9+J9+K9+L9+M9+N9</f>
        <v>2023400</v>
      </c>
      <c r="P9" s="13">
        <v>3200000</v>
      </c>
      <c r="Q9" s="54">
        <f t="shared" ref="Q9:Q36" si="1">P9-O9</f>
        <v>1176600</v>
      </c>
    </row>
    <row r="10" spans="1:17" ht="12.75" customHeight="1" x14ac:dyDescent="0.25">
      <c r="A10" s="25">
        <v>3</v>
      </c>
      <c r="B10" s="44">
        <v>43958</v>
      </c>
      <c r="C10" s="10" t="s">
        <v>636</v>
      </c>
      <c r="D10" s="8" t="s">
        <v>1317</v>
      </c>
      <c r="E10" s="10" t="s">
        <v>112</v>
      </c>
      <c r="F10" s="8"/>
      <c r="G10" s="12"/>
      <c r="H10" s="3"/>
      <c r="I10" s="12"/>
      <c r="J10" s="50">
        <v>2470000</v>
      </c>
      <c r="K10" s="18"/>
      <c r="L10" s="99"/>
      <c r="M10" s="3"/>
      <c r="N10" s="3"/>
      <c r="O10" s="53">
        <f t="shared" si="0"/>
        <v>2470000</v>
      </c>
      <c r="P10" s="13">
        <v>12272727</v>
      </c>
      <c r="Q10" s="54">
        <f t="shared" si="1"/>
        <v>9802727</v>
      </c>
    </row>
    <row r="11" spans="1:17" ht="12.75" customHeight="1" x14ac:dyDescent="0.25">
      <c r="A11" s="25">
        <v>4</v>
      </c>
      <c r="B11" s="44">
        <v>43959</v>
      </c>
      <c r="C11" s="10" t="s">
        <v>1299</v>
      </c>
      <c r="D11" s="8" t="s">
        <v>1318</v>
      </c>
      <c r="E11" s="10" t="s">
        <v>253</v>
      </c>
      <c r="F11" s="8"/>
      <c r="G11" s="12">
        <v>260</v>
      </c>
      <c r="H11" s="3">
        <f t="shared" ref="H11" si="2">G11*9940</f>
        <v>2584400</v>
      </c>
      <c r="I11" s="12"/>
      <c r="J11" s="50">
        <v>540000</v>
      </c>
      <c r="K11" s="18"/>
      <c r="L11" s="99"/>
      <c r="M11" s="3"/>
      <c r="N11" s="3"/>
      <c r="O11" s="53">
        <f t="shared" si="0"/>
        <v>3124400</v>
      </c>
      <c r="P11" s="13">
        <v>2800000</v>
      </c>
      <c r="Q11" s="54">
        <f t="shared" si="1"/>
        <v>-324400</v>
      </c>
    </row>
    <row r="12" spans="1:17" ht="12.75" customHeight="1" x14ac:dyDescent="0.25">
      <c r="A12" s="25">
        <v>5</v>
      </c>
      <c r="B12" s="44">
        <v>43960</v>
      </c>
      <c r="C12" s="10" t="s">
        <v>638</v>
      </c>
      <c r="D12" s="8" t="s">
        <v>1319</v>
      </c>
      <c r="E12" s="10" t="s">
        <v>679</v>
      </c>
      <c r="F12" s="8"/>
      <c r="G12" s="12"/>
      <c r="H12" s="3"/>
      <c r="I12" s="12"/>
      <c r="J12" s="50">
        <v>930000</v>
      </c>
      <c r="K12" s="18"/>
      <c r="L12" s="99"/>
      <c r="M12" s="3"/>
      <c r="N12" s="3"/>
      <c r="O12" s="53">
        <f t="shared" si="0"/>
        <v>930000</v>
      </c>
      <c r="P12" s="13">
        <v>3400000</v>
      </c>
      <c r="Q12" s="54">
        <f t="shared" si="1"/>
        <v>2470000</v>
      </c>
    </row>
    <row r="13" spans="1:17" ht="12.75" customHeight="1" x14ac:dyDescent="0.25">
      <c r="A13" s="25">
        <v>6</v>
      </c>
      <c r="B13" s="44">
        <v>43961</v>
      </c>
      <c r="C13" s="10" t="s">
        <v>1300</v>
      </c>
      <c r="D13" s="8" t="s">
        <v>1320</v>
      </c>
      <c r="E13" s="10" t="s">
        <v>330</v>
      </c>
      <c r="F13" s="8"/>
      <c r="G13" s="12"/>
      <c r="H13" s="3"/>
      <c r="I13" s="12"/>
      <c r="J13" s="50">
        <v>680000</v>
      </c>
      <c r="K13" s="18"/>
      <c r="L13" s="99"/>
      <c r="M13" s="3"/>
      <c r="N13" s="3"/>
      <c r="O13" s="53">
        <f t="shared" si="0"/>
        <v>680000</v>
      </c>
      <c r="P13" s="13">
        <v>3200000</v>
      </c>
      <c r="Q13" s="54">
        <f t="shared" si="1"/>
        <v>2520000</v>
      </c>
    </row>
    <row r="14" spans="1:17" ht="12.75" customHeight="1" x14ac:dyDescent="0.25">
      <c r="A14" s="25">
        <v>7</v>
      </c>
      <c r="B14" s="44">
        <v>43962</v>
      </c>
      <c r="C14" s="10" t="s">
        <v>1301</v>
      </c>
      <c r="D14" s="8" t="s">
        <v>1321</v>
      </c>
      <c r="E14" s="10" t="s">
        <v>330</v>
      </c>
      <c r="F14" s="8"/>
      <c r="G14" s="12"/>
      <c r="H14" s="3"/>
      <c r="I14" s="12"/>
      <c r="J14" s="50">
        <v>680000</v>
      </c>
      <c r="K14" s="18"/>
      <c r="L14" s="99"/>
      <c r="M14" s="3"/>
      <c r="N14" s="3"/>
      <c r="O14" s="53">
        <f t="shared" si="0"/>
        <v>680000</v>
      </c>
      <c r="P14" s="13">
        <v>3200000</v>
      </c>
      <c r="Q14" s="54">
        <f t="shared" si="1"/>
        <v>2520000</v>
      </c>
    </row>
    <row r="15" spans="1:17" ht="12.75" customHeight="1" x14ac:dyDescent="0.25">
      <c r="A15" s="25">
        <v>8</v>
      </c>
      <c r="B15" s="44">
        <v>43963</v>
      </c>
      <c r="C15" s="10" t="s">
        <v>1302</v>
      </c>
      <c r="D15" s="8" t="s">
        <v>1322</v>
      </c>
      <c r="E15" s="10" t="s">
        <v>330</v>
      </c>
      <c r="F15" s="8"/>
      <c r="G15" s="12">
        <v>264</v>
      </c>
      <c r="H15" s="3">
        <f>G15*9940</f>
        <v>2624160</v>
      </c>
      <c r="I15" s="12"/>
      <c r="J15" s="50">
        <v>680000</v>
      </c>
      <c r="K15" s="18"/>
      <c r="L15" s="99"/>
      <c r="M15" s="3"/>
      <c r="N15" s="3"/>
      <c r="O15" s="53">
        <f t="shared" si="0"/>
        <v>3304160</v>
      </c>
      <c r="P15" s="13">
        <v>3200000</v>
      </c>
      <c r="Q15" s="54">
        <f t="shared" si="1"/>
        <v>-104160</v>
      </c>
    </row>
    <row r="16" spans="1:17" ht="12.75" customHeight="1" x14ac:dyDescent="0.25">
      <c r="A16" s="25">
        <v>9</v>
      </c>
      <c r="B16" s="44">
        <v>43964</v>
      </c>
      <c r="C16" s="10" t="s">
        <v>1303</v>
      </c>
      <c r="D16" s="8" t="s">
        <v>1323</v>
      </c>
      <c r="E16" s="10" t="s">
        <v>330</v>
      </c>
      <c r="F16" s="8"/>
      <c r="G16" s="12">
        <v>180</v>
      </c>
      <c r="H16" s="3">
        <f>G16*9850</f>
        <v>1773000</v>
      </c>
      <c r="I16" s="12"/>
      <c r="J16" s="50">
        <v>680000</v>
      </c>
      <c r="K16" s="18"/>
      <c r="L16" s="99"/>
      <c r="M16" s="3"/>
      <c r="N16" s="3"/>
      <c r="O16" s="53">
        <f t="shared" si="0"/>
        <v>2453000</v>
      </c>
      <c r="P16" s="13">
        <v>3200000</v>
      </c>
      <c r="Q16" s="54">
        <f t="shared" si="1"/>
        <v>747000</v>
      </c>
    </row>
    <row r="17" spans="1:17" ht="12.75" customHeight="1" x14ac:dyDescent="0.25">
      <c r="A17" s="25">
        <v>10</v>
      </c>
      <c r="B17" s="44">
        <v>43965</v>
      </c>
      <c r="C17" s="10" t="s">
        <v>1304</v>
      </c>
      <c r="D17" s="8" t="s">
        <v>1324</v>
      </c>
      <c r="E17" s="10" t="s">
        <v>112</v>
      </c>
      <c r="F17" s="8"/>
      <c r="G17" s="12"/>
      <c r="H17" s="3"/>
      <c r="I17" s="12"/>
      <c r="J17" s="50">
        <v>2470000</v>
      </c>
      <c r="K17" s="18"/>
      <c r="L17" s="99"/>
      <c r="M17" s="3"/>
      <c r="N17" s="3"/>
      <c r="O17" s="53">
        <f t="shared" si="0"/>
        <v>2470000</v>
      </c>
      <c r="P17" s="13">
        <v>12272727</v>
      </c>
      <c r="Q17" s="54">
        <f t="shared" si="1"/>
        <v>9802727</v>
      </c>
    </row>
    <row r="18" spans="1:17" ht="12.75" customHeight="1" x14ac:dyDescent="0.25">
      <c r="A18" s="25">
        <v>11</v>
      </c>
      <c r="B18" s="44">
        <v>43966</v>
      </c>
      <c r="C18" s="10" t="s">
        <v>1305</v>
      </c>
      <c r="D18" s="12" t="s">
        <v>1325</v>
      </c>
      <c r="E18" s="10" t="s">
        <v>1337</v>
      </c>
      <c r="F18" s="8"/>
      <c r="G18" s="12">
        <v>270</v>
      </c>
      <c r="H18" s="3">
        <f t="shared" ref="H18:H26" si="3">G18*9850</f>
        <v>2659500</v>
      </c>
      <c r="I18" s="12"/>
      <c r="J18" s="50">
        <v>1110000</v>
      </c>
      <c r="K18" s="18"/>
      <c r="L18" s="99"/>
      <c r="M18" s="3"/>
      <c r="N18" s="3"/>
      <c r="O18" s="53">
        <f t="shared" si="0"/>
        <v>3769500</v>
      </c>
      <c r="P18" s="57">
        <v>3100000</v>
      </c>
      <c r="Q18" s="54">
        <f t="shared" si="1"/>
        <v>-669500</v>
      </c>
    </row>
    <row r="19" spans="1:17" ht="12.75" customHeight="1" x14ac:dyDescent="0.25">
      <c r="A19" s="25">
        <v>12</v>
      </c>
      <c r="B19" s="44">
        <v>43967</v>
      </c>
      <c r="C19" s="10" t="s">
        <v>1306</v>
      </c>
      <c r="D19" s="8" t="s">
        <v>1326</v>
      </c>
      <c r="E19" s="10" t="s">
        <v>1040</v>
      </c>
      <c r="F19" s="8"/>
      <c r="G19" s="12"/>
      <c r="H19" s="3"/>
      <c r="I19" s="12"/>
      <c r="J19" s="50">
        <v>930000</v>
      </c>
      <c r="K19" s="18"/>
      <c r="L19" s="99"/>
      <c r="M19" s="3"/>
      <c r="N19" s="3"/>
      <c r="O19" s="53">
        <f t="shared" si="0"/>
        <v>930000</v>
      </c>
      <c r="P19" s="13">
        <v>3900000</v>
      </c>
      <c r="Q19" s="54">
        <f t="shared" si="1"/>
        <v>2970000</v>
      </c>
    </row>
    <row r="20" spans="1:17" ht="12.75" customHeight="1" x14ac:dyDescent="0.25">
      <c r="A20" s="25">
        <v>13</v>
      </c>
      <c r="B20" s="44">
        <v>43970</v>
      </c>
      <c r="C20" s="10" t="s">
        <v>1307</v>
      </c>
      <c r="D20" s="8" t="s">
        <v>1327</v>
      </c>
      <c r="E20" s="10" t="s">
        <v>330</v>
      </c>
      <c r="F20" s="8"/>
      <c r="G20" s="12"/>
      <c r="H20" s="3"/>
      <c r="I20" s="12"/>
      <c r="J20" s="50">
        <v>680000</v>
      </c>
      <c r="K20" s="18"/>
      <c r="L20" s="99"/>
      <c r="M20" s="3"/>
      <c r="N20" s="3"/>
      <c r="O20" s="53">
        <f t="shared" si="0"/>
        <v>680000</v>
      </c>
      <c r="P20" s="13">
        <v>3200000</v>
      </c>
      <c r="Q20" s="54">
        <f t="shared" si="1"/>
        <v>2520000</v>
      </c>
    </row>
    <row r="21" spans="1:17" ht="12.75" customHeight="1" x14ac:dyDescent="0.25">
      <c r="A21" s="25">
        <v>14</v>
      </c>
      <c r="B21" s="44">
        <v>43971</v>
      </c>
      <c r="C21" s="10" t="s">
        <v>1308</v>
      </c>
      <c r="D21" s="8" t="s">
        <v>1328</v>
      </c>
      <c r="E21" s="10" t="s">
        <v>330</v>
      </c>
      <c r="F21" s="8"/>
      <c r="G21" s="12">
        <v>280</v>
      </c>
      <c r="H21" s="3">
        <f t="shared" si="3"/>
        <v>2758000</v>
      </c>
      <c r="I21" s="12"/>
      <c r="J21" s="50">
        <v>680000</v>
      </c>
      <c r="K21" s="18"/>
      <c r="L21" s="99"/>
      <c r="M21" s="3"/>
      <c r="N21" s="3"/>
      <c r="O21" s="53">
        <f t="shared" si="0"/>
        <v>3438000</v>
      </c>
      <c r="P21" s="13">
        <v>3200000</v>
      </c>
      <c r="Q21" s="54">
        <f t="shared" si="1"/>
        <v>-238000</v>
      </c>
    </row>
    <row r="22" spans="1:17" ht="12.75" customHeight="1" x14ac:dyDescent="0.25">
      <c r="A22" s="25">
        <v>15</v>
      </c>
      <c r="B22" s="44">
        <v>43972</v>
      </c>
      <c r="C22" s="10" t="s">
        <v>1309</v>
      </c>
      <c r="D22" s="8" t="s">
        <v>1329</v>
      </c>
      <c r="E22" s="10" t="s">
        <v>1338</v>
      </c>
      <c r="F22" s="8"/>
      <c r="G22" s="12"/>
      <c r="H22" s="3"/>
      <c r="I22" s="12"/>
      <c r="J22" s="50">
        <v>680000</v>
      </c>
      <c r="K22" s="18"/>
      <c r="L22" s="99"/>
      <c r="M22" s="3"/>
      <c r="N22" s="3"/>
      <c r="O22" s="53">
        <f t="shared" si="0"/>
        <v>680000</v>
      </c>
      <c r="P22" s="13">
        <v>3400000</v>
      </c>
      <c r="Q22" s="54">
        <f t="shared" si="1"/>
        <v>2720000</v>
      </c>
    </row>
    <row r="23" spans="1:17" ht="12.75" customHeight="1" x14ac:dyDescent="0.25">
      <c r="A23" s="25">
        <v>16</v>
      </c>
      <c r="B23" s="44">
        <v>43975</v>
      </c>
      <c r="C23" s="10" t="s">
        <v>1310</v>
      </c>
      <c r="D23" s="8" t="s">
        <v>1330</v>
      </c>
      <c r="E23" s="10" t="s">
        <v>330</v>
      </c>
      <c r="F23" s="8"/>
      <c r="G23" s="12"/>
      <c r="H23" s="3"/>
      <c r="I23" s="12"/>
      <c r="J23" s="50">
        <v>680000</v>
      </c>
      <c r="K23" s="18"/>
      <c r="L23" s="99"/>
      <c r="M23" s="3"/>
      <c r="N23" s="3"/>
      <c r="O23" s="53">
        <f t="shared" si="0"/>
        <v>680000</v>
      </c>
      <c r="P23" s="13">
        <v>3200000</v>
      </c>
      <c r="Q23" s="54">
        <f t="shared" si="1"/>
        <v>2520000</v>
      </c>
    </row>
    <row r="24" spans="1:17" ht="12.75" customHeight="1" x14ac:dyDescent="0.25">
      <c r="A24" s="25">
        <v>17</v>
      </c>
      <c r="B24" s="44">
        <v>43976</v>
      </c>
      <c r="C24" s="10" t="s">
        <v>1311</v>
      </c>
      <c r="D24" s="8" t="s">
        <v>1331</v>
      </c>
      <c r="E24" s="10" t="s">
        <v>330</v>
      </c>
      <c r="F24" s="8"/>
      <c r="G24" s="12"/>
      <c r="H24" s="3"/>
      <c r="I24" s="12"/>
      <c r="J24" s="50">
        <v>680000</v>
      </c>
      <c r="K24" s="18"/>
      <c r="L24" s="99"/>
      <c r="M24" s="3"/>
      <c r="N24" s="3"/>
      <c r="O24" s="53">
        <f t="shared" si="0"/>
        <v>680000</v>
      </c>
      <c r="P24" s="13">
        <v>3200000</v>
      </c>
      <c r="Q24" s="54">
        <f t="shared" si="1"/>
        <v>2520000</v>
      </c>
    </row>
    <row r="25" spans="1:17" ht="12.75" customHeight="1" x14ac:dyDescent="0.25">
      <c r="A25" s="25">
        <v>18</v>
      </c>
      <c r="B25" s="44">
        <v>43977</v>
      </c>
      <c r="C25" s="10" t="s">
        <v>1312</v>
      </c>
      <c r="D25" s="8" t="s">
        <v>1332</v>
      </c>
      <c r="E25" s="10" t="s">
        <v>330</v>
      </c>
      <c r="F25" s="8"/>
      <c r="G25" s="12">
        <v>290</v>
      </c>
      <c r="H25" s="3">
        <f t="shared" si="3"/>
        <v>2856500</v>
      </c>
      <c r="I25" s="12"/>
      <c r="J25" s="50">
        <v>680000</v>
      </c>
      <c r="K25" s="18"/>
      <c r="L25" s="99"/>
      <c r="M25" s="3"/>
      <c r="N25" s="3"/>
      <c r="O25" s="53">
        <f t="shared" si="0"/>
        <v>3536500</v>
      </c>
      <c r="P25" s="13">
        <v>3200000</v>
      </c>
      <c r="Q25" s="54">
        <f t="shared" si="1"/>
        <v>-336500</v>
      </c>
    </row>
    <row r="26" spans="1:17" ht="12.75" customHeight="1" x14ac:dyDescent="0.25">
      <c r="A26" s="25">
        <v>19</v>
      </c>
      <c r="B26" s="44">
        <v>43978</v>
      </c>
      <c r="C26" s="10" t="s">
        <v>1313</v>
      </c>
      <c r="D26" s="8" t="s">
        <v>1333</v>
      </c>
      <c r="E26" s="10" t="s">
        <v>330</v>
      </c>
      <c r="F26" s="8"/>
      <c r="G26" s="12">
        <v>180</v>
      </c>
      <c r="H26" s="3">
        <f t="shared" si="3"/>
        <v>1773000</v>
      </c>
      <c r="I26" s="12"/>
      <c r="J26" s="50">
        <v>680000</v>
      </c>
      <c r="K26" s="18"/>
      <c r="L26" s="99"/>
      <c r="M26" s="3"/>
      <c r="N26" s="3"/>
      <c r="O26" s="53">
        <f t="shared" si="0"/>
        <v>2453000</v>
      </c>
      <c r="P26" s="13">
        <v>3200000</v>
      </c>
      <c r="Q26" s="54">
        <f t="shared" si="1"/>
        <v>747000</v>
      </c>
    </row>
    <row r="27" spans="1:17" ht="12.75" customHeight="1" x14ac:dyDescent="0.25">
      <c r="A27" s="25">
        <v>20</v>
      </c>
      <c r="B27" s="44">
        <v>43979</v>
      </c>
      <c r="C27" s="10" t="s">
        <v>647</v>
      </c>
      <c r="D27" s="8" t="s">
        <v>1334</v>
      </c>
      <c r="E27" s="10" t="s">
        <v>1339</v>
      </c>
      <c r="F27" s="8"/>
      <c r="G27" s="12"/>
      <c r="H27" s="3"/>
      <c r="I27" s="12"/>
      <c r="J27" s="57">
        <f>810000+300000</f>
        <v>1110000</v>
      </c>
      <c r="K27" s="18"/>
      <c r="L27" s="99"/>
      <c r="M27" s="3"/>
      <c r="N27" s="3"/>
      <c r="O27" s="53">
        <f t="shared" si="0"/>
        <v>1110000</v>
      </c>
      <c r="P27" s="13">
        <v>5500000</v>
      </c>
      <c r="Q27" s="54">
        <f t="shared" si="1"/>
        <v>4390000</v>
      </c>
    </row>
    <row r="28" spans="1:17" ht="12.75" customHeight="1" x14ac:dyDescent="0.25">
      <c r="A28" s="25">
        <v>21</v>
      </c>
      <c r="B28" s="44">
        <v>43980</v>
      </c>
      <c r="C28" s="10" t="s">
        <v>1314</v>
      </c>
      <c r="D28" s="8" t="s">
        <v>1335</v>
      </c>
      <c r="E28" s="10" t="s">
        <v>1343</v>
      </c>
      <c r="F28" s="8"/>
      <c r="G28" s="12"/>
      <c r="H28" s="3"/>
      <c r="I28" s="12"/>
      <c r="J28" s="50">
        <v>540000</v>
      </c>
      <c r="K28" s="18"/>
      <c r="L28" s="99"/>
      <c r="M28" s="3"/>
      <c r="N28" s="3"/>
      <c r="O28" s="53">
        <f t="shared" si="0"/>
        <v>540000</v>
      </c>
      <c r="P28" s="13">
        <v>2500000</v>
      </c>
      <c r="Q28" s="54">
        <f t="shared" si="1"/>
        <v>1960000</v>
      </c>
    </row>
    <row r="29" spans="1:17" s="16" customFormat="1" ht="12.75" customHeight="1" x14ac:dyDescent="0.25">
      <c r="A29" s="112"/>
      <c r="B29" s="113"/>
      <c r="C29" s="111"/>
      <c r="D29" s="12"/>
      <c r="E29" s="111"/>
      <c r="F29" s="12"/>
      <c r="G29" s="12"/>
      <c r="H29" s="3"/>
      <c r="I29" s="12"/>
      <c r="J29" s="3"/>
      <c r="K29" s="18"/>
      <c r="L29" s="99"/>
      <c r="M29" s="3"/>
      <c r="N29" s="3"/>
      <c r="O29" s="114"/>
      <c r="P29" s="3"/>
      <c r="Q29" s="115"/>
    </row>
    <row r="30" spans="1:17" s="16" customFormat="1" ht="12.75" customHeight="1" x14ac:dyDescent="0.25">
      <c r="A30" s="112"/>
      <c r="B30" s="113"/>
      <c r="C30" s="111"/>
      <c r="D30" s="12"/>
      <c r="E30" s="111"/>
      <c r="F30" s="12"/>
      <c r="G30" s="12"/>
      <c r="H30" s="3"/>
      <c r="I30" s="12"/>
      <c r="J30" s="3"/>
      <c r="K30" s="18"/>
      <c r="L30" s="99"/>
      <c r="M30" s="3"/>
      <c r="N30" s="3"/>
      <c r="O30" s="114"/>
      <c r="P30" s="3"/>
      <c r="Q30" s="115"/>
    </row>
    <row r="31" spans="1:17" ht="12.75" customHeight="1" x14ac:dyDescent="0.25">
      <c r="A31" s="25"/>
      <c r="B31" s="44"/>
      <c r="C31" s="10"/>
      <c r="D31" s="12"/>
      <c r="E31" s="10"/>
      <c r="F31" s="8"/>
      <c r="G31" s="12"/>
      <c r="H31" s="3"/>
      <c r="I31" s="12"/>
      <c r="J31" s="13"/>
      <c r="K31" s="18"/>
      <c r="L31" s="29"/>
      <c r="M31" s="13"/>
      <c r="N31" s="13"/>
      <c r="O31" s="53">
        <f t="shared" si="0"/>
        <v>0</v>
      </c>
      <c r="P31" s="13"/>
      <c r="Q31" s="54">
        <f t="shared" si="1"/>
        <v>0</v>
      </c>
    </row>
    <row r="32" spans="1:17" ht="16.149999999999999" customHeight="1" x14ac:dyDescent="0.25">
      <c r="A32" s="8"/>
      <c r="B32" s="8"/>
      <c r="C32" s="182" t="s">
        <v>131</v>
      </c>
      <c r="D32" s="183"/>
      <c r="E32" s="183"/>
      <c r="F32" s="184"/>
      <c r="G32" s="30"/>
      <c r="H32" s="28"/>
      <c r="I32" s="30"/>
      <c r="J32" s="28"/>
      <c r="K32" s="28"/>
      <c r="L32" s="90">
        <v>1200000</v>
      </c>
      <c r="M32" s="28"/>
      <c r="N32" s="28"/>
      <c r="O32" s="53">
        <f t="shared" si="0"/>
        <v>1200000</v>
      </c>
      <c r="P32" s="28"/>
      <c r="Q32" s="54">
        <f t="shared" si="1"/>
        <v>-1200000</v>
      </c>
    </row>
    <row r="33" spans="1:17" ht="27.75" customHeight="1" x14ac:dyDescent="0.25">
      <c r="A33" s="8"/>
      <c r="B33" s="8"/>
      <c r="C33" s="196" t="s">
        <v>1340</v>
      </c>
      <c r="D33" s="197"/>
      <c r="E33" s="197"/>
      <c r="F33" s="198"/>
      <c r="G33" s="30"/>
      <c r="H33" s="28"/>
      <c r="I33" s="30"/>
      <c r="J33" s="28"/>
      <c r="K33" s="28"/>
      <c r="L33" s="90">
        <v>300000</v>
      </c>
      <c r="M33" s="28"/>
      <c r="N33" s="28"/>
      <c r="O33" s="53">
        <f t="shared" si="0"/>
        <v>300000</v>
      </c>
      <c r="P33" s="28"/>
      <c r="Q33" s="54">
        <f t="shared" si="1"/>
        <v>-300000</v>
      </c>
    </row>
    <row r="34" spans="1:17" ht="16.149999999999999" customHeight="1" x14ac:dyDescent="0.25">
      <c r="A34" s="8"/>
      <c r="B34" s="8"/>
      <c r="C34" s="196" t="s">
        <v>1341</v>
      </c>
      <c r="D34" s="197"/>
      <c r="E34" s="197"/>
      <c r="F34" s="198"/>
      <c r="G34" s="30"/>
      <c r="H34" s="28"/>
      <c r="I34" s="30"/>
      <c r="J34" s="28"/>
      <c r="K34" s="28"/>
      <c r="L34" s="90">
        <v>4100000</v>
      </c>
      <c r="M34" s="28"/>
      <c r="N34" s="28"/>
      <c r="O34" s="53">
        <f t="shared" si="0"/>
        <v>4100000</v>
      </c>
      <c r="P34" s="28"/>
      <c r="Q34" s="54">
        <f t="shared" si="1"/>
        <v>-4100000</v>
      </c>
    </row>
    <row r="35" spans="1:17" ht="16.149999999999999" customHeight="1" x14ac:dyDescent="0.25">
      <c r="A35" s="8"/>
      <c r="B35" s="8"/>
      <c r="C35" s="196" t="s">
        <v>1342</v>
      </c>
      <c r="D35" s="197"/>
      <c r="E35" s="197"/>
      <c r="F35" s="198"/>
      <c r="G35" s="30"/>
      <c r="H35" s="28"/>
      <c r="I35" s="30"/>
      <c r="J35" s="28"/>
      <c r="K35" s="28"/>
      <c r="L35" s="90">
        <v>550000</v>
      </c>
      <c r="M35" s="28"/>
      <c r="N35" s="28"/>
      <c r="O35" s="53">
        <f t="shared" si="0"/>
        <v>550000</v>
      </c>
      <c r="P35" s="28"/>
      <c r="Q35" s="54">
        <f t="shared" si="1"/>
        <v>-550000</v>
      </c>
    </row>
    <row r="36" spans="1:17" ht="21.75" customHeight="1" x14ac:dyDescent="0.25">
      <c r="A36" s="8"/>
      <c r="B36" s="8"/>
      <c r="C36" s="191" t="s">
        <v>132</v>
      </c>
      <c r="D36" s="192"/>
      <c r="E36" s="192"/>
      <c r="F36" s="195"/>
      <c r="G36" s="30"/>
      <c r="H36" s="28"/>
      <c r="I36" s="30"/>
      <c r="J36" s="28"/>
      <c r="K36" s="28">
        <v>7961538</v>
      </c>
      <c r="L36" s="28"/>
      <c r="M36" s="28"/>
      <c r="N36" s="28"/>
      <c r="O36" s="53">
        <f t="shared" si="0"/>
        <v>7961538</v>
      </c>
      <c r="P36" s="28"/>
      <c r="Q36" s="54">
        <f t="shared" si="1"/>
        <v>-7961538</v>
      </c>
    </row>
    <row r="37" spans="1:17" ht="16.149999999999999" customHeight="1" x14ac:dyDescent="0.25">
      <c r="A37" s="166" t="s">
        <v>19</v>
      </c>
      <c r="B37" s="167"/>
      <c r="C37" s="167"/>
      <c r="D37" s="167"/>
      <c r="E37" s="167"/>
      <c r="F37" s="168"/>
      <c r="G37" s="88">
        <f t="shared" ref="G37:O37" si="4">SUM(G7:G36)</f>
        <v>1834</v>
      </c>
      <c r="H37" s="4">
        <f t="shared" si="4"/>
        <v>18121960</v>
      </c>
      <c r="I37" s="4">
        <f t="shared" si="4"/>
        <v>0</v>
      </c>
      <c r="J37" s="4">
        <f t="shared" si="4"/>
        <v>19190000</v>
      </c>
      <c r="K37" s="4">
        <f t="shared" si="4"/>
        <v>7961538</v>
      </c>
      <c r="L37" s="4">
        <f t="shared" si="4"/>
        <v>6150000</v>
      </c>
      <c r="M37" s="4">
        <f t="shared" si="4"/>
        <v>0</v>
      </c>
      <c r="N37" s="4">
        <f t="shared" si="4"/>
        <v>0</v>
      </c>
      <c r="O37" s="4">
        <f t="shared" si="4"/>
        <v>51423498</v>
      </c>
      <c r="P37" s="4">
        <f>SUM(P8:P36)</f>
        <v>86254545</v>
      </c>
      <c r="Q37" s="4">
        <f>SUM(Q7:Q36)</f>
        <v>34831047</v>
      </c>
    </row>
    <row r="38" spans="1:17" x14ac:dyDescent="0.25">
      <c r="O38" s="20"/>
      <c r="Q38" s="26"/>
    </row>
    <row r="39" spans="1:17" x14ac:dyDescent="0.25">
      <c r="P39" s="21" t="s">
        <v>20</v>
      </c>
      <c r="Q39" s="26">
        <f>'[1]04.2020'!Q44+'[1]05.2020'!Q37</f>
        <v>155983076.45454544</v>
      </c>
    </row>
    <row r="40" spans="1:17" x14ac:dyDescent="0.25">
      <c r="C40" s="6" t="s">
        <v>993</v>
      </c>
    </row>
    <row r="41" spans="1:17" x14ac:dyDescent="0.25">
      <c r="C41" s="205"/>
      <c r="D41" s="205"/>
      <c r="E41" s="205"/>
      <c r="F41" s="205"/>
      <c r="H41" s="109"/>
    </row>
    <row r="42" spans="1:17" x14ac:dyDescent="0.25">
      <c r="C42" s="206"/>
      <c r="D42" s="206"/>
      <c r="E42" s="206"/>
      <c r="F42" s="206"/>
      <c r="H42" s="109"/>
    </row>
    <row r="43" spans="1:17" x14ac:dyDescent="0.25">
      <c r="B43" s="6"/>
      <c r="C43" s="110"/>
      <c r="D43" s="110"/>
      <c r="E43" s="110"/>
      <c r="F43" s="110"/>
      <c r="H43" s="109"/>
    </row>
    <row r="44" spans="1:17" x14ac:dyDescent="0.25">
      <c r="B44" s="6"/>
      <c r="C44" s="206"/>
      <c r="D44" s="206"/>
      <c r="E44" s="206"/>
      <c r="F44" s="206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H46" s="109"/>
      <c r="J46" s="6"/>
      <c r="K46" s="6"/>
      <c r="L46" s="6"/>
      <c r="M46" s="6"/>
      <c r="N46" s="6"/>
      <c r="O46" s="6"/>
      <c r="P46" s="6"/>
      <c r="Q46" s="6"/>
    </row>
    <row r="47" spans="1:17" x14ac:dyDescent="0.2">
      <c r="C47" s="107"/>
      <c r="D47" s="110"/>
      <c r="E47" s="110"/>
      <c r="F47" s="110"/>
      <c r="H47" s="109"/>
    </row>
    <row r="48" spans="1:17" x14ac:dyDescent="0.25">
      <c r="C48" s="205"/>
      <c r="D48" s="205"/>
      <c r="E48" s="205"/>
      <c r="F48" s="205"/>
    </row>
    <row r="49" spans="8:8" s="6" customFormat="1" x14ac:dyDescent="0.25">
      <c r="H49" s="5"/>
    </row>
    <row r="50" spans="8:8" s="6" customFormat="1" x14ac:dyDescent="0.25">
      <c r="H50" s="5"/>
    </row>
    <row r="51" spans="8:8" s="6" customFormat="1" x14ac:dyDescent="0.25">
      <c r="H51" s="5"/>
    </row>
  </sheetData>
  <mergeCells count="25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5:F35"/>
    <mergeCell ref="C45:F45"/>
    <mergeCell ref="C32:F32"/>
    <mergeCell ref="C33:F33"/>
    <mergeCell ref="C34:F34"/>
    <mergeCell ref="C36:F36"/>
    <mergeCell ref="A37:F37"/>
    <mergeCell ref="C46:F46"/>
    <mergeCell ref="C42:F42"/>
    <mergeCell ref="C41:F41"/>
    <mergeCell ref="C44:F44"/>
    <mergeCell ref="C48:F48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49"/>
  <sheetViews>
    <sheetView topLeftCell="A16" workbookViewId="0">
      <selection activeCell="C35" sqref="C35:F3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2.4257812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1344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7.25" customHeight="1" x14ac:dyDescent="0.25">
      <c r="A8" s="25">
        <v>1</v>
      </c>
      <c r="B8" s="116" t="s">
        <v>1398</v>
      </c>
      <c r="C8" s="10" t="s">
        <v>1345</v>
      </c>
      <c r="D8" s="12" t="s">
        <v>1369</v>
      </c>
      <c r="E8" s="10" t="s">
        <v>331</v>
      </c>
      <c r="F8" s="8"/>
      <c r="G8" s="12"/>
      <c r="H8" s="3"/>
      <c r="I8" s="12"/>
      <c r="J8" s="13">
        <v>930000</v>
      </c>
      <c r="K8" s="18"/>
      <c r="L8" s="29"/>
      <c r="M8" s="13"/>
      <c r="N8" s="13"/>
      <c r="O8" s="53">
        <f>H8+J8+K8+L8+M8+N8</f>
        <v>930000</v>
      </c>
      <c r="P8" s="13">
        <v>3200000</v>
      </c>
      <c r="Q8" s="54">
        <f>P8-O8</f>
        <v>2270000</v>
      </c>
      <c r="R8" s="5"/>
    </row>
    <row r="9" spans="1:18" ht="17.25" customHeight="1" x14ac:dyDescent="0.25">
      <c r="A9" s="25">
        <v>2</v>
      </c>
      <c r="B9" s="116" t="s">
        <v>1399</v>
      </c>
      <c r="C9" s="10" t="s">
        <v>1346</v>
      </c>
      <c r="D9" s="117" t="s">
        <v>1370</v>
      </c>
      <c r="E9" s="9" t="s">
        <v>1392</v>
      </c>
      <c r="F9" s="117"/>
      <c r="G9" s="118"/>
      <c r="H9" s="94"/>
      <c r="I9" s="118"/>
      <c r="J9" s="119">
        <v>300000</v>
      </c>
      <c r="K9" s="18"/>
      <c r="L9" s="99"/>
      <c r="M9" s="3"/>
      <c r="N9" s="3"/>
      <c r="O9" s="53">
        <f t="shared" ref="O9:O31" si="0">H9+J9+K9+L9+M9+N9</f>
        <v>300000</v>
      </c>
      <c r="P9" s="13">
        <v>1700000</v>
      </c>
      <c r="Q9" s="54">
        <f t="shared" ref="Q9:Q30" si="1">P9-O9</f>
        <v>1400000</v>
      </c>
      <c r="R9" s="5"/>
    </row>
    <row r="10" spans="1:18" ht="17.25" customHeight="1" x14ac:dyDescent="0.25">
      <c r="A10" s="25">
        <v>3</v>
      </c>
      <c r="B10" s="116" t="s">
        <v>1400</v>
      </c>
      <c r="C10" s="10" t="s">
        <v>1347</v>
      </c>
      <c r="D10" s="8" t="s">
        <v>1371</v>
      </c>
      <c r="E10" s="10" t="s">
        <v>112</v>
      </c>
      <c r="F10" s="8"/>
      <c r="G10" s="12">
        <v>255</v>
      </c>
      <c r="H10" s="3">
        <f>G10*10740</f>
        <v>2738700</v>
      </c>
      <c r="I10" s="12"/>
      <c r="J10" s="13">
        <v>1036000</v>
      </c>
      <c r="K10" s="18"/>
      <c r="L10" s="99"/>
      <c r="M10" s="3"/>
      <c r="N10" s="3"/>
      <c r="O10" s="53">
        <f t="shared" si="0"/>
        <v>3774700</v>
      </c>
      <c r="P10" s="13">
        <v>12272727</v>
      </c>
      <c r="Q10" s="54">
        <f t="shared" si="1"/>
        <v>8498027</v>
      </c>
      <c r="R10" s="5"/>
    </row>
    <row r="11" spans="1:18" ht="17.25" customHeight="1" x14ac:dyDescent="0.25">
      <c r="A11" s="25">
        <v>4</v>
      </c>
      <c r="B11" s="116" t="s">
        <v>1401</v>
      </c>
      <c r="C11" s="10" t="s">
        <v>1348</v>
      </c>
      <c r="D11" s="8" t="s">
        <v>1372</v>
      </c>
      <c r="E11" s="10" t="s">
        <v>549</v>
      </c>
      <c r="F11" s="8"/>
      <c r="G11" s="12">
        <v>215</v>
      </c>
      <c r="H11" s="3">
        <f t="shared" ref="H11:H15" si="2">G11*10740</f>
        <v>2309100</v>
      </c>
      <c r="I11" s="12"/>
      <c r="J11" s="13">
        <f>810000+60000</f>
        <v>870000</v>
      </c>
      <c r="K11" s="18"/>
      <c r="L11" s="99"/>
      <c r="M11" s="3"/>
      <c r="N11" s="3"/>
      <c r="O11" s="53">
        <f t="shared" si="0"/>
        <v>3179100</v>
      </c>
      <c r="P11" s="13">
        <v>3400000</v>
      </c>
      <c r="Q11" s="54">
        <f t="shared" si="1"/>
        <v>220900</v>
      </c>
      <c r="R11" s="5"/>
    </row>
    <row r="12" spans="1:18" ht="17.25" customHeight="1" x14ac:dyDescent="0.25">
      <c r="A12" s="25">
        <v>5</v>
      </c>
      <c r="B12" s="116" t="s">
        <v>1402</v>
      </c>
      <c r="C12" s="10" t="s">
        <v>1349</v>
      </c>
      <c r="D12" s="8" t="s">
        <v>1373</v>
      </c>
      <c r="E12" s="10" t="s">
        <v>679</v>
      </c>
      <c r="F12" s="8"/>
      <c r="G12" s="12"/>
      <c r="H12" s="3"/>
      <c r="I12" s="12"/>
      <c r="J12" s="13">
        <v>870000</v>
      </c>
      <c r="K12" s="18"/>
      <c r="L12" s="99"/>
      <c r="M12" s="3"/>
      <c r="N12" s="3"/>
      <c r="O12" s="53">
        <f t="shared" si="0"/>
        <v>870000</v>
      </c>
      <c r="P12" s="13">
        <v>3400000</v>
      </c>
      <c r="Q12" s="54">
        <f t="shared" si="1"/>
        <v>2530000</v>
      </c>
      <c r="R12" s="5"/>
    </row>
    <row r="13" spans="1:18" ht="17.25" customHeight="1" x14ac:dyDescent="0.25">
      <c r="A13" s="25">
        <v>6</v>
      </c>
      <c r="B13" s="116" t="s">
        <v>1403</v>
      </c>
      <c r="C13" s="10" t="s">
        <v>1350</v>
      </c>
      <c r="D13" s="8" t="s">
        <v>1374</v>
      </c>
      <c r="E13" s="10" t="s">
        <v>1393</v>
      </c>
      <c r="F13" s="8"/>
      <c r="G13" s="12"/>
      <c r="H13" s="3"/>
      <c r="I13" s="12"/>
      <c r="J13" s="13">
        <v>870000</v>
      </c>
      <c r="K13" s="18"/>
      <c r="L13" s="99"/>
      <c r="M13" s="3"/>
      <c r="N13" s="3"/>
      <c r="O13" s="53">
        <f t="shared" si="0"/>
        <v>870000</v>
      </c>
      <c r="P13" s="13">
        <v>3500000</v>
      </c>
      <c r="Q13" s="54">
        <f t="shared" si="1"/>
        <v>2630000</v>
      </c>
      <c r="R13" s="5"/>
    </row>
    <row r="14" spans="1:18" ht="17.25" customHeight="1" x14ac:dyDescent="0.25">
      <c r="A14" s="25">
        <v>7</v>
      </c>
      <c r="B14" s="116" t="s">
        <v>1404</v>
      </c>
      <c r="C14" s="10" t="s">
        <v>1351</v>
      </c>
      <c r="D14" s="8" t="s">
        <v>1375</v>
      </c>
      <c r="E14" s="10" t="s">
        <v>1394</v>
      </c>
      <c r="F14" s="8"/>
      <c r="G14" s="12">
        <v>260</v>
      </c>
      <c r="H14" s="3">
        <f t="shared" si="2"/>
        <v>2792400</v>
      </c>
      <c r="I14" s="12"/>
      <c r="J14" s="13">
        <v>540000</v>
      </c>
      <c r="K14" s="18"/>
      <c r="L14" s="99"/>
      <c r="M14" s="3"/>
      <c r="N14" s="3"/>
      <c r="O14" s="53">
        <f t="shared" si="0"/>
        <v>3332400</v>
      </c>
      <c r="P14" s="13">
        <v>2700000</v>
      </c>
      <c r="Q14" s="54">
        <f t="shared" si="1"/>
        <v>-632400</v>
      </c>
      <c r="R14" s="5"/>
    </row>
    <row r="15" spans="1:18" ht="17.25" customHeight="1" x14ac:dyDescent="0.25">
      <c r="A15" s="25">
        <v>8</v>
      </c>
      <c r="B15" s="116" t="s">
        <v>1405</v>
      </c>
      <c r="C15" s="10" t="s">
        <v>1352</v>
      </c>
      <c r="D15" s="8" t="s">
        <v>1376</v>
      </c>
      <c r="E15" s="10" t="s">
        <v>330</v>
      </c>
      <c r="F15" s="8"/>
      <c r="G15" s="12">
        <v>223</v>
      </c>
      <c r="H15" s="3">
        <f t="shared" si="2"/>
        <v>2395020</v>
      </c>
      <c r="I15" s="12"/>
      <c r="J15" s="13">
        <v>680000</v>
      </c>
      <c r="K15" s="18"/>
      <c r="L15" s="99"/>
      <c r="M15" s="3"/>
      <c r="N15" s="3"/>
      <c r="O15" s="53">
        <f t="shared" si="0"/>
        <v>3075020</v>
      </c>
      <c r="P15" s="13">
        <v>3200000</v>
      </c>
      <c r="Q15" s="54">
        <f t="shared" si="1"/>
        <v>124980</v>
      </c>
      <c r="R15" s="5"/>
    </row>
    <row r="16" spans="1:18" ht="17.25" customHeight="1" x14ac:dyDescent="0.25">
      <c r="A16" s="25">
        <v>9</v>
      </c>
      <c r="B16" s="116" t="s">
        <v>1406</v>
      </c>
      <c r="C16" s="10" t="s">
        <v>1353</v>
      </c>
      <c r="D16" s="8" t="s">
        <v>1377</v>
      </c>
      <c r="E16" s="10" t="s">
        <v>330</v>
      </c>
      <c r="F16" s="8"/>
      <c r="G16" s="12"/>
      <c r="H16" s="3"/>
      <c r="I16" s="12"/>
      <c r="J16" s="13">
        <v>680000</v>
      </c>
      <c r="K16" s="18"/>
      <c r="L16" s="99"/>
      <c r="M16" s="3"/>
      <c r="N16" s="3"/>
      <c r="O16" s="53">
        <f t="shared" si="0"/>
        <v>680000</v>
      </c>
      <c r="P16" s="13">
        <v>3200000</v>
      </c>
      <c r="Q16" s="54">
        <f t="shared" si="1"/>
        <v>2520000</v>
      </c>
      <c r="R16" s="5"/>
    </row>
    <row r="17" spans="1:18" ht="17.25" customHeight="1" x14ac:dyDescent="0.25">
      <c r="A17" s="25">
        <v>10</v>
      </c>
      <c r="B17" s="116" t="s">
        <v>1407</v>
      </c>
      <c r="C17" s="10" t="s">
        <v>1354</v>
      </c>
      <c r="D17" s="8" t="s">
        <v>1378</v>
      </c>
      <c r="E17" s="10" t="s">
        <v>1043</v>
      </c>
      <c r="F17" s="8"/>
      <c r="G17" s="12"/>
      <c r="H17" s="3"/>
      <c r="I17" s="12"/>
      <c r="J17" s="13">
        <f>810000+60000</f>
        <v>870000</v>
      </c>
      <c r="K17" s="18"/>
      <c r="L17" s="99"/>
      <c r="M17" s="3"/>
      <c r="N17" s="3"/>
      <c r="O17" s="53">
        <f t="shared" si="0"/>
        <v>870000</v>
      </c>
      <c r="P17" s="13">
        <v>4727273</v>
      </c>
      <c r="Q17" s="54">
        <f t="shared" si="1"/>
        <v>3857273</v>
      </c>
      <c r="R17" s="5"/>
    </row>
    <row r="18" spans="1:18" ht="17.25" customHeight="1" x14ac:dyDescent="0.25">
      <c r="A18" s="25">
        <v>11</v>
      </c>
      <c r="B18" s="116" t="s">
        <v>1408</v>
      </c>
      <c r="C18" s="10" t="s">
        <v>1355</v>
      </c>
      <c r="D18" s="8" t="s">
        <v>1379</v>
      </c>
      <c r="E18" s="10" t="s">
        <v>1043</v>
      </c>
      <c r="F18" s="8"/>
      <c r="G18" s="12">
        <v>205</v>
      </c>
      <c r="H18" s="3">
        <f>G18*11510</f>
        <v>2359550</v>
      </c>
      <c r="I18" s="12"/>
      <c r="J18" s="13">
        <v>870000</v>
      </c>
      <c r="K18" s="18"/>
      <c r="L18" s="99"/>
      <c r="M18" s="3"/>
      <c r="N18" s="3"/>
      <c r="O18" s="53">
        <f t="shared" si="0"/>
        <v>3229550</v>
      </c>
      <c r="P18" s="13">
        <v>4727273</v>
      </c>
      <c r="Q18" s="54">
        <f t="shared" si="1"/>
        <v>1497723</v>
      </c>
      <c r="R18" s="5"/>
    </row>
    <row r="19" spans="1:18" ht="17.25" customHeight="1" x14ac:dyDescent="0.25">
      <c r="A19" s="25">
        <v>12</v>
      </c>
      <c r="B19" s="116" t="s">
        <v>1409</v>
      </c>
      <c r="C19" s="10" t="s">
        <v>1356</v>
      </c>
      <c r="D19" s="8" t="s">
        <v>1380</v>
      </c>
      <c r="E19" s="10" t="s">
        <v>1043</v>
      </c>
      <c r="F19" s="8"/>
      <c r="G19" s="12"/>
      <c r="H19" s="3"/>
      <c r="I19" s="12"/>
      <c r="J19" s="13">
        <v>870000</v>
      </c>
      <c r="K19" s="18"/>
      <c r="L19" s="99"/>
      <c r="M19" s="3"/>
      <c r="N19" s="3"/>
      <c r="O19" s="53">
        <f t="shared" si="0"/>
        <v>870000</v>
      </c>
      <c r="P19" s="13">
        <v>4727273</v>
      </c>
      <c r="Q19" s="54">
        <f t="shared" si="1"/>
        <v>3857273</v>
      </c>
      <c r="R19" s="5"/>
    </row>
    <row r="20" spans="1:18" ht="17.25" customHeight="1" x14ac:dyDescent="0.25">
      <c r="A20" s="25">
        <v>13</v>
      </c>
      <c r="B20" s="116" t="s">
        <v>1410</v>
      </c>
      <c r="C20" s="10" t="s">
        <v>1357</v>
      </c>
      <c r="D20" s="8" t="s">
        <v>1381</v>
      </c>
      <c r="E20" s="10" t="s">
        <v>1043</v>
      </c>
      <c r="F20" s="8"/>
      <c r="G20" s="12"/>
      <c r="H20" s="3"/>
      <c r="I20" s="12"/>
      <c r="J20" s="13">
        <v>870000</v>
      </c>
      <c r="K20" s="18"/>
      <c r="L20" s="99"/>
      <c r="M20" s="3"/>
      <c r="N20" s="3"/>
      <c r="O20" s="53">
        <f t="shared" si="0"/>
        <v>870000</v>
      </c>
      <c r="P20" s="13">
        <v>4727273</v>
      </c>
      <c r="Q20" s="54">
        <f t="shared" si="1"/>
        <v>3857273</v>
      </c>
      <c r="R20" s="5"/>
    </row>
    <row r="21" spans="1:18" ht="17.25" customHeight="1" x14ac:dyDescent="0.25">
      <c r="A21" s="25">
        <v>14</v>
      </c>
      <c r="B21" s="116" t="s">
        <v>1410</v>
      </c>
      <c r="C21" s="10" t="s">
        <v>1358</v>
      </c>
      <c r="D21" s="8" t="s">
        <v>1382</v>
      </c>
      <c r="E21" s="10" t="s">
        <v>1043</v>
      </c>
      <c r="F21" s="8"/>
      <c r="G21" s="12">
        <v>210</v>
      </c>
      <c r="H21" s="3">
        <f t="shared" ref="H21:H30" si="3">G21*11510</f>
        <v>2417100</v>
      </c>
      <c r="I21" s="12"/>
      <c r="J21" s="13">
        <v>200000</v>
      </c>
      <c r="K21" s="18"/>
      <c r="L21" s="99"/>
      <c r="M21" s="3"/>
      <c r="N21" s="3"/>
      <c r="O21" s="53">
        <f t="shared" si="0"/>
        <v>2617100</v>
      </c>
      <c r="P21" s="13">
        <v>0</v>
      </c>
      <c r="Q21" s="54">
        <f t="shared" si="1"/>
        <v>-2617100</v>
      </c>
      <c r="R21" s="5"/>
    </row>
    <row r="22" spans="1:18" ht="17.25" customHeight="1" x14ac:dyDescent="0.25">
      <c r="A22" s="25">
        <v>15</v>
      </c>
      <c r="B22" s="116" t="s">
        <v>1411</v>
      </c>
      <c r="C22" s="10" t="s">
        <v>1359</v>
      </c>
      <c r="D22" s="8" t="s">
        <v>1383</v>
      </c>
      <c r="E22" s="10" t="s">
        <v>330</v>
      </c>
      <c r="F22" s="8"/>
      <c r="G22" s="12">
        <v>100</v>
      </c>
      <c r="H22" s="3">
        <f t="shared" si="3"/>
        <v>1151000</v>
      </c>
      <c r="I22" s="12"/>
      <c r="J22" s="13">
        <v>680000</v>
      </c>
      <c r="K22" s="18"/>
      <c r="L22" s="99"/>
      <c r="M22" s="3"/>
      <c r="N22" s="3"/>
      <c r="O22" s="53">
        <f t="shared" si="0"/>
        <v>1831000</v>
      </c>
      <c r="P22" s="13">
        <v>3200000</v>
      </c>
      <c r="Q22" s="54">
        <f t="shared" si="1"/>
        <v>1369000</v>
      </c>
      <c r="R22" s="5"/>
    </row>
    <row r="23" spans="1:18" ht="17.25" customHeight="1" x14ac:dyDescent="0.25">
      <c r="A23" s="25">
        <v>16</v>
      </c>
      <c r="B23" s="116" t="s">
        <v>1412</v>
      </c>
      <c r="C23" s="10" t="s">
        <v>1360</v>
      </c>
      <c r="D23" s="8" t="s">
        <v>1384</v>
      </c>
      <c r="E23" s="10" t="s">
        <v>112</v>
      </c>
      <c r="F23" s="8"/>
      <c r="G23" s="12"/>
      <c r="H23" s="3"/>
      <c r="I23" s="12"/>
      <c r="J23" s="13">
        <v>2470000</v>
      </c>
      <c r="K23" s="18"/>
      <c r="L23" s="99"/>
      <c r="M23" s="3"/>
      <c r="N23" s="3"/>
      <c r="O23" s="53">
        <f t="shared" si="0"/>
        <v>2470000</v>
      </c>
      <c r="P23" s="13">
        <v>12272727</v>
      </c>
      <c r="Q23" s="54">
        <f t="shared" si="1"/>
        <v>9802727</v>
      </c>
      <c r="R23" s="5"/>
    </row>
    <row r="24" spans="1:18" ht="17.25" customHeight="1" x14ac:dyDescent="0.25">
      <c r="A24" s="25">
        <v>17</v>
      </c>
      <c r="B24" s="116" t="s">
        <v>1413</v>
      </c>
      <c r="C24" s="10" t="s">
        <v>1361</v>
      </c>
      <c r="D24" s="117" t="s">
        <v>1385</v>
      </c>
      <c r="E24" s="9" t="s">
        <v>799</v>
      </c>
      <c r="F24" s="117"/>
      <c r="G24" s="118">
        <v>295</v>
      </c>
      <c r="H24" s="94">
        <f t="shared" si="3"/>
        <v>3395450</v>
      </c>
      <c r="I24" s="118"/>
      <c r="J24" s="119">
        <v>680000</v>
      </c>
      <c r="K24" s="18"/>
      <c r="L24" s="99"/>
      <c r="M24" s="3"/>
      <c r="N24" s="3"/>
      <c r="O24" s="53">
        <f t="shared" si="0"/>
        <v>4075450</v>
      </c>
      <c r="P24" s="13">
        <v>3700000</v>
      </c>
      <c r="Q24" s="54">
        <f t="shared" si="1"/>
        <v>-375450</v>
      </c>
      <c r="R24" s="5"/>
    </row>
    <row r="25" spans="1:18" ht="17.25" customHeight="1" x14ac:dyDescent="0.25">
      <c r="A25" s="25">
        <v>18</v>
      </c>
      <c r="B25" s="116" t="s">
        <v>1414</v>
      </c>
      <c r="C25" s="10" t="s">
        <v>1362</v>
      </c>
      <c r="D25" s="8" t="s">
        <v>1386</v>
      </c>
      <c r="E25" s="10" t="s">
        <v>1043</v>
      </c>
      <c r="F25" s="8"/>
      <c r="G25" s="12"/>
      <c r="H25" s="3"/>
      <c r="I25" s="12"/>
      <c r="J25" s="13">
        <v>870000</v>
      </c>
      <c r="K25" s="18"/>
      <c r="L25" s="99"/>
      <c r="M25" s="3"/>
      <c r="N25" s="3"/>
      <c r="O25" s="53">
        <f t="shared" si="0"/>
        <v>870000</v>
      </c>
      <c r="P25" s="13">
        <v>4727273</v>
      </c>
      <c r="Q25" s="54">
        <f t="shared" si="1"/>
        <v>3857273</v>
      </c>
      <c r="R25" s="5"/>
    </row>
    <row r="26" spans="1:18" ht="17.25" customHeight="1" x14ac:dyDescent="0.25">
      <c r="A26" s="25">
        <v>19</v>
      </c>
      <c r="B26" s="116" t="s">
        <v>1415</v>
      </c>
      <c r="C26" s="10" t="s">
        <v>1363</v>
      </c>
      <c r="D26" s="8" t="s">
        <v>1387</v>
      </c>
      <c r="E26" s="10" t="s">
        <v>1395</v>
      </c>
      <c r="F26" s="8"/>
      <c r="G26" s="12"/>
      <c r="H26" s="3"/>
      <c r="I26" s="12"/>
      <c r="J26" s="13">
        <f>930000+300000</f>
        <v>1230000</v>
      </c>
      <c r="K26" s="18"/>
      <c r="L26" s="99"/>
      <c r="M26" s="3"/>
      <c r="N26" s="3"/>
      <c r="O26" s="53">
        <f t="shared" si="0"/>
        <v>1230000</v>
      </c>
      <c r="P26" s="13">
        <v>3000000</v>
      </c>
      <c r="Q26" s="54">
        <f t="shared" si="1"/>
        <v>1770000</v>
      </c>
      <c r="R26" s="5"/>
    </row>
    <row r="27" spans="1:18" ht="17.25" customHeight="1" x14ac:dyDescent="0.25">
      <c r="A27" s="25">
        <v>20</v>
      </c>
      <c r="B27" s="116" t="s">
        <v>1416</v>
      </c>
      <c r="C27" s="10" t="s">
        <v>1364</v>
      </c>
      <c r="D27" s="8" t="s">
        <v>1387</v>
      </c>
      <c r="E27" s="10" t="s">
        <v>1396</v>
      </c>
      <c r="F27" s="8"/>
      <c r="G27" s="12">
        <v>195</v>
      </c>
      <c r="H27" s="3">
        <f t="shared" si="3"/>
        <v>2244450</v>
      </c>
      <c r="I27" s="12"/>
      <c r="J27" s="13"/>
      <c r="K27" s="18"/>
      <c r="L27" s="99"/>
      <c r="M27" s="3"/>
      <c r="N27" s="3"/>
      <c r="O27" s="53">
        <f t="shared" si="0"/>
        <v>2244450</v>
      </c>
      <c r="P27" s="13">
        <v>2400000</v>
      </c>
      <c r="Q27" s="54">
        <f t="shared" si="1"/>
        <v>155550</v>
      </c>
      <c r="R27" s="5"/>
    </row>
    <row r="28" spans="1:18" ht="17.25" customHeight="1" x14ac:dyDescent="0.25">
      <c r="A28" s="25">
        <v>21</v>
      </c>
      <c r="B28" s="116" t="s">
        <v>1417</v>
      </c>
      <c r="C28" s="10" t="s">
        <v>1365</v>
      </c>
      <c r="D28" s="8" t="s">
        <v>1388</v>
      </c>
      <c r="E28" s="10" t="s">
        <v>1337</v>
      </c>
      <c r="F28" s="8"/>
      <c r="G28" s="12"/>
      <c r="H28" s="3"/>
      <c r="I28" s="12"/>
      <c r="J28" s="13">
        <v>1060000</v>
      </c>
      <c r="K28" s="18"/>
      <c r="L28" s="99"/>
      <c r="M28" s="3"/>
      <c r="N28" s="3"/>
      <c r="O28" s="53">
        <f t="shared" si="0"/>
        <v>1060000</v>
      </c>
      <c r="P28" s="13">
        <v>3100000</v>
      </c>
      <c r="Q28" s="54">
        <f t="shared" si="1"/>
        <v>2040000</v>
      </c>
      <c r="R28" s="5"/>
    </row>
    <row r="29" spans="1:18" ht="17.25" customHeight="1" x14ac:dyDescent="0.25">
      <c r="A29" s="25">
        <v>22</v>
      </c>
      <c r="B29" s="116" t="s">
        <v>1418</v>
      </c>
      <c r="C29" s="10" t="s">
        <v>1366</v>
      </c>
      <c r="D29" s="8" t="s">
        <v>1389</v>
      </c>
      <c r="E29" s="10" t="s">
        <v>330</v>
      </c>
      <c r="F29" s="8"/>
      <c r="G29" s="12"/>
      <c r="H29" s="3"/>
      <c r="I29" s="12"/>
      <c r="J29" s="13">
        <v>680000</v>
      </c>
      <c r="K29" s="18"/>
      <c r="L29" s="99"/>
      <c r="M29" s="3"/>
      <c r="N29" s="3"/>
      <c r="O29" s="53">
        <f t="shared" si="0"/>
        <v>680000</v>
      </c>
      <c r="P29" s="13">
        <v>3200000</v>
      </c>
      <c r="Q29" s="54">
        <f t="shared" si="1"/>
        <v>2520000</v>
      </c>
      <c r="R29" s="5"/>
    </row>
    <row r="30" spans="1:18" ht="17.25" customHeight="1" x14ac:dyDescent="0.25">
      <c r="A30" s="25">
        <v>23</v>
      </c>
      <c r="B30" s="116" t="s">
        <v>1419</v>
      </c>
      <c r="C30" s="10" t="s">
        <v>1367</v>
      </c>
      <c r="D30" s="8" t="s">
        <v>1390</v>
      </c>
      <c r="E30" s="10" t="s">
        <v>330</v>
      </c>
      <c r="F30" s="8"/>
      <c r="G30" s="12">
        <v>255</v>
      </c>
      <c r="H30" s="3">
        <f t="shared" si="3"/>
        <v>2935050</v>
      </c>
      <c r="I30" s="12"/>
      <c r="J30" s="13">
        <v>680000</v>
      </c>
      <c r="K30" s="18"/>
      <c r="L30" s="99"/>
      <c r="M30" s="3"/>
      <c r="N30" s="3"/>
      <c r="O30" s="53">
        <f t="shared" si="0"/>
        <v>3615050</v>
      </c>
      <c r="P30" s="13">
        <v>3200000</v>
      </c>
      <c r="Q30" s="54">
        <f t="shared" si="1"/>
        <v>-415050</v>
      </c>
      <c r="R30" s="5"/>
    </row>
    <row r="31" spans="1:18" ht="17.25" customHeight="1" x14ac:dyDescent="0.25">
      <c r="A31" s="25">
        <v>24</v>
      </c>
      <c r="B31" s="116" t="s">
        <v>1420</v>
      </c>
      <c r="C31" s="10" t="s">
        <v>1368</v>
      </c>
      <c r="D31" s="8" t="s">
        <v>1391</v>
      </c>
      <c r="E31" s="10" t="s">
        <v>1397</v>
      </c>
      <c r="F31" s="8"/>
      <c r="G31" s="12"/>
      <c r="H31" s="3"/>
      <c r="I31" s="12"/>
      <c r="J31" s="13">
        <v>300000</v>
      </c>
      <c r="K31" s="18"/>
      <c r="L31" s="99"/>
      <c r="M31" s="3"/>
      <c r="N31" s="3"/>
      <c r="O31" s="53">
        <f t="shared" si="0"/>
        <v>300000</v>
      </c>
      <c r="P31" s="13">
        <v>1500000</v>
      </c>
      <c r="Q31" s="54">
        <f>P31-O31</f>
        <v>1200000</v>
      </c>
      <c r="R31" s="5"/>
    </row>
    <row r="32" spans="1:18" ht="12.75" customHeight="1" x14ac:dyDescent="0.25">
      <c r="A32" s="25"/>
      <c r="B32" s="44"/>
      <c r="C32" s="10"/>
      <c r="D32" s="12"/>
      <c r="E32" s="10"/>
      <c r="F32" s="8"/>
      <c r="G32" s="12"/>
      <c r="H32" s="3"/>
      <c r="I32" s="12"/>
      <c r="J32" s="13"/>
      <c r="K32" s="18"/>
      <c r="L32" s="29"/>
      <c r="M32" s="13"/>
      <c r="N32" s="13"/>
      <c r="O32" s="53">
        <f t="shared" ref="O32:O37" si="4">H32+J32+K32+L32+M32+N32</f>
        <v>0</v>
      </c>
      <c r="P32" s="13"/>
      <c r="Q32" s="54">
        <f t="shared" ref="Q32" si="5">P32-O32</f>
        <v>0</v>
      </c>
      <c r="R32" s="5"/>
    </row>
    <row r="33" spans="1:17" ht="16.149999999999999" customHeight="1" x14ac:dyDescent="0.25">
      <c r="A33" s="8"/>
      <c r="B33" s="8"/>
      <c r="C33" s="182" t="s">
        <v>131</v>
      </c>
      <c r="D33" s="183"/>
      <c r="E33" s="183"/>
      <c r="F33" s="184"/>
      <c r="G33" s="30"/>
      <c r="H33" s="28"/>
      <c r="I33" s="30"/>
      <c r="J33" s="28"/>
      <c r="K33" s="28"/>
      <c r="L33" s="28">
        <v>1200000</v>
      </c>
      <c r="M33" s="28"/>
      <c r="N33" s="28"/>
      <c r="O33" s="53">
        <f t="shared" si="4"/>
        <v>1200000</v>
      </c>
      <c r="P33" s="28"/>
      <c r="Q33" s="54"/>
    </row>
    <row r="34" spans="1:17" ht="27.75" customHeight="1" x14ac:dyDescent="0.25">
      <c r="A34" s="8"/>
      <c r="B34" s="8"/>
      <c r="C34" s="196" t="s">
        <v>1421</v>
      </c>
      <c r="D34" s="197"/>
      <c r="E34" s="197"/>
      <c r="F34" s="198"/>
      <c r="G34" s="30"/>
      <c r="H34" s="28"/>
      <c r="I34" s="30"/>
      <c r="J34" s="28"/>
      <c r="K34" s="28"/>
      <c r="L34" s="28">
        <v>650000</v>
      </c>
      <c r="M34" s="28"/>
      <c r="N34" s="28"/>
      <c r="O34" s="53">
        <f t="shared" si="4"/>
        <v>650000</v>
      </c>
      <c r="P34" s="28"/>
      <c r="Q34" s="54"/>
    </row>
    <row r="35" spans="1:17" ht="26.25" customHeight="1" x14ac:dyDescent="0.25">
      <c r="A35" s="8"/>
      <c r="B35" s="8"/>
      <c r="C35" s="196" t="s">
        <v>1422</v>
      </c>
      <c r="D35" s="197"/>
      <c r="E35" s="197"/>
      <c r="F35" s="198"/>
      <c r="G35" s="30"/>
      <c r="H35" s="28"/>
      <c r="I35" s="30"/>
      <c r="J35" s="28"/>
      <c r="K35" s="28"/>
      <c r="L35" s="28">
        <v>400000</v>
      </c>
      <c r="M35" s="28"/>
      <c r="N35" s="28"/>
      <c r="O35" s="53">
        <f t="shared" si="4"/>
        <v>400000</v>
      </c>
      <c r="P35" s="28"/>
      <c r="Q35" s="54"/>
    </row>
    <row r="36" spans="1:17" ht="30" customHeight="1" x14ac:dyDescent="0.25">
      <c r="A36" s="8"/>
      <c r="B36" s="8"/>
      <c r="C36" s="196" t="s">
        <v>1423</v>
      </c>
      <c r="D36" s="197"/>
      <c r="E36" s="197"/>
      <c r="F36" s="198"/>
      <c r="G36" s="30"/>
      <c r="H36" s="28"/>
      <c r="I36" s="30"/>
      <c r="J36" s="28"/>
      <c r="K36" s="28"/>
      <c r="L36" s="28">
        <v>1400000</v>
      </c>
      <c r="M36" s="28"/>
      <c r="N36" s="28"/>
      <c r="O36" s="53">
        <f t="shared" si="4"/>
        <v>1400000</v>
      </c>
      <c r="P36" s="28"/>
      <c r="Q36" s="54"/>
    </row>
    <row r="37" spans="1:17" ht="25.5" customHeight="1" x14ac:dyDescent="0.25">
      <c r="A37" s="8"/>
      <c r="B37" s="8"/>
      <c r="C37" s="191" t="s">
        <v>132</v>
      </c>
      <c r="D37" s="192"/>
      <c r="E37" s="192"/>
      <c r="F37" s="195"/>
      <c r="G37" s="30"/>
      <c r="H37" s="28"/>
      <c r="I37" s="30"/>
      <c r="J37" s="28"/>
      <c r="K37" s="28">
        <v>8653846.153846154</v>
      </c>
      <c r="L37" s="28"/>
      <c r="M37" s="28"/>
      <c r="N37" s="28"/>
      <c r="O37" s="53">
        <f t="shared" si="4"/>
        <v>8653846.153846154</v>
      </c>
      <c r="P37" s="28"/>
      <c r="Q37" s="54"/>
    </row>
    <row r="38" spans="1:17" x14ac:dyDescent="0.25">
      <c r="A38" s="166" t="s">
        <v>19</v>
      </c>
      <c r="B38" s="167"/>
      <c r="C38" s="167"/>
      <c r="D38" s="167"/>
      <c r="E38" s="167"/>
      <c r="F38" s="168"/>
      <c r="G38" s="88">
        <f t="shared" ref="G38:N38" si="6">SUM(G7:G37)</f>
        <v>2213</v>
      </c>
      <c r="H38" s="4">
        <f t="shared" si="6"/>
        <v>24737820</v>
      </c>
      <c r="I38" s="4">
        <f t="shared" si="6"/>
        <v>0</v>
      </c>
      <c r="J38" s="4">
        <f t="shared" si="6"/>
        <v>19106000</v>
      </c>
      <c r="K38" s="4">
        <f>SUM(K7:K37)</f>
        <v>8653846.153846154</v>
      </c>
      <c r="L38" s="4">
        <f>SUM(L7:L37)</f>
        <v>3650000</v>
      </c>
      <c r="M38" s="4">
        <f t="shared" si="6"/>
        <v>0</v>
      </c>
      <c r="N38" s="4">
        <f t="shared" si="6"/>
        <v>0</v>
      </c>
      <c r="O38" s="4">
        <f>SUM(O7:O37)</f>
        <v>56147666.153846152</v>
      </c>
      <c r="P38" s="4">
        <f>SUM(P8:P37)</f>
        <v>95781819</v>
      </c>
      <c r="Q38" s="4">
        <f>P38-O38</f>
        <v>39634152.846153848</v>
      </c>
    </row>
    <row r="39" spans="1:17" x14ac:dyDescent="0.25">
      <c r="O39" s="20"/>
      <c r="Q39" s="26"/>
    </row>
    <row r="40" spans="1:17" x14ac:dyDescent="0.25">
      <c r="P40" s="21" t="s">
        <v>20</v>
      </c>
      <c r="Q40" s="26">
        <f>'05.2020'!Q39+'06.2020'!Q38</f>
        <v>195617229.30069929</v>
      </c>
    </row>
    <row r="41" spans="1:17" x14ac:dyDescent="0.25">
      <c r="C41" s="6" t="s">
        <v>993</v>
      </c>
    </row>
    <row r="42" spans="1:17" x14ac:dyDescent="0.25">
      <c r="C42" s="205"/>
      <c r="D42" s="205"/>
      <c r="E42" s="205"/>
      <c r="F42" s="205"/>
      <c r="H42" s="109"/>
    </row>
    <row r="43" spans="1:17" x14ac:dyDescent="0.25">
      <c r="C43" s="206"/>
      <c r="D43" s="206"/>
      <c r="E43" s="206"/>
      <c r="F43" s="206"/>
      <c r="H43" s="109"/>
    </row>
    <row r="44" spans="1:17" x14ac:dyDescent="0.25">
      <c r="B44" s="6"/>
      <c r="C44" s="110"/>
      <c r="D44" s="110"/>
      <c r="E44" s="110"/>
      <c r="F44" s="110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H47" s="109"/>
      <c r="J47" s="6"/>
      <c r="K47" s="6"/>
      <c r="L47" s="6"/>
      <c r="M47" s="6"/>
      <c r="N47" s="6"/>
      <c r="O47" s="6"/>
      <c r="P47" s="6"/>
      <c r="Q47" s="6"/>
    </row>
    <row r="48" spans="1:17" x14ac:dyDescent="0.2">
      <c r="C48" s="107"/>
      <c r="D48" s="110"/>
      <c r="E48" s="110"/>
      <c r="F48" s="110"/>
      <c r="H48" s="109"/>
    </row>
    <row r="49" spans="3:6" x14ac:dyDescent="0.25">
      <c r="C49" s="205"/>
      <c r="D49" s="205"/>
      <c r="E49" s="205"/>
      <c r="F49" s="205"/>
    </row>
  </sheetData>
  <mergeCells count="25">
    <mergeCell ref="C45:F45"/>
    <mergeCell ref="C46:F46"/>
    <mergeCell ref="C47:F47"/>
    <mergeCell ref="C49:F49"/>
    <mergeCell ref="C36:F36"/>
    <mergeCell ref="C37:F37"/>
    <mergeCell ref="A38:F38"/>
    <mergeCell ref="C42:F42"/>
    <mergeCell ref="C43:F43"/>
    <mergeCell ref="C35:F35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3:F33"/>
    <mergeCell ref="C34:F34"/>
  </mergeCells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50"/>
  <sheetViews>
    <sheetView topLeftCell="A19" workbookViewId="0">
      <selection activeCell="L30" sqref="L3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1424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7.25" customHeight="1" x14ac:dyDescent="0.25">
      <c r="A8" s="25">
        <v>1</v>
      </c>
      <c r="B8" s="120">
        <v>44012</v>
      </c>
      <c r="C8" s="10" t="s">
        <v>1425</v>
      </c>
      <c r="D8" s="12" t="s">
        <v>1448</v>
      </c>
      <c r="E8" s="10" t="s">
        <v>330</v>
      </c>
      <c r="F8" s="8"/>
      <c r="G8" s="12">
        <v>120</v>
      </c>
      <c r="H8" s="3">
        <f>G8*12110</f>
        <v>1453200</v>
      </c>
      <c r="I8" s="12"/>
      <c r="J8" s="13">
        <v>680000</v>
      </c>
      <c r="K8" s="18"/>
      <c r="L8" s="29"/>
      <c r="M8" s="13"/>
      <c r="N8" s="13"/>
      <c r="O8" s="53">
        <f>H8+J8+K8+L8+M8+N8</f>
        <v>2133200</v>
      </c>
      <c r="P8" s="13">
        <v>3200000</v>
      </c>
      <c r="Q8" s="54">
        <f>P8-O8</f>
        <v>1066800</v>
      </c>
      <c r="R8" s="5"/>
    </row>
    <row r="9" spans="1:18" ht="17.25" customHeight="1" x14ac:dyDescent="0.25">
      <c r="A9" s="25">
        <v>2</v>
      </c>
      <c r="B9" s="120">
        <v>44013</v>
      </c>
      <c r="C9" s="10" t="s">
        <v>1426</v>
      </c>
      <c r="D9" s="117" t="s">
        <v>1449</v>
      </c>
      <c r="E9" s="9" t="s">
        <v>112</v>
      </c>
      <c r="F9" s="117"/>
      <c r="G9" s="6">
        <v>218</v>
      </c>
      <c r="H9" s="3">
        <f t="shared" ref="H9:H29" si="0">G9*12110</f>
        <v>2639980</v>
      </c>
      <c r="I9" s="118"/>
      <c r="J9" s="119">
        <v>2470000</v>
      </c>
      <c r="K9" s="18"/>
      <c r="L9" s="99"/>
      <c r="M9" s="3"/>
      <c r="N9" s="3"/>
      <c r="O9" s="53">
        <f t="shared" ref="O9:O32" si="1">H9+J9+K9+L9+M9+N9</f>
        <v>5109980</v>
      </c>
      <c r="P9" s="13">
        <v>12272727</v>
      </c>
      <c r="Q9" s="54">
        <f t="shared" ref="Q9:Q32" si="2">P9-O9</f>
        <v>7162747</v>
      </c>
      <c r="R9" s="5"/>
    </row>
    <row r="10" spans="1:18" ht="17.25" customHeight="1" x14ac:dyDescent="0.25">
      <c r="A10" s="25">
        <v>3</v>
      </c>
      <c r="B10" s="120">
        <v>44014</v>
      </c>
      <c r="C10" s="10" t="s">
        <v>1427</v>
      </c>
      <c r="D10" s="8" t="s">
        <v>1450</v>
      </c>
      <c r="E10" s="10" t="s">
        <v>494</v>
      </c>
      <c r="F10" s="8"/>
      <c r="G10" s="12"/>
      <c r="H10" s="3"/>
      <c r="I10" s="12"/>
      <c r="J10" s="13">
        <v>870000</v>
      </c>
      <c r="K10" s="18"/>
      <c r="L10" s="99"/>
      <c r="M10" s="3"/>
      <c r="N10" s="3"/>
      <c r="O10" s="53">
        <f t="shared" si="1"/>
        <v>870000</v>
      </c>
      <c r="P10" s="13">
        <v>3600000</v>
      </c>
      <c r="Q10" s="54">
        <f t="shared" si="2"/>
        <v>2730000</v>
      </c>
      <c r="R10" s="5"/>
    </row>
    <row r="11" spans="1:18" ht="17.25" customHeight="1" x14ac:dyDescent="0.25">
      <c r="A11" s="25">
        <v>4</v>
      </c>
      <c r="B11" s="120">
        <v>44016</v>
      </c>
      <c r="C11" s="10" t="s">
        <v>1428</v>
      </c>
      <c r="D11" s="8" t="s">
        <v>1451</v>
      </c>
      <c r="E11" s="10" t="s">
        <v>1472</v>
      </c>
      <c r="F11" s="8"/>
      <c r="G11" s="12"/>
      <c r="H11" s="3"/>
      <c r="I11" s="12"/>
      <c r="J11" s="13">
        <v>1060000</v>
      </c>
      <c r="K11" s="18"/>
      <c r="L11" s="99"/>
      <c r="M11" s="3"/>
      <c r="N11" s="3"/>
      <c r="O11" s="53">
        <f t="shared" si="1"/>
        <v>1060000</v>
      </c>
      <c r="P11" s="13">
        <v>3100000</v>
      </c>
      <c r="Q11" s="54">
        <f t="shared" si="2"/>
        <v>2040000</v>
      </c>
      <c r="R11" s="5"/>
    </row>
    <row r="12" spans="1:18" ht="17.25" customHeight="1" x14ac:dyDescent="0.25">
      <c r="A12" s="25">
        <v>5</v>
      </c>
      <c r="B12" s="120">
        <v>43989</v>
      </c>
      <c r="C12" s="10" t="s">
        <v>1429</v>
      </c>
      <c r="D12" s="8" t="s">
        <v>1452</v>
      </c>
      <c r="E12" s="10" t="s">
        <v>1473</v>
      </c>
      <c r="F12" s="8"/>
      <c r="G12" s="12"/>
      <c r="H12" s="3"/>
      <c r="I12" s="12"/>
      <c r="J12" s="13">
        <f>930000+500000</f>
        <v>1430000</v>
      </c>
      <c r="K12" s="18"/>
      <c r="L12" s="99"/>
      <c r="M12" s="3"/>
      <c r="N12" s="3"/>
      <c r="O12" s="53">
        <f t="shared" si="1"/>
        <v>1430000</v>
      </c>
      <c r="P12" s="13">
        <v>3022727</v>
      </c>
      <c r="Q12" s="54">
        <f t="shared" si="2"/>
        <v>1592727</v>
      </c>
      <c r="R12" s="5"/>
    </row>
    <row r="13" spans="1:18" ht="17.25" customHeight="1" x14ac:dyDescent="0.25">
      <c r="A13" s="25">
        <v>6</v>
      </c>
      <c r="B13" s="120">
        <v>43989</v>
      </c>
      <c r="C13" s="10" t="s">
        <v>1430</v>
      </c>
      <c r="D13" s="8" t="s">
        <v>1452</v>
      </c>
      <c r="E13" s="10" t="s">
        <v>1474</v>
      </c>
      <c r="F13" s="8"/>
      <c r="G13" s="12"/>
      <c r="H13" s="3"/>
      <c r="I13" s="12"/>
      <c r="J13" s="13"/>
      <c r="K13" s="18"/>
      <c r="L13" s="99"/>
      <c r="M13" s="3"/>
      <c r="N13" s="3"/>
      <c r="O13" s="53">
        <f t="shared" si="1"/>
        <v>0</v>
      </c>
      <c r="P13" s="13">
        <v>4318182</v>
      </c>
      <c r="Q13" s="54">
        <f t="shared" si="2"/>
        <v>4318182</v>
      </c>
      <c r="R13" s="5"/>
    </row>
    <row r="14" spans="1:18" ht="17.25" customHeight="1" x14ac:dyDescent="0.25">
      <c r="A14" s="25">
        <v>7</v>
      </c>
      <c r="B14" s="120">
        <v>44019</v>
      </c>
      <c r="C14" s="10" t="s">
        <v>1431</v>
      </c>
      <c r="D14" s="8" t="s">
        <v>1453</v>
      </c>
      <c r="E14" s="10" t="s">
        <v>1043</v>
      </c>
      <c r="F14" s="8"/>
      <c r="G14" s="12">
        <v>215</v>
      </c>
      <c r="H14" s="3">
        <f t="shared" si="0"/>
        <v>2603650</v>
      </c>
      <c r="I14" s="12"/>
      <c r="J14" s="13">
        <v>870000</v>
      </c>
      <c r="K14" s="18"/>
      <c r="L14" s="99"/>
      <c r="M14" s="3"/>
      <c r="N14" s="3"/>
      <c r="O14" s="53">
        <f t="shared" si="1"/>
        <v>3473650</v>
      </c>
      <c r="P14" s="13">
        <v>4363636</v>
      </c>
      <c r="Q14" s="54">
        <f t="shared" si="2"/>
        <v>889986</v>
      </c>
      <c r="R14" s="5"/>
    </row>
    <row r="15" spans="1:18" ht="17.25" customHeight="1" x14ac:dyDescent="0.25">
      <c r="A15" s="25">
        <v>8</v>
      </c>
      <c r="B15" s="120">
        <v>44020</v>
      </c>
      <c r="C15" s="10" t="s">
        <v>1432</v>
      </c>
      <c r="D15" s="8" t="s">
        <v>1454</v>
      </c>
      <c r="E15" s="10" t="s">
        <v>112</v>
      </c>
      <c r="F15" s="8"/>
      <c r="G15" s="12">
        <v>95</v>
      </c>
      <c r="H15" s="3">
        <f t="shared" si="0"/>
        <v>1150450</v>
      </c>
      <c r="I15" s="12"/>
      <c r="J15" s="13">
        <v>2470000</v>
      </c>
      <c r="K15" s="18"/>
      <c r="L15" s="99"/>
      <c r="M15" s="3"/>
      <c r="N15" s="3"/>
      <c r="O15" s="53">
        <f t="shared" si="1"/>
        <v>3620450</v>
      </c>
      <c r="P15" s="13">
        <v>12272727</v>
      </c>
      <c r="Q15" s="54">
        <f t="shared" si="2"/>
        <v>8652277</v>
      </c>
      <c r="R15" s="5"/>
    </row>
    <row r="16" spans="1:18" ht="17.25" customHeight="1" x14ac:dyDescent="0.25">
      <c r="A16" s="25">
        <v>9</v>
      </c>
      <c r="B16" s="120">
        <v>44021</v>
      </c>
      <c r="C16" s="10" t="s">
        <v>1433</v>
      </c>
      <c r="D16" s="8" t="s">
        <v>1455</v>
      </c>
      <c r="E16" s="10" t="s">
        <v>330</v>
      </c>
      <c r="F16" s="8"/>
      <c r="G16" s="12">
        <v>204</v>
      </c>
      <c r="H16" s="3">
        <f t="shared" si="0"/>
        <v>2470440</v>
      </c>
      <c r="I16" s="12"/>
      <c r="J16" s="13">
        <v>680000</v>
      </c>
      <c r="K16" s="18"/>
      <c r="L16" s="99"/>
      <c r="M16" s="3"/>
      <c r="N16" s="3"/>
      <c r="O16" s="53">
        <f t="shared" si="1"/>
        <v>3150440</v>
      </c>
      <c r="P16" s="13">
        <v>3200000</v>
      </c>
      <c r="Q16" s="54">
        <f t="shared" si="2"/>
        <v>49560</v>
      </c>
      <c r="R16" s="5"/>
    </row>
    <row r="17" spans="1:18" ht="17.25" customHeight="1" x14ac:dyDescent="0.25">
      <c r="A17" s="25">
        <v>10</v>
      </c>
      <c r="B17" s="120">
        <v>44025</v>
      </c>
      <c r="C17" s="10" t="s">
        <v>1434</v>
      </c>
      <c r="D17" s="8" t="s">
        <v>1456</v>
      </c>
      <c r="E17" s="10" t="s">
        <v>1475</v>
      </c>
      <c r="F17" s="8"/>
      <c r="G17" s="12"/>
      <c r="H17" s="3"/>
      <c r="I17" s="12"/>
      <c r="J17" s="13">
        <v>680000</v>
      </c>
      <c r="K17" s="18"/>
      <c r="L17" s="99"/>
      <c r="M17" s="3"/>
      <c r="N17" s="3"/>
      <c r="O17" s="53">
        <f t="shared" si="1"/>
        <v>680000</v>
      </c>
      <c r="P17" s="13">
        <v>3500000</v>
      </c>
      <c r="Q17" s="54">
        <f t="shared" si="2"/>
        <v>2820000</v>
      </c>
      <c r="R17" s="5"/>
    </row>
    <row r="18" spans="1:18" ht="17.25" customHeight="1" x14ac:dyDescent="0.25">
      <c r="A18" s="25">
        <v>11</v>
      </c>
      <c r="B18" s="120">
        <v>44025</v>
      </c>
      <c r="C18" s="10" t="s">
        <v>1435</v>
      </c>
      <c r="D18" s="8" t="s">
        <v>1457</v>
      </c>
      <c r="E18" s="10" t="s">
        <v>1476</v>
      </c>
      <c r="F18" s="8"/>
      <c r="G18" s="12">
        <v>168</v>
      </c>
      <c r="H18" s="3">
        <f t="shared" si="0"/>
        <v>2034480</v>
      </c>
      <c r="I18" s="12"/>
      <c r="J18" s="13">
        <v>930000</v>
      </c>
      <c r="K18" s="18"/>
      <c r="L18" s="99"/>
      <c r="M18" s="3"/>
      <c r="N18" s="3"/>
      <c r="O18" s="53">
        <f t="shared" si="1"/>
        <v>2964480</v>
      </c>
      <c r="P18" s="13">
        <v>3312727</v>
      </c>
      <c r="Q18" s="54">
        <f t="shared" si="2"/>
        <v>348247</v>
      </c>
      <c r="R18" s="5"/>
    </row>
    <row r="19" spans="1:18" ht="17.25" customHeight="1" x14ac:dyDescent="0.25">
      <c r="A19" s="25">
        <v>12</v>
      </c>
      <c r="B19" s="120">
        <v>44026</v>
      </c>
      <c r="C19" s="10" t="s">
        <v>1436</v>
      </c>
      <c r="D19" s="8" t="s">
        <v>1458</v>
      </c>
      <c r="E19" s="10" t="s">
        <v>1477</v>
      </c>
      <c r="F19" s="8"/>
      <c r="G19" s="12"/>
      <c r="H19" s="3"/>
      <c r="I19" s="12"/>
      <c r="J19" s="13">
        <v>870000</v>
      </c>
      <c r="K19" s="18"/>
      <c r="L19" s="99"/>
      <c r="M19" s="3"/>
      <c r="N19" s="3"/>
      <c r="O19" s="53">
        <f t="shared" si="1"/>
        <v>870000</v>
      </c>
      <c r="P19" s="13">
        <v>3400000</v>
      </c>
      <c r="Q19" s="54">
        <f t="shared" si="2"/>
        <v>2530000</v>
      </c>
      <c r="R19" s="5"/>
    </row>
    <row r="20" spans="1:18" ht="17.25" customHeight="1" x14ac:dyDescent="0.25">
      <c r="A20" s="25">
        <v>13</v>
      </c>
      <c r="B20" s="120">
        <v>44027</v>
      </c>
      <c r="C20" s="10" t="s">
        <v>1437</v>
      </c>
      <c r="D20" s="8" t="s">
        <v>1459</v>
      </c>
      <c r="E20" s="10" t="s">
        <v>1473</v>
      </c>
      <c r="F20" s="8"/>
      <c r="G20" s="12">
        <v>220</v>
      </c>
      <c r="H20" s="3">
        <f t="shared" si="0"/>
        <v>2664200</v>
      </c>
      <c r="I20" s="12"/>
      <c r="J20" s="13">
        <v>870000</v>
      </c>
      <c r="K20" s="18"/>
      <c r="L20" s="99"/>
      <c r="M20" s="3"/>
      <c r="N20" s="3"/>
      <c r="O20" s="53">
        <f t="shared" si="1"/>
        <v>3534200</v>
      </c>
      <c r="P20" s="13">
        <v>4318182</v>
      </c>
      <c r="Q20" s="54">
        <f t="shared" si="2"/>
        <v>783982</v>
      </c>
      <c r="R20" s="5"/>
    </row>
    <row r="21" spans="1:18" ht="17.25" customHeight="1" x14ac:dyDescent="0.25">
      <c r="A21" s="25">
        <v>14</v>
      </c>
      <c r="B21" s="120">
        <v>44029</v>
      </c>
      <c r="C21" s="10" t="s">
        <v>1438</v>
      </c>
      <c r="D21" s="8" t="s">
        <v>1460</v>
      </c>
      <c r="E21" s="10" t="s">
        <v>1478</v>
      </c>
      <c r="F21" s="8"/>
      <c r="G21" s="12"/>
      <c r="H21" s="3"/>
      <c r="I21" s="12"/>
      <c r="J21" s="13">
        <v>930000</v>
      </c>
      <c r="K21" s="18"/>
      <c r="L21" s="99"/>
      <c r="M21" s="3"/>
      <c r="N21" s="3"/>
      <c r="O21" s="53">
        <f t="shared" si="1"/>
        <v>930000</v>
      </c>
      <c r="P21" s="13">
        <v>3218182</v>
      </c>
      <c r="Q21" s="54">
        <f t="shared" si="2"/>
        <v>2288182</v>
      </c>
      <c r="R21" s="5"/>
    </row>
    <row r="22" spans="1:18" ht="17.25" customHeight="1" x14ac:dyDescent="0.25">
      <c r="A22" s="25">
        <v>15</v>
      </c>
      <c r="B22" s="120">
        <v>44030</v>
      </c>
      <c r="C22" s="10" t="s">
        <v>783</v>
      </c>
      <c r="D22" s="8" t="s">
        <v>1461</v>
      </c>
      <c r="E22" s="10" t="s">
        <v>254</v>
      </c>
      <c r="F22" s="8"/>
      <c r="G22" s="12"/>
      <c r="H22" s="3"/>
      <c r="I22" s="12"/>
      <c r="J22" s="13">
        <v>870000</v>
      </c>
      <c r="K22" s="18"/>
      <c r="L22" s="99"/>
      <c r="M22" s="3"/>
      <c r="N22" s="3"/>
      <c r="O22" s="53">
        <f t="shared" si="1"/>
        <v>870000</v>
      </c>
      <c r="P22" s="13">
        <v>3500000</v>
      </c>
      <c r="Q22" s="54">
        <f t="shared" si="2"/>
        <v>2630000</v>
      </c>
      <c r="R22" s="5"/>
    </row>
    <row r="23" spans="1:18" ht="17.25" customHeight="1" x14ac:dyDescent="0.25">
      <c r="A23" s="25">
        <v>16</v>
      </c>
      <c r="B23" s="120">
        <v>44030</v>
      </c>
      <c r="C23" s="10" t="s">
        <v>1439</v>
      </c>
      <c r="D23" s="8" t="s">
        <v>1462</v>
      </c>
      <c r="E23" s="10" t="s">
        <v>1043</v>
      </c>
      <c r="F23" s="8"/>
      <c r="G23" s="12"/>
      <c r="H23" s="3"/>
      <c r="I23" s="12"/>
      <c r="J23" s="13">
        <v>870000</v>
      </c>
      <c r="K23" s="18"/>
      <c r="L23" s="99"/>
      <c r="M23" s="3"/>
      <c r="N23" s="3"/>
      <c r="O23" s="53">
        <f t="shared" si="1"/>
        <v>870000</v>
      </c>
      <c r="P23" s="13">
        <v>4727273</v>
      </c>
      <c r="Q23" s="54">
        <f t="shared" si="2"/>
        <v>3857273</v>
      </c>
      <c r="R23" s="5"/>
    </row>
    <row r="24" spans="1:18" ht="17.25" customHeight="1" x14ac:dyDescent="0.25">
      <c r="A24" s="25">
        <v>17</v>
      </c>
      <c r="B24" s="120">
        <v>44032</v>
      </c>
      <c r="C24" s="10" t="s">
        <v>1440</v>
      </c>
      <c r="D24" s="8" t="s">
        <v>1463</v>
      </c>
      <c r="E24" s="10" t="s">
        <v>112</v>
      </c>
      <c r="F24" s="8"/>
      <c r="G24" s="12">
        <v>270</v>
      </c>
      <c r="H24" s="3">
        <f t="shared" si="0"/>
        <v>3269700</v>
      </c>
      <c r="I24" s="12"/>
      <c r="J24" s="13">
        <v>2470000</v>
      </c>
      <c r="K24" s="18"/>
      <c r="L24" s="99"/>
      <c r="M24" s="3"/>
      <c r="N24" s="3"/>
      <c r="O24" s="53">
        <f t="shared" si="1"/>
        <v>5739700</v>
      </c>
      <c r="P24" s="13">
        <v>12272727</v>
      </c>
      <c r="Q24" s="54">
        <f t="shared" si="2"/>
        <v>6533027</v>
      </c>
      <c r="R24" s="5"/>
    </row>
    <row r="25" spans="1:18" ht="17.25" customHeight="1" x14ac:dyDescent="0.25">
      <c r="A25" s="25">
        <v>18</v>
      </c>
      <c r="B25" s="120">
        <v>44033</v>
      </c>
      <c r="C25" s="10" t="s">
        <v>1441</v>
      </c>
      <c r="D25" s="8" t="s">
        <v>1464</v>
      </c>
      <c r="E25" s="10" t="s">
        <v>1479</v>
      </c>
      <c r="F25" s="8"/>
      <c r="G25" s="12"/>
      <c r="H25" s="3"/>
      <c r="I25" s="12"/>
      <c r="J25" s="13">
        <v>680000</v>
      </c>
      <c r="K25" s="18"/>
      <c r="L25" s="99"/>
      <c r="M25" s="3"/>
      <c r="N25" s="3"/>
      <c r="O25" s="53">
        <f t="shared" si="1"/>
        <v>680000</v>
      </c>
      <c r="P25" s="13">
        <v>3400000</v>
      </c>
      <c r="Q25" s="54">
        <f t="shared" si="2"/>
        <v>2720000</v>
      </c>
      <c r="R25" s="5"/>
    </row>
    <row r="26" spans="1:18" ht="17.25" customHeight="1" x14ac:dyDescent="0.25">
      <c r="A26" s="25">
        <v>19</v>
      </c>
      <c r="B26" s="120">
        <v>44034</v>
      </c>
      <c r="C26" s="10" t="s">
        <v>1442</v>
      </c>
      <c r="D26" s="8" t="s">
        <v>1465</v>
      </c>
      <c r="E26" s="10" t="s">
        <v>254</v>
      </c>
      <c r="F26" s="8"/>
      <c r="G26" s="12">
        <v>216</v>
      </c>
      <c r="H26" s="3">
        <f t="shared" si="0"/>
        <v>2615760</v>
      </c>
      <c r="I26" s="12"/>
      <c r="J26" s="13">
        <v>870000</v>
      </c>
      <c r="K26" s="18"/>
      <c r="L26" s="99"/>
      <c r="M26" s="3"/>
      <c r="N26" s="3"/>
      <c r="O26" s="53">
        <f t="shared" si="1"/>
        <v>3485760</v>
      </c>
      <c r="P26" s="13">
        <v>3500000</v>
      </c>
      <c r="Q26" s="54">
        <f t="shared" si="2"/>
        <v>14240</v>
      </c>
      <c r="R26" s="5"/>
    </row>
    <row r="27" spans="1:18" ht="24" customHeight="1" x14ac:dyDescent="0.25">
      <c r="A27" s="25">
        <v>20</v>
      </c>
      <c r="B27" s="120">
        <v>44035</v>
      </c>
      <c r="C27" s="10" t="s">
        <v>1443</v>
      </c>
      <c r="D27" s="117" t="s">
        <v>1466</v>
      </c>
      <c r="E27" s="9" t="s">
        <v>1480</v>
      </c>
      <c r="F27" s="117"/>
      <c r="G27" s="118"/>
      <c r="H27" s="3"/>
      <c r="I27" s="118"/>
      <c r="J27" s="119">
        <v>880000</v>
      </c>
      <c r="K27" s="18"/>
      <c r="L27" s="99"/>
      <c r="M27" s="3"/>
      <c r="N27" s="3"/>
      <c r="O27" s="53">
        <f t="shared" si="1"/>
        <v>880000</v>
      </c>
      <c r="P27" s="13">
        <v>3063636</v>
      </c>
      <c r="Q27" s="54">
        <f t="shared" si="2"/>
        <v>2183636</v>
      </c>
      <c r="R27" s="5"/>
    </row>
    <row r="28" spans="1:18" ht="17.25" customHeight="1" x14ac:dyDescent="0.25">
      <c r="A28" s="25">
        <v>21</v>
      </c>
      <c r="B28" s="120">
        <v>44036</v>
      </c>
      <c r="C28" s="10" t="s">
        <v>1444</v>
      </c>
      <c r="D28" s="8" t="s">
        <v>1467</v>
      </c>
      <c r="E28" s="10" t="s">
        <v>330</v>
      </c>
      <c r="F28" s="8"/>
      <c r="G28" s="12"/>
      <c r="H28" s="3">
        <f t="shared" si="0"/>
        <v>0</v>
      </c>
      <c r="I28" s="12"/>
      <c r="J28" s="13">
        <v>680000</v>
      </c>
      <c r="K28" s="18"/>
      <c r="L28" s="99"/>
      <c r="M28" s="3"/>
      <c r="N28" s="3"/>
      <c r="O28" s="53">
        <f t="shared" si="1"/>
        <v>680000</v>
      </c>
      <c r="P28" s="13">
        <v>3200000</v>
      </c>
      <c r="Q28" s="54">
        <f t="shared" si="2"/>
        <v>2520000</v>
      </c>
      <c r="R28" s="5"/>
    </row>
    <row r="29" spans="1:18" ht="17.25" customHeight="1" x14ac:dyDescent="0.25">
      <c r="A29" s="25">
        <v>22</v>
      </c>
      <c r="B29" s="120">
        <v>44038</v>
      </c>
      <c r="C29" s="10" t="s">
        <v>1445</v>
      </c>
      <c r="D29" s="8" t="s">
        <v>1468</v>
      </c>
      <c r="E29" s="10" t="s">
        <v>1481</v>
      </c>
      <c r="F29" s="8"/>
      <c r="G29" s="12">
        <v>256</v>
      </c>
      <c r="H29" s="3">
        <f t="shared" si="0"/>
        <v>3100160</v>
      </c>
      <c r="I29" s="12"/>
      <c r="J29" s="13">
        <v>680000</v>
      </c>
      <c r="K29" s="18"/>
      <c r="L29" s="99"/>
      <c r="M29" s="3"/>
      <c r="N29" s="3"/>
      <c r="O29" s="53">
        <f t="shared" si="1"/>
        <v>3780160</v>
      </c>
      <c r="P29" s="13">
        <v>2663636</v>
      </c>
      <c r="Q29" s="54">
        <f t="shared" si="2"/>
        <v>-1116524</v>
      </c>
      <c r="R29" s="5"/>
    </row>
    <row r="30" spans="1:18" ht="17.25" customHeight="1" x14ac:dyDescent="0.25">
      <c r="A30" s="25">
        <v>23</v>
      </c>
      <c r="B30" s="120">
        <v>44039</v>
      </c>
      <c r="C30" s="10" t="s">
        <v>801</v>
      </c>
      <c r="D30" s="8" t="s">
        <v>1469</v>
      </c>
      <c r="E30" s="10" t="s">
        <v>494</v>
      </c>
      <c r="F30" s="8"/>
      <c r="G30" s="12"/>
      <c r="H30" s="3"/>
      <c r="I30" s="12"/>
      <c r="J30" s="13">
        <v>870000</v>
      </c>
      <c r="K30" s="18"/>
      <c r="L30" s="99"/>
      <c r="M30" s="3"/>
      <c r="N30" s="3"/>
      <c r="O30" s="53">
        <f t="shared" si="1"/>
        <v>870000</v>
      </c>
      <c r="P30" s="13">
        <v>3400000</v>
      </c>
      <c r="Q30" s="54">
        <f t="shared" si="2"/>
        <v>2530000</v>
      </c>
      <c r="R30" s="5"/>
    </row>
    <row r="31" spans="1:18" ht="17.25" customHeight="1" x14ac:dyDescent="0.25">
      <c r="A31" s="25">
        <v>24</v>
      </c>
      <c r="B31" s="120">
        <v>44041</v>
      </c>
      <c r="C31" s="10" t="s">
        <v>1446</v>
      </c>
      <c r="D31" s="8" t="s">
        <v>1470</v>
      </c>
      <c r="E31" s="10" t="s">
        <v>1482</v>
      </c>
      <c r="F31" s="8"/>
      <c r="G31" s="12">
        <v>247</v>
      </c>
      <c r="H31" s="121">
        <f>G31*12390</f>
        <v>3060330</v>
      </c>
      <c r="I31" s="12"/>
      <c r="J31" s="13">
        <v>1610000</v>
      </c>
      <c r="K31" s="18"/>
      <c r="L31" s="99"/>
      <c r="M31" s="3"/>
      <c r="N31" s="3"/>
      <c r="O31" s="53">
        <f t="shared" si="1"/>
        <v>4670330</v>
      </c>
      <c r="P31" s="13">
        <v>7800000</v>
      </c>
      <c r="Q31" s="54">
        <f t="shared" si="2"/>
        <v>3129670</v>
      </c>
      <c r="R31" s="5"/>
    </row>
    <row r="32" spans="1:18" ht="17.25" customHeight="1" x14ac:dyDescent="0.25">
      <c r="A32" s="25">
        <v>25</v>
      </c>
      <c r="B32" s="120">
        <v>44042</v>
      </c>
      <c r="C32" s="111" t="s">
        <v>1447</v>
      </c>
      <c r="D32" s="12" t="s">
        <v>1471</v>
      </c>
      <c r="E32" s="111" t="s">
        <v>1177</v>
      </c>
      <c r="F32" s="8"/>
      <c r="G32" s="12">
        <v>288</v>
      </c>
      <c r="H32" s="121">
        <f>G32*12390</f>
        <v>3568320</v>
      </c>
      <c r="I32" s="12"/>
      <c r="J32" s="13">
        <v>930000</v>
      </c>
      <c r="K32" s="18"/>
      <c r="L32" s="99"/>
      <c r="M32" s="3"/>
      <c r="N32" s="3"/>
      <c r="O32" s="53">
        <f t="shared" si="1"/>
        <v>4498320</v>
      </c>
      <c r="P32" s="13">
        <v>5500000</v>
      </c>
      <c r="Q32" s="54">
        <f t="shared" si="2"/>
        <v>1001680</v>
      </c>
      <c r="R32" s="5"/>
    </row>
    <row r="33" spans="1:18" ht="12.75" customHeight="1" x14ac:dyDescent="0.25">
      <c r="A33" s="25"/>
      <c r="B33" s="44"/>
      <c r="C33" s="10"/>
      <c r="D33" s="12"/>
      <c r="E33" s="10"/>
      <c r="F33" s="8"/>
      <c r="G33" s="12"/>
      <c r="H33" s="3"/>
      <c r="I33" s="12"/>
      <c r="J33" s="13"/>
      <c r="K33" s="18"/>
      <c r="L33" s="29"/>
      <c r="M33" s="13"/>
      <c r="N33" s="13"/>
      <c r="O33" s="53">
        <f t="shared" ref="O33:O37" si="3">H33+J33+K33+L33+M33+N33</f>
        <v>0</v>
      </c>
      <c r="P33" s="13"/>
      <c r="Q33" s="54">
        <f t="shared" ref="Q33" si="4">P33-O33</f>
        <v>0</v>
      </c>
      <c r="R33" s="5"/>
    </row>
    <row r="34" spans="1:18" ht="18" customHeight="1" x14ac:dyDescent="0.25">
      <c r="A34" s="8"/>
      <c r="B34" s="8"/>
      <c r="C34" s="182" t="s">
        <v>131</v>
      </c>
      <c r="D34" s="183"/>
      <c r="E34" s="183"/>
      <c r="F34" s="184"/>
      <c r="G34" s="30"/>
      <c r="H34" s="28"/>
      <c r="I34" s="30"/>
      <c r="J34" s="28"/>
      <c r="K34" s="28"/>
      <c r="L34" s="28">
        <v>1200000</v>
      </c>
      <c r="M34" s="28"/>
      <c r="N34" s="28"/>
      <c r="O34" s="53">
        <f t="shared" si="3"/>
        <v>1200000</v>
      </c>
      <c r="P34" s="28"/>
      <c r="Q34" s="54"/>
    </row>
    <row r="35" spans="1:18" ht="27.75" customHeight="1" x14ac:dyDescent="0.25">
      <c r="A35" s="8"/>
      <c r="B35" s="8"/>
      <c r="C35" s="196" t="s">
        <v>1483</v>
      </c>
      <c r="D35" s="197"/>
      <c r="E35" s="197"/>
      <c r="F35" s="198"/>
      <c r="G35" s="30"/>
      <c r="H35" s="28"/>
      <c r="I35" s="30"/>
      <c r="J35" s="28"/>
      <c r="K35" s="28"/>
      <c r="L35" s="28">
        <v>2350000</v>
      </c>
      <c r="M35" s="28"/>
      <c r="N35" s="28"/>
      <c r="O35" s="53">
        <f t="shared" si="3"/>
        <v>2350000</v>
      </c>
      <c r="P35" s="28"/>
      <c r="Q35" s="54"/>
    </row>
    <row r="36" spans="1:18" ht="27.75" customHeight="1" x14ac:dyDescent="0.25">
      <c r="A36" s="8"/>
      <c r="B36" s="8"/>
      <c r="C36" s="196" t="s">
        <v>1484</v>
      </c>
      <c r="D36" s="197"/>
      <c r="E36" s="197"/>
      <c r="F36" s="198"/>
      <c r="G36" s="30"/>
      <c r="H36" s="28"/>
      <c r="I36" s="30"/>
      <c r="J36" s="28"/>
      <c r="K36" s="28"/>
      <c r="L36" s="28">
        <v>5340000</v>
      </c>
      <c r="M36" s="28"/>
      <c r="N36" s="28"/>
      <c r="O36" s="53">
        <f t="shared" si="3"/>
        <v>5340000</v>
      </c>
      <c r="P36" s="28"/>
      <c r="Q36" s="54"/>
    </row>
    <row r="37" spans="1:18" ht="27.75" customHeight="1" x14ac:dyDescent="0.25">
      <c r="A37" s="8"/>
      <c r="B37" s="8"/>
      <c r="C37" s="196" t="s">
        <v>1485</v>
      </c>
      <c r="D37" s="197"/>
      <c r="E37" s="197"/>
      <c r="F37" s="198"/>
      <c r="G37" s="30"/>
      <c r="H37" s="28"/>
      <c r="I37" s="30"/>
      <c r="J37" s="28"/>
      <c r="K37" s="28"/>
      <c r="L37" s="28">
        <v>11550000</v>
      </c>
      <c r="M37" s="28"/>
      <c r="N37" s="28"/>
      <c r="O37" s="53">
        <f t="shared" si="3"/>
        <v>11550000</v>
      </c>
      <c r="P37" s="28"/>
      <c r="Q37" s="54"/>
    </row>
    <row r="38" spans="1:18" ht="25.5" customHeight="1" x14ac:dyDescent="0.25">
      <c r="A38" s="8"/>
      <c r="B38" s="8"/>
      <c r="C38" s="191" t="s">
        <v>132</v>
      </c>
      <c r="D38" s="192"/>
      <c r="E38" s="192"/>
      <c r="F38" s="195"/>
      <c r="G38" s="30"/>
      <c r="H38" s="28"/>
      <c r="I38" s="30"/>
      <c r="J38" s="28"/>
      <c r="K38" s="28">
        <v>10038461.538461538</v>
      </c>
      <c r="L38" s="28"/>
      <c r="M38" s="28"/>
      <c r="N38" s="28"/>
      <c r="O38" s="53">
        <f>H38+J38+K38+L38+M38+N38</f>
        <v>10038461.538461538</v>
      </c>
      <c r="P38" s="28"/>
      <c r="Q38" s="54"/>
    </row>
    <row r="39" spans="1:18" x14ac:dyDescent="0.25">
      <c r="A39" s="166" t="s">
        <v>19</v>
      </c>
      <c r="B39" s="167"/>
      <c r="C39" s="167"/>
      <c r="D39" s="167"/>
      <c r="E39" s="167"/>
      <c r="F39" s="168"/>
      <c r="G39" s="88">
        <f t="shared" ref="G39:N39" si="5">SUM(G7:G38)</f>
        <v>2517</v>
      </c>
      <c r="H39" s="4">
        <f t="shared" si="5"/>
        <v>30630670</v>
      </c>
      <c r="I39" s="4">
        <f t="shared" si="5"/>
        <v>0</v>
      </c>
      <c r="J39" s="4">
        <f>SUM(J7:J38)</f>
        <v>26220000</v>
      </c>
      <c r="K39" s="4">
        <f>SUM(K7:K38)</f>
        <v>10038461.538461538</v>
      </c>
      <c r="L39" s="4">
        <f>SUM(L7:L38)</f>
        <v>20440000</v>
      </c>
      <c r="M39" s="4">
        <f t="shared" si="5"/>
        <v>0</v>
      </c>
      <c r="N39" s="4">
        <f t="shared" si="5"/>
        <v>0</v>
      </c>
      <c r="O39" s="4">
        <f>SUM(O7:O38)</f>
        <v>87329131.538461536</v>
      </c>
      <c r="P39" s="4">
        <f>SUM(P8:P38)</f>
        <v>120126362</v>
      </c>
      <c r="Q39" s="122">
        <f>P39-O39</f>
        <v>32797230.461538464</v>
      </c>
    </row>
    <row r="40" spans="1:18" x14ac:dyDescent="0.25">
      <c r="O40" s="20"/>
      <c r="Q40" s="26"/>
    </row>
    <row r="41" spans="1:18" x14ac:dyDescent="0.25">
      <c r="P41" s="21" t="s">
        <v>20</v>
      </c>
      <c r="Q41" s="26">
        <f>'06.2020'!Q40+'07.2020'!Q39</f>
        <v>228414459.76223776</v>
      </c>
    </row>
    <row r="42" spans="1:18" x14ac:dyDescent="0.25">
      <c r="C42" s="6" t="s">
        <v>993</v>
      </c>
    </row>
    <row r="43" spans="1:18" x14ac:dyDescent="0.25">
      <c r="C43" s="205"/>
      <c r="D43" s="205"/>
      <c r="E43" s="205"/>
      <c r="F43" s="205"/>
      <c r="H43" s="109"/>
    </row>
    <row r="44" spans="1:18" x14ac:dyDescent="0.25">
      <c r="C44" s="206"/>
      <c r="D44" s="206"/>
      <c r="E44" s="206"/>
      <c r="F44" s="206"/>
      <c r="H44" s="109"/>
    </row>
    <row r="45" spans="1:18" x14ac:dyDescent="0.25">
      <c r="B45" s="6"/>
      <c r="C45" s="110"/>
      <c r="D45" s="110"/>
      <c r="E45" s="110"/>
      <c r="F45" s="110"/>
      <c r="H45" s="109"/>
    </row>
    <row r="46" spans="1:18" x14ac:dyDescent="0.25">
      <c r="B46" s="6"/>
      <c r="C46" s="206"/>
      <c r="D46" s="206"/>
      <c r="E46" s="206"/>
      <c r="F46" s="206"/>
      <c r="H46" s="109"/>
    </row>
    <row r="47" spans="1:18" x14ac:dyDescent="0.25">
      <c r="B47" s="6"/>
      <c r="C47" s="206"/>
      <c r="D47" s="206"/>
      <c r="E47" s="206"/>
      <c r="F47" s="206"/>
      <c r="H47" s="109"/>
    </row>
    <row r="48" spans="1:18" x14ac:dyDescent="0.25">
      <c r="B48" s="6"/>
      <c r="C48" s="206"/>
      <c r="D48" s="206"/>
      <c r="E48" s="206"/>
      <c r="F48" s="206"/>
      <c r="H48" s="109"/>
      <c r="J48" s="6"/>
      <c r="K48" s="6"/>
      <c r="L48" s="6"/>
      <c r="M48" s="6"/>
      <c r="N48" s="6"/>
      <c r="O48" s="6"/>
      <c r="P48" s="6"/>
      <c r="Q48" s="6"/>
    </row>
    <row r="49" spans="3:8" x14ac:dyDescent="0.2">
      <c r="C49" s="107"/>
      <c r="D49" s="110"/>
      <c r="E49" s="110"/>
      <c r="F49" s="110"/>
      <c r="H49" s="109"/>
    </row>
    <row r="50" spans="3:8" x14ac:dyDescent="0.25">
      <c r="C50" s="205"/>
      <c r="D50" s="205"/>
      <c r="E50" s="205"/>
      <c r="F50" s="205"/>
    </row>
  </sheetData>
  <mergeCells count="25">
    <mergeCell ref="C36:F36"/>
    <mergeCell ref="C37:F37"/>
    <mergeCell ref="C47:F47"/>
    <mergeCell ref="C48:F48"/>
    <mergeCell ref="C50:F50"/>
    <mergeCell ref="C38:F38"/>
    <mergeCell ref="A39:F39"/>
    <mergeCell ref="C43:F43"/>
    <mergeCell ref="C44:F44"/>
    <mergeCell ref="C46:F46"/>
    <mergeCell ref="C34:F34"/>
    <mergeCell ref="C35:F35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53"/>
  <sheetViews>
    <sheetView workbookViewId="0">
      <selection activeCell="M32" sqref="M32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1486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7.25" customHeight="1" x14ac:dyDescent="0.25">
      <c r="A8" s="25">
        <v>1</v>
      </c>
      <c r="B8" s="120">
        <v>44046</v>
      </c>
      <c r="C8" s="10" t="s">
        <v>1487</v>
      </c>
      <c r="D8" s="12" t="s">
        <v>1511</v>
      </c>
      <c r="E8" s="10" t="s">
        <v>799</v>
      </c>
      <c r="F8" s="8"/>
      <c r="G8" s="12"/>
      <c r="H8" s="3"/>
      <c r="I8" s="12"/>
      <c r="J8" s="13">
        <v>680000</v>
      </c>
      <c r="K8" s="18"/>
      <c r="L8" s="29"/>
      <c r="M8" s="13"/>
      <c r="N8" s="13"/>
      <c r="O8" s="53">
        <f>H8+J8+K8+L8+M8+N8</f>
        <v>680000</v>
      </c>
      <c r="P8" s="13">
        <v>3300000</v>
      </c>
      <c r="Q8" s="54">
        <f>P8-O8</f>
        <v>2620000</v>
      </c>
      <c r="R8" s="5"/>
    </row>
    <row r="9" spans="1:18" ht="17.25" customHeight="1" x14ac:dyDescent="0.25">
      <c r="A9" s="25">
        <v>2</v>
      </c>
      <c r="B9" s="120">
        <v>44047</v>
      </c>
      <c r="C9" s="10" t="s">
        <v>1488</v>
      </c>
      <c r="D9" s="117" t="s">
        <v>1512</v>
      </c>
      <c r="E9" s="9" t="s">
        <v>799</v>
      </c>
      <c r="F9" s="117"/>
      <c r="H9" s="3"/>
      <c r="I9" s="118"/>
      <c r="J9" s="119">
        <v>680000</v>
      </c>
      <c r="K9" s="18"/>
      <c r="L9" s="99"/>
      <c r="M9" s="3"/>
      <c r="N9" s="3"/>
      <c r="O9" s="53">
        <f t="shared" ref="O9:O32" si="0">H9+J9+K9+L9+M9+N9</f>
        <v>680000</v>
      </c>
      <c r="P9" s="13">
        <v>3300000</v>
      </c>
      <c r="Q9" s="54">
        <f t="shared" ref="Q9:Q33" si="1">P9-O9</f>
        <v>2620000</v>
      </c>
      <c r="R9" s="5"/>
    </row>
    <row r="10" spans="1:18" ht="17.25" customHeight="1" x14ac:dyDescent="0.25">
      <c r="A10" s="25">
        <v>3</v>
      </c>
      <c r="B10" s="120">
        <v>44048</v>
      </c>
      <c r="C10" s="10" t="s">
        <v>1489</v>
      </c>
      <c r="D10" s="8" t="s">
        <v>1513</v>
      </c>
      <c r="E10" s="10" t="s">
        <v>330</v>
      </c>
      <c r="F10" s="8"/>
      <c r="G10" s="12"/>
      <c r="H10" s="3"/>
      <c r="I10" s="12"/>
      <c r="J10" s="13">
        <v>680000</v>
      </c>
      <c r="K10" s="18"/>
      <c r="L10" s="99"/>
      <c r="M10" s="3"/>
      <c r="N10" s="3"/>
      <c r="O10" s="53">
        <f t="shared" si="0"/>
        <v>680000</v>
      </c>
      <c r="P10" s="13">
        <v>3200000</v>
      </c>
      <c r="Q10" s="54">
        <f t="shared" si="1"/>
        <v>2520000</v>
      </c>
      <c r="R10" s="5"/>
    </row>
    <row r="11" spans="1:18" ht="17.25" customHeight="1" x14ac:dyDescent="0.25">
      <c r="A11" s="25">
        <v>4</v>
      </c>
      <c r="B11" s="120">
        <v>44049</v>
      </c>
      <c r="C11" s="10" t="s">
        <v>66</v>
      </c>
      <c r="D11" s="8" t="s">
        <v>1514</v>
      </c>
      <c r="E11" s="10" t="s">
        <v>1502</v>
      </c>
      <c r="F11" s="8"/>
      <c r="G11" s="12">
        <v>236</v>
      </c>
      <c r="H11" s="3">
        <f t="shared" ref="H11:H14" si="2">G11*12390</f>
        <v>2924040</v>
      </c>
      <c r="I11" s="12"/>
      <c r="J11" s="13">
        <v>930000</v>
      </c>
      <c r="K11" s="18"/>
      <c r="L11" s="99"/>
      <c r="M11" s="3"/>
      <c r="N11" s="3"/>
      <c r="O11" s="53">
        <f t="shared" si="0"/>
        <v>3854040</v>
      </c>
      <c r="P11" s="13">
        <v>3300000</v>
      </c>
      <c r="Q11" s="54">
        <f t="shared" si="1"/>
        <v>-554040</v>
      </c>
      <c r="R11" s="5"/>
    </row>
    <row r="12" spans="1:18" ht="17.25" customHeight="1" x14ac:dyDescent="0.25">
      <c r="A12" s="25">
        <v>5</v>
      </c>
      <c r="B12" s="120">
        <v>44053</v>
      </c>
      <c r="C12" s="10" t="s">
        <v>1490</v>
      </c>
      <c r="D12" s="8" t="s">
        <v>1515</v>
      </c>
      <c r="E12" s="10" t="s">
        <v>1503</v>
      </c>
      <c r="F12" s="8"/>
      <c r="G12" s="12"/>
      <c r="H12" s="3"/>
      <c r="I12" s="12"/>
      <c r="J12" s="13">
        <v>890000</v>
      </c>
      <c r="K12" s="18"/>
      <c r="L12" s="99"/>
      <c r="M12" s="3"/>
      <c r="N12" s="3"/>
      <c r="O12" s="53">
        <f t="shared" si="0"/>
        <v>890000</v>
      </c>
      <c r="P12" s="13">
        <v>5963636</v>
      </c>
      <c r="Q12" s="54">
        <f t="shared" si="1"/>
        <v>5073636</v>
      </c>
      <c r="R12" s="5"/>
    </row>
    <row r="13" spans="1:18" ht="17.25" customHeight="1" x14ac:dyDescent="0.25">
      <c r="A13" s="25">
        <v>6</v>
      </c>
      <c r="B13" s="120">
        <v>44054</v>
      </c>
      <c r="C13" s="10" t="s">
        <v>1491</v>
      </c>
      <c r="D13" s="8" t="s">
        <v>1516</v>
      </c>
      <c r="E13" s="10" t="s">
        <v>1504</v>
      </c>
      <c r="F13" s="8"/>
      <c r="G13" s="12"/>
      <c r="H13" s="3"/>
      <c r="I13" s="12"/>
      <c r="J13" s="13">
        <v>870000</v>
      </c>
      <c r="K13" s="18"/>
      <c r="L13" s="99"/>
      <c r="M13" s="3"/>
      <c r="N13" s="3"/>
      <c r="O13" s="53">
        <f t="shared" si="0"/>
        <v>870000</v>
      </c>
      <c r="P13" s="13">
        <v>3700000</v>
      </c>
      <c r="Q13" s="54">
        <f t="shared" si="1"/>
        <v>2830000</v>
      </c>
      <c r="R13" s="5"/>
    </row>
    <row r="14" spans="1:18" ht="17.25" customHeight="1" x14ac:dyDescent="0.25">
      <c r="A14" s="25">
        <v>7</v>
      </c>
      <c r="B14" s="120">
        <v>44055</v>
      </c>
      <c r="C14" s="10" t="s">
        <v>1492</v>
      </c>
      <c r="D14" s="8" t="s">
        <v>1517</v>
      </c>
      <c r="E14" s="10" t="s">
        <v>1505</v>
      </c>
      <c r="F14" s="8"/>
      <c r="G14" s="12">
        <v>240</v>
      </c>
      <c r="H14" s="3">
        <f t="shared" si="2"/>
        <v>2973600</v>
      </c>
      <c r="I14" s="12"/>
      <c r="J14" s="13">
        <v>300000</v>
      </c>
      <c r="K14" s="18"/>
      <c r="L14" s="99"/>
      <c r="M14" s="3"/>
      <c r="N14" s="3"/>
      <c r="O14" s="53">
        <f t="shared" si="0"/>
        <v>3273600</v>
      </c>
      <c r="P14" s="13">
        <v>1190909</v>
      </c>
      <c r="Q14" s="54">
        <f t="shared" si="1"/>
        <v>-2082691</v>
      </c>
      <c r="R14" s="5"/>
    </row>
    <row r="15" spans="1:18" ht="17.25" customHeight="1" x14ac:dyDescent="0.25">
      <c r="A15" s="25">
        <v>8</v>
      </c>
      <c r="B15" s="120">
        <v>44056</v>
      </c>
      <c r="C15" s="10" t="s">
        <v>1493</v>
      </c>
      <c r="D15" s="8" t="s">
        <v>1518</v>
      </c>
      <c r="E15" s="10" t="s">
        <v>1506</v>
      </c>
      <c r="F15" s="8"/>
      <c r="G15" s="12"/>
      <c r="H15" s="3"/>
      <c r="I15" s="12"/>
      <c r="J15" s="13">
        <v>870000</v>
      </c>
      <c r="K15" s="18"/>
      <c r="L15" s="99"/>
      <c r="M15" s="3"/>
      <c r="N15" s="3"/>
      <c r="O15" s="53">
        <f t="shared" si="0"/>
        <v>870000</v>
      </c>
      <c r="P15" s="13">
        <v>3400000</v>
      </c>
      <c r="Q15" s="54">
        <f t="shared" si="1"/>
        <v>2530000</v>
      </c>
      <c r="R15" s="5"/>
    </row>
    <row r="16" spans="1:18" ht="17.25" customHeight="1" x14ac:dyDescent="0.25">
      <c r="A16" s="25">
        <v>9</v>
      </c>
      <c r="B16" s="120">
        <v>44057</v>
      </c>
      <c r="C16" s="10" t="s">
        <v>1494</v>
      </c>
      <c r="D16" s="8" t="s">
        <v>1519</v>
      </c>
      <c r="E16" s="10" t="s">
        <v>1507</v>
      </c>
      <c r="F16" s="8"/>
      <c r="G16" s="12"/>
      <c r="H16" s="3"/>
      <c r="I16" s="12"/>
      <c r="J16" s="13">
        <f>870000+390000</f>
        <v>1260000</v>
      </c>
      <c r="K16" s="18"/>
      <c r="L16" s="99"/>
      <c r="M16" s="3"/>
      <c r="N16" s="3"/>
      <c r="O16" s="53">
        <f t="shared" si="0"/>
        <v>1260000</v>
      </c>
      <c r="P16" s="13">
        <v>2754545</v>
      </c>
      <c r="Q16" s="54">
        <f t="shared" si="1"/>
        <v>1494545</v>
      </c>
      <c r="R16" s="5"/>
    </row>
    <row r="17" spans="1:18" ht="17.25" customHeight="1" x14ac:dyDescent="0.25">
      <c r="A17" s="25">
        <v>10</v>
      </c>
      <c r="B17" s="120">
        <v>44058</v>
      </c>
      <c r="C17" s="10" t="s">
        <v>1495</v>
      </c>
      <c r="D17" s="8" t="s">
        <v>1519</v>
      </c>
      <c r="E17" s="10" t="s">
        <v>1508</v>
      </c>
      <c r="F17" s="8"/>
      <c r="G17" s="12"/>
      <c r="H17" s="3"/>
      <c r="I17" s="12"/>
      <c r="J17" s="13"/>
      <c r="K17" s="18"/>
      <c r="L17" s="99"/>
      <c r="M17" s="3"/>
      <c r="N17" s="3"/>
      <c r="O17" s="53">
        <f t="shared" si="0"/>
        <v>0</v>
      </c>
      <c r="P17" s="13">
        <v>3363636</v>
      </c>
      <c r="Q17" s="54">
        <f t="shared" si="1"/>
        <v>3363636</v>
      </c>
      <c r="R17" s="5"/>
    </row>
    <row r="18" spans="1:18" ht="17.25" customHeight="1" x14ac:dyDescent="0.25">
      <c r="A18" s="25">
        <v>11</v>
      </c>
      <c r="B18" s="120">
        <v>44059</v>
      </c>
      <c r="C18" s="10" t="s">
        <v>1496</v>
      </c>
      <c r="D18" s="8" t="s">
        <v>1520</v>
      </c>
      <c r="E18" s="10" t="s">
        <v>121</v>
      </c>
      <c r="F18" s="8"/>
      <c r="G18" s="12">
        <v>276</v>
      </c>
      <c r="H18" s="3">
        <f>G18*12200</f>
        <v>3367200</v>
      </c>
      <c r="I18" s="12"/>
      <c r="J18" s="13">
        <f>2470000+360000</f>
        <v>2830000</v>
      </c>
      <c r="K18" s="18"/>
      <c r="L18" s="99"/>
      <c r="M18" s="3"/>
      <c r="N18" s="3"/>
      <c r="O18" s="53">
        <f t="shared" si="0"/>
        <v>6197200</v>
      </c>
      <c r="P18" s="13">
        <v>11000000</v>
      </c>
      <c r="Q18" s="54">
        <f t="shared" si="1"/>
        <v>4802800</v>
      </c>
      <c r="R18" s="5"/>
    </row>
    <row r="19" spans="1:18" ht="17.25" customHeight="1" x14ac:dyDescent="0.25">
      <c r="A19" s="25">
        <v>12</v>
      </c>
      <c r="B19" s="120">
        <v>44060</v>
      </c>
      <c r="C19" s="10" t="s">
        <v>1497</v>
      </c>
      <c r="D19" s="8" t="s">
        <v>1520</v>
      </c>
      <c r="E19" s="10" t="s">
        <v>1509</v>
      </c>
      <c r="F19" s="8"/>
      <c r="G19" s="12"/>
      <c r="H19" s="3"/>
      <c r="I19" s="12"/>
      <c r="J19" s="13"/>
      <c r="K19" s="18"/>
      <c r="L19" s="99"/>
      <c r="M19" s="3"/>
      <c r="N19" s="3"/>
      <c r="O19" s="53">
        <f t="shared" si="0"/>
        <v>0</v>
      </c>
      <c r="P19" s="13">
        <v>2000000</v>
      </c>
      <c r="Q19" s="54">
        <f t="shared" si="1"/>
        <v>2000000</v>
      </c>
      <c r="R19" s="5"/>
    </row>
    <row r="20" spans="1:18" ht="17.25" customHeight="1" x14ac:dyDescent="0.25">
      <c r="A20" s="25">
        <v>13</v>
      </c>
      <c r="B20" s="120">
        <v>44060</v>
      </c>
      <c r="C20" s="10" t="s">
        <v>1498</v>
      </c>
      <c r="D20" s="8" t="s">
        <v>1521</v>
      </c>
      <c r="E20" s="10" t="s">
        <v>330</v>
      </c>
      <c r="F20" s="8"/>
      <c r="G20" s="12">
        <v>245</v>
      </c>
      <c r="H20" s="3">
        <f t="shared" ref="H20:H23" si="3">G20*12200</f>
        <v>2989000</v>
      </c>
      <c r="I20" s="12"/>
      <c r="J20" s="13">
        <v>680000</v>
      </c>
      <c r="K20" s="18"/>
      <c r="L20" s="99"/>
      <c r="M20" s="3"/>
      <c r="N20" s="3"/>
      <c r="O20" s="53">
        <f t="shared" si="0"/>
        <v>3669000</v>
      </c>
      <c r="P20" s="13">
        <v>3200000</v>
      </c>
      <c r="Q20" s="54">
        <f t="shared" si="1"/>
        <v>-469000</v>
      </c>
      <c r="R20" s="5"/>
    </row>
    <row r="21" spans="1:18" ht="17.25" customHeight="1" x14ac:dyDescent="0.25">
      <c r="A21" s="25">
        <v>14</v>
      </c>
      <c r="B21" s="120">
        <v>44060</v>
      </c>
      <c r="C21" s="10" t="s">
        <v>1499</v>
      </c>
      <c r="D21" s="8" t="s">
        <v>1522</v>
      </c>
      <c r="E21" s="10" t="s">
        <v>330</v>
      </c>
      <c r="F21" s="8"/>
      <c r="G21" s="12">
        <v>174</v>
      </c>
      <c r="H21" s="3">
        <f t="shared" si="3"/>
        <v>2122800</v>
      </c>
      <c r="I21" s="12"/>
      <c r="J21" s="13">
        <v>680000</v>
      </c>
      <c r="K21" s="18"/>
      <c r="L21" s="99"/>
      <c r="M21" s="3"/>
      <c r="N21" s="3"/>
      <c r="O21" s="53">
        <f t="shared" si="0"/>
        <v>2802800</v>
      </c>
      <c r="P21" s="13">
        <v>3200000</v>
      </c>
      <c r="Q21" s="54">
        <f t="shared" si="1"/>
        <v>397200</v>
      </c>
      <c r="R21" s="5"/>
    </row>
    <row r="22" spans="1:18" ht="17.25" customHeight="1" x14ac:dyDescent="0.25">
      <c r="A22" s="25">
        <v>15</v>
      </c>
      <c r="B22" s="120">
        <v>44060</v>
      </c>
      <c r="C22" s="10" t="s">
        <v>1500</v>
      </c>
      <c r="D22" s="8" t="s">
        <v>1523</v>
      </c>
      <c r="E22" s="10" t="s">
        <v>112</v>
      </c>
      <c r="F22" s="8"/>
      <c r="G22" s="12"/>
      <c r="H22" s="3"/>
      <c r="I22" s="12"/>
      <c r="J22" s="13">
        <v>2470000</v>
      </c>
      <c r="K22" s="18"/>
      <c r="L22" s="99"/>
      <c r="M22" s="3"/>
      <c r="N22" s="3"/>
      <c r="O22" s="53">
        <f t="shared" si="0"/>
        <v>2470000</v>
      </c>
      <c r="P22" s="13">
        <v>12272727</v>
      </c>
      <c r="Q22" s="54">
        <f t="shared" si="1"/>
        <v>9802727</v>
      </c>
      <c r="R22" s="5"/>
    </row>
    <row r="23" spans="1:18" ht="17.25" customHeight="1" x14ac:dyDescent="0.25">
      <c r="A23" s="25">
        <v>16</v>
      </c>
      <c r="B23" s="120">
        <v>44063</v>
      </c>
      <c r="C23" s="10" t="s">
        <v>1501</v>
      </c>
      <c r="D23" s="8" t="s">
        <v>1524</v>
      </c>
      <c r="E23" s="10" t="s">
        <v>1510</v>
      </c>
      <c r="F23" s="8"/>
      <c r="G23" s="12">
        <v>217</v>
      </c>
      <c r="H23" s="3">
        <f t="shared" si="3"/>
        <v>2647400</v>
      </c>
      <c r="I23" s="12"/>
      <c r="J23" s="13">
        <v>870000</v>
      </c>
      <c r="K23" s="18"/>
      <c r="L23" s="99"/>
      <c r="M23" s="3"/>
      <c r="N23" s="3"/>
      <c r="O23" s="53">
        <f t="shared" si="0"/>
        <v>3517400</v>
      </c>
      <c r="P23" s="13">
        <v>3500000</v>
      </c>
      <c r="Q23" s="54">
        <f t="shared" si="1"/>
        <v>-17400</v>
      </c>
      <c r="R23" s="5"/>
    </row>
    <row r="24" spans="1:18" ht="17.25" customHeight="1" x14ac:dyDescent="0.25">
      <c r="A24" s="25">
        <v>17</v>
      </c>
      <c r="B24" s="120">
        <v>44066</v>
      </c>
      <c r="C24" s="10" t="s">
        <v>1525</v>
      </c>
      <c r="D24" s="8" t="s">
        <v>1534</v>
      </c>
      <c r="E24" s="10" t="s">
        <v>1541</v>
      </c>
      <c r="F24" s="8"/>
      <c r="G24" s="12"/>
      <c r="H24" s="3"/>
      <c r="I24" s="12"/>
      <c r="J24" s="13">
        <v>870000</v>
      </c>
      <c r="K24" s="18"/>
      <c r="L24" s="99"/>
      <c r="M24" s="3"/>
      <c r="N24" s="3"/>
      <c r="O24" s="53">
        <f t="shared" si="0"/>
        <v>870000</v>
      </c>
      <c r="P24" s="13">
        <v>3600000</v>
      </c>
      <c r="Q24" s="54">
        <f t="shared" si="1"/>
        <v>2730000</v>
      </c>
      <c r="R24" s="5"/>
    </row>
    <row r="25" spans="1:18" ht="17.25" customHeight="1" x14ac:dyDescent="0.25">
      <c r="A25" s="25">
        <v>18</v>
      </c>
      <c r="B25" s="120">
        <v>44067</v>
      </c>
      <c r="C25" s="10" t="s">
        <v>1526</v>
      </c>
      <c r="D25" s="8" t="s">
        <v>1535</v>
      </c>
      <c r="E25" s="10" t="s">
        <v>1542</v>
      </c>
      <c r="F25" s="8"/>
      <c r="G25" s="12"/>
      <c r="H25" s="3"/>
      <c r="I25" s="12"/>
      <c r="J25" s="13">
        <v>930000</v>
      </c>
      <c r="K25" s="18"/>
      <c r="L25" s="99"/>
      <c r="M25" s="3"/>
      <c r="N25" s="3"/>
      <c r="O25" s="53">
        <f t="shared" si="0"/>
        <v>930000</v>
      </c>
      <c r="P25" s="13">
        <v>3400000</v>
      </c>
      <c r="Q25" s="54">
        <f t="shared" si="1"/>
        <v>2470000</v>
      </c>
      <c r="R25" s="5"/>
    </row>
    <row r="26" spans="1:18" ht="17.25" customHeight="1" x14ac:dyDescent="0.25">
      <c r="A26" s="25">
        <v>19</v>
      </c>
      <c r="B26" s="120">
        <v>44068</v>
      </c>
      <c r="C26" s="10" t="s">
        <v>1527</v>
      </c>
      <c r="D26" s="8" t="s">
        <v>1536</v>
      </c>
      <c r="E26" s="10" t="s">
        <v>1543</v>
      </c>
      <c r="F26" s="8"/>
      <c r="G26" s="12"/>
      <c r="H26" s="3"/>
      <c r="I26" s="12"/>
      <c r="J26" s="13">
        <v>1130000</v>
      </c>
      <c r="K26" s="18"/>
      <c r="L26" s="99"/>
      <c r="M26" s="3"/>
      <c r="N26" s="3"/>
      <c r="O26" s="53">
        <f t="shared" si="0"/>
        <v>1130000</v>
      </c>
      <c r="P26" s="13">
        <v>2627273</v>
      </c>
      <c r="Q26" s="54">
        <f t="shared" si="1"/>
        <v>1497273</v>
      </c>
      <c r="R26" s="5"/>
    </row>
    <row r="27" spans="1:18" ht="24" customHeight="1" x14ac:dyDescent="0.25">
      <c r="A27" s="25">
        <v>20</v>
      </c>
      <c r="B27" s="120">
        <v>44069</v>
      </c>
      <c r="C27" s="10" t="s">
        <v>1528</v>
      </c>
      <c r="D27" s="117" t="s">
        <v>1536</v>
      </c>
      <c r="E27" s="9" t="s">
        <v>108</v>
      </c>
      <c r="F27" s="117"/>
      <c r="G27" s="118">
        <v>250</v>
      </c>
      <c r="H27" s="3">
        <f>G27*12200</f>
        <v>3050000</v>
      </c>
      <c r="I27" s="118"/>
      <c r="J27" s="119"/>
      <c r="K27" s="18"/>
      <c r="L27" s="99"/>
      <c r="M27" s="3"/>
      <c r="N27" s="3"/>
      <c r="O27" s="53">
        <f t="shared" si="0"/>
        <v>3050000</v>
      </c>
      <c r="P27" s="13">
        <v>2792727</v>
      </c>
      <c r="Q27" s="54">
        <f t="shared" si="1"/>
        <v>-257273</v>
      </c>
      <c r="R27" s="5"/>
    </row>
    <row r="28" spans="1:18" ht="17.25" customHeight="1" x14ac:dyDescent="0.25">
      <c r="A28" s="25">
        <v>21</v>
      </c>
      <c r="B28" s="120">
        <v>44069</v>
      </c>
      <c r="C28" s="10" t="s">
        <v>1529</v>
      </c>
      <c r="D28" s="8" t="s">
        <v>1537</v>
      </c>
      <c r="E28" s="10" t="s">
        <v>1177</v>
      </c>
      <c r="F28" s="8"/>
      <c r="G28" s="12"/>
      <c r="H28" s="3"/>
      <c r="I28" s="12"/>
      <c r="J28" s="13">
        <v>930000</v>
      </c>
      <c r="K28" s="18"/>
      <c r="L28" s="99"/>
      <c r="M28" s="3"/>
      <c r="N28" s="3"/>
      <c r="O28" s="53">
        <f t="shared" si="0"/>
        <v>930000</v>
      </c>
      <c r="P28" s="13">
        <v>3200000</v>
      </c>
      <c r="Q28" s="54">
        <f t="shared" si="1"/>
        <v>2270000</v>
      </c>
      <c r="R28" s="5"/>
    </row>
    <row r="29" spans="1:18" ht="17.25" customHeight="1" x14ac:dyDescent="0.25">
      <c r="A29" s="25">
        <v>22</v>
      </c>
      <c r="B29" s="120">
        <v>44070</v>
      </c>
      <c r="C29" s="10" t="s">
        <v>1530</v>
      </c>
      <c r="D29" s="8" t="s">
        <v>1538</v>
      </c>
      <c r="E29" s="10" t="s">
        <v>1502</v>
      </c>
      <c r="F29" s="8"/>
      <c r="G29" s="12"/>
      <c r="H29" s="3"/>
      <c r="I29" s="12"/>
      <c r="J29" s="13">
        <v>1230000</v>
      </c>
      <c r="K29" s="18"/>
      <c r="L29" s="99"/>
      <c r="M29" s="3"/>
      <c r="N29" s="3"/>
      <c r="O29" s="53">
        <f t="shared" si="0"/>
        <v>1230000</v>
      </c>
      <c r="P29" s="13">
        <v>3300000</v>
      </c>
      <c r="Q29" s="54">
        <f t="shared" si="1"/>
        <v>2070000</v>
      </c>
      <c r="R29" s="5"/>
    </row>
    <row r="30" spans="1:18" ht="17.25" customHeight="1" x14ac:dyDescent="0.25">
      <c r="A30" s="25">
        <v>23</v>
      </c>
      <c r="B30" s="120">
        <v>44071</v>
      </c>
      <c r="C30" s="10" t="s">
        <v>1531</v>
      </c>
      <c r="D30" s="8" t="s">
        <v>1538</v>
      </c>
      <c r="E30" s="10" t="s">
        <v>1544</v>
      </c>
      <c r="F30" s="8"/>
      <c r="G30" s="12">
        <v>300</v>
      </c>
      <c r="H30" s="3">
        <f>G30*11960</f>
        <v>3588000</v>
      </c>
      <c r="I30" s="12"/>
      <c r="J30" s="13"/>
      <c r="K30" s="18"/>
      <c r="L30" s="99"/>
      <c r="M30" s="3"/>
      <c r="N30" s="3"/>
      <c r="O30" s="53">
        <f t="shared" si="0"/>
        <v>3588000</v>
      </c>
      <c r="P30" s="13">
        <v>2000000</v>
      </c>
      <c r="Q30" s="54">
        <f t="shared" si="1"/>
        <v>-1588000</v>
      </c>
      <c r="R30" s="5"/>
    </row>
    <row r="31" spans="1:18" ht="17.25" customHeight="1" x14ac:dyDescent="0.25">
      <c r="A31" s="25">
        <v>24</v>
      </c>
      <c r="B31" s="120">
        <v>44071</v>
      </c>
      <c r="C31" s="10" t="s">
        <v>1532</v>
      </c>
      <c r="D31" s="8" t="s">
        <v>1539</v>
      </c>
      <c r="E31" s="10" t="s">
        <v>1043</v>
      </c>
      <c r="F31" s="8"/>
      <c r="G31" s="12">
        <v>112</v>
      </c>
      <c r="H31" s="3">
        <f>G31*11960</f>
        <v>1339520</v>
      </c>
      <c r="I31" s="12"/>
      <c r="J31" s="13">
        <v>870000</v>
      </c>
      <c r="K31" s="18"/>
      <c r="L31" s="99"/>
      <c r="M31" s="3"/>
      <c r="N31" s="3"/>
      <c r="O31" s="53">
        <f t="shared" si="0"/>
        <v>2209520</v>
      </c>
      <c r="P31" s="13">
        <v>4727273</v>
      </c>
      <c r="Q31" s="54">
        <f t="shared" si="1"/>
        <v>2517753</v>
      </c>
      <c r="R31" s="5"/>
    </row>
    <row r="32" spans="1:18" ht="17.25" customHeight="1" x14ac:dyDescent="0.25">
      <c r="A32" s="25">
        <v>25</v>
      </c>
      <c r="B32" s="120">
        <v>44072</v>
      </c>
      <c r="C32" s="111" t="s">
        <v>1533</v>
      </c>
      <c r="D32" s="12" t="s">
        <v>1540</v>
      </c>
      <c r="E32" s="111" t="s">
        <v>1043</v>
      </c>
      <c r="F32" s="8"/>
      <c r="G32" s="12"/>
      <c r="H32" s="121"/>
      <c r="I32" s="12"/>
      <c r="J32" s="13">
        <v>810000</v>
      </c>
      <c r="K32" s="18"/>
      <c r="L32" s="99"/>
      <c r="M32" s="3"/>
      <c r="N32" s="3"/>
      <c r="O32" s="53">
        <f t="shared" si="0"/>
        <v>810000</v>
      </c>
      <c r="P32" s="13">
        <v>4727273</v>
      </c>
      <c r="Q32" s="54">
        <f t="shared" si="1"/>
        <v>3917273</v>
      </c>
      <c r="R32" s="5"/>
    </row>
    <row r="33" spans="1:18" ht="12.75" customHeight="1" x14ac:dyDescent="0.25">
      <c r="A33" s="25"/>
      <c r="B33" s="44"/>
      <c r="C33" s="10"/>
      <c r="D33" s="12"/>
      <c r="E33" s="10"/>
      <c r="F33" s="8"/>
      <c r="G33" s="12"/>
      <c r="H33" s="3"/>
      <c r="I33" s="12"/>
      <c r="J33" s="13"/>
      <c r="K33" s="18"/>
      <c r="L33" s="29"/>
      <c r="M33" s="13"/>
      <c r="N33" s="13"/>
      <c r="O33" s="53">
        <f t="shared" ref="O33:O40" si="4">H33+J33+K33+L33+M33+N33</f>
        <v>0</v>
      </c>
      <c r="P33" s="13"/>
      <c r="Q33" s="54">
        <f t="shared" si="1"/>
        <v>0</v>
      </c>
      <c r="R33" s="5"/>
    </row>
    <row r="34" spans="1:18" ht="18" customHeight="1" x14ac:dyDescent="0.25">
      <c r="A34" s="8"/>
      <c r="B34" s="8"/>
      <c r="C34" s="182" t="s">
        <v>131</v>
      </c>
      <c r="D34" s="183"/>
      <c r="E34" s="183"/>
      <c r="F34" s="184"/>
      <c r="G34" s="30"/>
      <c r="H34" s="28"/>
      <c r="I34" s="30"/>
      <c r="J34" s="28"/>
      <c r="K34" s="28"/>
      <c r="L34" s="28">
        <v>1200000</v>
      </c>
      <c r="M34" s="28"/>
      <c r="N34" s="28"/>
      <c r="O34" s="53">
        <f t="shared" si="4"/>
        <v>1200000</v>
      </c>
      <c r="P34" s="28"/>
      <c r="Q34" s="54"/>
    </row>
    <row r="35" spans="1:18" ht="27.75" customHeight="1" x14ac:dyDescent="0.25">
      <c r="A35" s="8"/>
      <c r="B35" s="8"/>
      <c r="C35" s="196" t="s">
        <v>1545</v>
      </c>
      <c r="D35" s="197"/>
      <c r="E35" s="197"/>
      <c r="F35" s="198"/>
      <c r="G35" s="30"/>
      <c r="H35" s="28"/>
      <c r="I35" s="30"/>
      <c r="J35" s="28"/>
      <c r="K35" s="28"/>
      <c r="L35" s="28">
        <v>170000</v>
      </c>
      <c r="M35" s="28"/>
      <c r="N35" s="28"/>
      <c r="O35" s="53">
        <f t="shared" si="4"/>
        <v>170000</v>
      </c>
      <c r="P35" s="28"/>
      <c r="Q35" s="54"/>
    </row>
    <row r="36" spans="1:18" ht="27.75" customHeight="1" x14ac:dyDescent="0.25">
      <c r="A36" s="8"/>
      <c r="B36" s="8"/>
      <c r="C36" s="123" t="s">
        <v>1550</v>
      </c>
      <c r="D36" s="124"/>
      <c r="E36" s="124"/>
      <c r="F36" s="125"/>
      <c r="G36" s="30"/>
      <c r="H36" s="28"/>
      <c r="I36" s="30"/>
      <c r="J36" s="28"/>
      <c r="K36" s="28"/>
      <c r="L36" s="28">
        <v>2975000</v>
      </c>
      <c r="M36" s="28"/>
      <c r="N36" s="28"/>
      <c r="O36" s="53">
        <f t="shared" si="4"/>
        <v>2975000</v>
      </c>
      <c r="P36" s="28"/>
      <c r="Q36" s="54"/>
    </row>
    <row r="37" spans="1:18" ht="27.75" customHeight="1" x14ac:dyDescent="0.25">
      <c r="A37" s="8"/>
      <c r="B37" s="8"/>
      <c r="C37" s="196" t="s">
        <v>1546</v>
      </c>
      <c r="D37" s="197"/>
      <c r="E37" s="197"/>
      <c r="F37" s="198"/>
      <c r="G37" s="30"/>
      <c r="H37" s="28"/>
      <c r="I37" s="30"/>
      <c r="J37" s="28"/>
      <c r="K37" s="28"/>
      <c r="L37" s="28">
        <v>570000</v>
      </c>
      <c r="M37" s="28"/>
      <c r="N37" s="28"/>
      <c r="O37" s="53">
        <f t="shared" si="4"/>
        <v>570000</v>
      </c>
      <c r="P37" s="28"/>
      <c r="Q37" s="54"/>
    </row>
    <row r="38" spans="1:18" ht="27.75" customHeight="1" x14ac:dyDescent="0.25">
      <c r="A38" s="8"/>
      <c r="B38" s="8"/>
      <c r="C38" s="196" t="s">
        <v>1547</v>
      </c>
      <c r="D38" s="197"/>
      <c r="E38" s="197"/>
      <c r="F38" s="198"/>
      <c r="G38" s="30"/>
      <c r="H38" s="28"/>
      <c r="I38" s="30"/>
      <c r="J38" s="28"/>
      <c r="K38" s="28"/>
      <c r="L38" s="28">
        <v>2240000</v>
      </c>
      <c r="M38" s="28"/>
      <c r="N38" s="28"/>
      <c r="O38" s="53">
        <f t="shared" si="4"/>
        <v>2240000</v>
      </c>
      <c r="P38" s="28"/>
      <c r="Q38" s="54"/>
    </row>
    <row r="39" spans="1:18" ht="27.75" customHeight="1" x14ac:dyDescent="0.25">
      <c r="A39" s="8"/>
      <c r="B39" s="8"/>
      <c r="C39" s="196" t="s">
        <v>1548</v>
      </c>
      <c r="D39" s="197"/>
      <c r="E39" s="197"/>
      <c r="F39" s="198"/>
      <c r="G39" s="30"/>
      <c r="H39" s="28"/>
      <c r="I39" s="30"/>
      <c r="J39" s="28"/>
      <c r="K39" s="28"/>
      <c r="L39" s="28">
        <v>90000</v>
      </c>
      <c r="M39" s="28"/>
      <c r="N39" s="28"/>
      <c r="O39" s="53">
        <f t="shared" si="4"/>
        <v>90000</v>
      </c>
      <c r="P39" s="28"/>
      <c r="Q39" s="54"/>
    </row>
    <row r="40" spans="1:18" ht="27.75" customHeight="1" x14ac:dyDescent="0.25">
      <c r="A40" s="8"/>
      <c r="B40" s="8"/>
      <c r="C40" s="196" t="s">
        <v>1549</v>
      </c>
      <c r="D40" s="197"/>
      <c r="E40" s="197"/>
      <c r="F40" s="198"/>
      <c r="G40" s="30"/>
      <c r="H40" s="28"/>
      <c r="I40" s="30"/>
      <c r="J40" s="28"/>
      <c r="K40" s="28"/>
      <c r="L40" s="28">
        <v>100000</v>
      </c>
      <c r="M40" s="28"/>
      <c r="N40" s="28"/>
      <c r="O40" s="53">
        <f t="shared" si="4"/>
        <v>100000</v>
      </c>
      <c r="P40" s="28"/>
      <c r="Q40" s="54"/>
    </row>
    <row r="41" spans="1:18" ht="25.5" customHeight="1" x14ac:dyDescent="0.25">
      <c r="A41" s="8"/>
      <c r="B41" s="8"/>
      <c r="C41" s="191" t="s">
        <v>132</v>
      </c>
      <c r="D41" s="192"/>
      <c r="E41" s="192"/>
      <c r="F41" s="195"/>
      <c r="G41" s="30"/>
      <c r="H41" s="28"/>
      <c r="I41" s="30"/>
      <c r="J41" s="28"/>
      <c r="K41" s="28">
        <v>7961539</v>
      </c>
      <c r="L41" s="28"/>
      <c r="M41" s="28"/>
      <c r="N41" s="28"/>
      <c r="O41" s="53">
        <f>H41+J41+K41+L41+M41+N41</f>
        <v>7961539</v>
      </c>
      <c r="P41" s="28"/>
      <c r="Q41" s="54"/>
    </row>
    <row r="42" spans="1:18" x14ac:dyDescent="0.25">
      <c r="A42" s="166" t="s">
        <v>19</v>
      </c>
      <c r="B42" s="167"/>
      <c r="C42" s="167"/>
      <c r="D42" s="167"/>
      <c r="E42" s="167"/>
      <c r="F42" s="168"/>
      <c r="G42" s="88">
        <f t="shared" ref="G42:O42" si="5">SUM(G7:G41)</f>
        <v>2050</v>
      </c>
      <c r="H42" s="4">
        <f>SUM(H7:H41)</f>
        <v>25001560</v>
      </c>
      <c r="I42" s="4">
        <f t="shared" si="5"/>
        <v>0</v>
      </c>
      <c r="J42" s="4">
        <f t="shared" si="5"/>
        <v>21460000</v>
      </c>
      <c r="K42" s="4">
        <f t="shared" si="5"/>
        <v>7961539</v>
      </c>
      <c r="L42" s="4">
        <f t="shared" si="5"/>
        <v>7345000</v>
      </c>
      <c r="M42" s="4">
        <f t="shared" si="5"/>
        <v>0</v>
      </c>
      <c r="N42" s="4">
        <f t="shared" si="5"/>
        <v>0</v>
      </c>
      <c r="O42" s="4">
        <f t="shared" si="5"/>
        <v>61768099</v>
      </c>
      <c r="P42" s="4">
        <f>SUM(P8:P41)</f>
        <v>99019999</v>
      </c>
      <c r="Q42" s="122">
        <f>P42-O42</f>
        <v>37251900</v>
      </c>
    </row>
    <row r="43" spans="1:18" x14ac:dyDescent="0.25">
      <c r="O43" s="20"/>
      <c r="Q43" s="26"/>
    </row>
    <row r="44" spans="1:18" x14ac:dyDescent="0.25">
      <c r="P44" s="21" t="s">
        <v>20</v>
      </c>
      <c r="Q44" s="26">
        <f>'07.2020'!Q41+'08.2020'!Q42</f>
        <v>265666359.76223776</v>
      </c>
    </row>
    <row r="45" spans="1:18" x14ac:dyDescent="0.25">
      <c r="C45" s="6" t="s">
        <v>993</v>
      </c>
    </row>
    <row r="46" spans="1:18" x14ac:dyDescent="0.25">
      <c r="C46" s="205"/>
      <c r="D46" s="205"/>
      <c r="E46" s="205"/>
      <c r="F46" s="205"/>
      <c r="H46" s="109"/>
    </row>
    <row r="47" spans="1:18" x14ac:dyDescent="0.25">
      <c r="C47" s="206"/>
      <c r="D47" s="206"/>
      <c r="E47" s="206"/>
      <c r="F47" s="206"/>
      <c r="H47" s="109"/>
    </row>
    <row r="48" spans="1:18" x14ac:dyDescent="0.25">
      <c r="B48" s="6"/>
      <c r="C48" s="110"/>
      <c r="D48" s="110"/>
      <c r="E48" s="110"/>
      <c r="F48" s="110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27">
    <mergeCell ref="C50:F50"/>
    <mergeCell ref="C51:F51"/>
    <mergeCell ref="C53:F53"/>
    <mergeCell ref="C38:F38"/>
    <mergeCell ref="C41:F41"/>
    <mergeCell ref="A42:F42"/>
    <mergeCell ref="C46:F46"/>
    <mergeCell ref="C47:F47"/>
    <mergeCell ref="C49:F49"/>
    <mergeCell ref="C39:F39"/>
    <mergeCell ref="C40:F40"/>
    <mergeCell ref="C37:F3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4:F34"/>
    <mergeCell ref="C35:F35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7"/>
  <sheetViews>
    <sheetView workbookViewId="0">
      <selection activeCell="J22" sqref="J22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1551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7.25" customHeight="1" x14ac:dyDescent="0.25">
      <c r="A8" s="25">
        <v>1</v>
      </c>
      <c r="B8" s="120">
        <v>44074</v>
      </c>
      <c r="C8" s="10" t="s">
        <v>1552</v>
      </c>
      <c r="D8" s="8" t="s">
        <v>1571</v>
      </c>
      <c r="E8" s="10" t="s">
        <v>1043</v>
      </c>
      <c r="F8" s="8"/>
      <c r="G8" s="12">
        <v>225</v>
      </c>
      <c r="H8" s="3">
        <f>G8*11960</f>
        <v>2691000</v>
      </c>
      <c r="I8" s="12"/>
      <c r="J8" s="13">
        <v>810000</v>
      </c>
      <c r="K8" s="18"/>
      <c r="L8" s="29"/>
      <c r="M8" s="13"/>
      <c r="N8" s="13"/>
      <c r="O8" s="53">
        <f>H8+J8+K8+L8+M8+N8</f>
        <v>3501000</v>
      </c>
      <c r="P8" s="13">
        <v>4727273</v>
      </c>
      <c r="Q8" s="54">
        <f>P8-O8</f>
        <v>1226273</v>
      </c>
      <c r="R8" s="5"/>
    </row>
    <row r="9" spans="1:18" ht="17.25" customHeight="1" x14ac:dyDescent="0.25">
      <c r="A9" s="25">
        <v>2</v>
      </c>
      <c r="B9" s="120">
        <v>44075</v>
      </c>
      <c r="C9" s="10" t="s">
        <v>1553</v>
      </c>
      <c r="D9" s="117" t="s">
        <v>1572</v>
      </c>
      <c r="E9" s="9" t="s">
        <v>112</v>
      </c>
      <c r="F9" s="117"/>
      <c r="H9" s="3"/>
      <c r="I9" s="118"/>
      <c r="J9" s="119">
        <v>2470000</v>
      </c>
      <c r="K9" s="18"/>
      <c r="L9" s="99"/>
      <c r="M9" s="3"/>
      <c r="N9" s="3"/>
      <c r="O9" s="53">
        <f t="shared" ref="O9:O45" si="0">H9+J9+K9+L9+M9+N9</f>
        <v>2470000</v>
      </c>
      <c r="P9" s="13">
        <v>12272727</v>
      </c>
      <c r="Q9" s="54">
        <f t="shared" ref="Q9:Q26" si="1">P9-O9</f>
        <v>9802727</v>
      </c>
      <c r="R9" s="5"/>
    </row>
    <row r="10" spans="1:18" ht="17.25" customHeight="1" x14ac:dyDescent="0.25">
      <c r="A10" s="25">
        <v>3</v>
      </c>
      <c r="B10" s="120">
        <v>44077</v>
      </c>
      <c r="C10" s="10" t="s">
        <v>1554</v>
      </c>
      <c r="D10" s="8" t="s">
        <v>315</v>
      </c>
      <c r="E10" s="10" t="s">
        <v>741</v>
      </c>
      <c r="F10" s="8"/>
      <c r="G10" s="12">
        <v>210</v>
      </c>
      <c r="H10" s="3">
        <f t="shared" ref="H10:H14" si="2">G10*11960</f>
        <v>2511600</v>
      </c>
      <c r="I10" s="12"/>
      <c r="J10" s="13">
        <v>930000</v>
      </c>
      <c r="K10" s="18"/>
      <c r="L10" s="99"/>
      <c r="M10" s="3"/>
      <c r="N10" s="3"/>
      <c r="O10" s="53">
        <f t="shared" si="0"/>
        <v>3441600</v>
      </c>
      <c r="P10" s="13">
        <v>3300000</v>
      </c>
      <c r="Q10" s="54">
        <f t="shared" si="1"/>
        <v>-141600</v>
      </c>
      <c r="R10" s="5"/>
    </row>
    <row r="11" spans="1:18" ht="17.25" customHeight="1" x14ac:dyDescent="0.25">
      <c r="A11" s="25">
        <v>4</v>
      </c>
      <c r="B11" s="120">
        <v>44082</v>
      </c>
      <c r="C11" s="10" t="s">
        <v>1555</v>
      </c>
      <c r="D11" s="8" t="s">
        <v>1573</v>
      </c>
      <c r="E11" s="10" t="s">
        <v>1589</v>
      </c>
      <c r="F11" s="8"/>
      <c r="G11" s="12"/>
      <c r="H11" s="3"/>
      <c r="I11" s="12"/>
      <c r="J11" s="13">
        <v>810000</v>
      </c>
      <c r="K11" s="18"/>
      <c r="L11" s="99"/>
      <c r="M11" s="3"/>
      <c r="N11" s="3"/>
      <c r="O11" s="53">
        <f t="shared" si="0"/>
        <v>810000</v>
      </c>
      <c r="P11" s="13">
        <v>3400000</v>
      </c>
      <c r="Q11" s="54">
        <f t="shared" si="1"/>
        <v>2590000</v>
      </c>
      <c r="R11" s="5"/>
    </row>
    <row r="12" spans="1:18" ht="17.25" customHeight="1" x14ac:dyDescent="0.25">
      <c r="A12" s="25">
        <v>5</v>
      </c>
      <c r="B12" s="120">
        <v>44082</v>
      </c>
      <c r="C12" s="10" t="s">
        <v>1556</v>
      </c>
      <c r="D12" s="8" t="s">
        <v>1574</v>
      </c>
      <c r="E12" s="10" t="s">
        <v>1590</v>
      </c>
      <c r="F12" s="8"/>
      <c r="G12" s="12">
        <v>185</v>
      </c>
      <c r="H12" s="3">
        <f t="shared" si="2"/>
        <v>2212600</v>
      </c>
      <c r="I12" s="12"/>
      <c r="J12" s="13">
        <v>870000</v>
      </c>
      <c r="K12" s="18"/>
      <c r="L12" s="99"/>
      <c r="M12" s="3"/>
      <c r="N12" s="3"/>
      <c r="O12" s="53">
        <f t="shared" si="0"/>
        <v>3082600</v>
      </c>
      <c r="P12" s="13">
        <v>3600000</v>
      </c>
      <c r="Q12" s="54">
        <f t="shared" si="1"/>
        <v>517400</v>
      </c>
      <c r="R12" s="5"/>
    </row>
    <row r="13" spans="1:18" ht="17.25" customHeight="1" x14ac:dyDescent="0.25">
      <c r="A13" s="25">
        <v>6</v>
      </c>
      <c r="B13" s="120">
        <v>44083</v>
      </c>
      <c r="C13" s="10" t="s">
        <v>1557</v>
      </c>
      <c r="D13" s="8" t="s">
        <v>1575</v>
      </c>
      <c r="E13" s="10" t="s">
        <v>122</v>
      </c>
      <c r="F13" s="8"/>
      <c r="G13" s="12"/>
      <c r="H13" s="3"/>
      <c r="I13" s="12"/>
      <c r="J13" s="13">
        <v>930000</v>
      </c>
      <c r="K13" s="18"/>
      <c r="L13" s="99"/>
      <c r="M13" s="3"/>
      <c r="N13" s="3"/>
      <c r="O13" s="53">
        <f t="shared" si="0"/>
        <v>930000</v>
      </c>
      <c r="P13" s="13">
        <v>3063636</v>
      </c>
      <c r="Q13" s="54">
        <f t="shared" si="1"/>
        <v>2133636</v>
      </c>
      <c r="R13" s="5"/>
    </row>
    <row r="14" spans="1:18" ht="17.25" customHeight="1" x14ac:dyDescent="0.25">
      <c r="A14" s="25">
        <v>7</v>
      </c>
      <c r="B14" s="120">
        <v>44084</v>
      </c>
      <c r="C14" s="10" t="s">
        <v>1558</v>
      </c>
      <c r="D14" s="8" t="s">
        <v>1576</v>
      </c>
      <c r="E14" s="10" t="s">
        <v>1177</v>
      </c>
      <c r="F14" s="8"/>
      <c r="G14" s="12">
        <v>190</v>
      </c>
      <c r="H14" s="3">
        <f t="shared" si="2"/>
        <v>2272400</v>
      </c>
      <c r="I14" s="12"/>
      <c r="J14" s="13">
        <v>930000</v>
      </c>
      <c r="K14" s="18"/>
      <c r="L14" s="99"/>
      <c r="M14" s="3"/>
      <c r="N14" s="3"/>
      <c r="O14" s="53">
        <f t="shared" si="0"/>
        <v>3202400</v>
      </c>
      <c r="P14" s="13">
        <v>5500000</v>
      </c>
      <c r="Q14" s="54">
        <f t="shared" si="1"/>
        <v>2297600</v>
      </c>
      <c r="R14" s="5"/>
    </row>
    <row r="15" spans="1:18" ht="17.25" customHeight="1" x14ac:dyDescent="0.25">
      <c r="A15" s="25">
        <v>8</v>
      </c>
      <c r="B15" s="120">
        <v>44086</v>
      </c>
      <c r="C15" s="10" t="s">
        <v>1559</v>
      </c>
      <c r="D15" s="8" t="s">
        <v>1577</v>
      </c>
      <c r="E15" s="10" t="s">
        <v>1043</v>
      </c>
      <c r="F15" s="8"/>
      <c r="G15" s="12"/>
      <c r="H15" s="3"/>
      <c r="I15" s="12"/>
      <c r="J15" s="13">
        <v>980000</v>
      </c>
      <c r="K15" s="18"/>
      <c r="L15" s="99"/>
      <c r="M15" s="3"/>
      <c r="N15" s="3"/>
      <c r="O15" s="53">
        <f t="shared" si="0"/>
        <v>980000</v>
      </c>
      <c r="P15" s="13">
        <v>4727273</v>
      </c>
      <c r="Q15" s="54">
        <f t="shared" si="1"/>
        <v>3747273</v>
      </c>
      <c r="R15" s="5"/>
    </row>
    <row r="16" spans="1:18" ht="17.25" customHeight="1" x14ac:dyDescent="0.25">
      <c r="A16" s="25">
        <v>9</v>
      </c>
      <c r="B16" s="120">
        <v>44088</v>
      </c>
      <c r="C16" s="10" t="s">
        <v>1560</v>
      </c>
      <c r="D16" s="8" t="s">
        <v>1578</v>
      </c>
      <c r="E16" s="10" t="s">
        <v>1043</v>
      </c>
      <c r="F16" s="8"/>
      <c r="G16" s="12"/>
      <c r="H16" s="3"/>
      <c r="I16" s="12"/>
      <c r="J16" s="13">
        <v>1250000</v>
      </c>
      <c r="K16" s="18"/>
      <c r="L16" s="99"/>
      <c r="M16" s="3"/>
      <c r="N16" s="3"/>
      <c r="O16" s="53">
        <f t="shared" si="0"/>
        <v>1250000</v>
      </c>
      <c r="P16" s="13">
        <v>4727273</v>
      </c>
      <c r="Q16" s="54">
        <f t="shared" si="1"/>
        <v>3477273</v>
      </c>
      <c r="R16" s="5"/>
    </row>
    <row r="17" spans="1:18" ht="17.25" customHeight="1" x14ac:dyDescent="0.25">
      <c r="A17" s="25">
        <v>10</v>
      </c>
      <c r="B17" s="120">
        <v>44090</v>
      </c>
      <c r="C17" s="10" t="s">
        <v>1561</v>
      </c>
      <c r="D17" s="8" t="s">
        <v>1579</v>
      </c>
      <c r="E17" s="10" t="s">
        <v>112</v>
      </c>
      <c r="F17" s="8"/>
      <c r="G17" s="12">
        <v>225</v>
      </c>
      <c r="H17" s="3">
        <f>G17*11510</f>
        <v>2589750</v>
      </c>
      <c r="I17" s="12"/>
      <c r="J17" s="13">
        <v>2470000</v>
      </c>
      <c r="K17" s="18"/>
      <c r="L17" s="99"/>
      <c r="M17" s="3"/>
      <c r="N17" s="3"/>
      <c r="O17" s="53">
        <f t="shared" si="0"/>
        <v>5059750</v>
      </c>
      <c r="P17" s="13">
        <v>12272727</v>
      </c>
      <c r="Q17" s="54">
        <f t="shared" si="1"/>
        <v>7212977</v>
      </c>
      <c r="R17" s="5"/>
    </row>
    <row r="18" spans="1:18" ht="17.25" customHeight="1" x14ac:dyDescent="0.25">
      <c r="A18" s="25">
        <v>11</v>
      </c>
      <c r="B18" s="120">
        <v>44093</v>
      </c>
      <c r="C18" s="10" t="s">
        <v>1562</v>
      </c>
      <c r="D18" s="8" t="s">
        <v>1580</v>
      </c>
      <c r="E18" s="10" t="s">
        <v>1591</v>
      </c>
      <c r="F18" s="8"/>
      <c r="G18" s="12">
        <v>120</v>
      </c>
      <c r="H18" s="3">
        <f t="shared" ref="H18:H24" si="3">G18*11510</f>
        <v>1381200</v>
      </c>
      <c r="I18" s="12"/>
      <c r="J18" s="13">
        <v>810000</v>
      </c>
      <c r="K18" s="18"/>
      <c r="L18" s="99"/>
      <c r="M18" s="3"/>
      <c r="N18" s="3"/>
      <c r="O18" s="53">
        <f t="shared" si="0"/>
        <v>2191200</v>
      </c>
      <c r="P18" s="13">
        <v>3800000</v>
      </c>
      <c r="Q18" s="54">
        <f t="shared" si="1"/>
        <v>1608800</v>
      </c>
      <c r="R18" s="5"/>
    </row>
    <row r="19" spans="1:18" ht="17.25" customHeight="1" x14ac:dyDescent="0.25">
      <c r="A19" s="25">
        <v>12</v>
      </c>
      <c r="B19" s="120">
        <v>44095</v>
      </c>
      <c r="C19" s="10" t="s">
        <v>1563</v>
      </c>
      <c r="D19" s="8" t="s">
        <v>1581</v>
      </c>
      <c r="E19" s="10" t="s">
        <v>1592</v>
      </c>
      <c r="F19" s="8"/>
      <c r="G19" s="12">
        <v>210</v>
      </c>
      <c r="H19" s="3">
        <f t="shared" si="3"/>
        <v>2417100</v>
      </c>
      <c r="I19" s="12"/>
      <c r="J19" s="13">
        <v>1400000</v>
      </c>
      <c r="K19" s="18"/>
      <c r="L19" s="99"/>
      <c r="M19" s="3"/>
      <c r="N19" s="3"/>
      <c r="O19" s="53">
        <f t="shared" si="0"/>
        <v>3817100</v>
      </c>
      <c r="P19" s="13">
        <v>5454545</v>
      </c>
      <c r="Q19" s="54">
        <f t="shared" si="1"/>
        <v>1637445</v>
      </c>
      <c r="R19" s="5"/>
    </row>
    <row r="20" spans="1:18" ht="17.25" customHeight="1" x14ac:dyDescent="0.25">
      <c r="A20" s="25">
        <v>13</v>
      </c>
      <c r="B20" s="120">
        <v>44095</v>
      </c>
      <c r="C20" s="10" t="s">
        <v>153</v>
      </c>
      <c r="D20" s="8" t="s">
        <v>1582</v>
      </c>
      <c r="E20" s="10" t="s">
        <v>1177</v>
      </c>
      <c r="F20" s="8"/>
      <c r="G20" s="12"/>
      <c r="H20" s="3"/>
      <c r="I20" s="12"/>
      <c r="J20" s="13">
        <v>930000</v>
      </c>
      <c r="K20" s="18"/>
      <c r="L20" s="99"/>
      <c r="M20" s="3"/>
      <c r="N20" s="3"/>
      <c r="O20" s="53">
        <f t="shared" si="0"/>
        <v>930000</v>
      </c>
      <c r="P20" s="13">
        <v>3300000</v>
      </c>
      <c r="Q20" s="54">
        <f t="shared" si="1"/>
        <v>2370000</v>
      </c>
      <c r="R20" s="5"/>
    </row>
    <row r="21" spans="1:18" ht="17.25" customHeight="1" x14ac:dyDescent="0.25">
      <c r="A21" s="25">
        <v>14</v>
      </c>
      <c r="B21" s="120">
        <v>44096</v>
      </c>
      <c r="C21" s="10" t="s">
        <v>1564</v>
      </c>
      <c r="D21" s="8" t="s">
        <v>1582</v>
      </c>
      <c r="E21" s="10" t="s">
        <v>1287</v>
      </c>
      <c r="F21" s="8"/>
      <c r="G21" s="8">
        <v>246</v>
      </c>
      <c r="H21" s="13">
        <f t="shared" si="3"/>
        <v>2831460</v>
      </c>
      <c r="I21" s="8"/>
      <c r="J21" s="13">
        <v>300000</v>
      </c>
      <c r="K21" s="18"/>
      <c r="L21" s="99"/>
      <c r="M21" s="3"/>
      <c r="N21" s="3"/>
      <c r="O21" s="53">
        <f t="shared" si="0"/>
        <v>3131460</v>
      </c>
      <c r="P21" s="13">
        <v>2400000</v>
      </c>
      <c r="Q21" s="54">
        <f t="shared" si="1"/>
        <v>-731460</v>
      </c>
      <c r="R21" s="5"/>
    </row>
    <row r="22" spans="1:18" ht="17.25" customHeight="1" x14ac:dyDescent="0.25">
      <c r="A22" s="25">
        <v>15</v>
      </c>
      <c r="B22" s="120">
        <v>44097</v>
      </c>
      <c r="C22" s="10" t="s">
        <v>1565</v>
      </c>
      <c r="D22" s="8" t="s">
        <v>1583</v>
      </c>
      <c r="E22" s="10" t="s">
        <v>112</v>
      </c>
      <c r="F22" s="8"/>
      <c r="G22" s="8">
        <v>125</v>
      </c>
      <c r="H22" s="13">
        <f t="shared" si="3"/>
        <v>1438750</v>
      </c>
      <c r="I22" s="8"/>
      <c r="J22" s="13">
        <v>2470000</v>
      </c>
      <c r="K22" s="18"/>
      <c r="L22" s="99"/>
      <c r="M22" s="3"/>
      <c r="N22" s="3"/>
      <c r="O22" s="53">
        <f t="shared" si="0"/>
        <v>3908750</v>
      </c>
      <c r="P22" s="13">
        <v>12272727</v>
      </c>
      <c r="Q22" s="54">
        <f t="shared" si="1"/>
        <v>8363977</v>
      </c>
      <c r="R22" s="5"/>
    </row>
    <row r="23" spans="1:18" ht="17.25" customHeight="1" x14ac:dyDescent="0.25">
      <c r="A23" s="25">
        <v>16</v>
      </c>
      <c r="B23" s="120">
        <v>44097</v>
      </c>
      <c r="C23" s="10" t="s">
        <v>1566</v>
      </c>
      <c r="D23" s="8" t="s">
        <v>1584</v>
      </c>
      <c r="E23" s="10" t="s">
        <v>330</v>
      </c>
      <c r="F23" s="8"/>
      <c r="G23" s="8">
        <v>210</v>
      </c>
      <c r="H23" s="13">
        <f t="shared" si="3"/>
        <v>2417100</v>
      </c>
      <c r="I23" s="8"/>
      <c r="J23" s="13">
        <v>680000</v>
      </c>
      <c r="K23" s="18"/>
      <c r="L23" s="99"/>
      <c r="M23" s="3"/>
      <c r="N23" s="3"/>
      <c r="O23" s="53">
        <f t="shared" si="0"/>
        <v>3097100</v>
      </c>
      <c r="P23" s="13">
        <v>3200000</v>
      </c>
      <c r="Q23" s="54">
        <f t="shared" si="1"/>
        <v>102900</v>
      </c>
      <c r="R23" s="5"/>
    </row>
    <row r="24" spans="1:18" ht="17.25" customHeight="1" x14ac:dyDescent="0.25">
      <c r="A24" s="25">
        <v>17</v>
      </c>
      <c r="B24" s="120">
        <v>44099</v>
      </c>
      <c r="C24" s="10" t="s">
        <v>1567</v>
      </c>
      <c r="D24" s="8" t="s">
        <v>1585</v>
      </c>
      <c r="E24" s="10" t="s">
        <v>1593</v>
      </c>
      <c r="F24" s="8"/>
      <c r="G24" s="8">
        <v>220</v>
      </c>
      <c r="H24" s="13">
        <f t="shared" si="3"/>
        <v>2532200</v>
      </c>
      <c r="I24" s="8"/>
      <c r="J24" s="13">
        <v>900000</v>
      </c>
      <c r="K24" s="18"/>
      <c r="L24" s="99"/>
      <c r="M24" s="3"/>
      <c r="N24" s="3"/>
      <c r="O24" s="53">
        <f t="shared" si="0"/>
        <v>3432200</v>
      </c>
      <c r="P24" s="13">
        <v>4709091</v>
      </c>
      <c r="Q24" s="54">
        <f t="shared" si="1"/>
        <v>1276891</v>
      </c>
      <c r="R24" s="5"/>
    </row>
    <row r="25" spans="1:18" ht="17.25" customHeight="1" x14ac:dyDescent="0.25">
      <c r="A25" s="25">
        <v>18</v>
      </c>
      <c r="B25" s="120">
        <v>44100</v>
      </c>
      <c r="C25" s="10" t="s">
        <v>1568</v>
      </c>
      <c r="D25" s="8" t="s">
        <v>1586</v>
      </c>
      <c r="E25" s="10" t="s">
        <v>1594</v>
      </c>
      <c r="F25" s="8"/>
      <c r="G25" s="8"/>
      <c r="H25" s="13"/>
      <c r="I25" s="8"/>
      <c r="J25" s="13">
        <v>810000</v>
      </c>
      <c r="K25" s="18"/>
      <c r="L25" s="99"/>
      <c r="M25" s="3"/>
      <c r="N25" s="3"/>
      <c r="O25" s="53">
        <f t="shared" si="0"/>
        <v>810000</v>
      </c>
      <c r="P25" s="13">
        <v>3800000</v>
      </c>
      <c r="Q25" s="54">
        <f t="shared" si="1"/>
        <v>2990000</v>
      </c>
      <c r="R25" s="5"/>
    </row>
    <row r="26" spans="1:18" ht="17.25" customHeight="1" x14ac:dyDescent="0.25">
      <c r="A26" s="25">
        <v>19</v>
      </c>
      <c r="B26" s="120">
        <v>44101</v>
      </c>
      <c r="C26" s="10" t="s">
        <v>1569</v>
      </c>
      <c r="D26" s="8" t="s">
        <v>1587</v>
      </c>
      <c r="E26" s="10" t="s">
        <v>1595</v>
      </c>
      <c r="F26" s="8"/>
      <c r="G26" s="8"/>
      <c r="H26" s="13"/>
      <c r="I26" s="8"/>
      <c r="J26" s="13">
        <v>540000</v>
      </c>
      <c r="K26" s="18"/>
      <c r="L26" s="99"/>
      <c r="M26" s="3"/>
      <c r="N26" s="3"/>
      <c r="O26" s="53">
        <f t="shared" si="0"/>
        <v>540000</v>
      </c>
      <c r="P26" s="13">
        <v>2650000</v>
      </c>
      <c r="Q26" s="54">
        <f t="shared" si="1"/>
        <v>2110000</v>
      </c>
      <c r="R26" s="5"/>
    </row>
    <row r="27" spans="1:18" ht="24" customHeight="1" x14ac:dyDescent="0.25">
      <c r="A27" s="25">
        <v>20</v>
      </c>
      <c r="B27" s="120">
        <v>44103</v>
      </c>
      <c r="C27" s="10" t="s">
        <v>1570</v>
      </c>
      <c r="D27" s="117" t="s">
        <v>1588</v>
      </c>
      <c r="E27" s="9" t="s">
        <v>122</v>
      </c>
      <c r="F27" s="117"/>
      <c r="G27" s="118">
        <v>210</v>
      </c>
      <c r="H27" s="3">
        <f>G27*11120</f>
        <v>2335200</v>
      </c>
      <c r="I27" s="118"/>
      <c r="J27" s="119">
        <v>930000</v>
      </c>
      <c r="K27" s="18"/>
      <c r="L27" s="99"/>
      <c r="M27" s="3"/>
      <c r="N27" s="3"/>
      <c r="O27" s="53">
        <f t="shared" si="0"/>
        <v>3265200</v>
      </c>
      <c r="P27" s="13">
        <v>3300000</v>
      </c>
      <c r="Q27" s="54">
        <f>P27-O27</f>
        <v>34800</v>
      </c>
      <c r="R27" s="5"/>
    </row>
    <row r="28" spans="1:18" ht="12.75" customHeight="1" x14ac:dyDescent="0.25">
      <c r="A28" s="25"/>
      <c r="B28" s="44"/>
      <c r="C28" s="10"/>
      <c r="D28" s="8"/>
      <c r="E28" s="10"/>
      <c r="F28" s="8"/>
      <c r="G28" s="12"/>
      <c r="H28" s="3"/>
      <c r="I28" s="12"/>
      <c r="J28" s="13"/>
      <c r="K28" s="18"/>
      <c r="L28" s="29"/>
      <c r="M28" s="13"/>
      <c r="N28" s="13"/>
      <c r="O28" s="53"/>
      <c r="P28" s="13"/>
      <c r="Q28" s="54"/>
      <c r="R28" s="5"/>
    </row>
    <row r="29" spans="1:18" ht="18" customHeight="1" x14ac:dyDescent="0.25">
      <c r="A29" s="8"/>
      <c r="B29" s="8"/>
      <c r="C29" s="182" t="s">
        <v>131</v>
      </c>
      <c r="D29" s="183"/>
      <c r="E29" s="183"/>
      <c r="F29" s="184"/>
      <c r="G29" s="30"/>
      <c r="H29" s="28"/>
      <c r="I29" s="30"/>
      <c r="J29" s="28"/>
      <c r="K29" s="28"/>
      <c r="L29" s="28">
        <v>1200000</v>
      </c>
      <c r="M29" s="28"/>
      <c r="N29" s="28"/>
      <c r="O29" s="53">
        <f t="shared" si="0"/>
        <v>1200000</v>
      </c>
      <c r="P29" s="28"/>
      <c r="Q29" s="54"/>
    </row>
    <row r="30" spans="1:18" ht="27.75" customHeight="1" x14ac:dyDescent="0.25">
      <c r="A30" s="8"/>
      <c r="B30" s="8"/>
      <c r="C30" s="196" t="s">
        <v>1596</v>
      </c>
      <c r="D30" s="197"/>
      <c r="E30" s="197"/>
      <c r="F30" s="198"/>
      <c r="G30" s="30"/>
      <c r="H30" s="28"/>
      <c r="I30" s="30"/>
      <c r="J30" s="28"/>
      <c r="K30" s="28"/>
      <c r="L30" s="28">
        <v>320000</v>
      </c>
      <c r="M30" s="28"/>
      <c r="N30" s="28"/>
      <c r="O30" s="53">
        <f t="shared" si="0"/>
        <v>320000</v>
      </c>
      <c r="P30" s="28"/>
      <c r="Q30" s="54"/>
    </row>
    <row r="31" spans="1:18" ht="27.75" customHeight="1" x14ac:dyDescent="0.25">
      <c r="A31" s="8"/>
      <c r="B31" s="8"/>
      <c r="C31" s="196" t="s">
        <v>1597</v>
      </c>
      <c r="D31" s="197"/>
      <c r="E31" s="197"/>
      <c r="F31" s="198"/>
      <c r="G31" s="30"/>
      <c r="H31" s="28"/>
      <c r="I31" s="30"/>
      <c r="J31" s="28"/>
      <c r="K31" s="28"/>
      <c r="L31" s="28">
        <v>90000</v>
      </c>
      <c r="M31" s="28"/>
      <c r="N31" s="28"/>
      <c r="O31" s="53">
        <f t="shared" si="0"/>
        <v>90000</v>
      </c>
      <c r="P31" s="28"/>
      <c r="Q31" s="54"/>
    </row>
    <row r="32" spans="1:18" ht="27.75" customHeight="1" x14ac:dyDescent="0.25">
      <c r="A32" s="8"/>
      <c r="B32" s="8"/>
      <c r="C32" s="196" t="s">
        <v>1598</v>
      </c>
      <c r="D32" s="197"/>
      <c r="E32" s="197"/>
      <c r="F32" s="198"/>
      <c r="G32" s="30"/>
      <c r="H32" s="28"/>
      <c r="I32" s="30"/>
      <c r="J32" s="28"/>
      <c r="K32" s="28"/>
      <c r="L32" s="28">
        <v>840000</v>
      </c>
      <c r="M32" s="28"/>
      <c r="N32" s="28"/>
      <c r="O32" s="53">
        <f t="shared" si="0"/>
        <v>840000</v>
      </c>
      <c r="P32" s="28"/>
      <c r="Q32" s="54"/>
    </row>
    <row r="33" spans="1:17" ht="27.75" customHeight="1" x14ac:dyDescent="0.25">
      <c r="A33" s="8"/>
      <c r="B33" s="8"/>
      <c r="C33" s="196" t="s">
        <v>194</v>
      </c>
      <c r="D33" s="197"/>
      <c r="E33" s="197"/>
      <c r="F33" s="198"/>
      <c r="G33" s="30"/>
      <c r="H33" s="28"/>
      <c r="I33" s="30"/>
      <c r="J33" s="28"/>
      <c r="K33" s="28"/>
      <c r="L33" s="28">
        <v>7894000</v>
      </c>
      <c r="M33" s="28"/>
      <c r="N33" s="28"/>
      <c r="O33" s="53">
        <f t="shared" si="0"/>
        <v>7894000</v>
      </c>
      <c r="P33" s="28"/>
      <c r="Q33" s="54"/>
    </row>
    <row r="34" spans="1:17" ht="27.75" customHeight="1" x14ac:dyDescent="0.25">
      <c r="A34" s="8"/>
      <c r="B34" s="8"/>
      <c r="C34" s="196" t="s">
        <v>1599</v>
      </c>
      <c r="D34" s="197"/>
      <c r="E34" s="197"/>
      <c r="F34" s="198"/>
      <c r="G34" s="30"/>
      <c r="H34" s="28"/>
      <c r="I34" s="30"/>
      <c r="J34" s="28"/>
      <c r="K34" s="28"/>
      <c r="L34" s="28">
        <v>500000</v>
      </c>
      <c r="M34" s="28"/>
      <c r="N34" s="28"/>
      <c r="O34" s="53">
        <f t="shared" si="0"/>
        <v>500000</v>
      </c>
      <c r="P34" s="28"/>
      <c r="Q34" s="54"/>
    </row>
    <row r="35" spans="1:17" ht="27.75" customHeight="1" x14ac:dyDescent="0.25">
      <c r="A35" s="8"/>
      <c r="B35" s="8"/>
      <c r="C35" s="196" t="s">
        <v>1600</v>
      </c>
      <c r="D35" s="197"/>
      <c r="E35" s="197"/>
      <c r="F35" s="198"/>
      <c r="G35" s="30"/>
      <c r="H35" s="28"/>
      <c r="I35" s="30"/>
      <c r="J35" s="28"/>
      <c r="K35" s="28"/>
      <c r="L35" s="28">
        <v>50000</v>
      </c>
      <c r="M35" s="28"/>
      <c r="N35" s="28"/>
      <c r="O35" s="53">
        <f t="shared" si="0"/>
        <v>50000</v>
      </c>
      <c r="P35" s="28"/>
      <c r="Q35" s="54"/>
    </row>
    <row r="36" spans="1:17" ht="27.75" customHeight="1" x14ac:dyDescent="0.25">
      <c r="A36" s="8"/>
      <c r="B36" s="8"/>
      <c r="C36" s="196" t="s">
        <v>1601</v>
      </c>
      <c r="D36" s="197"/>
      <c r="E36" s="197"/>
      <c r="F36" s="198"/>
      <c r="G36" s="30"/>
      <c r="H36" s="28"/>
      <c r="I36" s="30"/>
      <c r="J36" s="28"/>
      <c r="K36" s="28"/>
      <c r="L36" s="28">
        <v>170000</v>
      </c>
      <c r="M36" s="28"/>
      <c r="N36" s="28"/>
      <c r="O36" s="53">
        <f t="shared" si="0"/>
        <v>170000</v>
      </c>
      <c r="P36" s="28"/>
      <c r="Q36" s="54"/>
    </row>
    <row r="37" spans="1:17" ht="27.75" customHeight="1" x14ac:dyDescent="0.25">
      <c r="A37" s="8"/>
      <c r="B37" s="8"/>
      <c r="C37" s="196" t="s">
        <v>1602</v>
      </c>
      <c r="D37" s="197"/>
      <c r="E37" s="197"/>
      <c r="F37" s="198"/>
      <c r="G37" s="30"/>
      <c r="H37" s="28"/>
      <c r="I37" s="30"/>
      <c r="J37" s="28"/>
      <c r="K37" s="28"/>
      <c r="L37" s="28">
        <v>100000</v>
      </c>
      <c r="M37" s="28"/>
      <c r="N37" s="28"/>
      <c r="O37" s="53">
        <f t="shared" si="0"/>
        <v>100000</v>
      </c>
      <c r="P37" s="28"/>
      <c r="Q37" s="54"/>
    </row>
    <row r="38" spans="1:17" ht="27.75" customHeight="1" x14ac:dyDescent="0.25">
      <c r="A38" s="8"/>
      <c r="B38" s="8"/>
      <c r="C38" s="196" t="s">
        <v>1603</v>
      </c>
      <c r="D38" s="197"/>
      <c r="E38" s="197"/>
      <c r="F38" s="198"/>
      <c r="G38" s="30"/>
      <c r="H38" s="28"/>
      <c r="I38" s="30"/>
      <c r="J38" s="28"/>
      <c r="K38" s="28"/>
      <c r="L38" s="28">
        <v>150000</v>
      </c>
      <c r="M38" s="28"/>
      <c r="N38" s="28"/>
      <c r="O38" s="53">
        <f t="shared" si="0"/>
        <v>150000</v>
      </c>
      <c r="P38" s="28"/>
      <c r="Q38" s="54"/>
    </row>
    <row r="39" spans="1:17" ht="27.75" customHeight="1" x14ac:dyDescent="0.25">
      <c r="A39" s="8"/>
      <c r="B39" s="8"/>
      <c r="C39" s="196" t="s">
        <v>1604</v>
      </c>
      <c r="D39" s="197"/>
      <c r="E39" s="197"/>
      <c r="F39" s="198"/>
      <c r="G39" s="30"/>
      <c r="H39" s="28"/>
      <c r="I39" s="30"/>
      <c r="J39" s="28"/>
      <c r="K39" s="28"/>
      <c r="L39" s="28">
        <v>11200000</v>
      </c>
      <c r="M39" s="28"/>
      <c r="N39" s="28"/>
      <c r="O39" s="53">
        <f t="shared" si="0"/>
        <v>11200000</v>
      </c>
      <c r="P39" s="28"/>
      <c r="Q39" s="54"/>
    </row>
    <row r="40" spans="1:17" ht="27.75" customHeight="1" x14ac:dyDescent="0.25">
      <c r="A40" s="8"/>
      <c r="B40" s="8"/>
      <c r="C40" s="196" t="s">
        <v>1605</v>
      </c>
      <c r="D40" s="197"/>
      <c r="E40" s="197"/>
      <c r="F40" s="198"/>
      <c r="G40" s="30"/>
      <c r="H40" s="28"/>
      <c r="I40" s="30"/>
      <c r="J40" s="28"/>
      <c r="K40" s="28"/>
      <c r="L40" s="28">
        <v>2150000</v>
      </c>
      <c r="M40" s="28"/>
      <c r="N40" s="28"/>
      <c r="O40" s="53">
        <f t="shared" si="0"/>
        <v>2150000</v>
      </c>
      <c r="P40" s="28"/>
      <c r="Q40" s="54"/>
    </row>
    <row r="41" spans="1:17" ht="27.75" customHeight="1" x14ac:dyDescent="0.25">
      <c r="A41" s="8"/>
      <c r="B41" s="8"/>
      <c r="C41" s="196" t="s">
        <v>1607</v>
      </c>
      <c r="D41" s="197"/>
      <c r="E41" s="197"/>
      <c r="F41" s="198"/>
      <c r="G41" s="30"/>
      <c r="H41" s="28"/>
      <c r="I41" s="30"/>
      <c r="J41" s="28"/>
      <c r="K41" s="28"/>
      <c r="L41" s="28">
        <v>1100000</v>
      </c>
      <c r="M41" s="28"/>
      <c r="N41" s="28"/>
      <c r="O41" s="53">
        <f t="shared" si="0"/>
        <v>1100000</v>
      </c>
      <c r="P41" s="28"/>
      <c r="Q41" s="54"/>
    </row>
    <row r="42" spans="1:17" ht="27.75" customHeight="1" x14ac:dyDescent="0.25">
      <c r="A42" s="8"/>
      <c r="B42" s="8"/>
      <c r="C42" s="196" t="s">
        <v>1608</v>
      </c>
      <c r="D42" s="197"/>
      <c r="E42" s="197"/>
      <c r="F42" s="198"/>
      <c r="G42" s="30"/>
      <c r="H42" s="28"/>
      <c r="I42" s="30"/>
      <c r="J42" s="28"/>
      <c r="K42" s="28"/>
      <c r="L42" s="28">
        <v>600000</v>
      </c>
      <c r="M42" s="28"/>
      <c r="N42" s="28"/>
      <c r="O42" s="53">
        <f t="shared" si="0"/>
        <v>600000</v>
      </c>
      <c r="P42" s="28"/>
      <c r="Q42" s="54"/>
    </row>
    <row r="43" spans="1:17" ht="27.75" customHeight="1" x14ac:dyDescent="0.25">
      <c r="A43" s="8"/>
      <c r="B43" s="8"/>
      <c r="C43" s="196" t="s">
        <v>1609</v>
      </c>
      <c r="D43" s="197"/>
      <c r="E43" s="197"/>
      <c r="F43" s="198"/>
      <c r="G43" s="30"/>
      <c r="H43" s="28"/>
      <c r="I43" s="30"/>
      <c r="J43" s="28"/>
      <c r="K43" s="28"/>
      <c r="L43" s="28">
        <v>200000</v>
      </c>
      <c r="M43" s="28"/>
      <c r="N43" s="28"/>
      <c r="O43" s="53">
        <f t="shared" si="0"/>
        <v>200000</v>
      </c>
      <c r="P43" s="28"/>
      <c r="Q43" s="54"/>
    </row>
    <row r="44" spans="1:17" ht="27.75" customHeight="1" x14ac:dyDescent="0.25">
      <c r="A44" s="8"/>
      <c r="B44" s="8"/>
      <c r="C44" s="128" t="s">
        <v>1606</v>
      </c>
      <c r="D44" s="126"/>
      <c r="E44" s="126"/>
      <c r="F44" s="127"/>
      <c r="G44" s="30"/>
      <c r="H44" s="28"/>
      <c r="I44" s="30"/>
      <c r="J44" s="28"/>
      <c r="K44" s="28">
        <v>500000</v>
      </c>
      <c r="L44" s="28"/>
      <c r="M44" s="28"/>
      <c r="N44" s="28"/>
      <c r="O44" s="53">
        <f t="shared" si="0"/>
        <v>500000</v>
      </c>
      <c r="P44" s="28"/>
      <c r="Q44" s="54"/>
    </row>
    <row r="45" spans="1:17" ht="25.5" customHeight="1" x14ac:dyDescent="0.25">
      <c r="A45" s="8"/>
      <c r="B45" s="8"/>
      <c r="C45" s="191" t="s">
        <v>132</v>
      </c>
      <c r="D45" s="192"/>
      <c r="E45" s="192"/>
      <c r="F45" s="195"/>
      <c r="G45" s="30"/>
      <c r="H45" s="28"/>
      <c r="I45" s="30"/>
      <c r="J45" s="28"/>
      <c r="K45" s="28">
        <f>'[2]09.2020'!$K$12</f>
        <v>8307692.307692307</v>
      </c>
      <c r="L45" s="28"/>
      <c r="M45" s="28"/>
      <c r="N45" s="28"/>
      <c r="O45" s="53">
        <f t="shared" si="0"/>
        <v>8307692.307692307</v>
      </c>
      <c r="P45" s="28"/>
      <c r="Q45" s="54"/>
    </row>
    <row r="46" spans="1:17" x14ac:dyDescent="0.25">
      <c r="A46" s="166" t="s">
        <v>19</v>
      </c>
      <c r="B46" s="167"/>
      <c r="C46" s="167"/>
      <c r="D46" s="167"/>
      <c r="E46" s="167"/>
      <c r="F46" s="168"/>
      <c r="G46" s="88">
        <f t="shared" ref="G46:N46" si="4">SUM(G7:G45)</f>
        <v>2376</v>
      </c>
      <c r="H46" s="4">
        <f t="shared" si="4"/>
        <v>27630360</v>
      </c>
      <c r="I46" s="4">
        <f t="shared" si="4"/>
        <v>0</v>
      </c>
      <c r="J46" s="4">
        <f t="shared" si="4"/>
        <v>22220000</v>
      </c>
      <c r="K46" s="4">
        <f t="shared" si="4"/>
        <v>8807692.307692308</v>
      </c>
      <c r="L46" s="4">
        <f>SUM(L7:L45)</f>
        <v>26564000</v>
      </c>
      <c r="M46" s="4">
        <f t="shared" si="4"/>
        <v>0</v>
      </c>
      <c r="N46" s="4">
        <f t="shared" si="4"/>
        <v>0</v>
      </c>
      <c r="O46" s="4">
        <f>SUM(O7:O45)</f>
        <v>85222052.307692304</v>
      </c>
      <c r="P46" s="4">
        <f>SUM(P8:P45)</f>
        <v>102477272</v>
      </c>
      <c r="Q46" s="122">
        <f>P46-O46</f>
        <v>17255219.692307696</v>
      </c>
    </row>
    <row r="47" spans="1:17" x14ac:dyDescent="0.25">
      <c r="O47" s="20"/>
      <c r="Q47" s="26"/>
    </row>
    <row r="48" spans="1:17" x14ac:dyDescent="0.25">
      <c r="P48" s="21" t="s">
        <v>20</v>
      </c>
      <c r="Q48" s="26">
        <f>'08.2020'!Q44+'09.2020'!Q46</f>
        <v>282921579.45454544</v>
      </c>
    </row>
    <row r="49" spans="2:17" x14ac:dyDescent="0.25">
      <c r="C49" s="6" t="s">
        <v>993</v>
      </c>
    </row>
    <row r="50" spans="2:17" x14ac:dyDescent="0.25">
      <c r="C50" s="205"/>
      <c r="D50" s="205"/>
      <c r="E50" s="205"/>
      <c r="F50" s="205"/>
      <c r="H50" s="109"/>
    </row>
    <row r="51" spans="2:17" x14ac:dyDescent="0.25">
      <c r="C51" s="206"/>
      <c r="D51" s="206"/>
      <c r="E51" s="206"/>
      <c r="F51" s="206"/>
      <c r="H51" s="109"/>
    </row>
    <row r="52" spans="2:17" x14ac:dyDescent="0.25">
      <c r="B52" s="6"/>
      <c r="C52" s="110"/>
      <c r="D52" s="110"/>
      <c r="E52" s="110"/>
      <c r="F52" s="110"/>
      <c r="H52" s="109"/>
    </row>
    <row r="53" spans="2:17" x14ac:dyDescent="0.25">
      <c r="B53" s="6"/>
      <c r="C53" s="206"/>
      <c r="D53" s="206"/>
      <c r="E53" s="206"/>
      <c r="F53" s="206"/>
      <c r="H53" s="109"/>
    </row>
    <row r="54" spans="2:17" x14ac:dyDescent="0.25">
      <c r="B54" s="6"/>
      <c r="C54" s="206"/>
      <c r="D54" s="206"/>
      <c r="E54" s="206"/>
      <c r="F54" s="206"/>
      <c r="H54" s="109"/>
    </row>
    <row r="55" spans="2:17" x14ac:dyDescent="0.25">
      <c r="B55" s="6"/>
      <c r="C55" s="206"/>
      <c r="D55" s="206"/>
      <c r="E55" s="206"/>
      <c r="F55" s="206"/>
      <c r="H55" s="109"/>
      <c r="J55" s="6"/>
      <c r="K55" s="6"/>
      <c r="L55" s="6"/>
      <c r="M55" s="6"/>
      <c r="N55" s="6"/>
      <c r="O55" s="6"/>
      <c r="P55" s="6"/>
      <c r="Q55" s="6"/>
    </row>
    <row r="56" spans="2:17" x14ac:dyDescent="0.2">
      <c r="C56" s="107"/>
      <c r="D56" s="110"/>
      <c r="E56" s="110"/>
      <c r="F56" s="110"/>
      <c r="H56" s="109"/>
    </row>
    <row r="57" spans="2:17" x14ac:dyDescent="0.25">
      <c r="C57" s="205"/>
      <c r="D57" s="205"/>
      <c r="E57" s="205"/>
      <c r="F57" s="205"/>
    </row>
  </sheetData>
  <mergeCells count="36">
    <mergeCell ref="C43:F43"/>
    <mergeCell ref="C33:F33"/>
    <mergeCell ref="C34:F34"/>
    <mergeCell ref="C29:F29"/>
    <mergeCell ref="C30:F30"/>
    <mergeCell ref="C32:F32"/>
    <mergeCell ref="C31:F31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54:F54"/>
    <mergeCell ref="C55:F55"/>
    <mergeCell ref="C57:F57"/>
    <mergeCell ref="C35:F35"/>
    <mergeCell ref="C45:F45"/>
    <mergeCell ref="A46:F46"/>
    <mergeCell ref="C51:F51"/>
    <mergeCell ref="C53:F53"/>
    <mergeCell ref="C50:F50"/>
    <mergeCell ref="C39:F39"/>
    <mergeCell ref="C40:F40"/>
    <mergeCell ref="C36:F36"/>
    <mergeCell ref="C37:F37"/>
    <mergeCell ref="C38:F38"/>
    <mergeCell ref="C41:F41"/>
    <mergeCell ref="C42:F42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59"/>
  <sheetViews>
    <sheetView topLeftCell="A28" workbookViewId="0">
      <selection activeCell="F23" sqref="F2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1.710937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1610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7.25" customHeight="1" x14ac:dyDescent="0.25">
      <c r="A8" s="25">
        <v>1</v>
      </c>
      <c r="B8" s="120">
        <v>44104</v>
      </c>
      <c r="C8" s="10" t="s">
        <v>1611</v>
      </c>
      <c r="D8" s="8" t="s">
        <v>1635</v>
      </c>
      <c r="E8" s="10" t="s">
        <v>1177</v>
      </c>
      <c r="F8" s="8"/>
      <c r="G8" s="12"/>
      <c r="H8" s="3"/>
      <c r="I8" s="12"/>
      <c r="J8" s="13">
        <v>1080000</v>
      </c>
      <c r="K8" s="28"/>
      <c r="L8" s="29"/>
      <c r="M8" s="13"/>
      <c r="N8" s="13"/>
      <c r="O8" s="53">
        <f>H8+J8+K8+L8+M8+N8</f>
        <v>1080000</v>
      </c>
      <c r="P8" s="13">
        <v>5500000</v>
      </c>
      <c r="Q8" s="54">
        <f>P8-O8</f>
        <v>4420000</v>
      </c>
      <c r="R8" s="5"/>
    </row>
    <row r="9" spans="1:18" ht="17.25" customHeight="1" x14ac:dyDescent="0.25">
      <c r="A9" s="25">
        <v>2</v>
      </c>
      <c r="B9" s="120">
        <v>44109</v>
      </c>
      <c r="C9" s="10" t="s">
        <v>1612</v>
      </c>
      <c r="D9" s="117" t="s">
        <v>1636</v>
      </c>
      <c r="E9" s="9" t="s">
        <v>1659</v>
      </c>
      <c r="F9" s="117"/>
      <c r="G9" s="6">
        <v>197</v>
      </c>
      <c r="H9" s="3">
        <f>G9*11120</f>
        <v>2190640</v>
      </c>
      <c r="I9" s="118"/>
      <c r="J9" s="119">
        <v>930000</v>
      </c>
      <c r="K9" s="28"/>
      <c r="L9" s="29"/>
      <c r="M9" s="13"/>
      <c r="N9" s="3"/>
      <c r="O9" s="53">
        <f t="shared" ref="O9:O33" si="0">H9+J9+K9+L9+M9+N9</f>
        <v>3120640</v>
      </c>
      <c r="P9" s="13">
        <v>3309091</v>
      </c>
      <c r="Q9" s="54">
        <f t="shared" ref="Q9:Q33" si="1">P9-O9</f>
        <v>188451</v>
      </c>
      <c r="R9" s="5"/>
    </row>
    <row r="10" spans="1:18" ht="17.25" customHeight="1" x14ac:dyDescent="0.25">
      <c r="A10" s="25">
        <v>3</v>
      </c>
      <c r="B10" s="120">
        <v>44110</v>
      </c>
      <c r="C10" s="10" t="s">
        <v>1613</v>
      </c>
      <c r="D10" s="8" t="s">
        <v>1637</v>
      </c>
      <c r="E10" s="10" t="s">
        <v>330</v>
      </c>
      <c r="F10" s="8"/>
      <c r="G10" s="12"/>
      <c r="H10" s="3"/>
      <c r="I10" s="12"/>
      <c r="J10" s="13">
        <v>680000</v>
      </c>
      <c r="K10" s="28"/>
      <c r="L10" s="29"/>
      <c r="M10" s="13"/>
      <c r="N10" s="3"/>
      <c r="O10" s="53">
        <f t="shared" si="0"/>
        <v>680000</v>
      </c>
      <c r="P10" s="13">
        <v>3200000</v>
      </c>
      <c r="Q10" s="54">
        <f t="shared" si="1"/>
        <v>2520000</v>
      </c>
      <c r="R10" s="5"/>
    </row>
    <row r="11" spans="1:18" ht="17.25" customHeight="1" x14ac:dyDescent="0.25">
      <c r="A11" s="25">
        <v>4</v>
      </c>
      <c r="B11" s="120">
        <v>44110</v>
      </c>
      <c r="C11" s="10" t="s">
        <v>1614</v>
      </c>
      <c r="D11" s="8" t="s">
        <v>1638</v>
      </c>
      <c r="E11" s="10" t="s">
        <v>330</v>
      </c>
      <c r="F11" s="8"/>
      <c r="G11" s="12">
        <v>192</v>
      </c>
      <c r="H11" s="3">
        <f t="shared" ref="H11:H24" si="2">G11*11120</f>
        <v>2135040</v>
      </c>
      <c r="I11" s="12"/>
      <c r="J11" s="13">
        <v>680000</v>
      </c>
      <c r="K11" s="28"/>
      <c r="L11" s="29"/>
      <c r="M11" s="13"/>
      <c r="N11" s="3"/>
      <c r="O11" s="53">
        <f t="shared" si="0"/>
        <v>2815040</v>
      </c>
      <c r="P11" s="13">
        <v>3200000</v>
      </c>
      <c r="Q11" s="54">
        <f t="shared" si="1"/>
        <v>384960</v>
      </c>
      <c r="R11" s="5"/>
    </row>
    <row r="12" spans="1:18" ht="17.25" customHeight="1" x14ac:dyDescent="0.25">
      <c r="A12" s="25">
        <v>5</v>
      </c>
      <c r="B12" s="120">
        <v>44111</v>
      </c>
      <c r="C12" s="10" t="s">
        <v>1615</v>
      </c>
      <c r="D12" s="8" t="s">
        <v>1639</v>
      </c>
      <c r="E12" s="10" t="s">
        <v>33</v>
      </c>
      <c r="F12" s="8"/>
      <c r="G12" s="12">
        <v>182</v>
      </c>
      <c r="H12" s="3">
        <f t="shared" si="2"/>
        <v>2023840</v>
      </c>
      <c r="I12" s="12"/>
      <c r="J12" s="13">
        <v>1890000</v>
      </c>
      <c r="K12" s="28"/>
      <c r="L12" s="29"/>
      <c r="M12" s="13"/>
      <c r="N12" s="3"/>
      <c r="O12" s="53">
        <f t="shared" si="0"/>
        <v>3913840</v>
      </c>
      <c r="P12" s="13">
        <v>7209091</v>
      </c>
      <c r="Q12" s="54">
        <f t="shared" si="1"/>
        <v>3295251</v>
      </c>
      <c r="R12" s="5"/>
    </row>
    <row r="13" spans="1:18" ht="17.25" customHeight="1" x14ac:dyDescent="0.25">
      <c r="A13" s="25">
        <v>6</v>
      </c>
      <c r="B13" s="120">
        <v>44112</v>
      </c>
      <c r="C13" s="10" t="s">
        <v>1616</v>
      </c>
      <c r="D13" s="8" t="s">
        <v>1640</v>
      </c>
      <c r="E13" s="10" t="s">
        <v>1660</v>
      </c>
      <c r="F13" s="8"/>
      <c r="G13" s="12">
        <v>182</v>
      </c>
      <c r="H13" s="3">
        <f t="shared" si="2"/>
        <v>2023840</v>
      </c>
      <c r="I13" s="12"/>
      <c r="J13" s="13">
        <f>1610000+300000</f>
        <v>1910000</v>
      </c>
      <c r="K13" s="28"/>
      <c r="L13" s="29"/>
      <c r="M13" s="13"/>
      <c r="N13" s="3"/>
      <c r="O13" s="53">
        <f t="shared" si="0"/>
        <v>3933840</v>
      </c>
      <c r="P13" s="13">
        <v>7250000</v>
      </c>
      <c r="Q13" s="54">
        <f t="shared" si="1"/>
        <v>3316160</v>
      </c>
      <c r="R13" s="5"/>
    </row>
    <row r="14" spans="1:18" ht="17.25" customHeight="1" x14ac:dyDescent="0.25">
      <c r="A14" s="25">
        <v>7</v>
      </c>
      <c r="B14" s="120">
        <v>44116</v>
      </c>
      <c r="C14" s="10" t="s">
        <v>1617</v>
      </c>
      <c r="D14" s="8" t="s">
        <v>1641</v>
      </c>
      <c r="E14" s="10" t="s">
        <v>1661</v>
      </c>
      <c r="F14" s="8"/>
      <c r="G14" s="12"/>
      <c r="H14" s="3"/>
      <c r="I14" s="12"/>
      <c r="J14" s="13">
        <v>900000</v>
      </c>
      <c r="K14" s="28"/>
      <c r="L14" s="29"/>
      <c r="M14" s="13"/>
      <c r="N14" s="3"/>
      <c r="O14" s="53">
        <f t="shared" si="0"/>
        <v>900000</v>
      </c>
      <c r="P14" s="13">
        <v>4000000</v>
      </c>
      <c r="Q14" s="54">
        <f t="shared" si="1"/>
        <v>3100000</v>
      </c>
      <c r="R14" s="5"/>
    </row>
    <row r="15" spans="1:18" ht="17.25" customHeight="1" x14ac:dyDescent="0.25">
      <c r="A15" s="25">
        <v>8</v>
      </c>
      <c r="B15" s="120">
        <v>44116</v>
      </c>
      <c r="C15" s="10" t="s">
        <v>1618</v>
      </c>
      <c r="D15" s="8" t="s">
        <v>1642</v>
      </c>
      <c r="E15" s="10" t="s">
        <v>121</v>
      </c>
      <c r="F15" s="8"/>
      <c r="G15" s="12">
        <v>110</v>
      </c>
      <c r="H15" s="3">
        <f t="shared" si="2"/>
        <v>1223200</v>
      </c>
      <c r="I15" s="12"/>
      <c r="J15" s="13">
        <v>2470000</v>
      </c>
      <c r="K15" s="28"/>
      <c r="L15" s="29"/>
      <c r="M15" s="13"/>
      <c r="N15" s="3"/>
      <c r="O15" s="53">
        <f t="shared" si="0"/>
        <v>3693200</v>
      </c>
      <c r="P15" s="13">
        <v>12181818</v>
      </c>
      <c r="Q15" s="54">
        <f t="shared" si="1"/>
        <v>8488618</v>
      </c>
      <c r="R15" s="5"/>
    </row>
    <row r="16" spans="1:18" ht="17.25" customHeight="1" x14ac:dyDescent="0.25">
      <c r="A16" s="25">
        <v>9</v>
      </c>
      <c r="B16" s="120">
        <v>44117</v>
      </c>
      <c r="C16" s="10" t="s">
        <v>1619</v>
      </c>
      <c r="D16" s="8" t="s">
        <v>1643</v>
      </c>
      <c r="E16" s="10" t="s">
        <v>1177</v>
      </c>
      <c r="F16" s="8"/>
      <c r="G16" s="12">
        <v>200</v>
      </c>
      <c r="H16" s="3">
        <f t="shared" si="2"/>
        <v>2224000</v>
      </c>
      <c r="I16" s="12"/>
      <c r="J16" s="13">
        <v>1080000</v>
      </c>
      <c r="K16" s="28"/>
      <c r="L16" s="29"/>
      <c r="M16" s="13"/>
      <c r="N16" s="3"/>
      <c r="O16" s="53">
        <f t="shared" si="0"/>
        <v>3304000</v>
      </c>
      <c r="P16" s="13">
        <v>5500000</v>
      </c>
      <c r="Q16" s="54">
        <f t="shared" si="1"/>
        <v>2196000</v>
      </c>
      <c r="R16" s="5"/>
    </row>
    <row r="17" spans="1:18" ht="17.25" customHeight="1" x14ac:dyDescent="0.25">
      <c r="A17" s="25">
        <v>10</v>
      </c>
      <c r="B17" s="120">
        <v>44119</v>
      </c>
      <c r="C17" s="10" t="s">
        <v>1620</v>
      </c>
      <c r="D17" s="8" t="s">
        <v>1644</v>
      </c>
      <c r="E17" s="10" t="s">
        <v>1662</v>
      </c>
      <c r="F17" s="8"/>
      <c r="G17" s="12"/>
      <c r="H17" s="3"/>
      <c r="I17" s="12"/>
      <c r="J17" s="13">
        <v>680000</v>
      </c>
      <c r="K17" s="28"/>
      <c r="L17" s="29"/>
      <c r="M17" s="13"/>
      <c r="N17" s="3"/>
      <c r="O17" s="53">
        <f t="shared" si="0"/>
        <v>680000</v>
      </c>
      <c r="P17" s="13">
        <v>2763636</v>
      </c>
      <c r="Q17" s="54">
        <f t="shared" si="1"/>
        <v>2083636</v>
      </c>
      <c r="R17" s="5"/>
    </row>
    <row r="18" spans="1:18" ht="17.25" customHeight="1" x14ac:dyDescent="0.25">
      <c r="A18" s="25">
        <v>11</v>
      </c>
      <c r="B18" s="120">
        <v>44120</v>
      </c>
      <c r="C18" s="10" t="s">
        <v>1621</v>
      </c>
      <c r="D18" s="8" t="s">
        <v>1645</v>
      </c>
      <c r="E18" s="10" t="s">
        <v>799</v>
      </c>
      <c r="F18" s="8"/>
      <c r="G18" s="12">
        <v>178</v>
      </c>
      <c r="H18" s="3">
        <f t="shared" si="2"/>
        <v>1979360</v>
      </c>
      <c r="I18" s="12"/>
      <c r="J18" s="13">
        <v>680000</v>
      </c>
      <c r="K18" s="28"/>
      <c r="L18" s="29"/>
      <c r="M18" s="13"/>
      <c r="N18" s="3"/>
      <c r="O18" s="53">
        <f t="shared" si="0"/>
        <v>2659360</v>
      </c>
      <c r="P18" s="13">
        <v>3300000</v>
      </c>
      <c r="Q18" s="54">
        <f t="shared" si="1"/>
        <v>640640</v>
      </c>
      <c r="R18" s="5"/>
    </row>
    <row r="19" spans="1:18" ht="17.25" customHeight="1" x14ac:dyDescent="0.25">
      <c r="A19" s="25">
        <v>12</v>
      </c>
      <c r="B19" s="120">
        <v>44121</v>
      </c>
      <c r="C19" s="10" t="s">
        <v>214</v>
      </c>
      <c r="D19" s="8" t="s">
        <v>1646</v>
      </c>
      <c r="E19" s="10" t="s">
        <v>799</v>
      </c>
      <c r="F19" s="8"/>
      <c r="G19" s="12"/>
      <c r="H19" s="3"/>
      <c r="I19" s="12"/>
      <c r="J19" s="13">
        <v>680000</v>
      </c>
      <c r="K19" s="28"/>
      <c r="L19" s="29"/>
      <c r="M19" s="13"/>
      <c r="N19" s="3"/>
      <c r="O19" s="53">
        <f t="shared" si="0"/>
        <v>680000</v>
      </c>
      <c r="P19" s="13">
        <v>3300000</v>
      </c>
      <c r="Q19" s="54">
        <f t="shared" si="1"/>
        <v>2620000</v>
      </c>
      <c r="R19" s="5"/>
    </row>
    <row r="20" spans="1:18" ht="17.25" customHeight="1" x14ac:dyDescent="0.25">
      <c r="A20" s="25">
        <v>13</v>
      </c>
      <c r="B20" s="120">
        <v>44123</v>
      </c>
      <c r="C20" s="10" t="s">
        <v>1622</v>
      </c>
      <c r="D20" s="8" t="s">
        <v>1647</v>
      </c>
      <c r="E20" s="10" t="s">
        <v>1663</v>
      </c>
      <c r="F20" s="8"/>
      <c r="G20" s="12"/>
      <c r="H20" s="3"/>
      <c r="I20" s="12"/>
      <c r="J20" s="13">
        <v>810000</v>
      </c>
      <c r="K20" s="28"/>
      <c r="L20" s="29"/>
      <c r="M20" s="13"/>
      <c r="N20" s="3"/>
      <c r="O20" s="53">
        <f t="shared" si="0"/>
        <v>810000</v>
      </c>
      <c r="P20" s="13">
        <v>3500000</v>
      </c>
      <c r="Q20" s="54">
        <f t="shared" si="1"/>
        <v>2690000</v>
      </c>
      <c r="R20" s="5"/>
    </row>
    <row r="21" spans="1:18" ht="17.25" customHeight="1" x14ac:dyDescent="0.25">
      <c r="A21" s="25">
        <v>14</v>
      </c>
      <c r="B21" s="120">
        <v>44123</v>
      </c>
      <c r="C21" s="10" t="s">
        <v>1623</v>
      </c>
      <c r="D21" s="8" t="s">
        <v>1648</v>
      </c>
      <c r="E21" s="10" t="s">
        <v>1664</v>
      </c>
      <c r="F21" s="8"/>
      <c r="G21" s="12">
        <v>255</v>
      </c>
      <c r="H21" s="3">
        <f t="shared" si="2"/>
        <v>2835600</v>
      </c>
      <c r="I21" s="12"/>
      <c r="J21" s="13">
        <v>540000</v>
      </c>
      <c r="K21" s="28"/>
      <c r="L21" s="29"/>
      <c r="M21" s="13"/>
      <c r="N21" s="3"/>
      <c r="O21" s="53">
        <f t="shared" si="0"/>
        <v>3375600</v>
      </c>
      <c r="P21" s="13">
        <v>2500000</v>
      </c>
      <c r="Q21" s="54">
        <f t="shared" si="1"/>
        <v>-875600</v>
      </c>
      <c r="R21" s="5"/>
    </row>
    <row r="22" spans="1:18" ht="17.25" customHeight="1" x14ac:dyDescent="0.25">
      <c r="A22" s="25">
        <v>15</v>
      </c>
      <c r="B22" s="120">
        <v>44124</v>
      </c>
      <c r="C22" s="10" t="s">
        <v>1624</v>
      </c>
      <c r="D22" s="8" t="s">
        <v>1649</v>
      </c>
      <c r="E22" s="10" t="s">
        <v>1177</v>
      </c>
      <c r="F22" s="8"/>
      <c r="G22" s="12"/>
      <c r="H22" s="3"/>
      <c r="I22" s="12"/>
      <c r="J22" s="13">
        <v>1080000</v>
      </c>
      <c r="K22" s="28"/>
      <c r="L22" s="29"/>
      <c r="M22" s="13"/>
      <c r="N22" s="3"/>
      <c r="O22" s="53">
        <f t="shared" si="0"/>
        <v>1080000</v>
      </c>
      <c r="P22" s="13">
        <v>5500000</v>
      </c>
      <c r="Q22" s="54">
        <f t="shared" si="1"/>
        <v>4420000</v>
      </c>
      <c r="R22" s="5"/>
    </row>
    <row r="23" spans="1:18" ht="17.25" customHeight="1" x14ac:dyDescent="0.25">
      <c r="A23" s="25">
        <v>16</v>
      </c>
      <c r="B23" s="120">
        <v>44126</v>
      </c>
      <c r="C23" s="10" t="s">
        <v>1625</v>
      </c>
      <c r="D23" s="8" t="s">
        <v>1650</v>
      </c>
      <c r="E23" s="10" t="s">
        <v>1097</v>
      </c>
      <c r="F23" s="8"/>
      <c r="G23" s="12"/>
      <c r="H23" s="3"/>
      <c r="I23" s="12"/>
      <c r="J23" s="13">
        <v>680000</v>
      </c>
      <c r="K23" s="28"/>
      <c r="L23" s="29"/>
      <c r="M23" s="13"/>
      <c r="N23" s="3"/>
      <c r="O23" s="53">
        <f t="shared" si="0"/>
        <v>680000</v>
      </c>
      <c r="P23" s="13">
        <v>3272727</v>
      </c>
      <c r="Q23" s="54">
        <f t="shared" si="1"/>
        <v>2592727</v>
      </c>
      <c r="R23" s="5"/>
    </row>
    <row r="24" spans="1:18" ht="17.25" customHeight="1" x14ac:dyDescent="0.25">
      <c r="A24" s="25">
        <v>17</v>
      </c>
      <c r="B24" s="120">
        <v>44127</v>
      </c>
      <c r="C24" s="10" t="s">
        <v>1626</v>
      </c>
      <c r="D24" s="8" t="s">
        <v>1651</v>
      </c>
      <c r="E24" s="10" t="s">
        <v>977</v>
      </c>
      <c r="F24" s="8"/>
      <c r="G24" s="12">
        <v>210</v>
      </c>
      <c r="H24" s="3">
        <f t="shared" si="2"/>
        <v>2335200</v>
      </c>
      <c r="I24" s="12"/>
      <c r="J24" s="13">
        <v>200000</v>
      </c>
      <c r="K24" s="28"/>
      <c r="L24" s="29"/>
      <c r="M24" s="13"/>
      <c r="N24" s="3"/>
      <c r="O24" s="53">
        <f t="shared" si="0"/>
        <v>2535200</v>
      </c>
      <c r="P24" s="13">
        <v>1500000</v>
      </c>
      <c r="Q24" s="54">
        <f t="shared" si="1"/>
        <v>-1035200</v>
      </c>
      <c r="R24" s="5"/>
    </row>
    <row r="25" spans="1:18" ht="17.25" customHeight="1" x14ac:dyDescent="0.25">
      <c r="A25" s="25">
        <v>18</v>
      </c>
      <c r="B25" s="120">
        <v>44130</v>
      </c>
      <c r="C25" s="10" t="s">
        <v>1627</v>
      </c>
      <c r="D25" s="8" t="s">
        <v>1652</v>
      </c>
      <c r="E25" s="10" t="s">
        <v>1043</v>
      </c>
      <c r="F25" s="8"/>
      <c r="G25" s="12"/>
      <c r="H25" s="3"/>
      <c r="I25" s="12"/>
      <c r="J25" s="13">
        <v>810000</v>
      </c>
      <c r="K25" s="28"/>
      <c r="L25" s="29"/>
      <c r="M25" s="13"/>
      <c r="N25" s="3"/>
      <c r="O25" s="53">
        <f t="shared" si="0"/>
        <v>810000</v>
      </c>
      <c r="P25" s="13">
        <v>4727273</v>
      </c>
      <c r="Q25" s="54">
        <f t="shared" si="1"/>
        <v>3917273</v>
      </c>
      <c r="R25" s="5"/>
    </row>
    <row r="26" spans="1:18" ht="17.25" customHeight="1" x14ac:dyDescent="0.25">
      <c r="A26" s="25">
        <v>19</v>
      </c>
      <c r="B26" s="120">
        <v>44130</v>
      </c>
      <c r="C26" s="10" t="s">
        <v>1628</v>
      </c>
      <c r="D26" s="8" t="s">
        <v>1653</v>
      </c>
      <c r="E26" s="10" t="s">
        <v>1043</v>
      </c>
      <c r="F26" s="8"/>
      <c r="G26" s="12"/>
      <c r="H26" s="3"/>
      <c r="I26" s="12"/>
      <c r="J26" s="13">
        <v>810000</v>
      </c>
      <c r="K26" s="28"/>
      <c r="L26" s="29"/>
      <c r="M26" s="13"/>
      <c r="N26" s="3"/>
      <c r="O26" s="53">
        <f t="shared" si="0"/>
        <v>810000</v>
      </c>
      <c r="P26" s="13">
        <v>4727273</v>
      </c>
      <c r="Q26" s="54">
        <f t="shared" si="1"/>
        <v>3917273</v>
      </c>
      <c r="R26" s="5"/>
    </row>
    <row r="27" spans="1:18" ht="25.5" customHeight="1" x14ac:dyDescent="0.25">
      <c r="A27" s="25">
        <v>20</v>
      </c>
      <c r="B27" s="120">
        <v>44131</v>
      </c>
      <c r="C27" s="10" t="s">
        <v>1629</v>
      </c>
      <c r="D27" s="8" t="s">
        <v>1654</v>
      </c>
      <c r="E27" s="10" t="s">
        <v>1665</v>
      </c>
      <c r="F27" s="8"/>
      <c r="G27" s="12">
        <v>235</v>
      </c>
      <c r="H27" s="3">
        <f>G27*11210</f>
        <v>2634350</v>
      </c>
      <c r="I27" s="12"/>
      <c r="J27" s="13">
        <v>940000</v>
      </c>
      <c r="K27" s="28"/>
      <c r="L27" s="29"/>
      <c r="M27" s="13"/>
      <c r="N27" s="3"/>
      <c r="O27" s="53">
        <f t="shared" si="0"/>
        <v>3574350</v>
      </c>
      <c r="P27" s="13">
        <v>5454545</v>
      </c>
      <c r="Q27" s="54">
        <f t="shared" si="1"/>
        <v>1880195</v>
      </c>
      <c r="R27" s="5"/>
    </row>
    <row r="28" spans="1:18" ht="17.25" customHeight="1" x14ac:dyDescent="0.25">
      <c r="A28" s="25">
        <v>21</v>
      </c>
      <c r="B28" s="120">
        <v>44132</v>
      </c>
      <c r="C28" s="10" t="s">
        <v>1630</v>
      </c>
      <c r="D28" s="8" t="s">
        <v>1655</v>
      </c>
      <c r="E28" s="10" t="s">
        <v>122</v>
      </c>
      <c r="F28" s="8"/>
      <c r="G28" s="12"/>
      <c r="H28" s="3"/>
      <c r="I28" s="12"/>
      <c r="J28" s="13">
        <v>930000</v>
      </c>
      <c r="K28" s="28"/>
      <c r="L28" s="29"/>
      <c r="M28" s="13"/>
      <c r="N28" s="3"/>
      <c r="O28" s="53">
        <f t="shared" si="0"/>
        <v>930000</v>
      </c>
      <c r="P28" s="13">
        <v>2863636</v>
      </c>
      <c r="Q28" s="54">
        <f t="shared" si="1"/>
        <v>1933636</v>
      </c>
      <c r="R28" s="5"/>
    </row>
    <row r="29" spans="1:18" ht="17.25" customHeight="1" x14ac:dyDescent="0.25">
      <c r="A29" s="25">
        <v>22</v>
      </c>
      <c r="B29" s="120">
        <v>44133</v>
      </c>
      <c r="C29" s="10" t="s">
        <v>1631</v>
      </c>
      <c r="D29" s="8" t="s">
        <v>1655</v>
      </c>
      <c r="E29" s="10" t="s">
        <v>1666</v>
      </c>
      <c r="F29" s="8"/>
      <c r="G29" s="12"/>
      <c r="H29" s="3"/>
      <c r="I29" s="12"/>
      <c r="J29" s="13">
        <v>350000</v>
      </c>
      <c r="K29" s="28"/>
      <c r="L29" s="29"/>
      <c r="M29" s="13"/>
      <c r="N29" s="3"/>
      <c r="O29" s="53">
        <f t="shared" si="0"/>
        <v>350000</v>
      </c>
      <c r="P29" s="13">
        <v>1610000</v>
      </c>
      <c r="Q29" s="54">
        <f t="shared" si="1"/>
        <v>1260000</v>
      </c>
      <c r="R29" s="5"/>
    </row>
    <row r="30" spans="1:18" ht="17.25" customHeight="1" x14ac:dyDescent="0.25">
      <c r="A30" s="25">
        <v>23</v>
      </c>
      <c r="B30" s="120">
        <v>44133</v>
      </c>
      <c r="C30" s="10" t="s">
        <v>1632</v>
      </c>
      <c r="D30" s="8" t="s">
        <v>1656</v>
      </c>
      <c r="E30" s="10" t="s">
        <v>1667</v>
      </c>
      <c r="F30" s="8"/>
      <c r="G30" s="12"/>
      <c r="H30" s="3"/>
      <c r="I30" s="12"/>
      <c r="J30" s="13">
        <v>200000</v>
      </c>
      <c r="K30" s="28"/>
      <c r="L30" s="29"/>
      <c r="M30" s="13"/>
      <c r="N30" s="3"/>
      <c r="O30" s="53">
        <f t="shared" si="0"/>
        <v>200000</v>
      </c>
      <c r="P30" s="13">
        <v>1500000</v>
      </c>
      <c r="Q30" s="54">
        <f t="shared" si="1"/>
        <v>1300000</v>
      </c>
      <c r="R30" s="5"/>
    </row>
    <row r="31" spans="1:18" ht="17.25" customHeight="1" x14ac:dyDescent="0.25">
      <c r="A31" s="25">
        <v>24</v>
      </c>
      <c r="B31" s="120">
        <v>44133</v>
      </c>
      <c r="C31" s="10" t="s">
        <v>1633</v>
      </c>
      <c r="D31" s="8" t="s">
        <v>1657</v>
      </c>
      <c r="E31" s="10" t="s">
        <v>122</v>
      </c>
      <c r="F31" s="8"/>
      <c r="G31" s="12">
        <v>235</v>
      </c>
      <c r="H31" s="3">
        <f>G31*11210</f>
        <v>2634350</v>
      </c>
      <c r="I31" s="12"/>
      <c r="J31" s="13">
        <v>930000</v>
      </c>
      <c r="K31" s="28"/>
      <c r="L31" s="29"/>
      <c r="M31" s="13"/>
      <c r="N31" s="3"/>
      <c r="O31" s="53">
        <f t="shared" si="0"/>
        <v>3564350</v>
      </c>
      <c r="P31" s="13">
        <v>2863636</v>
      </c>
      <c r="Q31" s="54">
        <f t="shared" si="1"/>
        <v>-700714</v>
      </c>
      <c r="R31" s="5"/>
    </row>
    <row r="32" spans="1:18" ht="17.25" customHeight="1" x14ac:dyDescent="0.25">
      <c r="A32" s="25">
        <v>25</v>
      </c>
      <c r="B32" s="120">
        <v>44134</v>
      </c>
      <c r="C32" s="10" t="s">
        <v>1634</v>
      </c>
      <c r="D32" s="8" t="s">
        <v>1657</v>
      </c>
      <c r="E32" s="10" t="s">
        <v>1666</v>
      </c>
      <c r="F32" s="8"/>
      <c r="G32" s="12"/>
      <c r="H32" s="3"/>
      <c r="I32" s="12"/>
      <c r="J32" s="13">
        <v>350000</v>
      </c>
      <c r="K32" s="28"/>
      <c r="L32" s="29"/>
      <c r="M32" s="13"/>
      <c r="N32" s="3"/>
      <c r="O32" s="53">
        <f t="shared" si="0"/>
        <v>350000</v>
      </c>
      <c r="P32" s="13">
        <v>1610000</v>
      </c>
      <c r="Q32" s="54">
        <f t="shared" si="1"/>
        <v>1260000</v>
      </c>
      <c r="R32" s="5"/>
    </row>
    <row r="33" spans="1:18" ht="27.75" customHeight="1" x14ac:dyDescent="0.25">
      <c r="A33" s="25">
        <v>26</v>
      </c>
      <c r="B33" s="120">
        <v>44134</v>
      </c>
      <c r="C33" s="10" t="s">
        <v>225</v>
      </c>
      <c r="D33" s="8" t="s">
        <v>1658</v>
      </c>
      <c r="E33" s="10" t="s">
        <v>1668</v>
      </c>
      <c r="F33" s="8"/>
      <c r="G33" s="12"/>
      <c r="H33" s="3"/>
      <c r="I33" s="12"/>
      <c r="J33" s="13">
        <v>680000</v>
      </c>
      <c r="K33" s="28"/>
      <c r="L33" s="29"/>
      <c r="M33" s="13"/>
      <c r="N33" s="3"/>
      <c r="O33" s="53">
        <f t="shared" si="0"/>
        <v>680000</v>
      </c>
      <c r="P33" s="13">
        <v>3145455</v>
      </c>
      <c r="Q33" s="54">
        <f t="shared" si="1"/>
        <v>2465455</v>
      </c>
      <c r="R33" s="5"/>
    </row>
    <row r="34" spans="1:18" ht="12.75" customHeight="1" x14ac:dyDescent="0.25">
      <c r="A34" s="25"/>
      <c r="B34" s="44"/>
      <c r="C34" s="10"/>
      <c r="D34" s="8"/>
      <c r="E34" s="10"/>
      <c r="F34" s="8"/>
      <c r="G34" s="12"/>
      <c r="H34" s="3"/>
      <c r="I34" s="12"/>
      <c r="J34" s="13"/>
      <c r="K34" s="28"/>
      <c r="L34" s="29"/>
      <c r="M34" s="13"/>
      <c r="N34" s="13"/>
      <c r="O34" s="53"/>
      <c r="P34" s="13"/>
      <c r="Q34" s="54"/>
      <c r="R34" s="5"/>
    </row>
    <row r="35" spans="1:18" ht="18" customHeight="1" x14ac:dyDescent="0.25">
      <c r="A35" s="8"/>
      <c r="B35" s="8"/>
      <c r="C35" s="182" t="s">
        <v>131</v>
      </c>
      <c r="D35" s="183"/>
      <c r="E35" s="183"/>
      <c r="F35" s="184"/>
      <c r="G35" s="30"/>
      <c r="H35" s="28"/>
      <c r="I35" s="30"/>
      <c r="J35" s="28"/>
      <c r="K35" s="28"/>
      <c r="L35" s="28">
        <v>1200000</v>
      </c>
      <c r="M35" s="28"/>
      <c r="N35" s="28"/>
      <c r="O35" s="53">
        <f t="shared" ref="O35:O47" si="3">H35+J35+K35+L35+M35+N35</f>
        <v>1200000</v>
      </c>
      <c r="P35" s="28"/>
      <c r="Q35" s="54"/>
    </row>
    <row r="36" spans="1:18" ht="27.75" customHeight="1" x14ac:dyDescent="0.25">
      <c r="A36" s="8"/>
      <c r="B36" s="8"/>
      <c r="C36" s="196" t="s">
        <v>1669</v>
      </c>
      <c r="D36" s="197"/>
      <c r="E36" s="197"/>
      <c r="F36" s="198"/>
      <c r="G36" s="30"/>
      <c r="H36" s="28"/>
      <c r="I36" s="30"/>
      <c r="J36" s="28"/>
      <c r="K36" s="28"/>
      <c r="L36" s="28">
        <v>2350000</v>
      </c>
      <c r="M36" s="28"/>
      <c r="N36" s="28"/>
      <c r="O36" s="53">
        <f t="shared" si="3"/>
        <v>2350000</v>
      </c>
      <c r="P36" s="28"/>
      <c r="Q36" s="54"/>
    </row>
    <row r="37" spans="1:18" ht="27.75" customHeight="1" x14ac:dyDescent="0.25">
      <c r="A37" s="8"/>
      <c r="B37" s="8"/>
      <c r="C37" s="196" t="s">
        <v>1670</v>
      </c>
      <c r="D37" s="197"/>
      <c r="E37" s="197"/>
      <c r="F37" s="198"/>
      <c r="G37" s="30"/>
      <c r="H37" s="28"/>
      <c r="I37" s="30"/>
      <c r="J37" s="28"/>
      <c r="K37" s="28"/>
      <c r="L37" s="28">
        <v>420000</v>
      </c>
      <c r="M37" s="28"/>
      <c r="N37" s="28"/>
      <c r="O37" s="53">
        <f t="shared" si="3"/>
        <v>420000</v>
      </c>
      <c r="P37" s="28"/>
      <c r="Q37" s="54"/>
    </row>
    <row r="38" spans="1:18" ht="27.75" customHeight="1" x14ac:dyDescent="0.25">
      <c r="A38" s="8"/>
      <c r="B38" s="8"/>
      <c r="C38" s="196" t="s">
        <v>1671</v>
      </c>
      <c r="D38" s="197"/>
      <c r="E38" s="197"/>
      <c r="F38" s="198"/>
      <c r="G38" s="30"/>
      <c r="H38" s="28"/>
      <c r="I38" s="30"/>
      <c r="J38" s="28"/>
      <c r="K38" s="28"/>
      <c r="L38" s="28">
        <v>500000</v>
      </c>
      <c r="M38" s="28"/>
      <c r="N38" s="28"/>
      <c r="O38" s="53">
        <f t="shared" si="3"/>
        <v>500000</v>
      </c>
      <c r="P38" s="28"/>
      <c r="Q38" s="54"/>
    </row>
    <row r="39" spans="1:18" ht="27.75" customHeight="1" x14ac:dyDescent="0.25">
      <c r="A39" s="8"/>
      <c r="B39" s="8"/>
      <c r="C39" s="196" t="s">
        <v>1672</v>
      </c>
      <c r="D39" s="197"/>
      <c r="E39" s="197"/>
      <c r="F39" s="198"/>
      <c r="G39" s="30"/>
      <c r="H39" s="28"/>
      <c r="I39" s="30"/>
      <c r="J39" s="28"/>
      <c r="K39" s="28"/>
      <c r="L39" s="28">
        <v>1060000</v>
      </c>
      <c r="M39" s="28"/>
      <c r="N39" s="28"/>
      <c r="O39" s="53">
        <f t="shared" si="3"/>
        <v>1060000</v>
      </c>
      <c r="P39" s="28"/>
      <c r="Q39" s="54"/>
    </row>
    <row r="40" spans="1:18" ht="27.75" customHeight="1" x14ac:dyDescent="0.25">
      <c r="A40" s="8"/>
      <c r="B40" s="8"/>
      <c r="C40" s="196" t="s">
        <v>1673</v>
      </c>
      <c r="D40" s="197"/>
      <c r="E40" s="197"/>
      <c r="F40" s="198"/>
      <c r="G40" s="30"/>
      <c r="H40" s="28"/>
      <c r="I40" s="30"/>
      <c r="J40" s="28"/>
      <c r="K40" s="28"/>
      <c r="L40" s="28">
        <v>150000</v>
      </c>
      <c r="M40" s="28"/>
      <c r="N40" s="28"/>
      <c r="O40" s="53">
        <f t="shared" si="3"/>
        <v>150000</v>
      </c>
      <c r="P40" s="28"/>
      <c r="Q40" s="54"/>
    </row>
    <row r="41" spans="1:18" ht="27.75" customHeight="1" x14ac:dyDescent="0.25">
      <c r="A41" s="8"/>
      <c r="B41" s="8"/>
      <c r="C41" s="196" t="s">
        <v>1674</v>
      </c>
      <c r="D41" s="197"/>
      <c r="E41" s="197"/>
      <c r="F41" s="198"/>
      <c r="G41" s="30"/>
      <c r="H41" s="28"/>
      <c r="I41" s="30"/>
      <c r="J41" s="28"/>
      <c r="K41" s="28"/>
      <c r="L41" s="28">
        <v>4800000</v>
      </c>
      <c r="M41" s="28"/>
      <c r="N41" s="28"/>
      <c r="O41" s="53">
        <f t="shared" si="3"/>
        <v>4800000</v>
      </c>
      <c r="P41" s="28"/>
      <c r="Q41" s="54"/>
    </row>
    <row r="42" spans="1:18" ht="27.75" customHeight="1" x14ac:dyDescent="0.25">
      <c r="A42" s="8"/>
      <c r="B42" s="8"/>
      <c r="C42" s="196" t="s">
        <v>1675</v>
      </c>
      <c r="D42" s="197"/>
      <c r="E42" s="197"/>
      <c r="F42" s="198"/>
      <c r="G42" s="30"/>
      <c r="H42" s="28"/>
      <c r="I42" s="30"/>
      <c r="J42" s="28"/>
      <c r="K42" s="28"/>
      <c r="L42" s="28">
        <v>1300000</v>
      </c>
      <c r="M42" s="28"/>
      <c r="N42" s="28"/>
      <c r="O42" s="53">
        <f t="shared" si="3"/>
        <v>1300000</v>
      </c>
      <c r="P42" s="28"/>
      <c r="Q42" s="54"/>
    </row>
    <row r="43" spans="1:18" ht="27.75" customHeight="1" x14ac:dyDescent="0.25">
      <c r="A43" s="8"/>
      <c r="B43" s="8"/>
      <c r="C43" s="196" t="s">
        <v>1676</v>
      </c>
      <c r="D43" s="197"/>
      <c r="E43" s="197"/>
      <c r="F43" s="198"/>
      <c r="G43" s="30"/>
      <c r="H43" s="28"/>
      <c r="I43" s="30"/>
      <c r="J43" s="28"/>
      <c r="K43" s="28"/>
      <c r="L43" s="28">
        <v>2100000</v>
      </c>
      <c r="M43" s="28"/>
      <c r="N43" s="28"/>
      <c r="O43" s="53">
        <f t="shared" si="3"/>
        <v>2100000</v>
      </c>
      <c r="P43" s="28"/>
      <c r="Q43" s="54"/>
    </row>
    <row r="44" spans="1:18" ht="27.75" customHeight="1" x14ac:dyDescent="0.25">
      <c r="A44" s="8"/>
      <c r="B44" s="8"/>
      <c r="C44" s="196" t="s">
        <v>1677</v>
      </c>
      <c r="D44" s="197"/>
      <c r="E44" s="197"/>
      <c r="F44" s="198"/>
      <c r="G44" s="30"/>
      <c r="H44" s="28"/>
      <c r="I44" s="30"/>
      <c r="J44" s="28"/>
      <c r="K44" s="28"/>
      <c r="L44" s="28">
        <v>2000000</v>
      </c>
      <c r="M44" s="28"/>
      <c r="N44" s="28"/>
      <c r="O44" s="53">
        <f t="shared" si="3"/>
        <v>2000000</v>
      </c>
      <c r="P44" s="28"/>
      <c r="Q44" s="54"/>
    </row>
    <row r="45" spans="1:18" ht="27.75" customHeight="1" x14ac:dyDescent="0.25">
      <c r="A45" s="8"/>
      <c r="B45" s="8"/>
      <c r="C45" s="196" t="s">
        <v>1678</v>
      </c>
      <c r="D45" s="197"/>
      <c r="E45" s="197"/>
      <c r="F45" s="198"/>
      <c r="G45" s="30"/>
      <c r="H45" s="28"/>
      <c r="I45" s="30"/>
      <c r="J45" s="28"/>
      <c r="K45" s="28"/>
      <c r="L45" s="28">
        <v>900000</v>
      </c>
      <c r="M45" s="28"/>
      <c r="N45" s="28"/>
      <c r="O45" s="53">
        <f t="shared" si="3"/>
        <v>900000</v>
      </c>
      <c r="P45" s="28"/>
      <c r="Q45" s="54"/>
    </row>
    <row r="46" spans="1:18" ht="27.75" customHeight="1" x14ac:dyDescent="0.25">
      <c r="A46" s="8"/>
      <c r="B46" s="8"/>
      <c r="C46" s="196" t="s">
        <v>1679</v>
      </c>
      <c r="D46" s="197"/>
      <c r="E46" s="197"/>
      <c r="F46" s="198"/>
      <c r="G46" s="30"/>
      <c r="H46" s="28"/>
      <c r="I46" s="30"/>
      <c r="J46" s="28"/>
      <c r="K46" s="28"/>
      <c r="L46" s="28">
        <v>400000</v>
      </c>
      <c r="M46" s="28"/>
      <c r="N46" s="28"/>
      <c r="O46" s="53">
        <f t="shared" si="3"/>
        <v>400000</v>
      </c>
      <c r="P46" s="28"/>
      <c r="Q46" s="54"/>
    </row>
    <row r="47" spans="1:18" ht="25.5" customHeight="1" x14ac:dyDescent="0.25">
      <c r="A47" s="8"/>
      <c r="B47" s="8"/>
      <c r="C47" s="191" t="s">
        <v>132</v>
      </c>
      <c r="D47" s="192"/>
      <c r="E47" s="192"/>
      <c r="F47" s="195"/>
      <c r="G47" s="30"/>
      <c r="H47" s="28"/>
      <c r="I47" s="30"/>
      <c r="J47" s="28"/>
      <c r="K47" s="28">
        <f>'[2]10.2020'!$K$12</f>
        <v>9692307.692307692</v>
      </c>
      <c r="L47" s="28"/>
      <c r="M47" s="28"/>
      <c r="N47" s="28"/>
      <c r="O47" s="53">
        <f t="shared" si="3"/>
        <v>9692307.692307692</v>
      </c>
      <c r="P47" s="28"/>
      <c r="Q47" s="54"/>
    </row>
    <row r="48" spans="1:18" x14ac:dyDescent="0.25">
      <c r="A48" s="166" t="s">
        <v>19</v>
      </c>
      <c r="B48" s="167"/>
      <c r="C48" s="167"/>
      <c r="D48" s="167"/>
      <c r="E48" s="167"/>
      <c r="F48" s="168"/>
      <c r="G48" s="88">
        <f t="shared" ref="G48:O48" si="4">SUM(G7:G47)</f>
        <v>2176</v>
      </c>
      <c r="H48" s="4">
        <f t="shared" si="4"/>
        <v>24239420</v>
      </c>
      <c r="I48" s="4">
        <f t="shared" si="4"/>
        <v>0</v>
      </c>
      <c r="J48" s="4">
        <f t="shared" si="4"/>
        <v>22970000</v>
      </c>
      <c r="K48" s="4">
        <f t="shared" si="4"/>
        <v>9692307.692307692</v>
      </c>
      <c r="L48" s="4">
        <f t="shared" si="4"/>
        <v>17180000</v>
      </c>
      <c r="M48" s="4">
        <f t="shared" si="4"/>
        <v>0</v>
      </c>
      <c r="N48" s="4">
        <f t="shared" si="4"/>
        <v>0</v>
      </c>
      <c r="O48" s="4">
        <f t="shared" si="4"/>
        <v>74081727.692307696</v>
      </c>
      <c r="P48" s="4">
        <f>SUM(P8:P47)</f>
        <v>105488181</v>
      </c>
      <c r="Q48" s="122">
        <f>P48-O48</f>
        <v>31406453.307692304</v>
      </c>
    </row>
    <row r="49" spans="2:17" x14ac:dyDescent="0.25">
      <c r="O49" s="20"/>
      <c r="Q49" s="26"/>
    </row>
    <row r="50" spans="2:17" x14ac:dyDescent="0.25">
      <c r="P50" s="21" t="s">
        <v>20</v>
      </c>
      <c r="Q50" s="26">
        <f>'09.2020'!Q48+'10.2020'!Q48</f>
        <v>314328032.76223773</v>
      </c>
    </row>
    <row r="51" spans="2:17" x14ac:dyDescent="0.25">
      <c r="C51" s="6" t="s">
        <v>993</v>
      </c>
    </row>
    <row r="52" spans="2:17" x14ac:dyDescent="0.25">
      <c r="C52" s="205"/>
      <c r="D52" s="205"/>
      <c r="E52" s="205"/>
      <c r="F52" s="205"/>
      <c r="H52" s="109"/>
    </row>
    <row r="53" spans="2:17" x14ac:dyDescent="0.25">
      <c r="C53" s="206"/>
      <c r="D53" s="206"/>
      <c r="E53" s="206"/>
      <c r="F53" s="206"/>
      <c r="H53" s="109"/>
    </row>
    <row r="54" spans="2:17" x14ac:dyDescent="0.25">
      <c r="B54" s="6"/>
      <c r="C54" s="110"/>
      <c r="D54" s="110"/>
      <c r="E54" s="110"/>
      <c r="F54" s="110"/>
      <c r="H54" s="109"/>
    </row>
    <row r="55" spans="2:17" x14ac:dyDescent="0.25">
      <c r="B55" s="6"/>
      <c r="C55" s="206"/>
      <c r="D55" s="206"/>
      <c r="E55" s="206"/>
      <c r="F55" s="206"/>
      <c r="H55" s="109"/>
    </row>
    <row r="56" spans="2:17" x14ac:dyDescent="0.25">
      <c r="B56" s="6"/>
      <c r="C56" s="206"/>
      <c r="D56" s="206"/>
      <c r="E56" s="206"/>
      <c r="F56" s="206"/>
      <c r="H56" s="109"/>
    </row>
    <row r="57" spans="2:17" x14ac:dyDescent="0.25">
      <c r="B57" s="6"/>
      <c r="C57" s="206"/>
      <c r="D57" s="206"/>
      <c r="E57" s="206"/>
      <c r="F57" s="206"/>
      <c r="H57" s="109"/>
      <c r="J57" s="6"/>
      <c r="K57" s="6"/>
      <c r="L57" s="6"/>
      <c r="M57" s="6"/>
      <c r="N57" s="6"/>
      <c r="O57" s="6"/>
      <c r="P57" s="6"/>
      <c r="Q57" s="6"/>
    </row>
    <row r="58" spans="2:17" x14ac:dyDescent="0.2">
      <c r="C58" s="107"/>
      <c r="D58" s="110"/>
      <c r="E58" s="110"/>
      <c r="F58" s="110"/>
      <c r="H58" s="109"/>
    </row>
    <row r="59" spans="2:17" x14ac:dyDescent="0.25">
      <c r="C59" s="205"/>
      <c r="D59" s="205"/>
      <c r="E59" s="205"/>
      <c r="F59" s="205"/>
    </row>
  </sheetData>
  <mergeCells count="33">
    <mergeCell ref="C37:F3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5:F35"/>
    <mergeCell ref="C36:F36"/>
    <mergeCell ref="C44:F44"/>
    <mergeCell ref="C45:F45"/>
    <mergeCell ref="C46:F46"/>
    <mergeCell ref="C38:F38"/>
    <mergeCell ref="C39:F39"/>
    <mergeCell ref="C40:F40"/>
    <mergeCell ref="C41:F41"/>
    <mergeCell ref="C42:F42"/>
    <mergeCell ref="C43:F43"/>
    <mergeCell ref="C57:F57"/>
    <mergeCell ref="C59:F59"/>
    <mergeCell ref="C47:F47"/>
    <mergeCell ref="A48:F48"/>
    <mergeCell ref="C52:F52"/>
    <mergeCell ref="C53:F53"/>
    <mergeCell ref="C55:F55"/>
    <mergeCell ref="C56:F56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46"/>
  <sheetViews>
    <sheetView workbookViewId="0">
      <selection activeCell="H34" sqref="H34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1680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17.25" customHeight="1" x14ac:dyDescent="0.25">
      <c r="A8" s="25">
        <v>1</v>
      </c>
      <c r="B8" s="120">
        <v>44137</v>
      </c>
      <c r="C8" s="10" t="s">
        <v>1681</v>
      </c>
      <c r="D8" s="8" t="s">
        <v>1471</v>
      </c>
      <c r="E8" s="10" t="s">
        <v>1177</v>
      </c>
      <c r="F8" s="8"/>
      <c r="G8" s="12">
        <v>238</v>
      </c>
      <c r="H8" s="3">
        <f>G8*11210</f>
        <v>2667980</v>
      </c>
      <c r="I8" s="12"/>
      <c r="J8" s="13">
        <v>1080000</v>
      </c>
      <c r="K8" s="28"/>
      <c r="L8" s="29"/>
      <c r="M8" s="13"/>
      <c r="N8" s="13"/>
      <c r="O8" s="53">
        <f>H8+J8+K8+L8+M8+N8</f>
        <v>3747980</v>
      </c>
      <c r="P8" s="13">
        <v>5500000</v>
      </c>
      <c r="Q8" s="54">
        <f>P8-O8</f>
        <v>1752020</v>
      </c>
      <c r="R8" s="5"/>
    </row>
    <row r="9" spans="1:18" ht="17.25" customHeight="1" x14ac:dyDescent="0.25">
      <c r="A9" s="25">
        <v>2</v>
      </c>
      <c r="B9" s="120">
        <v>44139</v>
      </c>
      <c r="C9" s="10" t="s">
        <v>1682</v>
      </c>
      <c r="D9" s="117" t="s">
        <v>1709</v>
      </c>
      <c r="E9" s="9" t="s">
        <v>1177</v>
      </c>
      <c r="F9" s="117"/>
      <c r="H9" s="3"/>
      <c r="I9" s="118"/>
      <c r="J9" s="119">
        <v>1080000</v>
      </c>
      <c r="K9" s="28"/>
      <c r="L9" s="29"/>
      <c r="M9" s="13"/>
      <c r="N9" s="3"/>
      <c r="O9" s="53">
        <f t="shared" ref="O9:O28" si="0">H9+J9+K9+L9+M9+N9</f>
        <v>1080000</v>
      </c>
      <c r="P9" s="13">
        <v>5500000</v>
      </c>
      <c r="Q9" s="54">
        <f t="shared" ref="Q9:Q28" si="1">P9-O9</f>
        <v>4420000</v>
      </c>
      <c r="R9" s="5"/>
    </row>
    <row r="10" spans="1:18" ht="17.25" customHeight="1" x14ac:dyDescent="0.25">
      <c r="A10" s="25">
        <v>3</v>
      </c>
      <c r="B10" s="120">
        <v>44140</v>
      </c>
      <c r="C10" s="10" t="s">
        <v>1683</v>
      </c>
      <c r="D10" s="8" t="s">
        <v>1710</v>
      </c>
      <c r="E10" s="10" t="s">
        <v>1177</v>
      </c>
      <c r="F10" s="8"/>
      <c r="G10" s="12"/>
      <c r="H10" s="3"/>
      <c r="I10" s="12"/>
      <c r="J10" s="13">
        <v>1080000</v>
      </c>
      <c r="K10" s="28"/>
      <c r="L10" s="29"/>
      <c r="M10" s="13"/>
      <c r="N10" s="3"/>
      <c r="O10" s="53">
        <f t="shared" si="0"/>
        <v>1080000</v>
      </c>
      <c r="P10" s="13">
        <v>5500000</v>
      </c>
      <c r="Q10" s="54">
        <f t="shared" si="1"/>
        <v>4420000</v>
      </c>
      <c r="R10" s="5"/>
    </row>
    <row r="11" spans="1:18" ht="24" customHeight="1" x14ac:dyDescent="0.25">
      <c r="A11" s="25">
        <v>4</v>
      </c>
      <c r="B11" s="120">
        <v>44144</v>
      </c>
      <c r="C11" s="10" t="s">
        <v>1684</v>
      </c>
      <c r="D11" s="8" t="s">
        <v>1711</v>
      </c>
      <c r="E11" s="10" t="s">
        <v>1702</v>
      </c>
      <c r="F11" s="8"/>
      <c r="G11" s="12"/>
      <c r="H11" s="3"/>
      <c r="I11" s="12"/>
      <c r="J11" s="13">
        <v>1010000</v>
      </c>
      <c r="K11" s="28"/>
      <c r="L11" s="29"/>
      <c r="M11" s="13"/>
      <c r="N11" s="3"/>
      <c r="O11" s="53">
        <f t="shared" si="0"/>
        <v>1010000</v>
      </c>
      <c r="P11" s="13">
        <v>4354545</v>
      </c>
      <c r="Q11" s="54">
        <f t="shared" si="1"/>
        <v>3344545</v>
      </c>
      <c r="R11" s="5"/>
    </row>
    <row r="12" spans="1:18" ht="17.25" customHeight="1" x14ac:dyDescent="0.25">
      <c r="A12" s="25">
        <v>5</v>
      </c>
      <c r="B12" s="120">
        <v>44144</v>
      </c>
      <c r="C12" s="10" t="s">
        <v>1685</v>
      </c>
      <c r="D12" s="8" t="s">
        <v>1712</v>
      </c>
      <c r="E12" s="10" t="s">
        <v>33</v>
      </c>
      <c r="F12" s="8"/>
      <c r="G12" s="12">
        <v>285</v>
      </c>
      <c r="H12" s="3">
        <f t="shared" ref="H12:H14" si="2">G12*11210</f>
        <v>3194850</v>
      </c>
      <c r="I12" s="12"/>
      <c r="J12" s="13">
        <v>1890000</v>
      </c>
      <c r="K12" s="28"/>
      <c r="L12" s="29"/>
      <c r="M12" s="13"/>
      <c r="N12" s="3"/>
      <c r="O12" s="53">
        <f t="shared" si="0"/>
        <v>5084850</v>
      </c>
      <c r="P12" s="13">
        <v>7209091</v>
      </c>
      <c r="Q12" s="54">
        <f t="shared" si="1"/>
        <v>2124241</v>
      </c>
      <c r="R12" s="5"/>
    </row>
    <row r="13" spans="1:18" ht="17.25" customHeight="1" x14ac:dyDescent="0.25">
      <c r="A13" s="25">
        <v>6</v>
      </c>
      <c r="B13" s="120">
        <v>44145</v>
      </c>
      <c r="C13" s="10" t="s">
        <v>1686</v>
      </c>
      <c r="D13" s="8" t="s">
        <v>1713</v>
      </c>
      <c r="E13" s="10" t="s">
        <v>1703</v>
      </c>
      <c r="F13" s="8"/>
      <c r="G13" s="12"/>
      <c r="H13" s="3"/>
      <c r="I13" s="12"/>
      <c r="J13" s="13">
        <v>810000</v>
      </c>
      <c r="K13" s="28"/>
      <c r="L13" s="29"/>
      <c r="M13" s="13"/>
      <c r="N13" s="3"/>
      <c r="O13" s="53">
        <f t="shared" si="0"/>
        <v>810000</v>
      </c>
      <c r="P13" s="13">
        <v>3363636</v>
      </c>
      <c r="Q13" s="54">
        <f t="shared" si="1"/>
        <v>2553636</v>
      </c>
      <c r="R13" s="5"/>
    </row>
    <row r="14" spans="1:18" ht="17.25" customHeight="1" x14ac:dyDescent="0.25">
      <c r="A14" s="25">
        <v>7</v>
      </c>
      <c r="B14" s="120">
        <v>44146</v>
      </c>
      <c r="C14" s="10" t="s">
        <v>1687</v>
      </c>
      <c r="D14" s="8" t="s">
        <v>1714</v>
      </c>
      <c r="E14" s="10" t="s">
        <v>112</v>
      </c>
      <c r="F14" s="8"/>
      <c r="G14" s="12">
        <v>180</v>
      </c>
      <c r="H14" s="3">
        <f t="shared" si="2"/>
        <v>2017800</v>
      </c>
      <c r="I14" s="12"/>
      <c r="J14" s="13">
        <v>2470000</v>
      </c>
      <c r="K14" s="28"/>
      <c r="L14" s="29"/>
      <c r="M14" s="13"/>
      <c r="N14" s="3"/>
      <c r="O14" s="53">
        <f t="shared" si="0"/>
        <v>4487800</v>
      </c>
      <c r="P14" s="13">
        <v>12272727</v>
      </c>
      <c r="Q14" s="54">
        <f t="shared" si="1"/>
        <v>7784927</v>
      </c>
      <c r="R14" s="5"/>
    </row>
    <row r="15" spans="1:18" ht="17.25" customHeight="1" x14ac:dyDescent="0.25">
      <c r="A15" s="25">
        <v>8</v>
      </c>
      <c r="B15" s="120">
        <v>44147</v>
      </c>
      <c r="C15" s="10" t="s">
        <v>1688</v>
      </c>
      <c r="D15" s="8" t="s">
        <v>1715</v>
      </c>
      <c r="E15" s="10" t="s">
        <v>1704</v>
      </c>
      <c r="F15" s="8"/>
      <c r="G15" s="12">
        <v>107</v>
      </c>
      <c r="H15" s="3">
        <f>G15*10830</f>
        <v>1158810</v>
      </c>
      <c r="I15" s="12"/>
      <c r="J15" s="13">
        <v>1320000</v>
      </c>
      <c r="K15" s="28"/>
      <c r="L15" s="29"/>
      <c r="M15" s="13"/>
      <c r="N15" s="3"/>
      <c r="O15" s="53">
        <f t="shared" si="0"/>
        <v>2478810</v>
      </c>
      <c r="P15" s="13">
        <v>3327273</v>
      </c>
      <c r="Q15" s="54">
        <f t="shared" si="1"/>
        <v>848463</v>
      </c>
      <c r="R15" s="5"/>
    </row>
    <row r="16" spans="1:18" ht="17.25" customHeight="1" x14ac:dyDescent="0.25">
      <c r="A16" s="25">
        <v>9</v>
      </c>
      <c r="B16" s="120">
        <v>44148</v>
      </c>
      <c r="C16" s="10" t="s">
        <v>1689</v>
      </c>
      <c r="D16" s="8" t="s">
        <v>1715</v>
      </c>
      <c r="E16" s="10" t="s">
        <v>108</v>
      </c>
      <c r="F16" s="8"/>
      <c r="G16" s="12">
        <v>210</v>
      </c>
      <c r="H16" s="3">
        <f t="shared" ref="H16:H24" si="3">G16*10830</f>
        <v>2274300</v>
      </c>
      <c r="I16" s="12"/>
      <c r="J16" s="13"/>
      <c r="K16" s="28"/>
      <c r="L16" s="29"/>
      <c r="M16" s="13"/>
      <c r="N16" s="3"/>
      <c r="O16" s="53">
        <f t="shared" si="0"/>
        <v>2274300</v>
      </c>
      <c r="P16" s="13">
        <v>2390909</v>
      </c>
      <c r="Q16" s="54">
        <f t="shared" si="1"/>
        <v>116609</v>
      </c>
      <c r="R16" s="5"/>
    </row>
    <row r="17" spans="1:18" ht="17.25" customHeight="1" x14ac:dyDescent="0.25">
      <c r="A17" s="25">
        <v>10</v>
      </c>
      <c r="B17" s="120">
        <v>44148</v>
      </c>
      <c r="C17" s="10" t="s">
        <v>1690</v>
      </c>
      <c r="D17" s="8" t="s">
        <v>1716</v>
      </c>
      <c r="E17" s="10" t="s">
        <v>1705</v>
      </c>
      <c r="F17" s="8"/>
      <c r="G17" s="12"/>
      <c r="H17" s="3"/>
      <c r="I17" s="12"/>
      <c r="J17" s="13">
        <f>810000+480000</f>
        <v>1290000</v>
      </c>
      <c r="K17" s="28"/>
      <c r="L17" s="29"/>
      <c r="M17" s="13"/>
      <c r="N17" s="3"/>
      <c r="O17" s="53">
        <f t="shared" si="0"/>
        <v>1290000</v>
      </c>
      <c r="P17" s="13">
        <v>3300000</v>
      </c>
      <c r="Q17" s="54">
        <f t="shared" si="1"/>
        <v>2010000</v>
      </c>
      <c r="R17" s="5"/>
    </row>
    <row r="18" spans="1:18" ht="17.25" customHeight="1" x14ac:dyDescent="0.25">
      <c r="A18" s="25">
        <v>11</v>
      </c>
      <c r="B18" s="120">
        <v>44151</v>
      </c>
      <c r="C18" s="10" t="s">
        <v>1691</v>
      </c>
      <c r="D18" s="8" t="s">
        <v>1717</v>
      </c>
      <c r="E18" s="10" t="s">
        <v>122</v>
      </c>
      <c r="F18" s="8"/>
      <c r="G18" s="12"/>
      <c r="H18" s="3"/>
      <c r="I18" s="12"/>
      <c r="J18" s="13">
        <v>930000</v>
      </c>
      <c r="K18" s="28"/>
      <c r="L18" s="29"/>
      <c r="M18" s="13"/>
      <c r="N18" s="3"/>
      <c r="O18" s="53">
        <f t="shared" si="0"/>
        <v>930000</v>
      </c>
      <c r="P18" s="13">
        <v>3063636</v>
      </c>
      <c r="Q18" s="54">
        <f t="shared" si="1"/>
        <v>2133636</v>
      </c>
      <c r="R18" s="5"/>
    </row>
    <row r="19" spans="1:18" ht="17.25" customHeight="1" x14ac:dyDescent="0.25">
      <c r="A19" s="25">
        <v>12</v>
      </c>
      <c r="B19" s="120">
        <v>44152</v>
      </c>
      <c r="C19" s="10" t="s">
        <v>1692</v>
      </c>
      <c r="D19" s="8" t="s">
        <v>1718</v>
      </c>
      <c r="E19" s="10" t="s">
        <v>1708</v>
      </c>
      <c r="F19" s="8"/>
      <c r="G19" s="12">
        <v>218</v>
      </c>
      <c r="H19" s="3">
        <f t="shared" si="3"/>
        <v>2360940</v>
      </c>
      <c r="I19" s="12"/>
      <c r="J19" s="13">
        <v>810000</v>
      </c>
      <c r="K19" s="28"/>
      <c r="L19" s="29"/>
      <c r="M19" s="13"/>
      <c r="N19" s="3"/>
      <c r="O19" s="53">
        <f t="shared" si="0"/>
        <v>3170940</v>
      </c>
      <c r="P19" s="13">
        <v>3018182</v>
      </c>
      <c r="Q19" s="54">
        <f t="shared" si="1"/>
        <v>-152758</v>
      </c>
      <c r="R19" s="5"/>
    </row>
    <row r="20" spans="1:18" ht="17.25" customHeight="1" x14ac:dyDescent="0.25">
      <c r="A20" s="25">
        <v>13</v>
      </c>
      <c r="B20" s="120">
        <v>44153</v>
      </c>
      <c r="C20" s="10" t="s">
        <v>1693</v>
      </c>
      <c r="D20" s="8" t="s">
        <v>1718</v>
      </c>
      <c r="E20" s="10" t="s">
        <v>383</v>
      </c>
      <c r="F20" s="8"/>
      <c r="G20" s="12"/>
      <c r="H20" s="3"/>
      <c r="I20" s="12"/>
      <c r="J20" s="13">
        <v>300000</v>
      </c>
      <c r="K20" s="28"/>
      <c r="L20" s="29"/>
      <c r="M20" s="13"/>
      <c r="N20" s="3"/>
      <c r="O20" s="53">
        <f t="shared" si="0"/>
        <v>300000</v>
      </c>
      <c r="P20" s="13">
        <v>2563636</v>
      </c>
      <c r="Q20" s="54">
        <f t="shared" si="1"/>
        <v>2263636</v>
      </c>
      <c r="R20" s="5"/>
    </row>
    <row r="21" spans="1:18" ht="17.25" customHeight="1" x14ac:dyDescent="0.25">
      <c r="A21" s="25">
        <v>14</v>
      </c>
      <c r="B21" s="120">
        <v>44153</v>
      </c>
      <c r="C21" s="10" t="s">
        <v>1694</v>
      </c>
      <c r="D21" s="8" t="s">
        <v>1719</v>
      </c>
      <c r="E21" s="10" t="s">
        <v>258</v>
      </c>
      <c r="F21" s="8"/>
      <c r="G21" s="12">
        <v>185</v>
      </c>
      <c r="H21" s="3">
        <f t="shared" si="3"/>
        <v>2003550</v>
      </c>
      <c r="I21" s="12"/>
      <c r="J21" s="13">
        <v>1720000</v>
      </c>
      <c r="K21" s="28"/>
      <c r="L21" s="29"/>
      <c r="M21" s="13"/>
      <c r="N21" s="3"/>
      <c r="O21" s="53">
        <f t="shared" si="0"/>
        <v>3723550</v>
      </c>
      <c r="P21" s="13">
        <v>8818182</v>
      </c>
      <c r="Q21" s="54">
        <f t="shared" si="1"/>
        <v>5094632</v>
      </c>
      <c r="R21" s="5"/>
    </row>
    <row r="22" spans="1:18" ht="17.25" customHeight="1" x14ac:dyDescent="0.25">
      <c r="A22" s="25">
        <v>15</v>
      </c>
      <c r="B22" s="120">
        <v>44155</v>
      </c>
      <c r="C22" s="10" t="s">
        <v>1695</v>
      </c>
      <c r="D22" s="8" t="s">
        <v>1720</v>
      </c>
      <c r="E22" s="10" t="s">
        <v>1177</v>
      </c>
      <c r="F22" s="8"/>
      <c r="G22" s="12"/>
      <c r="H22" s="3"/>
      <c r="I22" s="12"/>
      <c r="J22" s="13">
        <v>1230000</v>
      </c>
      <c r="K22" s="28"/>
      <c r="L22" s="29"/>
      <c r="M22" s="13"/>
      <c r="N22" s="3"/>
      <c r="O22" s="53">
        <f t="shared" si="0"/>
        <v>1230000</v>
      </c>
      <c r="P22" s="13">
        <v>5500000</v>
      </c>
      <c r="Q22" s="54">
        <f t="shared" si="1"/>
        <v>4270000</v>
      </c>
      <c r="R22" s="5"/>
    </row>
    <row r="23" spans="1:18" ht="17.25" customHeight="1" x14ac:dyDescent="0.25">
      <c r="A23" s="25">
        <v>16</v>
      </c>
      <c r="B23" s="120">
        <v>44157</v>
      </c>
      <c r="C23" s="10" t="s">
        <v>1696</v>
      </c>
      <c r="D23" s="8" t="s">
        <v>1721</v>
      </c>
      <c r="E23" s="10" t="s">
        <v>1177</v>
      </c>
      <c r="F23" s="8"/>
      <c r="G23" s="12">
        <v>191</v>
      </c>
      <c r="H23" s="3">
        <f t="shared" si="3"/>
        <v>2068530</v>
      </c>
      <c r="I23" s="12"/>
      <c r="J23" s="13">
        <v>1230000</v>
      </c>
      <c r="K23" s="28"/>
      <c r="L23" s="29"/>
      <c r="M23" s="13"/>
      <c r="N23" s="3"/>
      <c r="O23" s="53">
        <f t="shared" si="0"/>
        <v>3298530</v>
      </c>
      <c r="P23" s="13">
        <v>5500000</v>
      </c>
      <c r="Q23" s="54">
        <f t="shared" si="1"/>
        <v>2201470</v>
      </c>
      <c r="R23" s="5"/>
    </row>
    <row r="24" spans="1:18" ht="17.25" customHeight="1" x14ac:dyDescent="0.25">
      <c r="A24" s="25">
        <v>17</v>
      </c>
      <c r="B24" s="120">
        <v>44159</v>
      </c>
      <c r="C24" s="10" t="s">
        <v>1697</v>
      </c>
      <c r="D24" s="8" t="s">
        <v>1722</v>
      </c>
      <c r="E24" s="10" t="s">
        <v>254</v>
      </c>
      <c r="F24" s="8"/>
      <c r="G24" s="12">
        <v>190</v>
      </c>
      <c r="H24" s="3">
        <f t="shared" si="3"/>
        <v>2057700</v>
      </c>
      <c r="I24" s="12"/>
      <c r="J24" s="13">
        <v>810000</v>
      </c>
      <c r="K24" s="28"/>
      <c r="L24" s="29"/>
      <c r="M24" s="13"/>
      <c r="N24" s="3"/>
      <c r="O24" s="53">
        <f t="shared" si="0"/>
        <v>2867700</v>
      </c>
      <c r="P24" s="13">
        <v>3200000</v>
      </c>
      <c r="Q24" s="54">
        <f t="shared" si="1"/>
        <v>332300</v>
      </c>
      <c r="R24" s="5"/>
    </row>
    <row r="25" spans="1:18" ht="17.25" customHeight="1" x14ac:dyDescent="0.25">
      <c r="A25" s="25">
        <v>18</v>
      </c>
      <c r="B25" s="120">
        <v>44160</v>
      </c>
      <c r="C25" s="10" t="s">
        <v>1698</v>
      </c>
      <c r="D25" s="8" t="s">
        <v>1723</v>
      </c>
      <c r="E25" s="10" t="s">
        <v>1043</v>
      </c>
      <c r="F25" s="8"/>
      <c r="G25" s="12"/>
      <c r="H25" s="3"/>
      <c r="I25" s="12"/>
      <c r="J25" s="13">
        <v>810000</v>
      </c>
      <c r="K25" s="28"/>
      <c r="L25" s="29"/>
      <c r="M25" s="13"/>
      <c r="N25" s="3"/>
      <c r="O25" s="53">
        <f t="shared" si="0"/>
        <v>810000</v>
      </c>
      <c r="P25" s="13">
        <v>4363636</v>
      </c>
      <c r="Q25" s="54">
        <f t="shared" si="1"/>
        <v>3553636</v>
      </c>
      <c r="R25" s="5"/>
    </row>
    <row r="26" spans="1:18" ht="17.25" customHeight="1" x14ac:dyDescent="0.25">
      <c r="A26" s="25">
        <v>19</v>
      </c>
      <c r="B26" s="120">
        <v>44161</v>
      </c>
      <c r="C26" s="10" t="s">
        <v>1699</v>
      </c>
      <c r="D26" s="8" t="s">
        <v>1724</v>
      </c>
      <c r="E26" s="10" t="s">
        <v>1706</v>
      </c>
      <c r="F26" s="8"/>
      <c r="G26" s="12">
        <v>230</v>
      </c>
      <c r="H26" s="3">
        <f>G26*11430</f>
        <v>2628900</v>
      </c>
      <c r="I26" s="12"/>
      <c r="J26" s="13">
        <v>1050000</v>
      </c>
      <c r="K26" s="28"/>
      <c r="L26" s="29"/>
      <c r="M26" s="13"/>
      <c r="N26" s="3"/>
      <c r="O26" s="53">
        <f t="shared" si="0"/>
        <v>3678900</v>
      </c>
      <c r="P26" s="13">
        <v>2772727</v>
      </c>
      <c r="Q26" s="54">
        <f t="shared" si="1"/>
        <v>-906173</v>
      </c>
      <c r="R26" s="5"/>
    </row>
    <row r="27" spans="1:18" ht="25.5" customHeight="1" x14ac:dyDescent="0.25">
      <c r="A27" s="25">
        <v>20</v>
      </c>
      <c r="B27" s="120">
        <v>44162</v>
      </c>
      <c r="C27" s="10" t="s">
        <v>1700</v>
      </c>
      <c r="D27" s="8" t="s">
        <v>1724</v>
      </c>
      <c r="E27" s="10" t="s">
        <v>108</v>
      </c>
      <c r="F27" s="8"/>
      <c r="G27" s="12"/>
      <c r="H27" s="3"/>
      <c r="I27" s="12"/>
      <c r="J27" s="13"/>
      <c r="K27" s="28"/>
      <c r="L27" s="29"/>
      <c r="M27" s="13"/>
      <c r="N27" s="3"/>
      <c r="O27" s="53">
        <f t="shared" si="0"/>
        <v>0</v>
      </c>
      <c r="P27" s="13">
        <v>2390909</v>
      </c>
      <c r="Q27" s="54">
        <f t="shared" si="1"/>
        <v>2390909</v>
      </c>
      <c r="R27" s="5"/>
    </row>
    <row r="28" spans="1:18" ht="17.25" customHeight="1" x14ac:dyDescent="0.25">
      <c r="A28" s="25">
        <v>21</v>
      </c>
      <c r="B28" s="120">
        <v>44162</v>
      </c>
      <c r="C28" s="10" t="s">
        <v>1701</v>
      </c>
      <c r="D28" s="8" t="s">
        <v>1725</v>
      </c>
      <c r="E28" s="10" t="s">
        <v>1707</v>
      </c>
      <c r="F28" s="8"/>
      <c r="G28" s="12">
        <v>180</v>
      </c>
      <c r="H28" s="3">
        <f t="shared" ref="H28" si="4">G28*11430</f>
        <v>2057400</v>
      </c>
      <c r="I28" s="12"/>
      <c r="J28" s="13">
        <v>680000</v>
      </c>
      <c r="K28" s="28"/>
      <c r="L28" s="29"/>
      <c r="M28" s="13"/>
      <c r="N28" s="3"/>
      <c r="O28" s="53">
        <f t="shared" si="0"/>
        <v>2737400</v>
      </c>
      <c r="P28" s="13">
        <v>3100000</v>
      </c>
      <c r="Q28" s="54">
        <f t="shared" si="1"/>
        <v>362600</v>
      </c>
      <c r="R28" s="5"/>
    </row>
    <row r="29" spans="1:18" ht="12.75" customHeight="1" x14ac:dyDescent="0.25">
      <c r="A29" s="25"/>
      <c r="B29" s="44"/>
      <c r="C29" s="10"/>
      <c r="D29" s="8"/>
      <c r="E29" s="10"/>
      <c r="F29" s="8"/>
      <c r="G29" s="12"/>
      <c r="H29" s="3"/>
      <c r="I29" s="12"/>
      <c r="J29" s="13"/>
      <c r="K29" s="28"/>
      <c r="L29" s="29"/>
      <c r="M29" s="13"/>
      <c r="N29" s="13"/>
      <c r="O29" s="53"/>
      <c r="P29" s="13"/>
      <c r="Q29" s="54"/>
      <c r="R29" s="5"/>
    </row>
    <row r="30" spans="1:18" ht="18" customHeight="1" x14ac:dyDescent="0.25">
      <c r="A30" s="8"/>
      <c r="B30" s="8"/>
      <c r="C30" s="182" t="s">
        <v>131</v>
      </c>
      <c r="D30" s="183"/>
      <c r="E30" s="183"/>
      <c r="F30" s="184"/>
      <c r="G30" s="30"/>
      <c r="H30" s="28"/>
      <c r="I30" s="30"/>
      <c r="J30" s="28"/>
      <c r="K30" s="28"/>
      <c r="L30" s="28">
        <v>1200000</v>
      </c>
      <c r="M30" s="28"/>
      <c r="N30" s="28"/>
      <c r="O30" s="53">
        <f t="shared" ref="O30:O34" si="5">H30+J30+K30+L30+M30+N30</f>
        <v>1200000</v>
      </c>
      <c r="P30" s="28"/>
      <c r="Q30" s="54"/>
    </row>
    <row r="31" spans="1:18" ht="27.75" customHeight="1" x14ac:dyDescent="0.25">
      <c r="A31" s="8"/>
      <c r="B31" s="8"/>
      <c r="C31" s="196" t="s">
        <v>1727</v>
      </c>
      <c r="D31" s="197"/>
      <c r="E31" s="197"/>
      <c r="F31" s="198"/>
      <c r="G31" s="30"/>
      <c r="H31" s="28"/>
      <c r="I31" s="30"/>
      <c r="J31" s="28"/>
      <c r="K31" s="28"/>
      <c r="L31" s="28">
        <v>1220000</v>
      </c>
      <c r="M31" s="28"/>
      <c r="N31" s="28"/>
      <c r="O31" s="53">
        <f t="shared" si="5"/>
        <v>1220000</v>
      </c>
      <c r="P31" s="28"/>
      <c r="Q31" s="54"/>
    </row>
    <row r="32" spans="1:18" ht="27.75" customHeight="1" x14ac:dyDescent="0.25">
      <c r="A32" s="8"/>
      <c r="B32" s="8"/>
      <c r="C32" s="196" t="s">
        <v>1728</v>
      </c>
      <c r="D32" s="197"/>
      <c r="E32" s="197"/>
      <c r="F32" s="198"/>
      <c r="G32" s="30"/>
      <c r="H32" s="28"/>
      <c r="I32" s="30"/>
      <c r="J32" s="28"/>
      <c r="K32" s="28"/>
      <c r="L32" s="28"/>
      <c r="M32" s="28"/>
      <c r="N32" s="28">
        <v>2437500</v>
      </c>
      <c r="O32" s="53">
        <f t="shared" si="5"/>
        <v>2437500</v>
      </c>
      <c r="P32" s="28"/>
      <c r="Q32" s="54"/>
    </row>
    <row r="33" spans="1:17" ht="24" customHeight="1" x14ac:dyDescent="0.25">
      <c r="A33" s="8"/>
      <c r="B33" s="8"/>
      <c r="C33" s="196" t="s">
        <v>1726</v>
      </c>
      <c r="D33" s="197"/>
      <c r="E33" s="197"/>
      <c r="F33" s="198"/>
      <c r="G33" s="30"/>
      <c r="H33" s="28"/>
      <c r="I33" s="30"/>
      <c r="J33" s="28"/>
      <c r="K33" s="28"/>
      <c r="L33" s="28">
        <v>560000</v>
      </c>
      <c r="M33" s="28"/>
      <c r="N33" s="28"/>
      <c r="O33" s="53">
        <f t="shared" si="5"/>
        <v>560000</v>
      </c>
      <c r="P33" s="28"/>
      <c r="Q33" s="54"/>
    </row>
    <row r="34" spans="1:17" ht="25.5" customHeight="1" x14ac:dyDescent="0.25">
      <c r="A34" s="8"/>
      <c r="B34" s="8"/>
      <c r="C34" s="191" t="s">
        <v>132</v>
      </c>
      <c r="D34" s="192"/>
      <c r="E34" s="192"/>
      <c r="F34" s="195"/>
      <c r="G34" s="30"/>
      <c r="H34" s="28"/>
      <c r="I34" s="30"/>
      <c r="J34" s="28"/>
      <c r="K34" s="28">
        <f>'[2]11.2020'!$K$13+'[2]11.2020'!$K$12</f>
        <v>8307692.307692308</v>
      </c>
      <c r="L34" s="28"/>
      <c r="M34" s="28"/>
      <c r="N34" s="28"/>
      <c r="O34" s="53">
        <f t="shared" si="5"/>
        <v>8307692.307692308</v>
      </c>
      <c r="P34" s="28"/>
      <c r="Q34" s="54"/>
    </row>
    <row r="35" spans="1:17" x14ac:dyDescent="0.25">
      <c r="A35" s="166" t="s">
        <v>19</v>
      </c>
      <c r="B35" s="167"/>
      <c r="C35" s="167"/>
      <c r="D35" s="167"/>
      <c r="E35" s="167"/>
      <c r="F35" s="168"/>
      <c r="G35" s="88">
        <f t="shared" ref="G35:N35" si="6">SUM(G7:G34)</f>
        <v>2214</v>
      </c>
      <c r="H35" s="4">
        <f t="shared" si="6"/>
        <v>24490760</v>
      </c>
      <c r="I35" s="4">
        <f t="shared" si="6"/>
        <v>0</v>
      </c>
      <c r="J35" s="4">
        <f t="shared" si="6"/>
        <v>21600000</v>
      </c>
      <c r="K35" s="4">
        <f t="shared" si="6"/>
        <v>8307692.307692308</v>
      </c>
      <c r="L35" s="4">
        <f t="shared" si="6"/>
        <v>2980000</v>
      </c>
      <c r="M35" s="4">
        <f t="shared" si="6"/>
        <v>0</v>
      </c>
      <c r="N35" s="4">
        <f t="shared" si="6"/>
        <v>2437500</v>
      </c>
      <c r="O35" s="4">
        <f>SUM(O7:O34)</f>
        <v>59815952.307692304</v>
      </c>
      <c r="P35" s="4">
        <f>SUM(P8:P34)</f>
        <v>97009089</v>
      </c>
      <c r="Q35" s="122">
        <f>P35-O35</f>
        <v>37193136.692307696</v>
      </c>
    </row>
    <row r="36" spans="1:17" x14ac:dyDescent="0.25">
      <c r="O36" s="20"/>
      <c r="Q36" s="26"/>
    </row>
    <row r="37" spans="1:17" x14ac:dyDescent="0.25">
      <c r="P37" s="21" t="s">
        <v>20</v>
      </c>
      <c r="Q37" s="130">
        <f>'10.2020'!Q50+'11.2020'!Q35</f>
        <v>351521169.45454544</v>
      </c>
    </row>
    <row r="38" spans="1:17" x14ac:dyDescent="0.25">
      <c r="C38" s="6" t="s">
        <v>993</v>
      </c>
    </row>
    <row r="39" spans="1:17" x14ac:dyDescent="0.25">
      <c r="C39" s="205"/>
      <c r="D39" s="205"/>
      <c r="E39" s="205"/>
      <c r="F39" s="205"/>
      <c r="H39" s="109"/>
    </row>
    <row r="40" spans="1:17" x14ac:dyDescent="0.25">
      <c r="C40" s="206"/>
      <c r="D40" s="206"/>
      <c r="E40" s="206"/>
      <c r="F40" s="206"/>
      <c r="H40" s="109"/>
    </row>
    <row r="41" spans="1:17" x14ac:dyDescent="0.25">
      <c r="B41" s="6"/>
      <c r="C41" s="110"/>
      <c r="D41" s="110"/>
      <c r="E41" s="110"/>
      <c r="F41" s="110"/>
      <c r="H41" s="109"/>
    </row>
    <row r="42" spans="1:17" x14ac:dyDescent="0.25">
      <c r="B42" s="6"/>
      <c r="C42" s="206"/>
      <c r="D42" s="206"/>
      <c r="E42" s="206"/>
      <c r="F42" s="206"/>
      <c r="H42" s="109"/>
    </row>
    <row r="43" spans="1:17" x14ac:dyDescent="0.25">
      <c r="B43" s="6"/>
      <c r="C43" s="206"/>
      <c r="D43" s="206"/>
      <c r="E43" s="206"/>
      <c r="F43" s="206"/>
      <c r="H43" s="109"/>
    </row>
    <row r="44" spans="1:17" x14ac:dyDescent="0.25">
      <c r="B44" s="6"/>
      <c r="C44" s="206"/>
      <c r="D44" s="206"/>
      <c r="E44" s="206"/>
      <c r="F44" s="206"/>
      <c r="H44" s="109"/>
      <c r="J44" s="6"/>
      <c r="K44" s="6"/>
      <c r="L44" s="6"/>
      <c r="M44" s="6"/>
      <c r="N44" s="6"/>
      <c r="O44" s="6"/>
      <c r="P44" s="6"/>
      <c r="Q44" s="6"/>
    </row>
    <row r="45" spans="1:17" x14ac:dyDescent="0.2">
      <c r="C45" s="107"/>
      <c r="D45" s="110"/>
      <c r="E45" s="110"/>
      <c r="F45" s="110"/>
      <c r="H45" s="109"/>
    </row>
    <row r="46" spans="1:17" x14ac:dyDescent="0.25">
      <c r="C46" s="205"/>
      <c r="D46" s="205"/>
      <c r="E46" s="205"/>
      <c r="F46" s="205"/>
    </row>
  </sheetData>
  <mergeCells count="25">
    <mergeCell ref="C30:F30"/>
    <mergeCell ref="C31:F31"/>
    <mergeCell ref="C33:F33"/>
    <mergeCell ref="C34:F34"/>
    <mergeCell ref="C43:F43"/>
    <mergeCell ref="C32:F32"/>
    <mergeCell ref="C44:F44"/>
    <mergeCell ref="C46:F46"/>
    <mergeCell ref="A35:F35"/>
    <mergeCell ref="C39:F39"/>
    <mergeCell ref="C40:F40"/>
    <mergeCell ref="C42:F42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P5:P6"/>
    <mergeCell ref="Q5:Q6"/>
    <mergeCell ref="O5:O6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58"/>
  <sheetViews>
    <sheetView topLeftCell="A28" workbookViewId="0">
      <selection activeCell="C45" sqref="C4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1729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44165</v>
      </c>
      <c r="C8" s="10" t="s">
        <v>1730</v>
      </c>
      <c r="D8" s="25" t="s">
        <v>1767</v>
      </c>
      <c r="E8" s="10" t="s">
        <v>1756</v>
      </c>
      <c r="F8" s="8"/>
      <c r="G8" s="8"/>
      <c r="H8" s="13"/>
      <c r="I8" s="8"/>
      <c r="J8" s="13">
        <f>810000+300000+120000</f>
        <v>1230000</v>
      </c>
      <c r="K8" s="28"/>
      <c r="L8" s="29"/>
      <c r="M8" s="13"/>
      <c r="N8" s="13"/>
      <c r="O8" s="53">
        <f>H8+J8+K8+L8+M8+N8</f>
        <v>1230000</v>
      </c>
      <c r="P8" s="13">
        <v>5200000</v>
      </c>
      <c r="Q8" s="54">
        <f>P8-O8</f>
        <v>3970000</v>
      </c>
      <c r="R8" s="5"/>
    </row>
    <row r="9" spans="1:18" ht="17.25" customHeight="1" x14ac:dyDescent="0.25">
      <c r="A9" s="25">
        <v>2</v>
      </c>
      <c r="B9" s="120">
        <v>44166</v>
      </c>
      <c r="C9" s="10" t="s">
        <v>1731</v>
      </c>
      <c r="D9" s="129" t="s">
        <v>1576</v>
      </c>
      <c r="E9" s="9" t="s">
        <v>1177</v>
      </c>
      <c r="F9" s="117"/>
      <c r="H9" s="13"/>
      <c r="I9" s="117"/>
      <c r="J9" s="119">
        <v>1230000</v>
      </c>
      <c r="K9" s="28"/>
      <c r="L9" s="29"/>
      <c r="M9" s="13"/>
      <c r="N9" s="3"/>
      <c r="O9" s="53">
        <f t="shared" ref="O9:O34" si="0">H9+J9+K9+L9+M9+N9</f>
        <v>1230000</v>
      </c>
      <c r="P9" s="13">
        <v>5500000</v>
      </c>
      <c r="Q9" s="54">
        <f t="shared" ref="Q9:Q34" si="1">P9-O9</f>
        <v>4270000</v>
      </c>
      <c r="R9" s="5"/>
    </row>
    <row r="10" spans="1:18" ht="17.25" customHeight="1" x14ac:dyDescent="0.25">
      <c r="A10" s="25">
        <v>3</v>
      </c>
      <c r="B10" s="120">
        <v>44168</v>
      </c>
      <c r="C10" s="10" t="s">
        <v>1732</v>
      </c>
      <c r="D10" s="25" t="s">
        <v>1768</v>
      </c>
      <c r="E10" s="10" t="s">
        <v>1757</v>
      </c>
      <c r="F10" s="8"/>
      <c r="G10" s="8">
        <v>210</v>
      </c>
      <c r="H10" s="13">
        <f t="shared" ref="H10:H16" si="2">G10*11430</f>
        <v>2400300</v>
      </c>
      <c r="I10" s="8"/>
      <c r="J10" s="13">
        <v>890000</v>
      </c>
      <c r="K10" s="28"/>
      <c r="L10" s="29"/>
      <c r="M10" s="13"/>
      <c r="N10" s="3"/>
      <c r="O10" s="53">
        <f t="shared" si="0"/>
        <v>3290300</v>
      </c>
      <c r="P10" s="13">
        <v>5509091</v>
      </c>
      <c r="Q10" s="54">
        <f t="shared" si="1"/>
        <v>2218791</v>
      </c>
      <c r="R10" s="5"/>
    </row>
    <row r="11" spans="1:18" ht="24" customHeight="1" x14ac:dyDescent="0.25">
      <c r="A11" s="25">
        <v>4</v>
      </c>
      <c r="B11" s="120">
        <v>44169</v>
      </c>
      <c r="C11" s="10" t="s">
        <v>339</v>
      </c>
      <c r="D11" s="25" t="s">
        <v>1769</v>
      </c>
      <c r="E11" s="10" t="s">
        <v>1758</v>
      </c>
      <c r="F11" s="8"/>
      <c r="G11" s="8">
        <v>153</v>
      </c>
      <c r="H11" s="13">
        <f t="shared" si="2"/>
        <v>1748790</v>
      </c>
      <c r="I11" s="8"/>
      <c r="J11" s="13">
        <v>540000</v>
      </c>
      <c r="K11" s="28"/>
      <c r="L11" s="29"/>
      <c r="M11" s="13"/>
      <c r="N11" s="3"/>
      <c r="O11" s="53">
        <f t="shared" si="0"/>
        <v>2288790</v>
      </c>
      <c r="P11" s="13">
        <v>2009091</v>
      </c>
      <c r="Q11" s="54">
        <f t="shared" si="1"/>
        <v>-279699</v>
      </c>
      <c r="R11" s="5"/>
    </row>
    <row r="12" spans="1:18" ht="17.25" customHeight="1" x14ac:dyDescent="0.25">
      <c r="A12" s="25">
        <v>5</v>
      </c>
      <c r="B12" s="120">
        <v>44173</v>
      </c>
      <c r="C12" s="10" t="s">
        <v>1733</v>
      </c>
      <c r="D12" s="25" t="s">
        <v>1770</v>
      </c>
      <c r="E12" s="10" t="s">
        <v>1043</v>
      </c>
      <c r="F12" s="8"/>
      <c r="G12" s="8"/>
      <c r="H12" s="13"/>
      <c r="I12" s="8"/>
      <c r="J12" s="13">
        <v>810000</v>
      </c>
      <c r="K12" s="28"/>
      <c r="L12" s="29"/>
      <c r="M12" s="13"/>
      <c r="N12" s="3"/>
      <c r="O12" s="53">
        <f t="shared" si="0"/>
        <v>810000</v>
      </c>
      <c r="P12" s="13">
        <v>4363636</v>
      </c>
      <c r="Q12" s="54">
        <f t="shared" si="1"/>
        <v>3553636</v>
      </c>
      <c r="R12" s="5"/>
    </row>
    <row r="13" spans="1:18" ht="17.25" customHeight="1" x14ac:dyDescent="0.25">
      <c r="A13" s="25">
        <v>6</v>
      </c>
      <c r="B13" s="120">
        <v>44173</v>
      </c>
      <c r="C13" s="10" t="s">
        <v>1734</v>
      </c>
      <c r="D13" s="25" t="s">
        <v>1771</v>
      </c>
      <c r="E13" s="10" t="s">
        <v>1043</v>
      </c>
      <c r="F13" s="8"/>
      <c r="G13" s="8"/>
      <c r="H13" s="13"/>
      <c r="I13" s="8"/>
      <c r="J13" s="13">
        <v>810000</v>
      </c>
      <c r="K13" s="28"/>
      <c r="L13" s="29"/>
      <c r="M13" s="13"/>
      <c r="N13" s="3"/>
      <c r="O13" s="53">
        <f t="shared" si="0"/>
        <v>810000</v>
      </c>
      <c r="P13" s="13">
        <v>4363636</v>
      </c>
      <c r="Q13" s="54">
        <f t="shared" si="1"/>
        <v>3553636</v>
      </c>
      <c r="R13" s="5"/>
    </row>
    <row r="14" spans="1:18" ht="17.25" customHeight="1" x14ac:dyDescent="0.25">
      <c r="A14" s="25">
        <v>7</v>
      </c>
      <c r="B14" s="120">
        <v>44173</v>
      </c>
      <c r="C14" s="10" t="s">
        <v>1735</v>
      </c>
      <c r="D14" s="25" t="s">
        <v>1772</v>
      </c>
      <c r="E14" s="10" t="s">
        <v>330</v>
      </c>
      <c r="F14" s="8"/>
      <c r="G14" s="8"/>
      <c r="H14" s="13"/>
      <c r="I14" s="8"/>
      <c r="J14" s="13">
        <v>680000</v>
      </c>
      <c r="K14" s="28"/>
      <c r="L14" s="29"/>
      <c r="M14" s="13"/>
      <c r="N14" s="3"/>
      <c r="O14" s="53">
        <f t="shared" si="0"/>
        <v>680000</v>
      </c>
      <c r="P14" s="13">
        <v>3200000</v>
      </c>
      <c r="Q14" s="54">
        <f t="shared" si="1"/>
        <v>2520000</v>
      </c>
      <c r="R14" s="5"/>
    </row>
    <row r="15" spans="1:18" ht="17.25" customHeight="1" x14ac:dyDescent="0.25">
      <c r="A15" s="25">
        <v>8</v>
      </c>
      <c r="B15" s="120">
        <v>44174</v>
      </c>
      <c r="C15" s="10" t="s">
        <v>1736</v>
      </c>
      <c r="D15" s="25" t="s">
        <v>1773</v>
      </c>
      <c r="E15" s="10" t="s">
        <v>1759</v>
      </c>
      <c r="F15" s="8"/>
      <c r="G15" s="8">
        <v>290</v>
      </c>
      <c r="H15" s="13">
        <f t="shared" si="2"/>
        <v>3314700</v>
      </c>
      <c r="I15" s="8"/>
      <c r="J15" s="13">
        <v>540000</v>
      </c>
      <c r="K15" s="28"/>
      <c r="L15" s="29"/>
      <c r="M15" s="13"/>
      <c r="N15" s="3"/>
      <c r="O15" s="53">
        <f t="shared" si="0"/>
        <v>3854700</v>
      </c>
      <c r="P15" s="13">
        <v>2009091</v>
      </c>
      <c r="Q15" s="54">
        <f t="shared" si="1"/>
        <v>-1845609</v>
      </c>
      <c r="R15" s="5"/>
    </row>
    <row r="16" spans="1:18" ht="17.25" customHeight="1" x14ac:dyDescent="0.25">
      <c r="A16" s="25">
        <v>9</v>
      </c>
      <c r="B16" s="120">
        <v>44175</v>
      </c>
      <c r="C16" s="10" t="s">
        <v>1737</v>
      </c>
      <c r="D16" s="25" t="s">
        <v>1774</v>
      </c>
      <c r="E16" s="10" t="s">
        <v>1177</v>
      </c>
      <c r="F16" s="8"/>
      <c r="G16" s="8">
        <v>170</v>
      </c>
      <c r="H16" s="13">
        <f t="shared" si="2"/>
        <v>1943100</v>
      </c>
      <c r="I16" s="8"/>
      <c r="J16" s="13">
        <v>1830000</v>
      </c>
      <c r="K16" s="28"/>
      <c r="L16" s="29"/>
      <c r="M16" s="13"/>
      <c r="N16" s="3"/>
      <c r="O16" s="53">
        <f t="shared" si="0"/>
        <v>3773100</v>
      </c>
      <c r="P16" s="13">
        <v>7500000</v>
      </c>
      <c r="Q16" s="54">
        <f t="shared" si="1"/>
        <v>3726900</v>
      </c>
      <c r="R16" s="5"/>
    </row>
    <row r="17" spans="1:18" ht="17.25" customHeight="1" x14ac:dyDescent="0.25">
      <c r="A17" s="25">
        <v>10</v>
      </c>
      <c r="B17" s="120">
        <v>44179</v>
      </c>
      <c r="C17" s="10" t="s">
        <v>1738</v>
      </c>
      <c r="D17" s="25" t="s">
        <v>1775</v>
      </c>
      <c r="E17" s="10" t="s">
        <v>1760</v>
      </c>
      <c r="F17" s="8"/>
      <c r="G17" s="8"/>
      <c r="H17" s="13"/>
      <c r="I17" s="8"/>
      <c r="J17" s="13">
        <v>810000</v>
      </c>
      <c r="K17" s="28"/>
      <c r="L17" s="29"/>
      <c r="M17" s="13"/>
      <c r="N17" s="3"/>
      <c r="O17" s="53">
        <f t="shared" si="0"/>
        <v>810000</v>
      </c>
      <c r="P17" s="13">
        <v>3472727</v>
      </c>
      <c r="Q17" s="54">
        <f t="shared" si="1"/>
        <v>2662727</v>
      </c>
      <c r="R17" s="5"/>
    </row>
    <row r="18" spans="1:18" ht="17.25" customHeight="1" x14ac:dyDescent="0.25">
      <c r="A18" s="25">
        <v>11</v>
      </c>
      <c r="B18" s="120">
        <v>44180</v>
      </c>
      <c r="C18" s="10" t="s">
        <v>1739</v>
      </c>
      <c r="D18" s="25" t="s">
        <v>1775</v>
      </c>
      <c r="E18" s="10" t="s">
        <v>1761</v>
      </c>
      <c r="F18" s="8"/>
      <c r="G18" s="8"/>
      <c r="H18" s="13"/>
      <c r="I18" s="8"/>
      <c r="J18" s="13">
        <v>1310000</v>
      </c>
      <c r="K18" s="28"/>
      <c r="L18" s="29"/>
      <c r="M18" s="13"/>
      <c r="N18" s="3"/>
      <c r="O18" s="53">
        <f t="shared" si="0"/>
        <v>1310000</v>
      </c>
      <c r="P18" s="13">
        <v>5763636</v>
      </c>
      <c r="Q18" s="54">
        <f t="shared" si="1"/>
        <v>4453636</v>
      </c>
      <c r="R18" s="5"/>
    </row>
    <row r="19" spans="1:18" ht="17.25" customHeight="1" x14ac:dyDescent="0.25">
      <c r="A19" s="25">
        <v>12</v>
      </c>
      <c r="B19" s="120">
        <v>44180</v>
      </c>
      <c r="C19" s="10" t="s">
        <v>1740</v>
      </c>
      <c r="D19" s="25" t="s">
        <v>1776</v>
      </c>
      <c r="E19" s="10" t="s">
        <v>1762</v>
      </c>
      <c r="F19" s="8"/>
      <c r="G19" s="8">
        <v>317</v>
      </c>
      <c r="H19" s="13">
        <f>G19*11890</f>
        <v>3769130</v>
      </c>
      <c r="I19" s="8"/>
      <c r="J19" s="13">
        <v>810000</v>
      </c>
      <c r="K19" s="28"/>
      <c r="L19" s="29"/>
      <c r="M19" s="13"/>
      <c r="N19" s="3"/>
      <c r="O19" s="53">
        <f t="shared" si="0"/>
        <v>4579130</v>
      </c>
      <c r="P19" s="13">
        <v>2836364</v>
      </c>
      <c r="Q19" s="54">
        <f t="shared" si="1"/>
        <v>-1742766</v>
      </c>
      <c r="R19" s="5"/>
    </row>
    <row r="20" spans="1:18" ht="17.25" customHeight="1" x14ac:dyDescent="0.25">
      <c r="A20" s="25">
        <v>13</v>
      </c>
      <c r="B20" s="120">
        <v>44182</v>
      </c>
      <c r="C20" s="10" t="s">
        <v>1741</v>
      </c>
      <c r="D20" s="25" t="s">
        <v>1776</v>
      </c>
      <c r="E20" s="10" t="s">
        <v>1763</v>
      </c>
      <c r="F20" s="8"/>
      <c r="G20" s="8">
        <v>132</v>
      </c>
      <c r="H20" s="13">
        <f t="shared" ref="H20:H28" si="3">G20*11890</f>
        <v>1569480</v>
      </c>
      <c r="I20" s="8"/>
      <c r="J20" s="13">
        <v>500000</v>
      </c>
      <c r="K20" s="28"/>
      <c r="L20" s="29"/>
      <c r="M20" s="13"/>
      <c r="N20" s="3"/>
      <c r="O20" s="53">
        <f t="shared" si="0"/>
        <v>2069480</v>
      </c>
      <c r="P20" s="13">
        <v>3436364</v>
      </c>
      <c r="Q20" s="54">
        <f t="shared" si="1"/>
        <v>1366884</v>
      </c>
      <c r="R20" s="5"/>
    </row>
    <row r="21" spans="1:18" ht="17.25" customHeight="1" x14ac:dyDescent="0.25">
      <c r="A21" s="25">
        <v>14</v>
      </c>
      <c r="B21" s="120">
        <v>44182</v>
      </c>
      <c r="C21" s="10" t="s">
        <v>1742</v>
      </c>
      <c r="D21" s="25" t="s">
        <v>1777</v>
      </c>
      <c r="E21" s="10" t="s">
        <v>33</v>
      </c>
      <c r="F21" s="8"/>
      <c r="G21" s="8"/>
      <c r="H21" s="13"/>
      <c r="I21" s="8"/>
      <c r="J21" s="13">
        <v>1720000</v>
      </c>
      <c r="K21" s="28"/>
      <c r="L21" s="29"/>
      <c r="M21" s="13"/>
      <c r="N21" s="3"/>
      <c r="O21" s="53">
        <f t="shared" si="0"/>
        <v>1720000</v>
      </c>
      <c r="P21" s="13">
        <v>6936364</v>
      </c>
      <c r="Q21" s="54">
        <f t="shared" si="1"/>
        <v>5216364</v>
      </c>
      <c r="R21" s="5"/>
    </row>
    <row r="22" spans="1:18" ht="17.25" customHeight="1" x14ac:dyDescent="0.25">
      <c r="A22" s="25">
        <v>15</v>
      </c>
      <c r="B22" s="120">
        <v>44183</v>
      </c>
      <c r="C22" s="10" t="s">
        <v>1743</v>
      </c>
      <c r="D22" s="25" t="s">
        <v>1778</v>
      </c>
      <c r="E22" s="10" t="s">
        <v>1759</v>
      </c>
      <c r="F22" s="8"/>
      <c r="G22" s="8"/>
      <c r="H22" s="13"/>
      <c r="I22" s="8"/>
      <c r="J22" s="13">
        <v>1050000</v>
      </c>
      <c r="K22" s="28"/>
      <c r="L22" s="29"/>
      <c r="M22" s="13"/>
      <c r="N22" s="3"/>
      <c r="O22" s="53">
        <f t="shared" si="0"/>
        <v>1050000</v>
      </c>
      <c r="P22" s="13">
        <v>2009091</v>
      </c>
      <c r="Q22" s="54">
        <f t="shared" si="1"/>
        <v>959091</v>
      </c>
      <c r="R22" s="5"/>
    </row>
    <row r="23" spans="1:18" ht="17.25" customHeight="1" x14ac:dyDescent="0.25">
      <c r="A23" s="25">
        <v>16</v>
      </c>
      <c r="B23" s="120">
        <v>44184</v>
      </c>
      <c r="C23" s="10" t="s">
        <v>1744</v>
      </c>
      <c r="D23" s="25" t="s">
        <v>1778</v>
      </c>
      <c r="E23" s="10" t="s">
        <v>108</v>
      </c>
      <c r="F23" s="8"/>
      <c r="G23" s="8">
        <v>167</v>
      </c>
      <c r="H23" s="13">
        <f t="shared" si="3"/>
        <v>1985630</v>
      </c>
      <c r="I23" s="8"/>
      <c r="J23" s="13"/>
      <c r="K23" s="28"/>
      <c r="L23" s="29"/>
      <c r="M23" s="13"/>
      <c r="N23" s="3"/>
      <c r="O23" s="53">
        <f t="shared" si="0"/>
        <v>1985630</v>
      </c>
      <c r="P23" s="13">
        <v>2390909</v>
      </c>
      <c r="Q23" s="54">
        <f t="shared" si="1"/>
        <v>405279</v>
      </c>
      <c r="R23" s="5"/>
    </row>
    <row r="24" spans="1:18" ht="17.25" customHeight="1" x14ac:dyDescent="0.25">
      <c r="A24" s="25">
        <v>17</v>
      </c>
      <c r="B24" s="120">
        <v>44186</v>
      </c>
      <c r="C24" s="10" t="s">
        <v>1745</v>
      </c>
      <c r="D24" s="25" t="s">
        <v>1779</v>
      </c>
      <c r="E24" s="10" t="s">
        <v>1764</v>
      </c>
      <c r="F24" s="8"/>
      <c r="G24" s="8"/>
      <c r="H24" s="13"/>
      <c r="I24" s="8"/>
      <c r="J24" s="13">
        <v>930000</v>
      </c>
      <c r="K24" s="28"/>
      <c r="L24" s="29"/>
      <c r="M24" s="13"/>
      <c r="N24" s="3"/>
      <c r="O24" s="53">
        <f t="shared" si="0"/>
        <v>930000</v>
      </c>
      <c r="P24" s="13">
        <v>3309091</v>
      </c>
      <c r="Q24" s="54">
        <f t="shared" si="1"/>
        <v>2379091</v>
      </c>
      <c r="R24" s="5"/>
    </row>
    <row r="25" spans="1:18" ht="17.25" customHeight="1" x14ac:dyDescent="0.25">
      <c r="A25" s="25">
        <v>18</v>
      </c>
      <c r="B25" s="120">
        <v>44186</v>
      </c>
      <c r="C25" s="10" t="s">
        <v>1746</v>
      </c>
      <c r="D25" s="25" t="s">
        <v>1780</v>
      </c>
      <c r="E25" s="10" t="s">
        <v>325</v>
      </c>
      <c r="F25" s="8"/>
      <c r="G25" s="8">
        <v>210</v>
      </c>
      <c r="H25" s="13">
        <f t="shared" si="3"/>
        <v>2496900</v>
      </c>
      <c r="I25" s="8"/>
      <c r="J25" s="13">
        <v>810000</v>
      </c>
      <c r="K25" s="28"/>
      <c r="L25" s="29"/>
      <c r="M25" s="13"/>
      <c r="N25" s="3"/>
      <c r="O25" s="53">
        <f t="shared" si="0"/>
        <v>3306900</v>
      </c>
      <c r="P25" s="13">
        <v>3900000</v>
      </c>
      <c r="Q25" s="54">
        <f t="shared" si="1"/>
        <v>593100</v>
      </c>
      <c r="R25" s="5"/>
    </row>
    <row r="26" spans="1:18" ht="17.25" customHeight="1" x14ac:dyDescent="0.25">
      <c r="A26" s="25">
        <v>19</v>
      </c>
      <c r="B26" s="120">
        <v>44187</v>
      </c>
      <c r="C26" s="10" t="s">
        <v>1747</v>
      </c>
      <c r="D26" s="25" t="s">
        <v>1781</v>
      </c>
      <c r="E26" s="10" t="s">
        <v>118</v>
      </c>
      <c r="F26" s="8"/>
      <c r="G26" s="8"/>
      <c r="H26" s="13"/>
      <c r="I26" s="8"/>
      <c r="J26" s="13">
        <v>1170000</v>
      </c>
      <c r="K26" s="28"/>
      <c r="L26" s="29"/>
      <c r="M26" s="13"/>
      <c r="N26" s="3"/>
      <c r="O26" s="53">
        <f t="shared" si="0"/>
        <v>1170000</v>
      </c>
      <c r="P26" s="13">
        <v>5800000</v>
      </c>
      <c r="Q26" s="54">
        <f t="shared" si="1"/>
        <v>4630000</v>
      </c>
      <c r="R26" s="5"/>
    </row>
    <row r="27" spans="1:18" ht="17.25" customHeight="1" x14ac:dyDescent="0.25">
      <c r="A27" s="25">
        <v>20</v>
      </c>
      <c r="B27" s="120">
        <v>44188</v>
      </c>
      <c r="C27" s="10" t="s">
        <v>1748</v>
      </c>
      <c r="D27" s="25" t="s">
        <v>1782</v>
      </c>
      <c r="E27" s="10" t="s">
        <v>799</v>
      </c>
      <c r="F27" s="8"/>
      <c r="G27" s="8"/>
      <c r="H27" s="13"/>
      <c r="I27" s="8"/>
      <c r="J27" s="13">
        <v>1050000</v>
      </c>
      <c r="K27" s="28"/>
      <c r="L27" s="29"/>
      <c r="M27" s="13"/>
      <c r="N27" s="3"/>
      <c r="O27" s="53">
        <f t="shared" si="0"/>
        <v>1050000</v>
      </c>
      <c r="P27" s="13">
        <v>2200000</v>
      </c>
      <c r="Q27" s="54">
        <f t="shared" si="1"/>
        <v>1150000</v>
      </c>
      <c r="R27" s="5"/>
    </row>
    <row r="28" spans="1:18" ht="17.25" customHeight="1" x14ac:dyDescent="0.25">
      <c r="A28" s="25">
        <v>21</v>
      </c>
      <c r="B28" s="120">
        <v>44189</v>
      </c>
      <c r="C28" s="10" t="s">
        <v>1749</v>
      </c>
      <c r="D28" s="25" t="s">
        <v>1782</v>
      </c>
      <c r="E28" s="10" t="s">
        <v>108</v>
      </c>
      <c r="F28" s="8"/>
      <c r="G28" s="8">
        <v>260</v>
      </c>
      <c r="H28" s="13">
        <f t="shared" si="3"/>
        <v>3091400</v>
      </c>
      <c r="I28" s="8"/>
      <c r="J28" s="13"/>
      <c r="K28" s="28"/>
      <c r="L28" s="29"/>
      <c r="M28" s="13"/>
      <c r="N28" s="3"/>
      <c r="O28" s="53">
        <f t="shared" si="0"/>
        <v>3091400</v>
      </c>
      <c r="P28" s="13">
        <v>2390909</v>
      </c>
      <c r="Q28" s="54">
        <f t="shared" si="1"/>
        <v>-700491</v>
      </c>
      <c r="R28" s="5"/>
    </row>
    <row r="29" spans="1:18" ht="17.25" customHeight="1" x14ac:dyDescent="0.25">
      <c r="A29" s="25">
        <v>22</v>
      </c>
      <c r="B29" s="120">
        <v>44190</v>
      </c>
      <c r="C29" s="10" t="s">
        <v>1750</v>
      </c>
      <c r="D29" s="25" t="s">
        <v>1635</v>
      </c>
      <c r="E29" s="10" t="s">
        <v>1177</v>
      </c>
      <c r="F29" s="8"/>
      <c r="G29" s="8"/>
      <c r="H29" s="13"/>
      <c r="I29" s="8"/>
      <c r="J29" s="13">
        <v>1230000</v>
      </c>
      <c r="K29" s="28"/>
      <c r="L29" s="29"/>
      <c r="M29" s="13"/>
      <c r="N29" s="3"/>
      <c r="O29" s="53">
        <f t="shared" si="0"/>
        <v>1230000</v>
      </c>
      <c r="P29" s="13">
        <v>5500000</v>
      </c>
      <c r="Q29" s="54">
        <f t="shared" si="1"/>
        <v>4270000</v>
      </c>
      <c r="R29" s="5"/>
    </row>
    <row r="30" spans="1:18" ht="17.25" customHeight="1" x14ac:dyDescent="0.25">
      <c r="A30" s="25">
        <v>23</v>
      </c>
      <c r="B30" s="120">
        <v>44192</v>
      </c>
      <c r="C30" s="10" t="s">
        <v>1751</v>
      </c>
      <c r="D30" s="25" t="s">
        <v>1783</v>
      </c>
      <c r="E30" s="10" t="s">
        <v>799</v>
      </c>
      <c r="F30" s="8"/>
      <c r="G30" s="8">
        <v>230</v>
      </c>
      <c r="H30" s="13">
        <f>G30*12370</f>
        <v>2845100</v>
      </c>
      <c r="I30" s="8"/>
      <c r="J30" s="13">
        <f>2020000+430000</f>
        <v>2450000</v>
      </c>
      <c r="K30" s="28"/>
      <c r="L30" s="29"/>
      <c r="M30" s="13"/>
      <c r="N30" s="3"/>
      <c r="O30" s="53">
        <f t="shared" si="0"/>
        <v>5295100</v>
      </c>
      <c r="P30" s="13">
        <v>2200000</v>
      </c>
      <c r="Q30" s="54">
        <f t="shared" si="1"/>
        <v>-3095100</v>
      </c>
      <c r="R30" s="5"/>
    </row>
    <row r="31" spans="1:18" ht="17.25" customHeight="1" x14ac:dyDescent="0.25">
      <c r="A31" s="25">
        <v>24</v>
      </c>
      <c r="B31" s="120">
        <v>44193</v>
      </c>
      <c r="C31" s="10" t="s">
        <v>1752</v>
      </c>
      <c r="D31" s="25" t="s">
        <v>1783</v>
      </c>
      <c r="E31" s="10" t="s">
        <v>1761</v>
      </c>
      <c r="F31" s="8"/>
      <c r="G31" s="8"/>
      <c r="H31" s="13"/>
      <c r="I31" s="8"/>
      <c r="J31" s="13"/>
      <c r="K31" s="28"/>
      <c r="L31" s="29"/>
      <c r="M31" s="13"/>
      <c r="N31" s="3"/>
      <c r="O31" s="53">
        <f t="shared" si="0"/>
        <v>0</v>
      </c>
      <c r="P31" s="13">
        <v>5763636</v>
      </c>
      <c r="Q31" s="54">
        <f t="shared" si="1"/>
        <v>5763636</v>
      </c>
      <c r="R31" s="5"/>
    </row>
    <row r="32" spans="1:18" ht="17.25" customHeight="1" x14ac:dyDescent="0.25">
      <c r="A32" s="25">
        <v>25</v>
      </c>
      <c r="B32" s="120">
        <v>44193</v>
      </c>
      <c r="C32" s="10" t="s">
        <v>1753</v>
      </c>
      <c r="D32" s="25" t="s">
        <v>1784</v>
      </c>
      <c r="E32" s="10" t="s">
        <v>1765</v>
      </c>
      <c r="F32" s="8"/>
      <c r="G32" s="8"/>
      <c r="H32" s="13"/>
      <c r="I32" s="8"/>
      <c r="J32" s="13">
        <v>1280000</v>
      </c>
      <c r="K32" s="28"/>
      <c r="L32" s="29"/>
      <c r="M32" s="13"/>
      <c r="N32" s="3"/>
      <c r="O32" s="53">
        <f t="shared" si="0"/>
        <v>1280000</v>
      </c>
      <c r="P32" s="13">
        <v>5500000</v>
      </c>
      <c r="Q32" s="54">
        <f t="shared" si="1"/>
        <v>4220000</v>
      </c>
      <c r="R32" s="5"/>
    </row>
    <row r="33" spans="1:18" ht="25.5" customHeight="1" x14ac:dyDescent="0.25">
      <c r="A33" s="25">
        <v>26</v>
      </c>
      <c r="B33" s="120">
        <v>44194</v>
      </c>
      <c r="C33" s="10" t="s">
        <v>1754</v>
      </c>
      <c r="D33" s="25" t="s">
        <v>1785</v>
      </c>
      <c r="E33" s="10" t="s">
        <v>1043</v>
      </c>
      <c r="F33" s="8"/>
      <c r="G33" s="8">
        <v>170</v>
      </c>
      <c r="H33" s="13">
        <f t="shared" ref="H33:H34" si="4">G33*12370</f>
        <v>2102900</v>
      </c>
      <c r="I33" s="8"/>
      <c r="J33" s="13">
        <v>810000</v>
      </c>
      <c r="K33" s="28"/>
      <c r="L33" s="29"/>
      <c r="M33" s="13"/>
      <c r="N33" s="3"/>
      <c r="O33" s="53">
        <f t="shared" si="0"/>
        <v>2912900</v>
      </c>
      <c r="P33" s="13">
        <v>4727273</v>
      </c>
      <c r="Q33" s="54">
        <f t="shared" si="1"/>
        <v>1814373</v>
      </c>
      <c r="R33" s="5"/>
    </row>
    <row r="34" spans="1:18" ht="17.25" customHeight="1" x14ac:dyDescent="0.25">
      <c r="A34" s="25">
        <v>27</v>
      </c>
      <c r="B34" s="120">
        <v>44195</v>
      </c>
      <c r="C34" s="10" t="s">
        <v>1755</v>
      </c>
      <c r="D34" s="25" t="s">
        <v>1786</v>
      </c>
      <c r="E34" s="10" t="s">
        <v>1766</v>
      </c>
      <c r="F34" s="8"/>
      <c r="G34" s="8">
        <v>220</v>
      </c>
      <c r="H34" s="13">
        <f t="shared" si="4"/>
        <v>2721400</v>
      </c>
      <c r="I34" s="8"/>
      <c r="J34" s="13">
        <f>810000+170000</f>
        <v>980000</v>
      </c>
      <c r="K34" s="28"/>
      <c r="L34" s="29"/>
      <c r="M34" s="13"/>
      <c r="N34" s="3"/>
      <c r="O34" s="53">
        <f t="shared" si="0"/>
        <v>3701400</v>
      </c>
      <c r="P34" s="13">
        <v>3772727</v>
      </c>
      <c r="Q34" s="54">
        <f t="shared" si="1"/>
        <v>71327</v>
      </c>
      <c r="R34" s="5"/>
    </row>
    <row r="35" spans="1:18" ht="12.75" customHeight="1" x14ac:dyDescent="0.25">
      <c r="A35" s="25"/>
      <c r="B35" s="44"/>
      <c r="C35" s="10"/>
      <c r="D35" s="8"/>
      <c r="E35" s="10"/>
      <c r="F35" s="8"/>
      <c r="G35" s="8"/>
      <c r="H35" s="13"/>
      <c r="I35" s="8"/>
      <c r="J35" s="13"/>
      <c r="K35" s="28"/>
      <c r="L35" s="29"/>
      <c r="M35" s="13"/>
      <c r="N35" s="13"/>
      <c r="O35" s="53"/>
      <c r="P35" s="13"/>
      <c r="Q35" s="54"/>
      <c r="R35" s="5"/>
    </row>
    <row r="36" spans="1:18" ht="18" customHeight="1" x14ac:dyDescent="0.25">
      <c r="A36" s="8"/>
      <c r="B36" s="8"/>
      <c r="C36" s="182" t="s">
        <v>131</v>
      </c>
      <c r="D36" s="183"/>
      <c r="E36" s="183"/>
      <c r="F36" s="184"/>
      <c r="G36" s="30"/>
      <c r="H36" s="28"/>
      <c r="I36" s="30"/>
      <c r="J36" s="28"/>
      <c r="K36" s="28"/>
      <c r="L36" s="28">
        <v>1200000</v>
      </c>
      <c r="M36" s="28"/>
      <c r="N36" s="28"/>
      <c r="O36" s="53">
        <f t="shared" ref="O36:O46" si="5">H36+J36+K36+L36+M36+N36</f>
        <v>1200000</v>
      </c>
      <c r="P36" s="28"/>
      <c r="Q36" s="54"/>
    </row>
    <row r="37" spans="1:18" ht="27.75" customHeight="1" x14ac:dyDescent="0.25">
      <c r="A37" s="8"/>
      <c r="B37" s="8"/>
      <c r="C37" s="196" t="s">
        <v>1787</v>
      </c>
      <c r="D37" s="197"/>
      <c r="E37" s="197"/>
      <c r="F37" s="198"/>
      <c r="G37" s="30"/>
      <c r="H37" s="28"/>
      <c r="I37" s="30"/>
      <c r="J37" s="28"/>
      <c r="K37" s="28"/>
      <c r="L37" s="28"/>
      <c r="M37" s="28">
        <v>10000000</v>
      </c>
      <c r="N37" s="28"/>
      <c r="O37" s="53">
        <f t="shared" si="5"/>
        <v>10000000</v>
      </c>
      <c r="P37" s="28"/>
      <c r="Q37" s="54"/>
    </row>
    <row r="38" spans="1:18" ht="27.75" customHeight="1" x14ac:dyDescent="0.25">
      <c r="A38" s="8"/>
      <c r="B38" s="8"/>
      <c r="C38" s="196" t="s">
        <v>1788</v>
      </c>
      <c r="D38" s="197"/>
      <c r="E38" s="197"/>
      <c r="F38" s="198"/>
      <c r="G38" s="30"/>
      <c r="H38" s="28"/>
      <c r="I38" s="30"/>
      <c r="J38" s="28"/>
      <c r="K38" s="28"/>
      <c r="L38" s="28">
        <v>100000</v>
      </c>
      <c r="M38" s="28"/>
      <c r="N38" s="28"/>
      <c r="O38" s="53">
        <f t="shared" si="5"/>
        <v>100000</v>
      </c>
      <c r="P38" s="28"/>
      <c r="Q38" s="54"/>
    </row>
    <row r="39" spans="1:18" ht="24" customHeight="1" x14ac:dyDescent="0.25">
      <c r="A39" s="8"/>
      <c r="B39" s="8"/>
      <c r="C39" s="196" t="s">
        <v>1794</v>
      </c>
      <c r="D39" s="197"/>
      <c r="E39" s="197"/>
      <c r="F39" s="198"/>
      <c r="G39" s="30"/>
      <c r="H39" s="28"/>
      <c r="I39" s="30"/>
      <c r="J39" s="28"/>
      <c r="K39" s="28"/>
      <c r="L39" s="28">
        <v>120000</v>
      </c>
      <c r="M39" s="28"/>
      <c r="N39" s="28"/>
      <c r="O39" s="53">
        <f t="shared" si="5"/>
        <v>120000</v>
      </c>
      <c r="P39" s="28"/>
      <c r="Q39" s="54"/>
    </row>
    <row r="40" spans="1:18" ht="24" customHeight="1" x14ac:dyDescent="0.25">
      <c r="A40" s="8"/>
      <c r="B40" s="8"/>
      <c r="C40" s="196" t="s">
        <v>1790</v>
      </c>
      <c r="D40" s="197"/>
      <c r="E40" s="197"/>
      <c r="F40" s="198"/>
      <c r="G40" s="30"/>
      <c r="H40" s="28"/>
      <c r="I40" s="30"/>
      <c r="J40" s="28"/>
      <c r="K40" s="28"/>
      <c r="L40" s="28">
        <v>120000</v>
      </c>
      <c r="M40" s="28"/>
      <c r="N40" s="28"/>
      <c r="O40" s="53">
        <f t="shared" si="5"/>
        <v>120000</v>
      </c>
      <c r="P40" s="28"/>
      <c r="Q40" s="54"/>
    </row>
    <row r="41" spans="1:18" ht="24" customHeight="1" x14ac:dyDescent="0.25">
      <c r="A41" s="8"/>
      <c r="B41" s="8"/>
      <c r="C41" s="196" t="s">
        <v>1795</v>
      </c>
      <c r="D41" s="197"/>
      <c r="E41" s="197"/>
      <c r="F41" s="198"/>
      <c r="G41" s="30"/>
      <c r="H41" s="28"/>
      <c r="I41" s="30"/>
      <c r="J41" s="28"/>
      <c r="K41" s="28"/>
      <c r="L41" s="28">
        <v>900000</v>
      </c>
      <c r="M41" s="28"/>
      <c r="N41" s="28"/>
      <c r="O41" s="53">
        <f t="shared" si="5"/>
        <v>900000</v>
      </c>
      <c r="P41" s="28"/>
      <c r="Q41" s="54"/>
    </row>
    <row r="42" spans="1:18" ht="24" customHeight="1" x14ac:dyDescent="0.25">
      <c r="A42" s="8"/>
      <c r="B42" s="8"/>
      <c r="C42" s="196" t="s">
        <v>1791</v>
      </c>
      <c r="D42" s="197"/>
      <c r="E42" s="197"/>
      <c r="F42" s="198"/>
      <c r="G42" s="30"/>
      <c r="H42" s="28"/>
      <c r="I42" s="30"/>
      <c r="J42" s="28"/>
      <c r="K42" s="28"/>
      <c r="L42" s="28">
        <v>13200000</v>
      </c>
      <c r="M42" s="28"/>
      <c r="N42" s="28"/>
      <c r="O42" s="53">
        <f t="shared" si="5"/>
        <v>13200000</v>
      </c>
      <c r="P42" s="28"/>
      <c r="Q42" s="54"/>
    </row>
    <row r="43" spans="1:18" ht="24" customHeight="1" x14ac:dyDescent="0.25">
      <c r="A43" s="8"/>
      <c r="B43" s="8"/>
      <c r="C43" s="196" t="s">
        <v>1792</v>
      </c>
      <c r="D43" s="197"/>
      <c r="E43" s="197"/>
      <c r="F43" s="198"/>
      <c r="G43" s="30"/>
      <c r="H43" s="28"/>
      <c r="I43" s="30"/>
      <c r="J43" s="28"/>
      <c r="K43" s="28"/>
      <c r="L43" s="28">
        <v>2400000</v>
      </c>
      <c r="M43" s="28"/>
      <c r="N43" s="28"/>
      <c r="O43" s="53">
        <f t="shared" si="5"/>
        <v>2400000</v>
      </c>
      <c r="P43" s="28"/>
      <c r="Q43" s="54"/>
    </row>
    <row r="44" spans="1:18" ht="24" customHeight="1" x14ac:dyDescent="0.25">
      <c r="A44" s="8"/>
      <c r="B44" s="8"/>
      <c r="C44" s="196" t="s">
        <v>1793</v>
      </c>
      <c r="D44" s="197"/>
      <c r="E44" s="197"/>
      <c r="F44" s="198"/>
      <c r="G44" s="30"/>
      <c r="H44" s="28"/>
      <c r="I44" s="30"/>
      <c r="J44" s="28"/>
      <c r="K44" s="28"/>
      <c r="L44" s="28">
        <v>950000</v>
      </c>
      <c r="M44" s="28"/>
      <c r="N44" s="28"/>
      <c r="O44" s="53">
        <f t="shared" si="5"/>
        <v>950000</v>
      </c>
      <c r="P44" s="28"/>
      <c r="Q44" s="54"/>
    </row>
    <row r="45" spans="1:18" ht="24" customHeight="1" x14ac:dyDescent="0.25">
      <c r="A45" s="8"/>
      <c r="B45" s="8"/>
      <c r="C45" s="128" t="s">
        <v>1789</v>
      </c>
      <c r="D45" s="126"/>
      <c r="E45" s="126"/>
      <c r="F45" s="127"/>
      <c r="G45" s="30"/>
      <c r="H45" s="28"/>
      <c r="I45" s="30"/>
      <c r="J45" s="28"/>
      <c r="K45" s="28">
        <v>300000</v>
      </c>
      <c r="L45" s="28"/>
      <c r="M45" s="28"/>
      <c r="N45" s="28"/>
      <c r="O45" s="53">
        <f t="shared" si="5"/>
        <v>300000</v>
      </c>
      <c r="P45" s="28"/>
      <c r="Q45" s="54"/>
    </row>
    <row r="46" spans="1:18" ht="25.5" customHeight="1" x14ac:dyDescent="0.25">
      <c r="A46" s="8"/>
      <c r="B46" s="8"/>
      <c r="C46" s="191" t="s">
        <v>132</v>
      </c>
      <c r="D46" s="192"/>
      <c r="E46" s="192"/>
      <c r="F46" s="195"/>
      <c r="G46" s="30"/>
      <c r="H46" s="28"/>
      <c r="I46" s="30"/>
      <c r="J46" s="28"/>
      <c r="K46" s="28">
        <v>9692308</v>
      </c>
      <c r="L46" s="28"/>
      <c r="M46" s="28"/>
      <c r="N46" s="28"/>
      <c r="O46" s="53">
        <f t="shared" si="5"/>
        <v>9692308</v>
      </c>
      <c r="P46" s="28"/>
      <c r="Q46" s="54"/>
    </row>
    <row r="47" spans="1:18" x14ac:dyDescent="0.25">
      <c r="A47" s="166" t="s">
        <v>19</v>
      </c>
      <c r="B47" s="167"/>
      <c r="C47" s="167"/>
      <c r="D47" s="167"/>
      <c r="E47" s="167"/>
      <c r="F47" s="168"/>
      <c r="G47" s="88">
        <f t="shared" ref="G47:N47" si="6">SUM(G7:G46)</f>
        <v>2529</v>
      </c>
      <c r="H47" s="4">
        <f t="shared" si="6"/>
        <v>29988830</v>
      </c>
      <c r="I47" s="4">
        <f t="shared" si="6"/>
        <v>0</v>
      </c>
      <c r="J47" s="4">
        <f>SUM(J7:J46)</f>
        <v>25470000</v>
      </c>
      <c r="K47" s="4">
        <f t="shared" si="6"/>
        <v>9992308</v>
      </c>
      <c r="L47" s="4">
        <f t="shared" si="6"/>
        <v>18990000</v>
      </c>
      <c r="M47" s="4">
        <f t="shared" si="6"/>
        <v>10000000</v>
      </c>
      <c r="N47" s="4">
        <f t="shared" si="6"/>
        <v>0</v>
      </c>
      <c r="O47" s="4">
        <f>SUM(O7:O46)</f>
        <v>94441138</v>
      </c>
      <c r="P47" s="4">
        <f>SUM(P8:P46)</f>
        <v>111563636</v>
      </c>
      <c r="Q47" s="122">
        <f>P47-O47</f>
        <v>17122498</v>
      </c>
    </row>
    <row r="48" spans="1:18" x14ac:dyDescent="0.25">
      <c r="O48" s="20"/>
      <c r="P48" s="5" t="s">
        <v>1796</v>
      </c>
      <c r="Q48" s="26"/>
    </row>
    <row r="49" spans="2:17" x14ac:dyDescent="0.25">
      <c r="P49" s="21" t="s">
        <v>20</v>
      </c>
      <c r="Q49" s="26">
        <f>'11.2020'!Q37+'12.2020'!Q47</f>
        <v>368643667.45454544</v>
      </c>
    </row>
    <row r="50" spans="2:17" x14ac:dyDescent="0.25">
      <c r="C50" s="6" t="s">
        <v>993</v>
      </c>
    </row>
    <row r="51" spans="2:17" x14ac:dyDescent="0.25">
      <c r="C51" s="205"/>
      <c r="D51" s="205"/>
      <c r="E51" s="205"/>
      <c r="F51" s="205"/>
      <c r="H51" s="109"/>
    </row>
    <row r="52" spans="2:17" x14ac:dyDescent="0.25">
      <c r="C52" s="206"/>
      <c r="D52" s="206"/>
      <c r="E52" s="206"/>
      <c r="F52" s="206"/>
      <c r="H52" s="109"/>
    </row>
    <row r="53" spans="2:17" x14ac:dyDescent="0.25">
      <c r="B53" s="6"/>
      <c r="C53" s="110"/>
      <c r="D53" s="110"/>
      <c r="E53" s="110"/>
      <c r="F53" s="110"/>
      <c r="H53" s="109"/>
    </row>
    <row r="54" spans="2:17" x14ac:dyDescent="0.25">
      <c r="B54" s="6"/>
      <c r="C54" s="206"/>
      <c r="D54" s="206"/>
      <c r="E54" s="206"/>
      <c r="F54" s="206"/>
      <c r="H54" s="109"/>
    </row>
    <row r="55" spans="2:17" x14ac:dyDescent="0.25">
      <c r="B55" s="6"/>
      <c r="C55" s="206"/>
      <c r="D55" s="206"/>
      <c r="E55" s="206"/>
      <c r="F55" s="206"/>
      <c r="H55" s="109"/>
    </row>
    <row r="56" spans="2:17" x14ac:dyDescent="0.25">
      <c r="B56" s="6"/>
      <c r="C56" s="206"/>
      <c r="D56" s="206"/>
      <c r="E56" s="206"/>
      <c r="F56" s="206"/>
      <c r="H56" s="109"/>
      <c r="J56" s="6"/>
      <c r="K56" s="6"/>
      <c r="L56" s="6"/>
      <c r="M56" s="6"/>
      <c r="N56" s="6"/>
      <c r="O56" s="6"/>
      <c r="P56" s="6"/>
      <c r="Q56" s="6"/>
    </row>
    <row r="57" spans="2:17" x14ac:dyDescent="0.2">
      <c r="C57" s="107"/>
      <c r="D57" s="110"/>
      <c r="E57" s="110"/>
      <c r="F57" s="110"/>
      <c r="H57" s="109"/>
    </row>
    <row r="58" spans="2:17" x14ac:dyDescent="0.25">
      <c r="C58" s="205"/>
      <c r="D58" s="205"/>
      <c r="E58" s="205"/>
      <c r="F58" s="205"/>
    </row>
  </sheetData>
  <mergeCells count="30">
    <mergeCell ref="C38:F38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6:F36"/>
    <mergeCell ref="C37:F37"/>
    <mergeCell ref="C55:F55"/>
    <mergeCell ref="C56:F56"/>
    <mergeCell ref="C58:F58"/>
    <mergeCell ref="C39:F39"/>
    <mergeCell ref="C46:F46"/>
    <mergeCell ref="A47:F47"/>
    <mergeCell ref="C51:F51"/>
    <mergeCell ref="C52:F52"/>
    <mergeCell ref="C54:F54"/>
    <mergeCell ref="C40:F40"/>
    <mergeCell ref="C42:F42"/>
    <mergeCell ref="C43:F43"/>
    <mergeCell ref="C44:F44"/>
    <mergeCell ref="C41:F41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66"/>
  <sheetViews>
    <sheetView topLeftCell="A40" workbookViewId="0">
      <selection activeCell="O49" sqref="O49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1797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44200</v>
      </c>
      <c r="C8" s="10" t="s">
        <v>1798</v>
      </c>
      <c r="D8" s="25" t="s">
        <v>1829</v>
      </c>
      <c r="E8" s="10" t="s">
        <v>1857</v>
      </c>
      <c r="F8" s="8"/>
      <c r="G8" s="8">
        <v>185</v>
      </c>
      <c r="H8" s="13">
        <f>G8*12370</f>
        <v>2288450</v>
      </c>
      <c r="I8" s="8"/>
      <c r="J8" s="13">
        <f>810000</f>
        <v>810000</v>
      </c>
      <c r="K8" s="28"/>
      <c r="L8" s="29"/>
      <c r="M8" s="13"/>
      <c r="N8" s="13"/>
      <c r="O8" s="53">
        <f>H8+J8+K8+L8+M8+N8</f>
        <v>3098450</v>
      </c>
      <c r="P8" s="13">
        <v>4230000</v>
      </c>
      <c r="Q8" s="54">
        <f>P8-O8</f>
        <v>1131550</v>
      </c>
      <c r="R8" s="5"/>
    </row>
    <row r="9" spans="1:18" ht="17.25" customHeight="1" x14ac:dyDescent="0.25">
      <c r="A9" s="25">
        <v>2</v>
      </c>
      <c r="B9" s="120">
        <v>44200</v>
      </c>
      <c r="C9" s="10" t="s">
        <v>404</v>
      </c>
      <c r="D9" s="129" t="s">
        <v>1830</v>
      </c>
      <c r="E9" s="9" t="s">
        <v>1541</v>
      </c>
      <c r="F9" s="117"/>
      <c r="H9" s="13"/>
      <c r="I9" s="117"/>
      <c r="J9" s="119">
        <v>1110000</v>
      </c>
      <c r="K9" s="28"/>
      <c r="L9" s="29"/>
      <c r="M9" s="13"/>
      <c r="N9" s="3"/>
      <c r="O9" s="53">
        <f t="shared" ref="O9:O42" si="0">H9+J9+K9+L9+M9+N9</f>
        <v>1110000</v>
      </c>
      <c r="P9" s="13">
        <v>3500000</v>
      </c>
      <c r="Q9" s="54">
        <f t="shared" ref="Q9:Q42" si="1">P9-O9</f>
        <v>2390000</v>
      </c>
      <c r="R9" s="5"/>
    </row>
    <row r="10" spans="1:18" ht="17.25" customHeight="1" x14ac:dyDescent="0.25">
      <c r="A10" s="25">
        <v>3</v>
      </c>
      <c r="B10" s="120">
        <v>44200</v>
      </c>
      <c r="C10" s="10" t="s">
        <v>1799</v>
      </c>
      <c r="D10" s="25" t="s">
        <v>1830</v>
      </c>
      <c r="E10" s="10" t="s">
        <v>1544</v>
      </c>
      <c r="F10" s="8"/>
      <c r="G10" s="8"/>
      <c r="H10" s="13"/>
      <c r="I10" s="8"/>
      <c r="J10" s="13"/>
      <c r="K10" s="28"/>
      <c r="L10" s="29"/>
      <c r="M10" s="13"/>
      <c r="N10" s="3"/>
      <c r="O10" s="53">
        <f t="shared" si="0"/>
        <v>0</v>
      </c>
      <c r="P10" s="13">
        <v>2000000</v>
      </c>
      <c r="Q10" s="54">
        <f t="shared" si="1"/>
        <v>2000000</v>
      </c>
      <c r="R10" s="5"/>
    </row>
    <row r="11" spans="1:18" ht="24" customHeight="1" x14ac:dyDescent="0.25">
      <c r="A11" s="25">
        <v>4</v>
      </c>
      <c r="B11" s="120">
        <v>44200</v>
      </c>
      <c r="C11" s="10" t="s">
        <v>1800</v>
      </c>
      <c r="D11" s="25" t="s">
        <v>1831</v>
      </c>
      <c r="E11" s="10" t="s">
        <v>1858</v>
      </c>
      <c r="F11" s="8"/>
      <c r="G11" s="8"/>
      <c r="H11" s="13"/>
      <c r="I11" s="8"/>
      <c r="J11" s="13">
        <v>930000</v>
      </c>
      <c r="K11" s="28"/>
      <c r="L11" s="29"/>
      <c r="M11" s="13"/>
      <c r="N11" s="3"/>
      <c r="O11" s="53">
        <f t="shared" si="0"/>
        <v>930000</v>
      </c>
      <c r="P11" s="13">
        <v>3490909</v>
      </c>
      <c r="Q11" s="54">
        <f t="shared" si="1"/>
        <v>2560909</v>
      </c>
      <c r="R11" s="5"/>
    </row>
    <row r="12" spans="1:18" ht="17.25" customHeight="1" x14ac:dyDescent="0.25">
      <c r="A12" s="25">
        <v>5</v>
      </c>
      <c r="B12" s="120">
        <v>44201</v>
      </c>
      <c r="C12" s="10" t="s">
        <v>1801</v>
      </c>
      <c r="D12" s="25" t="s">
        <v>1831</v>
      </c>
      <c r="E12" s="10" t="s">
        <v>253</v>
      </c>
      <c r="F12" s="8"/>
      <c r="G12" s="8">
        <v>220</v>
      </c>
      <c r="H12" s="13">
        <f t="shared" ref="H12:H17" si="2">G12*12370</f>
        <v>2721400</v>
      </c>
      <c r="I12" s="8"/>
      <c r="J12" s="13">
        <v>300000</v>
      </c>
      <c r="K12" s="28"/>
      <c r="L12" s="29"/>
      <c r="M12" s="13"/>
      <c r="N12" s="3"/>
      <c r="O12" s="53">
        <f t="shared" si="0"/>
        <v>3021400</v>
      </c>
      <c r="P12" s="13">
        <v>1681818</v>
      </c>
      <c r="Q12" s="54">
        <f t="shared" si="1"/>
        <v>-1339582</v>
      </c>
      <c r="R12" s="5"/>
    </row>
    <row r="13" spans="1:18" ht="17.25" customHeight="1" x14ac:dyDescent="0.25">
      <c r="A13" s="25">
        <v>6</v>
      </c>
      <c r="B13" s="120">
        <v>44201</v>
      </c>
      <c r="C13" s="10" t="s">
        <v>1802</v>
      </c>
      <c r="D13" s="25" t="s">
        <v>1832</v>
      </c>
      <c r="E13" s="10" t="s">
        <v>1177</v>
      </c>
      <c r="F13" s="8"/>
      <c r="G13" s="8"/>
      <c r="H13" s="13"/>
      <c r="I13" s="8"/>
      <c r="J13" s="13">
        <v>1230000</v>
      </c>
      <c r="K13" s="28"/>
      <c r="L13" s="29"/>
      <c r="M13" s="13"/>
      <c r="N13" s="3"/>
      <c r="O13" s="53">
        <f t="shared" si="0"/>
        <v>1230000</v>
      </c>
      <c r="P13" s="13">
        <v>5500000</v>
      </c>
      <c r="Q13" s="54">
        <f t="shared" si="1"/>
        <v>4270000</v>
      </c>
      <c r="R13" s="5"/>
    </row>
    <row r="14" spans="1:18" ht="17.25" customHeight="1" x14ac:dyDescent="0.25">
      <c r="A14" s="25">
        <v>7</v>
      </c>
      <c r="B14" s="120">
        <v>44203</v>
      </c>
      <c r="C14" s="10" t="s">
        <v>1803</v>
      </c>
      <c r="D14" s="25" t="s">
        <v>1833</v>
      </c>
      <c r="E14" s="10" t="s">
        <v>1859</v>
      </c>
      <c r="F14" s="8"/>
      <c r="G14" s="8"/>
      <c r="H14" s="13"/>
      <c r="I14" s="8"/>
      <c r="J14" s="13">
        <v>680000</v>
      </c>
      <c r="K14" s="28"/>
      <c r="L14" s="29"/>
      <c r="M14" s="13"/>
      <c r="N14" s="3"/>
      <c r="O14" s="53">
        <f t="shared" si="0"/>
        <v>680000</v>
      </c>
      <c r="P14" s="13">
        <v>2200000</v>
      </c>
      <c r="Q14" s="54">
        <f t="shared" si="1"/>
        <v>1520000</v>
      </c>
      <c r="R14" s="5"/>
    </row>
    <row r="15" spans="1:18" ht="17.25" customHeight="1" x14ac:dyDescent="0.25">
      <c r="A15" s="25">
        <v>8</v>
      </c>
      <c r="B15" s="120">
        <v>44204</v>
      </c>
      <c r="C15" s="10" t="s">
        <v>1804</v>
      </c>
      <c r="D15" s="25" t="s">
        <v>1833</v>
      </c>
      <c r="E15" s="10" t="s">
        <v>1666</v>
      </c>
      <c r="F15" s="8"/>
      <c r="G15" s="8"/>
      <c r="H15" s="13"/>
      <c r="I15" s="8"/>
      <c r="J15" s="13">
        <v>300000</v>
      </c>
      <c r="K15" s="28"/>
      <c r="L15" s="29"/>
      <c r="M15" s="13"/>
      <c r="N15" s="3"/>
      <c r="O15" s="53">
        <f t="shared" si="0"/>
        <v>300000</v>
      </c>
      <c r="P15" s="13">
        <v>1610000</v>
      </c>
      <c r="Q15" s="54">
        <f t="shared" si="1"/>
        <v>1310000</v>
      </c>
      <c r="R15" s="5"/>
    </row>
    <row r="16" spans="1:18" ht="17.25" customHeight="1" x14ac:dyDescent="0.25">
      <c r="A16" s="25">
        <v>9</v>
      </c>
      <c r="B16" s="120">
        <v>44204</v>
      </c>
      <c r="C16" s="10" t="s">
        <v>1805</v>
      </c>
      <c r="D16" s="25" t="s">
        <v>1834</v>
      </c>
      <c r="E16" s="10" t="s">
        <v>33</v>
      </c>
      <c r="F16" s="8"/>
      <c r="G16" s="8"/>
      <c r="H16" s="13"/>
      <c r="I16" s="8"/>
      <c r="J16" s="13">
        <v>1720000</v>
      </c>
      <c r="K16" s="28"/>
      <c r="L16" s="29"/>
      <c r="M16" s="13"/>
      <c r="N16" s="3"/>
      <c r="O16" s="53">
        <f t="shared" si="0"/>
        <v>1720000</v>
      </c>
      <c r="P16" s="13">
        <v>7300000</v>
      </c>
      <c r="Q16" s="54">
        <f t="shared" si="1"/>
        <v>5580000</v>
      </c>
      <c r="R16" s="5"/>
    </row>
    <row r="17" spans="1:18" ht="17.25" customHeight="1" x14ac:dyDescent="0.25">
      <c r="A17" s="25">
        <v>10</v>
      </c>
      <c r="B17" s="120">
        <v>44206</v>
      </c>
      <c r="C17" s="10" t="s">
        <v>1806</v>
      </c>
      <c r="D17" s="25" t="s">
        <v>1835</v>
      </c>
      <c r="E17" s="10" t="s">
        <v>1860</v>
      </c>
      <c r="F17" s="8"/>
      <c r="G17" s="8">
        <v>320</v>
      </c>
      <c r="H17" s="13">
        <f t="shared" si="2"/>
        <v>3958400</v>
      </c>
      <c r="I17" s="8"/>
      <c r="J17" s="13">
        <v>1050000</v>
      </c>
      <c r="K17" s="28"/>
      <c r="L17" s="29"/>
      <c r="M17" s="13"/>
      <c r="N17" s="3"/>
      <c r="O17" s="53">
        <f t="shared" si="0"/>
        <v>5008400</v>
      </c>
      <c r="P17" s="13">
        <v>2200000</v>
      </c>
      <c r="Q17" s="54">
        <f t="shared" si="1"/>
        <v>-2808400</v>
      </c>
      <c r="R17" s="5"/>
    </row>
    <row r="18" spans="1:18" ht="17.25" customHeight="1" x14ac:dyDescent="0.25">
      <c r="A18" s="25">
        <v>11</v>
      </c>
      <c r="B18" s="120">
        <v>44207</v>
      </c>
      <c r="C18" s="10" t="s">
        <v>1807</v>
      </c>
      <c r="D18" s="25" t="s">
        <v>1835</v>
      </c>
      <c r="E18" s="10" t="s">
        <v>108</v>
      </c>
      <c r="F18" s="8"/>
      <c r="G18" s="8"/>
      <c r="H18" s="13"/>
      <c r="I18" s="8"/>
      <c r="J18" s="13"/>
      <c r="K18" s="28"/>
      <c r="L18" s="29"/>
      <c r="M18" s="13"/>
      <c r="N18" s="3"/>
      <c r="O18" s="53">
        <f t="shared" si="0"/>
        <v>0</v>
      </c>
      <c r="P18" s="13">
        <v>2390909</v>
      </c>
      <c r="Q18" s="54">
        <f t="shared" si="1"/>
        <v>2390909</v>
      </c>
      <c r="R18" s="5"/>
    </row>
    <row r="19" spans="1:18" ht="17.25" customHeight="1" x14ac:dyDescent="0.25">
      <c r="A19" s="25">
        <v>12</v>
      </c>
      <c r="B19" s="120">
        <v>44208</v>
      </c>
      <c r="C19" s="10" t="s">
        <v>1808</v>
      </c>
      <c r="D19" s="25" t="s">
        <v>1836</v>
      </c>
      <c r="E19" s="10" t="s">
        <v>799</v>
      </c>
      <c r="F19" s="8"/>
      <c r="G19" s="8"/>
      <c r="H19" s="13"/>
      <c r="I19" s="8"/>
      <c r="J19" s="13">
        <v>1150000</v>
      </c>
      <c r="K19" s="28"/>
      <c r="L19" s="29"/>
      <c r="M19" s="13"/>
      <c r="N19" s="3"/>
      <c r="O19" s="53">
        <f t="shared" si="0"/>
        <v>1150000</v>
      </c>
      <c r="P19" s="13">
        <v>2200000</v>
      </c>
      <c r="Q19" s="54">
        <f t="shared" si="1"/>
        <v>1050000</v>
      </c>
      <c r="R19" s="5"/>
    </row>
    <row r="20" spans="1:18" ht="17.25" customHeight="1" x14ac:dyDescent="0.25">
      <c r="A20" s="25">
        <v>13</v>
      </c>
      <c r="B20" s="120">
        <v>44208</v>
      </c>
      <c r="C20" s="10" t="s">
        <v>1809</v>
      </c>
      <c r="D20" s="25" t="s">
        <v>1836</v>
      </c>
      <c r="E20" s="10" t="s">
        <v>108</v>
      </c>
      <c r="F20" s="8"/>
      <c r="G20" s="8">
        <v>220</v>
      </c>
      <c r="H20" s="13">
        <f>G20*12640</f>
        <v>2780800</v>
      </c>
      <c r="I20" s="8"/>
      <c r="J20" s="13"/>
      <c r="K20" s="28"/>
      <c r="L20" s="29"/>
      <c r="M20" s="13"/>
      <c r="N20" s="3"/>
      <c r="O20" s="53">
        <f t="shared" si="0"/>
        <v>2780800</v>
      </c>
      <c r="P20" s="13">
        <v>2390909</v>
      </c>
      <c r="Q20" s="54">
        <f t="shared" si="1"/>
        <v>-389891</v>
      </c>
      <c r="R20" s="5"/>
    </row>
    <row r="21" spans="1:18" ht="17.25" customHeight="1" x14ac:dyDescent="0.25">
      <c r="A21" s="25">
        <v>14</v>
      </c>
      <c r="B21" s="120">
        <v>44209</v>
      </c>
      <c r="C21" s="10" t="s">
        <v>1810</v>
      </c>
      <c r="D21" s="25" t="s">
        <v>1837</v>
      </c>
      <c r="E21" s="10" t="s">
        <v>1853</v>
      </c>
      <c r="F21" s="8"/>
      <c r="G21" s="8"/>
      <c r="H21" s="13"/>
      <c r="I21" s="8"/>
      <c r="J21" s="13">
        <v>930000</v>
      </c>
      <c r="K21" s="28"/>
      <c r="L21" s="29"/>
      <c r="M21" s="13"/>
      <c r="N21" s="3"/>
      <c r="O21" s="53">
        <f t="shared" si="0"/>
        <v>930000</v>
      </c>
      <c r="P21" s="13">
        <v>3500000</v>
      </c>
      <c r="Q21" s="54">
        <f t="shared" si="1"/>
        <v>2570000</v>
      </c>
      <c r="R21" s="5"/>
    </row>
    <row r="22" spans="1:18" ht="17.25" customHeight="1" x14ac:dyDescent="0.25">
      <c r="A22" s="25">
        <v>15</v>
      </c>
      <c r="B22" s="120">
        <v>44209</v>
      </c>
      <c r="C22" s="10" t="s">
        <v>1811</v>
      </c>
      <c r="D22" s="25" t="s">
        <v>1838</v>
      </c>
      <c r="E22" s="10" t="s">
        <v>1854</v>
      </c>
      <c r="F22" s="8"/>
      <c r="G22" s="8"/>
      <c r="H22" s="13"/>
      <c r="I22" s="8"/>
      <c r="J22" s="13">
        <v>1050000</v>
      </c>
      <c r="K22" s="28"/>
      <c r="L22" s="29"/>
      <c r="M22" s="13"/>
      <c r="N22" s="3"/>
      <c r="O22" s="53">
        <f t="shared" si="0"/>
        <v>1050000</v>
      </c>
      <c r="P22" s="13">
        <v>2300000</v>
      </c>
      <c r="Q22" s="54">
        <f t="shared" si="1"/>
        <v>1250000</v>
      </c>
      <c r="R22" s="5"/>
    </row>
    <row r="23" spans="1:18" ht="17.25" customHeight="1" x14ac:dyDescent="0.25">
      <c r="A23" s="25">
        <v>16</v>
      </c>
      <c r="B23" s="120">
        <v>44210</v>
      </c>
      <c r="C23" s="10" t="s">
        <v>1812</v>
      </c>
      <c r="D23" s="25" t="s">
        <v>1838</v>
      </c>
      <c r="E23" s="10" t="s">
        <v>108</v>
      </c>
      <c r="F23" s="8"/>
      <c r="G23" s="8"/>
      <c r="H23" s="13"/>
      <c r="I23" s="8"/>
      <c r="J23" s="13"/>
      <c r="K23" s="28"/>
      <c r="L23" s="29"/>
      <c r="M23" s="13"/>
      <c r="N23" s="3"/>
      <c r="O23" s="53">
        <f t="shared" si="0"/>
        <v>0</v>
      </c>
      <c r="P23" s="13">
        <v>2390909</v>
      </c>
      <c r="Q23" s="54">
        <f t="shared" si="1"/>
        <v>2390909</v>
      </c>
      <c r="R23" s="5"/>
    </row>
    <row r="24" spans="1:18" ht="17.25" customHeight="1" x14ac:dyDescent="0.25">
      <c r="A24" s="25">
        <v>17</v>
      </c>
      <c r="B24" s="120">
        <v>44210</v>
      </c>
      <c r="C24" s="10" t="s">
        <v>413</v>
      </c>
      <c r="D24" s="25" t="s">
        <v>1839</v>
      </c>
      <c r="E24" s="10" t="s">
        <v>1135</v>
      </c>
      <c r="F24" s="8"/>
      <c r="G24" s="8"/>
      <c r="H24" s="13"/>
      <c r="I24" s="8"/>
      <c r="J24" s="13">
        <v>870000</v>
      </c>
      <c r="K24" s="28"/>
      <c r="L24" s="29"/>
      <c r="M24" s="13"/>
      <c r="N24" s="3"/>
      <c r="O24" s="53">
        <f t="shared" si="0"/>
        <v>870000</v>
      </c>
      <c r="P24" s="13">
        <v>3200000</v>
      </c>
      <c r="Q24" s="54">
        <f t="shared" si="1"/>
        <v>2330000</v>
      </c>
      <c r="R24" s="5"/>
    </row>
    <row r="25" spans="1:18" ht="17.25" customHeight="1" x14ac:dyDescent="0.25">
      <c r="A25" s="25">
        <v>18</v>
      </c>
      <c r="B25" s="120">
        <v>44212</v>
      </c>
      <c r="C25" s="10" t="s">
        <v>1115</v>
      </c>
      <c r="D25" s="25" t="s">
        <v>1840</v>
      </c>
      <c r="E25" s="10" t="s">
        <v>494</v>
      </c>
      <c r="F25" s="8"/>
      <c r="G25" s="8">
        <v>280</v>
      </c>
      <c r="H25" s="13">
        <f t="shared" ref="H25:H34" si="3">G25*12640</f>
        <v>3539200</v>
      </c>
      <c r="I25" s="8"/>
      <c r="J25" s="13">
        <v>810000</v>
      </c>
      <c r="K25" s="28"/>
      <c r="L25" s="29"/>
      <c r="M25" s="13"/>
      <c r="N25" s="3"/>
      <c r="O25" s="53">
        <f t="shared" si="0"/>
        <v>4349200</v>
      </c>
      <c r="P25" s="13">
        <v>3600000</v>
      </c>
      <c r="Q25" s="54">
        <f t="shared" si="1"/>
        <v>-749200</v>
      </c>
      <c r="R25" s="5"/>
    </row>
    <row r="26" spans="1:18" ht="17.25" customHeight="1" x14ac:dyDescent="0.25">
      <c r="A26" s="25">
        <v>19</v>
      </c>
      <c r="B26" s="120">
        <v>44214</v>
      </c>
      <c r="C26" s="10" t="s">
        <v>1813</v>
      </c>
      <c r="D26" s="25" t="s">
        <v>1841</v>
      </c>
      <c r="E26" s="10" t="s">
        <v>1287</v>
      </c>
      <c r="F26" s="8"/>
      <c r="G26" s="8"/>
      <c r="H26" s="13"/>
      <c r="I26" s="8"/>
      <c r="J26" s="13">
        <v>1200000</v>
      </c>
      <c r="K26" s="28"/>
      <c r="L26" s="29"/>
      <c r="M26" s="13"/>
      <c r="N26" s="3"/>
      <c r="O26" s="53">
        <f t="shared" si="0"/>
        <v>1200000</v>
      </c>
      <c r="P26" s="13">
        <v>2472727</v>
      </c>
      <c r="Q26" s="54">
        <f t="shared" si="1"/>
        <v>1272727</v>
      </c>
      <c r="R26" s="5"/>
    </row>
    <row r="27" spans="1:18" ht="17.25" customHeight="1" x14ac:dyDescent="0.25">
      <c r="A27" s="25">
        <v>20</v>
      </c>
      <c r="B27" s="120">
        <v>44214</v>
      </c>
      <c r="C27" s="10" t="s">
        <v>1814</v>
      </c>
      <c r="D27" s="25" t="s">
        <v>1841</v>
      </c>
      <c r="E27" s="10" t="s">
        <v>108</v>
      </c>
      <c r="F27" s="8"/>
      <c r="G27" s="8"/>
      <c r="H27" s="13"/>
      <c r="I27" s="8"/>
      <c r="J27" s="13"/>
      <c r="K27" s="28"/>
      <c r="L27" s="29"/>
      <c r="M27" s="13"/>
      <c r="N27" s="3"/>
      <c r="O27" s="53">
        <f t="shared" si="0"/>
        <v>0</v>
      </c>
      <c r="P27" s="13">
        <v>2390909</v>
      </c>
      <c r="Q27" s="54">
        <f t="shared" si="1"/>
        <v>2390909</v>
      </c>
      <c r="R27" s="5"/>
    </row>
    <row r="28" spans="1:18" ht="17.25" customHeight="1" x14ac:dyDescent="0.25">
      <c r="A28" s="25">
        <v>21</v>
      </c>
      <c r="B28" s="120">
        <v>44215</v>
      </c>
      <c r="C28" s="10" t="s">
        <v>1118</v>
      </c>
      <c r="D28" s="25" t="s">
        <v>1842</v>
      </c>
      <c r="E28" s="10" t="s">
        <v>116</v>
      </c>
      <c r="F28" s="8"/>
      <c r="G28" s="8">
        <v>300</v>
      </c>
      <c r="H28" s="13">
        <f t="shared" si="3"/>
        <v>3792000</v>
      </c>
      <c r="I28" s="8"/>
      <c r="J28" s="13">
        <v>810000</v>
      </c>
      <c r="K28" s="28"/>
      <c r="L28" s="29"/>
      <c r="M28" s="13"/>
      <c r="N28" s="3"/>
      <c r="O28" s="53">
        <f t="shared" si="0"/>
        <v>4602000</v>
      </c>
      <c r="P28" s="13">
        <v>3500000</v>
      </c>
      <c r="Q28" s="54">
        <f t="shared" si="1"/>
        <v>-1102000</v>
      </c>
      <c r="R28" s="5"/>
    </row>
    <row r="29" spans="1:18" ht="17.25" customHeight="1" x14ac:dyDescent="0.25">
      <c r="A29" s="25">
        <v>22</v>
      </c>
      <c r="B29" s="120">
        <v>44215</v>
      </c>
      <c r="C29" s="10" t="s">
        <v>1815</v>
      </c>
      <c r="D29" s="25" t="s">
        <v>1843</v>
      </c>
      <c r="E29" s="10" t="s">
        <v>254</v>
      </c>
      <c r="F29" s="8"/>
      <c r="G29" s="8"/>
      <c r="H29" s="13"/>
      <c r="I29" s="8"/>
      <c r="J29" s="13">
        <v>810000</v>
      </c>
      <c r="K29" s="28"/>
      <c r="L29" s="29"/>
      <c r="M29" s="13"/>
      <c r="N29" s="3"/>
      <c r="O29" s="53">
        <f t="shared" si="0"/>
        <v>810000</v>
      </c>
      <c r="P29" s="13">
        <v>3700000</v>
      </c>
      <c r="Q29" s="54">
        <f t="shared" si="1"/>
        <v>2890000</v>
      </c>
      <c r="R29" s="5"/>
    </row>
    <row r="30" spans="1:18" ht="17.25" customHeight="1" x14ac:dyDescent="0.25">
      <c r="A30" s="25">
        <v>23</v>
      </c>
      <c r="B30" s="120">
        <v>44217</v>
      </c>
      <c r="C30" s="10" t="s">
        <v>1816</v>
      </c>
      <c r="D30" s="25" t="s">
        <v>1844</v>
      </c>
      <c r="E30" s="10" t="s">
        <v>799</v>
      </c>
      <c r="F30" s="8"/>
      <c r="G30" s="8">
        <v>220</v>
      </c>
      <c r="H30" s="13">
        <f t="shared" si="3"/>
        <v>2780800</v>
      </c>
      <c r="I30" s="8"/>
      <c r="J30" s="13">
        <v>680000</v>
      </c>
      <c r="K30" s="28"/>
      <c r="L30" s="29"/>
      <c r="M30" s="13"/>
      <c r="N30" s="3"/>
      <c r="O30" s="53">
        <f t="shared" si="0"/>
        <v>3460800</v>
      </c>
      <c r="P30" s="13">
        <v>2200000</v>
      </c>
      <c r="Q30" s="54">
        <f t="shared" si="1"/>
        <v>-1260800</v>
      </c>
      <c r="R30" s="5"/>
    </row>
    <row r="31" spans="1:18" ht="17.25" customHeight="1" x14ac:dyDescent="0.25">
      <c r="A31" s="25">
        <v>24</v>
      </c>
      <c r="B31" s="120">
        <v>44217</v>
      </c>
      <c r="C31" s="10" t="s">
        <v>1817</v>
      </c>
      <c r="D31" s="25" t="s">
        <v>1845</v>
      </c>
      <c r="E31" s="10" t="s">
        <v>799</v>
      </c>
      <c r="F31" s="8"/>
      <c r="G31" s="8"/>
      <c r="H31" s="13"/>
      <c r="I31" s="8"/>
      <c r="J31" s="13">
        <v>680000</v>
      </c>
      <c r="K31" s="28"/>
      <c r="L31" s="29"/>
      <c r="M31" s="13"/>
      <c r="N31" s="3"/>
      <c r="O31" s="53">
        <f t="shared" si="0"/>
        <v>680000</v>
      </c>
      <c r="P31" s="13">
        <v>2200000</v>
      </c>
      <c r="Q31" s="54">
        <f t="shared" si="1"/>
        <v>1520000</v>
      </c>
      <c r="R31" s="5"/>
    </row>
    <row r="32" spans="1:18" ht="17.25" customHeight="1" x14ac:dyDescent="0.25">
      <c r="A32" s="25">
        <v>25</v>
      </c>
      <c r="B32" s="120">
        <v>44217</v>
      </c>
      <c r="C32" s="10" t="s">
        <v>1818</v>
      </c>
      <c r="D32" s="25" t="s">
        <v>1846</v>
      </c>
      <c r="E32" s="10" t="s">
        <v>1855</v>
      </c>
      <c r="F32" s="8"/>
      <c r="G32" s="8"/>
      <c r="H32" s="13"/>
      <c r="I32" s="8"/>
      <c r="J32" s="13">
        <v>810000</v>
      </c>
      <c r="K32" s="28"/>
      <c r="L32" s="29"/>
      <c r="M32" s="13"/>
      <c r="N32" s="3"/>
      <c r="O32" s="53">
        <f t="shared" si="0"/>
        <v>810000</v>
      </c>
      <c r="P32" s="13">
        <v>4263636</v>
      </c>
      <c r="Q32" s="54">
        <f t="shared" si="1"/>
        <v>3453636</v>
      </c>
      <c r="R32" s="5"/>
    </row>
    <row r="33" spans="1:18" ht="17.25" customHeight="1" x14ac:dyDescent="0.25">
      <c r="A33" s="25">
        <v>26</v>
      </c>
      <c r="B33" s="120">
        <v>44218</v>
      </c>
      <c r="C33" s="10" t="s">
        <v>1819</v>
      </c>
      <c r="D33" s="25" t="s">
        <v>1847</v>
      </c>
      <c r="E33" s="10" t="s">
        <v>799</v>
      </c>
      <c r="F33" s="8"/>
      <c r="G33" s="8"/>
      <c r="H33" s="13"/>
      <c r="I33" s="8"/>
      <c r="J33" s="13">
        <v>1230000</v>
      </c>
      <c r="K33" s="28"/>
      <c r="L33" s="29"/>
      <c r="M33" s="13"/>
      <c r="N33" s="3"/>
      <c r="O33" s="53">
        <f t="shared" si="0"/>
        <v>1230000</v>
      </c>
      <c r="P33" s="13">
        <v>2654545</v>
      </c>
      <c r="Q33" s="54">
        <f t="shared" si="1"/>
        <v>1424545</v>
      </c>
      <c r="R33" s="5"/>
    </row>
    <row r="34" spans="1:18" ht="17.25" customHeight="1" x14ac:dyDescent="0.25">
      <c r="A34" s="25">
        <v>27</v>
      </c>
      <c r="B34" s="120">
        <v>44219</v>
      </c>
      <c r="C34" s="10" t="s">
        <v>1820</v>
      </c>
      <c r="D34" s="25" t="s">
        <v>1847</v>
      </c>
      <c r="E34" s="10" t="s">
        <v>108</v>
      </c>
      <c r="F34" s="8"/>
      <c r="G34" s="8">
        <v>210</v>
      </c>
      <c r="H34" s="13">
        <f t="shared" si="3"/>
        <v>2654400</v>
      </c>
      <c r="I34" s="8"/>
      <c r="J34" s="13"/>
      <c r="K34" s="28"/>
      <c r="L34" s="29"/>
      <c r="M34" s="13"/>
      <c r="N34" s="3"/>
      <c r="O34" s="53">
        <f t="shared" si="0"/>
        <v>2654400</v>
      </c>
      <c r="P34" s="13">
        <v>2390909</v>
      </c>
      <c r="Q34" s="54">
        <f t="shared" si="1"/>
        <v>-263491</v>
      </c>
      <c r="R34" s="5"/>
    </row>
    <row r="35" spans="1:18" ht="17.25" customHeight="1" x14ac:dyDescent="0.25">
      <c r="A35" s="25">
        <v>28</v>
      </c>
      <c r="B35" s="120">
        <v>44221</v>
      </c>
      <c r="C35" s="10" t="s">
        <v>1821</v>
      </c>
      <c r="D35" s="25" t="s">
        <v>1848</v>
      </c>
      <c r="E35" s="10" t="s">
        <v>1856</v>
      </c>
      <c r="F35" s="8"/>
      <c r="G35" s="8"/>
      <c r="H35" s="13"/>
      <c r="I35" s="8"/>
      <c r="J35" s="13">
        <v>980000</v>
      </c>
      <c r="K35" s="28"/>
      <c r="L35" s="29"/>
      <c r="M35" s="13"/>
      <c r="N35" s="3"/>
      <c r="O35" s="53">
        <f t="shared" si="0"/>
        <v>980000</v>
      </c>
      <c r="P35" s="13">
        <v>2472727</v>
      </c>
      <c r="Q35" s="54">
        <f t="shared" si="1"/>
        <v>1492727</v>
      </c>
      <c r="R35" s="5"/>
    </row>
    <row r="36" spans="1:18" ht="17.25" customHeight="1" x14ac:dyDescent="0.25">
      <c r="A36" s="25">
        <v>29</v>
      </c>
      <c r="B36" s="120">
        <v>44221</v>
      </c>
      <c r="C36" s="10" t="s">
        <v>1822</v>
      </c>
      <c r="D36" s="25" t="s">
        <v>1848</v>
      </c>
      <c r="E36" s="10" t="s">
        <v>1666</v>
      </c>
      <c r="F36" s="8"/>
      <c r="G36" s="8"/>
      <c r="H36" s="13"/>
      <c r="I36" s="8"/>
      <c r="J36" s="13"/>
      <c r="K36" s="28"/>
      <c r="L36" s="29"/>
      <c r="M36" s="13"/>
      <c r="N36" s="3"/>
      <c r="O36" s="53">
        <f t="shared" si="0"/>
        <v>0</v>
      </c>
      <c r="P36" s="13">
        <v>1610000</v>
      </c>
      <c r="Q36" s="54">
        <f t="shared" si="1"/>
        <v>1610000</v>
      </c>
      <c r="R36" s="5"/>
    </row>
    <row r="37" spans="1:18" ht="17.25" customHeight="1" x14ac:dyDescent="0.25">
      <c r="A37" s="25">
        <v>30</v>
      </c>
      <c r="B37" s="120">
        <v>44221</v>
      </c>
      <c r="C37" s="10" t="s">
        <v>1823</v>
      </c>
      <c r="D37" s="25" t="s">
        <v>1849</v>
      </c>
      <c r="E37" s="10" t="s">
        <v>330</v>
      </c>
      <c r="F37" s="8"/>
      <c r="G37" s="8"/>
      <c r="H37" s="13"/>
      <c r="I37" s="8"/>
      <c r="J37" s="13">
        <v>680000</v>
      </c>
      <c r="K37" s="28"/>
      <c r="L37" s="29"/>
      <c r="M37" s="13"/>
      <c r="N37" s="3"/>
      <c r="O37" s="53">
        <f t="shared" si="0"/>
        <v>680000</v>
      </c>
      <c r="P37" s="13">
        <v>3200000</v>
      </c>
      <c r="Q37" s="54">
        <f t="shared" si="1"/>
        <v>2520000</v>
      </c>
      <c r="R37" s="5"/>
    </row>
    <row r="38" spans="1:18" ht="17.25" customHeight="1" x14ac:dyDescent="0.25">
      <c r="A38" s="25">
        <v>31</v>
      </c>
      <c r="B38" s="120">
        <v>44223</v>
      </c>
      <c r="C38" s="10" t="s">
        <v>1824</v>
      </c>
      <c r="D38" s="25" t="s">
        <v>1850</v>
      </c>
      <c r="E38" s="10" t="s">
        <v>122</v>
      </c>
      <c r="F38" s="8"/>
      <c r="G38" s="8"/>
      <c r="H38" s="13"/>
      <c r="I38" s="8"/>
      <c r="J38" s="13">
        <v>930000</v>
      </c>
      <c r="K38" s="28"/>
      <c r="L38" s="29"/>
      <c r="M38" s="13"/>
      <c r="N38" s="3"/>
      <c r="O38" s="53">
        <f t="shared" si="0"/>
        <v>930000</v>
      </c>
      <c r="P38" s="13">
        <v>3200000</v>
      </c>
      <c r="Q38" s="54">
        <f t="shared" si="1"/>
        <v>2270000</v>
      </c>
      <c r="R38" s="5"/>
    </row>
    <row r="39" spans="1:18" ht="17.25" customHeight="1" x14ac:dyDescent="0.25">
      <c r="A39" s="25">
        <v>32</v>
      </c>
      <c r="B39" s="120">
        <v>44223</v>
      </c>
      <c r="C39" s="10" t="s">
        <v>1825</v>
      </c>
      <c r="D39" s="25" t="s">
        <v>1850</v>
      </c>
      <c r="E39" s="10" t="s">
        <v>736</v>
      </c>
      <c r="F39" s="8"/>
      <c r="G39" s="8"/>
      <c r="H39" s="13"/>
      <c r="I39" s="8"/>
      <c r="J39" s="13">
        <v>300000</v>
      </c>
      <c r="K39" s="28"/>
      <c r="L39" s="29"/>
      <c r="M39" s="13"/>
      <c r="N39" s="3"/>
      <c r="O39" s="53">
        <f t="shared" si="0"/>
        <v>300000</v>
      </c>
      <c r="P39" s="13">
        <v>2000000</v>
      </c>
      <c r="Q39" s="54">
        <f t="shared" si="1"/>
        <v>1700000</v>
      </c>
      <c r="R39" s="5"/>
    </row>
    <row r="40" spans="1:18" ht="17.25" customHeight="1" x14ac:dyDescent="0.25">
      <c r="A40" s="25">
        <v>33</v>
      </c>
      <c r="B40" s="120">
        <v>44225</v>
      </c>
      <c r="C40" s="10" t="s">
        <v>1826</v>
      </c>
      <c r="D40" s="25" t="s">
        <v>1851</v>
      </c>
      <c r="E40" s="10" t="s">
        <v>1043</v>
      </c>
      <c r="F40" s="8"/>
      <c r="G40" s="8">
        <v>290</v>
      </c>
      <c r="H40" s="13">
        <f>G40*13040</f>
        <v>3781600</v>
      </c>
      <c r="I40" s="8"/>
      <c r="J40" s="13">
        <v>810000</v>
      </c>
      <c r="K40" s="28"/>
      <c r="L40" s="29"/>
      <c r="M40" s="13"/>
      <c r="N40" s="3"/>
      <c r="O40" s="53">
        <f t="shared" si="0"/>
        <v>4591600</v>
      </c>
      <c r="P40" s="13">
        <v>4727273</v>
      </c>
      <c r="Q40" s="54">
        <f t="shared" si="1"/>
        <v>135673</v>
      </c>
      <c r="R40" s="5"/>
    </row>
    <row r="41" spans="1:18" ht="17.25" customHeight="1" x14ac:dyDescent="0.25">
      <c r="A41" s="25">
        <v>34</v>
      </c>
      <c r="B41" s="120">
        <v>44226</v>
      </c>
      <c r="C41" s="10" t="s">
        <v>1827</v>
      </c>
      <c r="D41" s="25" t="s">
        <v>1852</v>
      </c>
      <c r="E41" s="10" t="s">
        <v>1766</v>
      </c>
      <c r="F41" s="8"/>
      <c r="G41" s="8"/>
      <c r="H41" s="13"/>
      <c r="I41" s="8"/>
      <c r="J41" s="13">
        <v>810000</v>
      </c>
      <c r="K41" s="28"/>
      <c r="L41" s="29"/>
      <c r="M41" s="13"/>
      <c r="N41" s="3"/>
      <c r="O41" s="53">
        <f t="shared" si="0"/>
        <v>810000</v>
      </c>
      <c r="P41" s="13">
        <v>3472727</v>
      </c>
      <c r="Q41" s="54">
        <f t="shared" si="1"/>
        <v>2662727</v>
      </c>
      <c r="R41" s="5"/>
    </row>
    <row r="42" spans="1:18" ht="17.25" customHeight="1" x14ac:dyDescent="0.25">
      <c r="A42" s="25">
        <v>35</v>
      </c>
      <c r="B42" s="120">
        <v>44226</v>
      </c>
      <c r="C42" s="10" t="s">
        <v>1828</v>
      </c>
      <c r="D42" s="25" t="s">
        <v>1852</v>
      </c>
      <c r="E42" s="10" t="s">
        <v>1761</v>
      </c>
      <c r="F42" s="8"/>
      <c r="G42" s="8">
        <v>310</v>
      </c>
      <c r="H42" s="13">
        <f t="shared" ref="H42" si="4">G42*13040</f>
        <v>4042400</v>
      </c>
      <c r="I42" s="8"/>
      <c r="J42" s="13">
        <v>1550000</v>
      </c>
      <c r="K42" s="28"/>
      <c r="L42" s="29"/>
      <c r="M42" s="13"/>
      <c r="N42" s="3"/>
      <c r="O42" s="53">
        <f t="shared" si="0"/>
        <v>5592400</v>
      </c>
      <c r="P42" s="13">
        <v>5763636</v>
      </c>
      <c r="Q42" s="54">
        <f t="shared" si="1"/>
        <v>171236</v>
      </c>
      <c r="R42" s="5"/>
    </row>
    <row r="43" spans="1:18" ht="12.75" customHeight="1" x14ac:dyDescent="0.25">
      <c r="A43" s="25"/>
      <c r="B43" s="44"/>
      <c r="C43" s="10"/>
      <c r="D43" s="8"/>
      <c r="E43" s="10"/>
      <c r="F43" s="8"/>
      <c r="G43" s="8"/>
      <c r="H43" s="13"/>
      <c r="I43" s="8"/>
      <c r="J43" s="13"/>
      <c r="K43" s="28"/>
      <c r="L43" s="29"/>
      <c r="M43" s="13"/>
      <c r="N43" s="13"/>
      <c r="O43" s="53"/>
      <c r="P43" s="13"/>
      <c r="Q43" s="54"/>
      <c r="R43" s="5"/>
    </row>
    <row r="44" spans="1:18" ht="18" customHeight="1" x14ac:dyDescent="0.25">
      <c r="A44" s="8"/>
      <c r="B44" s="8"/>
      <c r="C44" s="182" t="s">
        <v>131</v>
      </c>
      <c r="D44" s="183"/>
      <c r="E44" s="183"/>
      <c r="F44" s="184"/>
      <c r="G44" s="30"/>
      <c r="H44" s="28"/>
      <c r="I44" s="30"/>
      <c r="J44" s="28"/>
      <c r="K44" s="28"/>
      <c r="L44" s="28">
        <v>1200000</v>
      </c>
      <c r="M44" s="28"/>
      <c r="N44" s="28"/>
      <c r="O44" s="53">
        <f t="shared" ref="O44:O54" si="5">H44+J44+K44+L44+M44+N44</f>
        <v>1200000</v>
      </c>
      <c r="P44" s="28"/>
      <c r="Q44" s="54"/>
    </row>
    <row r="45" spans="1:18" ht="27.75" customHeight="1" x14ac:dyDescent="0.25">
      <c r="A45" s="8"/>
      <c r="B45" s="8"/>
      <c r="C45" s="196" t="s">
        <v>1861</v>
      </c>
      <c r="D45" s="197"/>
      <c r="E45" s="197"/>
      <c r="F45" s="198"/>
      <c r="G45" s="30"/>
      <c r="H45" s="28"/>
      <c r="I45" s="30"/>
      <c r="J45" s="28"/>
      <c r="K45" s="28"/>
      <c r="L45" s="28">
        <v>235000</v>
      </c>
      <c r="M45" s="28"/>
      <c r="N45" s="28"/>
      <c r="O45" s="53">
        <f t="shared" si="5"/>
        <v>235000</v>
      </c>
      <c r="P45" s="28"/>
      <c r="Q45" s="54"/>
    </row>
    <row r="46" spans="1:18" ht="27.75" customHeight="1" x14ac:dyDescent="0.25">
      <c r="A46" s="8"/>
      <c r="B46" s="8"/>
      <c r="C46" s="196" t="s">
        <v>1862</v>
      </c>
      <c r="D46" s="197"/>
      <c r="E46" s="197"/>
      <c r="F46" s="198"/>
      <c r="G46" s="30"/>
      <c r="H46" s="28"/>
      <c r="I46" s="30"/>
      <c r="J46" s="28"/>
      <c r="K46" s="28"/>
      <c r="L46" s="28">
        <v>200000</v>
      </c>
      <c r="M46" s="28"/>
      <c r="N46" s="28"/>
      <c r="O46" s="53">
        <f t="shared" si="5"/>
        <v>200000</v>
      </c>
      <c r="P46" s="28"/>
      <c r="Q46" s="54"/>
    </row>
    <row r="47" spans="1:18" ht="24" customHeight="1" x14ac:dyDescent="0.25">
      <c r="A47" s="8"/>
      <c r="B47" s="8"/>
      <c r="C47" s="196" t="s">
        <v>1863</v>
      </c>
      <c r="D47" s="197"/>
      <c r="E47" s="197"/>
      <c r="F47" s="198"/>
      <c r="G47" s="30"/>
      <c r="H47" s="28"/>
      <c r="I47" s="30"/>
      <c r="J47" s="28"/>
      <c r="K47" s="28"/>
      <c r="L47" s="28">
        <v>1100000</v>
      </c>
      <c r="M47" s="28"/>
      <c r="N47" s="28"/>
      <c r="O47" s="53">
        <f t="shared" si="5"/>
        <v>1100000</v>
      </c>
      <c r="P47" s="28"/>
      <c r="Q47" s="54"/>
    </row>
    <row r="48" spans="1:18" ht="24" customHeight="1" x14ac:dyDescent="0.25">
      <c r="A48" s="8"/>
      <c r="B48" s="8"/>
      <c r="C48" s="196" t="s">
        <v>1864</v>
      </c>
      <c r="D48" s="197"/>
      <c r="E48" s="197"/>
      <c r="F48" s="198"/>
      <c r="G48" s="30"/>
      <c r="H48" s="28"/>
      <c r="I48" s="30"/>
      <c r="J48" s="28"/>
      <c r="K48" s="28"/>
      <c r="L48" s="28">
        <v>380000</v>
      </c>
      <c r="M48" s="28"/>
      <c r="N48" s="28"/>
      <c r="O48" s="53">
        <f t="shared" si="5"/>
        <v>380000</v>
      </c>
      <c r="P48" s="28"/>
      <c r="Q48" s="54"/>
    </row>
    <row r="49" spans="1:17" ht="24" customHeight="1" x14ac:dyDescent="0.25">
      <c r="A49" s="8"/>
      <c r="B49" s="8"/>
      <c r="C49" s="196" t="s">
        <v>1865</v>
      </c>
      <c r="D49" s="197"/>
      <c r="E49" s="197"/>
      <c r="F49" s="198"/>
      <c r="G49" s="30"/>
      <c r="H49" s="28"/>
      <c r="I49" s="30"/>
      <c r="J49" s="28"/>
      <c r="K49" s="28"/>
      <c r="L49" s="28">
        <v>2200000</v>
      </c>
      <c r="M49" s="28"/>
      <c r="N49" s="28"/>
      <c r="O49" s="53">
        <f t="shared" si="5"/>
        <v>2200000</v>
      </c>
      <c r="P49" s="28"/>
      <c r="Q49" s="54"/>
    </row>
    <row r="50" spans="1:17" ht="24" customHeight="1" x14ac:dyDescent="0.25">
      <c r="A50" s="8"/>
      <c r="B50" s="8"/>
      <c r="C50" s="196" t="s">
        <v>1866</v>
      </c>
      <c r="D50" s="197"/>
      <c r="E50" s="197"/>
      <c r="F50" s="198"/>
      <c r="G50" s="30"/>
      <c r="H50" s="28"/>
      <c r="I50" s="30"/>
      <c r="J50" s="28"/>
      <c r="K50" s="28"/>
      <c r="L50" s="28">
        <v>200000</v>
      </c>
      <c r="M50" s="28"/>
      <c r="N50" s="28"/>
      <c r="O50" s="53">
        <f t="shared" si="5"/>
        <v>200000</v>
      </c>
      <c r="P50" s="28"/>
      <c r="Q50" s="54"/>
    </row>
    <row r="51" spans="1:17" ht="24" customHeight="1" x14ac:dyDescent="0.25">
      <c r="A51" s="8"/>
      <c r="B51" s="8"/>
      <c r="C51" s="196" t="s">
        <v>1867</v>
      </c>
      <c r="D51" s="197"/>
      <c r="E51" s="197"/>
      <c r="F51" s="198"/>
      <c r="G51" s="30"/>
      <c r="H51" s="28"/>
      <c r="I51" s="30"/>
      <c r="J51" s="28"/>
      <c r="K51" s="28"/>
      <c r="L51" s="28">
        <v>450000</v>
      </c>
      <c r="M51" s="28"/>
      <c r="N51" s="28"/>
      <c r="O51" s="53">
        <f t="shared" si="5"/>
        <v>450000</v>
      </c>
      <c r="P51" s="28"/>
      <c r="Q51" s="54"/>
    </row>
    <row r="52" spans="1:17" ht="24" customHeight="1" x14ac:dyDescent="0.25">
      <c r="A52" s="8"/>
      <c r="B52" s="8"/>
      <c r="C52" s="196" t="s">
        <v>1868</v>
      </c>
      <c r="D52" s="197"/>
      <c r="E52" s="197"/>
      <c r="F52" s="198"/>
      <c r="G52" s="30"/>
      <c r="H52" s="28"/>
      <c r="I52" s="30"/>
      <c r="J52" s="28"/>
      <c r="K52" s="28"/>
      <c r="L52" s="28">
        <v>950000</v>
      </c>
      <c r="M52" s="28"/>
      <c r="N52" s="28"/>
      <c r="O52" s="53">
        <f t="shared" si="5"/>
        <v>950000</v>
      </c>
      <c r="P52" s="28"/>
      <c r="Q52" s="54"/>
    </row>
    <row r="53" spans="1:17" ht="24" customHeight="1" x14ac:dyDescent="0.25">
      <c r="A53" s="8"/>
      <c r="B53" s="8"/>
      <c r="C53" s="196" t="s">
        <v>1869</v>
      </c>
      <c r="D53" s="197"/>
      <c r="E53" s="197"/>
      <c r="F53" s="198"/>
      <c r="G53" s="30"/>
      <c r="H53" s="28"/>
      <c r="I53" s="30"/>
      <c r="J53" s="28"/>
      <c r="K53" s="28"/>
      <c r="L53" s="28">
        <v>500000</v>
      </c>
      <c r="M53" s="28"/>
      <c r="N53" s="28"/>
      <c r="O53" s="53">
        <f t="shared" si="5"/>
        <v>500000</v>
      </c>
      <c r="P53" s="28"/>
      <c r="Q53" s="54"/>
    </row>
    <row r="54" spans="1:17" ht="25.5" customHeight="1" x14ac:dyDescent="0.25">
      <c r="A54" s="8"/>
      <c r="B54" s="8"/>
      <c r="C54" s="191" t="s">
        <v>132</v>
      </c>
      <c r="D54" s="192"/>
      <c r="E54" s="192"/>
      <c r="F54" s="195"/>
      <c r="G54" s="30"/>
      <c r="H54" s="28"/>
      <c r="I54" s="30"/>
      <c r="J54" s="28"/>
      <c r="K54" s="28">
        <f>26/26*9000000</f>
        <v>9000000</v>
      </c>
      <c r="L54" s="28"/>
      <c r="M54" s="28"/>
      <c r="N54" s="28"/>
      <c r="O54" s="53">
        <f t="shared" si="5"/>
        <v>9000000</v>
      </c>
      <c r="P54" s="28"/>
      <c r="Q54" s="54"/>
    </row>
    <row r="55" spans="1:17" x14ac:dyDescent="0.25">
      <c r="A55" s="166" t="s">
        <v>19</v>
      </c>
      <c r="B55" s="167"/>
      <c r="C55" s="167"/>
      <c r="D55" s="167"/>
      <c r="E55" s="167"/>
      <c r="F55" s="168"/>
      <c r="G55" s="88">
        <f t="shared" ref="G55:N55" si="6">SUM(G7:G54)</f>
        <v>2555</v>
      </c>
      <c r="H55" s="4">
        <f t="shared" si="6"/>
        <v>32339450</v>
      </c>
      <c r="I55" s="4">
        <f t="shared" si="6"/>
        <v>0</v>
      </c>
      <c r="J55" s="4">
        <f t="shared" si="6"/>
        <v>25220000</v>
      </c>
      <c r="K55" s="4">
        <f t="shared" si="6"/>
        <v>9000000</v>
      </c>
      <c r="L55" s="4">
        <f t="shared" si="6"/>
        <v>7415000</v>
      </c>
      <c r="M55" s="4">
        <f t="shared" si="6"/>
        <v>0</v>
      </c>
      <c r="N55" s="4">
        <f t="shared" si="6"/>
        <v>0</v>
      </c>
      <c r="O55" s="4">
        <f>SUM(O7:O54)</f>
        <v>73974450</v>
      </c>
      <c r="P55" s="4">
        <f>SUM(P8:P54)</f>
        <v>107904543</v>
      </c>
      <c r="Q55" s="122">
        <f>P55-O55</f>
        <v>33930093</v>
      </c>
    </row>
    <row r="56" spans="1:17" x14ac:dyDescent="0.25">
      <c r="O56" s="20"/>
      <c r="P56" s="5" t="s">
        <v>1796</v>
      </c>
      <c r="Q56" s="26"/>
    </row>
    <row r="57" spans="1:17" x14ac:dyDescent="0.25">
      <c r="P57" s="21" t="s">
        <v>20</v>
      </c>
      <c r="Q57" s="26">
        <f>Q55</f>
        <v>33930093</v>
      </c>
    </row>
    <row r="58" spans="1:17" x14ac:dyDescent="0.25">
      <c r="C58" s="6" t="s">
        <v>993</v>
      </c>
    </row>
    <row r="59" spans="1:17" x14ac:dyDescent="0.25">
      <c r="C59" s="205"/>
      <c r="D59" s="205"/>
      <c r="E59" s="205"/>
      <c r="F59" s="205"/>
      <c r="H59" s="109"/>
    </row>
    <row r="60" spans="1:17" x14ac:dyDescent="0.25">
      <c r="C60" s="206"/>
      <c r="D60" s="206"/>
      <c r="E60" s="206"/>
      <c r="F60" s="206"/>
      <c r="H60" s="109"/>
    </row>
    <row r="61" spans="1:17" x14ac:dyDescent="0.25">
      <c r="B61" s="6"/>
      <c r="C61" s="110"/>
      <c r="D61" s="110"/>
      <c r="E61" s="110"/>
      <c r="F61" s="110"/>
      <c r="H61" s="109"/>
    </row>
    <row r="62" spans="1:17" x14ac:dyDescent="0.25">
      <c r="B62" s="6"/>
      <c r="C62" s="206"/>
      <c r="D62" s="206"/>
      <c r="E62" s="206"/>
      <c r="F62" s="206"/>
      <c r="H62" s="109"/>
    </row>
    <row r="63" spans="1:17" x14ac:dyDescent="0.25">
      <c r="B63" s="6"/>
      <c r="C63" s="206"/>
      <c r="D63" s="206"/>
      <c r="E63" s="206"/>
      <c r="F63" s="206"/>
      <c r="H63" s="109"/>
    </row>
    <row r="64" spans="1:17" x14ac:dyDescent="0.25">
      <c r="B64" s="6"/>
      <c r="C64" s="206"/>
      <c r="D64" s="206"/>
      <c r="E64" s="206"/>
      <c r="F64" s="206"/>
      <c r="H64" s="109"/>
      <c r="J64" s="6"/>
      <c r="K64" s="6"/>
      <c r="L64" s="6"/>
      <c r="M64" s="6"/>
      <c r="N64" s="6"/>
      <c r="O64" s="6"/>
      <c r="P64" s="6"/>
      <c r="Q64" s="6"/>
    </row>
    <row r="65" spans="3:8" x14ac:dyDescent="0.2">
      <c r="C65" s="107"/>
      <c r="D65" s="110"/>
      <c r="E65" s="110"/>
      <c r="F65" s="110"/>
      <c r="H65" s="109"/>
    </row>
    <row r="66" spans="3:8" x14ac:dyDescent="0.25">
      <c r="C66" s="205"/>
      <c r="D66" s="205"/>
      <c r="E66" s="205"/>
      <c r="F66" s="205"/>
    </row>
  </sheetData>
  <mergeCells count="31">
    <mergeCell ref="C49:F49"/>
    <mergeCell ref="C50:F50"/>
    <mergeCell ref="C64:F64"/>
    <mergeCell ref="C66:F66"/>
    <mergeCell ref="C54:F54"/>
    <mergeCell ref="A55:F55"/>
    <mergeCell ref="C59:F59"/>
    <mergeCell ref="C60:F60"/>
    <mergeCell ref="C62:F62"/>
    <mergeCell ref="C63:F63"/>
    <mergeCell ref="C51:F51"/>
    <mergeCell ref="C52:F52"/>
    <mergeCell ref="C53:F53"/>
    <mergeCell ref="C44:F44"/>
    <mergeCell ref="C45:F45"/>
    <mergeCell ref="C46:F46"/>
    <mergeCell ref="C47:F47"/>
    <mergeCell ref="C48:F48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49"/>
  <sheetViews>
    <sheetView topLeftCell="B28" workbookViewId="0">
      <selection activeCell="M29" sqref="M29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1870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44228</v>
      </c>
      <c r="C8" s="10" t="s">
        <v>1871</v>
      </c>
      <c r="D8" s="25" t="s">
        <v>1890</v>
      </c>
      <c r="E8" s="10" t="s">
        <v>1909</v>
      </c>
      <c r="F8" s="8"/>
      <c r="G8" s="8"/>
      <c r="H8" s="13"/>
      <c r="I8" s="8"/>
      <c r="J8" s="13">
        <v>980000</v>
      </c>
      <c r="K8" s="28"/>
      <c r="L8" s="29"/>
      <c r="M8" s="13"/>
      <c r="N8" s="13"/>
      <c r="O8" s="53">
        <f>H8+J8+K8+L8+M8+N8</f>
        <v>980000</v>
      </c>
      <c r="P8" s="13">
        <v>2563636</v>
      </c>
      <c r="Q8" s="54">
        <f>P8-O8</f>
        <v>1583636</v>
      </c>
      <c r="R8" s="5"/>
    </row>
    <row r="9" spans="1:18" ht="17.25" customHeight="1" x14ac:dyDescent="0.25">
      <c r="A9" s="25">
        <v>2</v>
      </c>
      <c r="B9" s="120">
        <v>44228</v>
      </c>
      <c r="C9" s="10" t="s">
        <v>1872</v>
      </c>
      <c r="D9" s="129" t="s">
        <v>1890</v>
      </c>
      <c r="E9" s="9" t="s">
        <v>1666</v>
      </c>
      <c r="F9" s="117"/>
      <c r="H9" s="13"/>
      <c r="I9" s="117"/>
      <c r="J9" s="119"/>
      <c r="K9" s="28"/>
      <c r="L9" s="29"/>
      <c r="M9" s="13"/>
      <c r="N9" s="3"/>
      <c r="O9" s="53">
        <f t="shared" ref="O9:O28" si="0">H9+J9+K9+L9+M9+N9</f>
        <v>0</v>
      </c>
      <c r="P9" s="13">
        <v>1673636</v>
      </c>
      <c r="Q9" s="54">
        <f t="shared" ref="Q9:Q29" si="1">P9-O9</f>
        <v>1673636</v>
      </c>
      <c r="R9" s="5"/>
    </row>
    <row r="10" spans="1:18" ht="17.25" customHeight="1" x14ac:dyDescent="0.25">
      <c r="A10" s="25">
        <v>3</v>
      </c>
      <c r="B10" s="120">
        <v>44228</v>
      </c>
      <c r="C10" s="10" t="s">
        <v>1873</v>
      </c>
      <c r="D10" s="25" t="s">
        <v>1891</v>
      </c>
      <c r="E10" s="10" t="s">
        <v>1910</v>
      </c>
      <c r="F10" s="8"/>
      <c r="G10" s="8"/>
      <c r="H10" s="13"/>
      <c r="I10" s="8"/>
      <c r="J10" s="13">
        <v>810000</v>
      </c>
      <c r="K10" s="28"/>
      <c r="L10" s="29"/>
      <c r="M10" s="13"/>
      <c r="N10" s="3"/>
      <c r="O10" s="53">
        <f t="shared" si="0"/>
        <v>810000</v>
      </c>
      <c r="P10" s="13">
        <v>3418182</v>
      </c>
      <c r="Q10" s="54">
        <f t="shared" si="1"/>
        <v>2608182</v>
      </c>
      <c r="R10" s="5"/>
    </row>
    <row r="11" spans="1:18" ht="24" customHeight="1" x14ac:dyDescent="0.25">
      <c r="A11" s="25">
        <v>4</v>
      </c>
      <c r="B11" s="120">
        <v>44229</v>
      </c>
      <c r="C11" s="10" t="s">
        <v>1874</v>
      </c>
      <c r="D11" s="25" t="s">
        <v>1892</v>
      </c>
      <c r="E11" s="10" t="s">
        <v>1177</v>
      </c>
      <c r="F11" s="8"/>
      <c r="G11" s="8"/>
      <c r="H11" s="13"/>
      <c r="I11" s="8"/>
      <c r="J11" s="13">
        <f>1230000+80000</f>
        <v>1310000</v>
      </c>
      <c r="K11" s="28"/>
      <c r="L11" s="29"/>
      <c r="M11" s="13"/>
      <c r="N11" s="3"/>
      <c r="O11" s="53">
        <f t="shared" si="0"/>
        <v>1310000</v>
      </c>
      <c r="P11" s="13">
        <v>3700000</v>
      </c>
      <c r="Q11" s="54">
        <f t="shared" si="1"/>
        <v>2390000</v>
      </c>
      <c r="R11" s="5"/>
    </row>
    <row r="12" spans="1:18" ht="17.25" customHeight="1" x14ac:dyDescent="0.25">
      <c r="A12" s="25">
        <v>5</v>
      </c>
      <c r="B12" s="120">
        <v>44230</v>
      </c>
      <c r="C12" s="10" t="s">
        <v>1875</v>
      </c>
      <c r="D12" s="25" t="s">
        <v>1892</v>
      </c>
      <c r="E12" s="10" t="s">
        <v>1911</v>
      </c>
      <c r="F12" s="8"/>
      <c r="G12" s="8">
        <v>310</v>
      </c>
      <c r="H12" s="13">
        <f>G12*13040</f>
        <v>4042400</v>
      </c>
      <c r="I12" s="8"/>
      <c r="J12" s="13"/>
      <c r="K12" s="28"/>
      <c r="L12" s="29"/>
      <c r="M12" s="13"/>
      <c r="N12" s="3"/>
      <c r="O12" s="53">
        <f t="shared" si="0"/>
        <v>4042400</v>
      </c>
      <c r="P12" s="13">
        <v>2100000</v>
      </c>
      <c r="Q12" s="54">
        <f t="shared" si="1"/>
        <v>-1942400</v>
      </c>
      <c r="R12" s="5"/>
    </row>
    <row r="13" spans="1:18" ht="17.25" customHeight="1" x14ac:dyDescent="0.25">
      <c r="A13" s="25">
        <v>6</v>
      </c>
      <c r="B13" s="120">
        <v>44230</v>
      </c>
      <c r="C13" s="10" t="s">
        <v>1876</v>
      </c>
      <c r="D13" s="25" t="s">
        <v>1893</v>
      </c>
      <c r="E13" s="10" t="s">
        <v>121</v>
      </c>
      <c r="F13" s="8"/>
      <c r="G13" s="8">
        <v>210</v>
      </c>
      <c r="H13" s="13">
        <f t="shared" ref="H13:H25" si="2">G13*13040</f>
        <v>2738400</v>
      </c>
      <c r="I13" s="8"/>
      <c r="J13" s="13">
        <v>2470000</v>
      </c>
      <c r="K13" s="28"/>
      <c r="L13" s="29"/>
      <c r="M13" s="13"/>
      <c r="N13" s="3"/>
      <c r="O13" s="53">
        <f t="shared" si="0"/>
        <v>5208400</v>
      </c>
      <c r="P13" s="13">
        <v>11363636</v>
      </c>
      <c r="Q13" s="54">
        <f t="shared" si="1"/>
        <v>6155236</v>
      </c>
      <c r="R13" s="5"/>
    </row>
    <row r="14" spans="1:18" ht="17.25" customHeight="1" x14ac:dyDescent="0.25">
      <c r="A14" s="25">
        <v>7</v>
      </c>
      <c r="B14" s="120">
        <v>44231</v>
      </c>
      <c r="C14" s="10" t="s">
        <v>1141</v>
      </c>
      <c r="D14" s="25" t="s">
        <v>1894</v>
      </c>
      <c r="E14" s="10" t="s">
        <v>1177</v>
      </c>
      <c r="F14" s="8"/>
      <c r="G14" s="8"/>
      <c r="H14" s="13"/>
      <c r="I14" s="8"/>
      <c r="J14" s="13">
        <v>930000</v>
      </c>
      <c r="K14" s="28"/>
      <c r="L14" s="29"/>
      <c r="M14" s="13"/>
      <c r="N14" s="3"/>
      <c r="O14" s="53">
        <f t="shared" si="0"/>
        <v>930000</v>
      </c>
      <c r="P14" s="13">
        <v>3700000</v>
      </c>
      <c r="Q14" s="54">
        <f t="shared" si="1"/>
        <v>2770000</v>
      </c>
      <c r="R14" s="5"/>
    </row>
    <row r="15" spans="1:18" ht="17.25" customHeight="1" x14ac:dyDescent="0.25">
      <c r="A15" s="25">
        <v>8</v>
      </c>
      <c r="B15" s="120">
        <v>44232</v>
      </c>
      <c r="C15" s="10" t="s">
        <v>1877</v>
      </c>
      <c r="D15" s="25" t="s">
        <v>1895</v>
      </c>
      <c r="E15" s="10" t="s">
        <v>325</v>
      </c>
      <c r="F15" s="8"/>
      <c r="G15" s="8"/>
      <c r="H15" s="13"/>
      <c r="I15" s="8"/>
      <c r="J15" s="13">
        <v>810000</v>
      </c>
      <c r="K15" s="28"/>
      <c r="L15" s="29"/>
      <c r="M15" s="13"/>
      <c r="N15" s="3"/>
      <c r="O15" s="53">
        <f t="shared" si="0"/>
        <v>810000</v>
      </c>
      <c r="P15" s="13">
        <v>4200000</v>
      </c>
      <c r="Q15" s="54">
        <f t="shared" si="1"/>
        <v>3390000</v>
      </c>
      <c r="R15" s="5"/>
    </row>
    <row r="16" spans="1:18" ht="17.25" customHeight="1" x14ac:dyDescent="0.25">
      <c r="A16" s="25">
        <v>9</v>
      </c>
      <c r="B16" s="120">
        <v>44233</v>
      </c>
      <c r="C16" s="10" t="s">
        <v>1878</v>
      </c>
      <c r="D16" s="25" t="s">
        <v>1896</v>
      </c>
      <c r="E16" s="10" t="s">
        <v>736</v>
      </c>
      <c r="F16" s="8"/>
      <c r="G16" s="8">
        <v>290</v>
      </c>
      <c r="H16" s="13">
        <f t="shared" si="2"/>
        <v>3781600</v>
      </c>
      <c r="I16" s="8"/>
      <c r="J16" s="13">
        <v>1380000</v>
      </c>
      <c r="K16" s="28"/>
      <c r="L16" s="29"/>
      <c r="M16" s="13"/>
      <c r="N16" s="3"/>
      <c r="O16" s="53">
        <f t="shared" si="0"/>
        <v>5161600</v>
      </c>
      <c r="P16" s="13">
        <v>3836364</v>
      </c>
      <c r="Q16" s="54">
        <f t="shared" si="1"/>
        <v>-1325236</v>
      </c>
      <c r="R16" s="5"/>
    </row>
    <row r="17" spans="1:18" ht="17.25" customHeight="1" x14ac:dyDescent="0.25">
      <c r="A17" s="25">
        <v>10</v>
      </c>
      <c r="B17" s="120">
        <v>44244</v>
      </c>
      <c r="C17" s="10" t="s">
        <v>1879</v>
      </c>
      <c r="D17" s="25" t="s">
        <v>1897</v>
      </c>
      <c r="E17" s="10" t="s">
        <v>799</v>
      </c>
      <c r="F17" s="8"/>
      <c r="G17" s="8"/>
      <c r="H17" s="13"/>
      <c r="I17" s="8"/>
      <c r="J17" s="13">
        <v>850000</v>
      </c>
      <c r="K17" s="28"/>
      <c r="L17" s="29"/>
      <c r="M17" s="13"/>
      <c r="N17" s="3"/>
      <c r="O17" s="53">
        <f t="shared" si="0"/>
        <v>850000</v>
      </c>
      <c r="P17" s="13">
        <v>2581818</v>
      </c>
      <c r="Q17" s="54">
        <f t="shared" si="1"/>
        <v>1731818</v>
      </c>
      <c r="R17" s="5"/>
    </row>
    <row r="18" spans="1:18" ht="17.25" customHeight="1" x14ac:dyDescent="0.25">
      <c r="A18" s="25">
        <v>11</v>
      </c>
      <c r="B18" s="120">
        <v>44245</v>
      </c>
      <c r="C18" s="10" t="s">
        <v>1880</v>
      </c>
      <c r="D18" s="25" t="s">
        <v>1898</v>
      </c>
      <c r="E18" s="10" t="s">
        <v>736</v>
      </c>
      <c r="F18" s="8"/>
      <c r="G18" s="8"/>
      <c r="H18" s="13"/>
      <c r="I18" s="8"/>
      <c r="J18" s="13">
        <f>1270000+120000</f>
        <v>1390000</v>
      </c>
      <c r="K18" s="28"/>
      <c r="L18" s="29"/>
      <c r="M18" s="13"/>
      <c r="N18" s="3"/>
      <c r="O18" s="53">
        <f t="shared" si="0"/>
        <v>1390000</v>
      </c>
      <c r="P18" s="13">
        <v>4154545</v>
      </c>
      <c r="Q18" s="54">
        <f t="shared" si="1"/>
        <v>2764545</v>
      </c>
      <c r="R18" s="5"/>
    </row>
    <row r="19" spans="1:18" ht="17.25" customHeight="1" x14ac:dyDescent="0.25">
      <c r="A19" s="25">
        <v>12</v>
      </c>
      <c r="B19" s="120">
        <v>44245</v>
      </c>
      <c r="C19" s="10" t="s">
        <v>1881</v>
      </c>
      <c r="D19" s="25" t="s">
        <v>1899</v>
      </c>
      <c r="E19" s="10" t="s">
        <v>1912</v>
      </c>
      <c r="F19" s="8"/>
      <c r="G19" s="8">
        <v>235</v>
      </c>
      <c r="H19" s="13">
        <f t="shared" si="2"/>
        <v>3064400</v>
      </c>
      <c r="I19" s="8"/>
      <c r="J19" s="13">
        <v>1130000</v>
      </c>
      <c r="K19" s="28"/>
      <c r="L19" s="29"/>
      <c r="M19" s="13"/>
      <c r="N19" s="3"/>
      <c r="O19" s="53">
        <f t="shared" si="0"/>
        <v>4194400</v>
      </c>
      <c r="P19" s="13">
        <v>4336364</v>
      </c>
      <c r="Q19" s="54">
        <f t="shared" si="1"/>
        <v>141964</v>
      </c>
      <c r="R19" s="5"/>
    </row>
    <row r="20" spans="1:18" ht="17.25" customHeight="1" x14ac:dyDescent="0.25">
      <c r="A20" s="25">
        <v>13</v>
      </c>
      <c r="B20" s="120">
        <v>44246</v>
      </c>
      <c r="C20" s="10" t="s">
        <v>1151</v>
      </c>
      <c r="D20" s="25" t="s">
        <v>1900</v>
      </c>
      <c r="E20" s="10" t="s">
        <v>330</v>
      </c>
      <c r="F20" s="8"/>
      <c r="G20" s="8"/>
      <c r="H20" s="13"/>
      <c r="I20" s="8"/>
      <c r="J20" s="13">
        <v>680000</v>
      </c>
      <c r="K20" s="28"/>
      <c r="L20" s="29"/>
      <c r="M20" s="13"/>
      <c r="N20" s="3"/>
      <c r="O20" s="53">
        <f t="shared" si="0"/>
        <v>680000</v>
      </c>
      <c r="P20" s="13">
        <v>3200000</v>
      </c>
      <c r="Q20" s="54">
        <f t="shared" si="1"/>
        <v>2520000</v>
      </c>
      <c r="R20" s="5"/>
    </row>
    <row r="21" spans="1:18" ht="17.25" customHeight="1" x14ac:dyDescent="0.25">
      <c r="A21" s="25">
        <v>14</v>
      </c>
      <c r="B21" s="120">
        <v>44246</v>
      </c>
      <c r="C21" s="10" t="s">
        <v>1882</v>
      </c>
      <c r="D21" s="25" t="s">
        <v>1901</v>
      </c>
      <c r="E21" s="10" t="s">
        <v>330</v>
      </c>
      <c r="F21" s="8"/>
      <c r="G21" s="8"/>
      <c r="H21" s="13"/>
      <c r="I21" s="8"/>
      <c r="J21" s="13">
        <v>680000</v>
      </c>
      <c r="K21" s="28"/>
      <c r="L21" s="29"/>
      <c r="M21" s="13"/>
      <c r="N21" s="3"/>
      <c r="O21" s="53">
        <f t="shared" si="0"/>
        <v>680000</v>
      </c>
      <c r="P21" s="13">
        <v>3200000</v>
      </c>
      <c r="Q21" s="54">
        <f t="shared" si="1"/>
        <v>2520000</v>
      </c>
      <c r="R21" s="5"/>
    </row>
    <row r="22" spans="1:18" ht="17.25" customHeight="1" x14ac:dyDescent="0.25">
      <c r="A22" s="25">
        <v>15</v>
      </c>
      <c r="B22" s="120">
        <v>44249</v>
      </c>
      <c r="C22" s="10" t="s">
        <v>1153</v>
      </c>
      <c r="D22" s="25" t="s">
        <v>1902</v>
      </c>
      <c r="E22" s="10" t="s">
        <v>1177</v>
      </c>
      <c r="F22" s="8"/>
      <c r="G22" s="8">
        <v>295</v>
      </c>
      <c r="H22" s="13">
        <f t="shared" si="2"/>
        <v>3846800</v>
      </c>
      <c r="I22" s="8"/>
      <c r="J22" s="13">
        <v>1390000</v>
      </c>
      <c r="K22" s="28"/>
      <c r="L22" s="29"/>
      <c r="M22" s="13"/>
      <c r="N22" s="3"/>
      <c r="O22" s="53">
        <f t="shared" si="0"/>
        <v>5236800</v>
      </c>
      <c r="P22" s="13">
        <v>4000000</v>
      </c>
      <c r="Q22" s="54">
        <f t="shared" si="1"/>
        <v>-1236800</v>
      </c>
      <c r="R22" s="5"/>
    </row>
    <row r="23" spans="1:18" ht="17.25" customHeight="1" x14ac:dyDescent="0.25">
      <c r="A23" s="25">
        <v>16</v>
      </c>
      <c r="B23" s="120">
        <v>44249</v>
      </c>
      <c r="C23" s="10" t="s">
        <v>1883</v>
      </c>
      <c r="D23" s="25" t="s">
        <v>1903</v>
      </c>
      <c r="E23" s="10" t="s">
        <v>1659</v>
      </c>
      <c r="F23" s="8"/>
      <c r="G23" s="8"/>
      <c r="H23" s="13"/>
      <c r="I23" s="8"/>
      <c r="J23" s="13">
        <v>1130000</v>
      </c>
      <c r="K23" s="28"/>
      <c r="L23" s="29"/>
      <c r="M23" s="13"/>
      <c r="N23" s="3"/>
      <c r="O23" s="53">
        <f t="shared" si="0"/>
        <v>1130000</v>
      </c>
      <c r="P23" s="13">
        <v>4209091</v>
      </c>
      <c r="Q23" s="54">
        <f t="shared" si="1"/>
        <v>3079091</v>
      </c>
      <c r="R23" s="5"/>
    </row>
    <row r="24" spans="1:18" ht="17.25" customHeight="1" x14ac:dyDescent="0.25">
      <c r="A24" s="25">
        <v>17</v>
      </c>
      <c r="B24" s="120">
        <v>44250</v>
      </c>
      <c r="C24" s="10" t="s">
        <v>1884</v>
      </c>
      <c r="D24" s="25" t="s">
        <v>1903</v>
      </c>
      <c r="E24" s="10" t="s">
        <v>1913</v>
      </c>
      <c r="F24" s="8"/>
      <c r="G24" s="8"/>
      <c r="H24" s="13"/>
      <c r="I24" s="8"/>
      <c r="J24" s="13">
        <v>660000</v>
      </c>
      <c r="K24" s="28"/>
      <c r="L24" s="29"/>
      <c r="M24" s="13"/>
      <c r="N24" s="3"/>
      <c r="O24" s="53">
        <f t="shared" si="0"/>
        <v>660000</v>
      </c>
      <c r="P24" s="13">
        <v>3200000</v>
      </c>
      <c r="Q24" s="54">
        <f t="shared" si="1"/>
        <v>2540000</v>
      </c>
      <c r="R24" s="5"/>
    </row>
    <row r="25" spans="1:18" ht="17.25" customHeight="1" x14ac:dyDescent="0.25">
      <c r="A25" s="25">
        <v>18</v>
      </c>
      <c r="B25" s="120">
        <v>44250</v>
      </c>
      <c r="C25" s="10" t="s">
        <v>1885</v>
      </c>
      <c r="D25" s="25" t="s">
        <v>1904</v>
      </c>
      <c r="E25" s="10" t="s">
        <v>494</v>
      </c>
      <c r="F25" s="8"/>
      <c r="G25" s="8">
        <v>240</v>
      </c>
      <c r="H25" s="13">
        <f t="shared" si="2"/>
        <v>3129600</v>
      </c>
      <c r="I25" s="8"/>
      <c r="J25" s="13">
        <v>1110000</v>
      </c>
      <c r="K25" s="28"/>
      <c r="L25" s="29"/>
      <c r="M25" s="13"/>
      <c r="N25" s="3"/>
      <c r="O25" s="53">
        <f t="shared" si="0"/>
        <v>4239600</v>
      </c>
      <c r="P25" s="13">
        <v>4000000</v>
      </c>
      <c r="Q25" s="54">
        <f t="shared" si="1"/>
        <v>-239600</v>
      </c>
      <c r="R25" s="5"/>
    </row>
    <row r="26" spans="1:18" ht="17.25" customHeight="1" x14ac:dyDescent="0.25">
      <c r="A26" s="25">
        <v>19</v>
      </c>
      <c r="B26" s="120">
        <v>44252</v>
      </c>
      <c r="C26" s="10" t="s">
        <v>1886</v>
      </c>
      <c r="D26" s="25" t="s">
        <v>1905</v>
      </c>
      <c r="E26" s="10" t="s">
        <v>1177</v>
      </c>
      <c r="F26" s="8"/>
      <c r="G26" s="8"/>
      <c r="H26" s="13"/>
      <c r="I26" s="8"/>
      <c r="J26" s="13">
        <v>1390000</v>
      </c>
      <c r="K26" s="28"/>
      <c r="L26" s="29"/>
      <c r="M26" s="13"/>
      <c r="N26" s="3"/>
      <c r="O26" s="53">
        <f t="shared" si="0"/>
        <v>1390000</v>
      </c>
      <c r="P26" s="13">
        <v>4000000</v>
      </c>
      <c r="Q26" s="54">
        <f t="shared" si="1"/>
        <v>2610000</v>
      </c>
      <c r="R26" s="5"/>
    </row>
    <row r="27" spans="1:18" ht="25.5" customHeight="1" x14ac:dyDescent="0.25">
      <c r="A27" s="25">
        <v>20</v>
      </c>
      <c r="B27" s="120">
        <v>44252</v>
      </c>
      <c r="C27" s="10" t="s">
        <v>1887</v>
      </c>
      <c r="D27" s="25" t="s">
        <v>1906</v>
      </c>
      <c r="E27" s="10" t="s">
        <v>1914</v>
      </c>
      <c r="F27" s="8"/>
      <c r="G27" s="8"/>
      <c r="H27" s="13"/>
      <c r="I27" s="8"/>
      <c r="J27" s="13">
        <v>300000</v>
      </c>
      <c r="K27" s="28"/>
      <c r="L27" s="29"/>
      <c r="M27" s="13"/>
      <c r="N27" s="3"/>
      <c r="O27" s="53">
        <f t="shared" si="0"/>
        <v>300000</v>
      </c>
      <c r="P27" s="13">
        <v>1236364</v>
      </c>
      <c r="Q27" s="54">
        <f t="shared" si="1"/>
        <v>936364</v>
      </c>
      <c r="R27" s="5"/>
    </row>
    <row r="28" spans="1:18" ht="30" customHeight="1" x14ac:dyDescent="0.25">
      <c r="A28" s="25">
        <v>21</v>
      </c>
      <c r="B28" s="120">
        <v>44252</v>
      </c>
      <c r="C28" s="10" t="s">
        <v>1888</v>
      </c>
      <c r="D28" s="25" t="s">
        <v>1907</v>
      </c>
      <c r="E28" s="10" t="s">
        <v>1914</v>
      </c>
      <c r="F28" s="8"/>
      <c r="G28" s="8"/>
      <c r="H28" s="13"/>
      <c r="I28" s="8"/>
      <c r="J28" s="13">
        <v>300000</v>
      </c>
      <c r="K28" s="28"/>
      <c r="L28" s="29"/>
      <c r="M28" s="13"/>
      <c r="N28" s="3"/>
      <c r="O28" s="53">
        <f t="shared" si="0"/>
        <v>300000</v>
      </c>
      <c r="P28" s="13">
        <v>1236364</v>
      </c>
      <c r="Q28" s="54">
        <f t="shared" si="1"/>
        <v>936364</v>
      </c>
      <c r="R28" s="5"/>
    </row>
    <row r="29" spans="1:18" ht="17.25" customHeight="1" x14ac:dyDescent="0.25">
      <c r="A29" s="25">
        <v>22</v>
      </c>
      <c r="B29" s="120">
        <v>44253</v>
      </c>
      <c r="C29" s="10" t="s">
        <v>1889</v>
      </c>
      <c r="D29" s="25" t="s">
        <v>1908</v>
      </c>
      <c r="E29" s="10" t="s">
        <v>1915</v>
      </c>
      <c r="F29" s="8"/>
      <c r="G29" s="8">
        <v>270</v>
      </c>
      <c r="H29" s="13">
        <f>G29*13840</f>
        <v>3736800</v>
      </c>
      <c r="I29" s="8"/>
      <c r="J29" s="13">
        <v>900000</v>
      </c>
      <c r="K29" s="28"/>
      <c r="L29" s="29"/>
      <c r="M29" s="13"/>
      <c r="N29" s="3"/>
      <c r="O29" s="53">
        <f>H29+J29+K29+L29+M29+N29</f>
        <v>4636800</v>
      </c>
      <c r="P29" s="13">
        <v>4872727</v>
      </c>
      <c r="Q29" s="54">
        <f t="shared" si="1"/>
        <v>235927</v>
      </c>
      <c r="R29" s="5"/>
    </row>
    <row r="30" spans="1:18" ht="12.75" customHeight="1" x14ac:dyDescent="0.25">
      <c r="A30" s="25"/>
      <c r="B30" s="44"/>
      <c r="C30" s="10"/>
      <c r="D30" s="8"/>
      <c r="E30" s="10"/>
      <c r="F30" s="8"/>
      <c r="G30" s="8"/>
      <c r="H30" s="13"/>
      <c r="I30" s="8"/>
      <c r="J30" s="13"/>
      <c r="K30" s="28"/>
      <c r="L30" s="29"/>
      <c r="M30" s="13"/>
      <c r="N30" s="13"/>
      <c r="O30" s="53"/>
      <c r="P30" s="13"/>
      <c r="Q30" s="54"/>
      <c r="R30" s="5"/>
    </row>
    <row r="31" spans="1:18" ht="18" customHeight="1" x14ac:dyDescent="0.25">
      <c r="A31" s="8"/>
      <c r="B31" s="8"/>
      <c r="C31" s="182" t="s">
        <v>131</v>
      </c>
      <c r="D31" s="183"/>
      <c r="E31" s="183"/>
      <c r="F31" s="184"/>
      <c r="G31" s="30"/>
      <c r="H31" s="28"/>
      <c r="I31" s="30"/>
      <c r="J31" s="28"/>
      <c r="K31" s="28"/>
      <c r="L31" s="28">
        <v>1200000</v>
      </c>
      <c r="M31" s="28"/>
      <c r="N31" s="28"/>
      <c r="O31" s="53">
        <f t="shared" ref="O31:O37" si="3">H31+J31+K31+L31+M31+N31</f>
        <v>1200000</v>
      </c>
      <c r="P31" s="28"/>
      <c r="Q31" s="54"/>
    </row>
    <row r="32" spans="1:18" ht="27.75" customHeight="1" x14ac:dyDescent="0.25">
      <c r="A32" s="8"/>
      <c r="B32" s="8"/>
      <c r="C32" s="196" t="s">
        <v>1916</v>
      </c>
      <c r="D32" s="197"/>
      <c r="E32" s="197"/>
      <c r="F32" s="198"/>
      <c r="G32" s="30"/>
      <c r="H32" s="28"/>
      <c r="I32" s="30"/>
      <c r="J32" s="28"/>
      <c r="K32" s="28"/>
      <c r="L32" s="28">
        <v>200000</v>
      </c>
      <c r="M32" s="28"/>
      <c r="N32" s="28"/>
      <c r="O32" s="53">
        <f t="shared" si="3"/>
        <v>200000</v>
      </c>
      <c r="P32" s="28"/>
      <c r="Q32" s="54"/>
    </row>
    <row r="33" spans="1:17" ht="27.75" customHeight="1" x14ac:dyDescent="0.25">
      <c r="A33" s="8"/>
      <c r="B33" s="8"/>
      <c r="C33" s="196" t="s">
        <v>1917</v>
      </c>
      <c r="D33" s="197"/>
      <c r="E33" s="197"/>
      <c r="F33" s="198"/>
      <c r="G33" s="30"/>
      <c r="H33" s="28"/>
      <c r="I33" s="30"/>
      <c r="J33" s="28"/>
      <c r="K33" s="28"/>
      <c r="L33" s="28">
        <v>200000</v>
      </c>
      <c r="M33" s="28"/>
      <c r="N33" s="28"/>
      <c r="O33" s="53">
        <f t="shared" si="3"/>
        <v>200000</v>
      </c>
      <c r="P33" s="28"/>
      <c r="Q33" s="54"/>
    </row>
    <row r="34" spans="1:17" ht="24" customHeight="1" x14ac:dyDescent="0.25">
      <c r="A34" s="8"/>
      <c r="B34" s="8"/>
      <c r="C34" s="196" t="s">
        <v>1918</v>
      </c>
      <c r="D34" s="197"/>
      <c r="E34" s="197"/>
      <c r="F34" s="198"/>
      <c r="G34" s="30"/>
      <c r="H34" s="28"/>
      <c r="I34" s="30"/>
      <c r="J34" s="28"/>
      <c r="K34" s="28"/>
      <c r="L34" s="28">
        <v>550000</v>
      </c>
      <c r="M34" s="28"/>
      <c r="N34" s="28"/>
      <c r="O34" s="53">
        <f t="shared" si="3"/>
        <v>550000</v>
      </c>
      <c r="P34" s="28"/>
      <c r="Q34" s="54"/>
    </row>
    <row r="35" spans="1:17" ht="24" customHeight="1" x14ac:dyDescent="0.25">
      <c r="A35" s="8"/>
      <c r="B35" s="8"/>
      <c r="C35" s="196" t="s">
        <v>1919</v>
      </c>
      <c r="D35" s="197"/>
      <c r="E35" s="197"/>
      <c r="F35" s="198"/>
      <c r="G35" s="30"/>
      <c r="H35" s="28"/>
      <c r="I35" s="30"/>
      <c r="J35" s="28"/>
      <c r="K35" s="28"/>
      <c r="L35" s="28">
        <v>500000</v>
      </c>
      <c r="M35" s="28"/>
      <c r="N35" s="28"/>
      <c r="O35" s="53">
        <f t="shared" si="3"/>
        <v>500000</v>
      </c>
      <c r="P35" s="28"/>
      <c r="Q35" s="54"/>
    </row>
    <row r="36" spans="1:17" ht="24" customHeight="1" x14ac:dyDescent="0.25">
      <c r="A36" s="8"/>
      <c r="B36" s="8"/>
      <c r="C36" s="196" t="s">
        <v>1920</v>
      </c>
      <c r="D36" s="197"/>
      <c r="E36" s="197"/>
      <c r="F36" s="198"/>
      <c r="G36" s="30"/>
      <c r="H36" s="28"/>
      <c r="I36" s="30"/>
      <c r="J36" s="28"/>
      <c r="K36" s="28"/>
      <c r="L36" s="28">
        <v>1100000</v>
      </c>
      <c r="M36" s="28"/>
      <c r="N36" s="28"/>
      <c r="O36" s="53">
        <f t="shared" si="3"/>
        <v>1100000</v>
      </c>
      <c r="P36" s="28"/>
      <c r="Q36" s="54"/>
    </row>
    <row r="37" spans="1:17" ht="25.5" customHeight="1" x14ac:dyDescent="0.25">
      <c r="A37" s="8"/>
      <c r="B37" s="8"/>
      <c r="C37" s="191" t="s">
        <v>132</v>
      </c>
      <c r="D37" s="192"/>
      <c r="E37" s="192"/>
      <c r="F37" s="195"/>
      <c r="G37" s="30"/>
      <c r="H37" s="28"/>
      <c r="I37" s="30"/>
      <c r="J37" s="28"/>
      <c r="K37" s="28">
        <f>19/26*9000000</f>
        <v>6576923.076923077</v>
      </c>
      <c r="L37" s="28"/>
      <c r="M37" s="28"/>
      <c r="N37" s="28"/>
      <c r="O37" s="53">
        <f t="shared" si="3"/>
        <v>6576923.076923077</v>
      </c>
      <c r="P37" s="28"/>
      <c r="Q37" s="54"/>
    </row>
    <row r="38" spans="1:17" x14ac:dyDescent="0.25">
      <c r="A38" s="166" t="s">
        <v>19</v>
      </c>
      <c r="B38" s="167"/>
      <c r="C38" s="167"/>
      <c r="D38" s="167"/>
      <c r="E38" s="167"/>
      <c r="F38" s="168"/>
      <c r="G38" s="88">
        <f t="shared" ref="G38:N38" si="4">SUM(G7:G37)</f>
        <v>1850</v>
      </c>
      <c r="H38" s="4">
        <f t="shared" si="4"/>
        <v>24340000</v>
      </c>
      <c r="I38" s="4">
        <f t="shared" si="4"/>
        <v>0</v>
      </c>
      <c r="J38" s="4">
        <f t="shared" si="4"/>
        <v>20600000</v>
      </c>
      <c r="K38" s="4">
        <f t="shared" si="4"/>
        <v>6576923.076923077</v>
      </c>
      <c r="L38" s="4">
        <f t="shared" si="4"/>
        <v>3750000</v>
      </c>
      <c r="M38" s="4">
        <f t="shared" si="4"/>
        <v>0</v>
      </c>
      <c r="N38" s="4">
        <f t="shared" si="4"/>
        <v>0</v>
      </c>
      <c r="O38" s="4">
        <f>SUM(O7:O37)</f>
        <v>55266923.07692308</v>
      </c>
      <c r="P38" s="4">
        <f>SUM(P8:P37)</f>
        <v>80782727</v>
      </c>
      <c r="Q38" s="122">
        <f>P38-O38</f>
        <v>25515803.92307692</v>
      </c>
    </row>
    <row r="39" spans="1:17" x14ac:dyDescent="0.25">
      <c r="O39" s="20"/>
      <c r="P39" s="5" t="s">
        <v>1796</v>
      </c>
      <c r="Q39" s="26"/>
    </row>
    <row r="40" spans="1:17" x14ac:dyDescent="0.25">
      <c r="P40" s="21" t="s">
        <v>20</v>
      </c>
      <c r="Q40" s="26">
        <f>'01.2021'!Q57+'02.2021'!Q38</f>
        <v>59445896.92307692</v>
      </c>
    </row>
    <row r="41" spans="1:17" x14ac:dyDescent="0.25">
      <c r="C41" s="6" t="s">
        <v>993</v>
      </c>
    </row>
    <row r="42" spans="1:17" x14ac:dyDescent="0.25">
      <c r="C42" s="205"/>
      <c r="D42" s="205"/>
      <c r="E42" s="205"/>
      <c r="F42" s="205"/>
      <c r="H42" s="109"/>
    </row>
    <row r="43" spans="1:17" x14ac:dyDescent="0.25">
      <c r="C43" s="206"/>
      <c r="D43" s="206"/>
      <c r="E43" s="206"/>
      <c r="F43" s="206"/>
      <c r="H43" s="109"/>
    </row>
    <row r="44" spans="1:17" x14ac:dyDescent="0.25">
      <c r="B44" s="6"/>
      <c r="C44" s="110"/>
      <c r="D44" s="110"/>
      <c r="E44" s="110"/>
      <c r="F44" s="110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H47" s="109"/>
      <c r="J47" s="6"/>
      <c r="K47" s="6"/>
      <c r="L47" s="6"/>
      <c r="M47" s="6"/>
      <c r="N47" s="6"/>
      <c r="O47" s="6"/>
      <c r="P47" s="6"/>
      <c r="Q47" s="6"/>
    </row>
    <row r="48" spans="1:17" x14ac:dyDescent="0.2">
      <c r="C48" s="107"/>
      <c r="D48" s="110"/>
      <c r="E48" s="110"/>
      <c r="F48" s="110"/>
      <c r="H48" s="109"/>
    </row>
    <row r="49" spans="3:6" x14ac:dyDescent="0.25">
      <c r="C49" s="205"/>
      <c r="D49" s="205"/>
      <c r="E49" s="205"/>
      <c r="F49" s="205"/>
    </row>
  </sheetData>
  <mergeCells count="27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1:F31"/>
    <mergeCell ref="C32:F32"/>
    <mergeCell ref="C33:F33"/>
    <mergeCell ref="C34:F34"/>
    <mergeCell ref="C35:F35"/>
    <mergeCell ref="C36:F36"/>
    <mergeCell ref="C46:F46"/>
    <mergeCell ref="C47:F47"/>
    <mergeCell ref="C49:F49"/>
    <mergeCell ref="C37:F37"/>
    <mergeCell ref="A38:F38"/>
    <mergeCell ref="C42:F42"/>
    <mergeCell ref="C43:F43"/>
    <mergeCell ref="C45:F45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65"/>
  <sheetViews>
    <sheetView topLeftCell="C40" workbookViewId="0">
      <selection activeCell="L45" sqref="L4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1921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44254</v>
      </c>
      <c r="C8" s="10" t="s">
        <v>1922</v>
      </c>
      <c r="D8" s="25" t="s">
        <v>1949</v>
      </c>
      <c r="E8" s="10" t="s">
        <v>1978</v>
      </c>
      <c r="F8" s="8"/>
      <c r="G8" s="8"/>
      <c r="H8" s="13"/>
      <c r="I8" s="8"/>
      <c r="J8" s="13">
        <v>380000</v>
      </c>
      <c r="K8" s="28"/>
      <c r="L8" s="29"/>
      <c r="M8" s="13"/>
      <c r="N8" s="13"/>
      <c r="O8" s="53">
        <f>H8+J8+K8+L8+M8+N8</f>
        <v>380000</v>
      </c>
      <c r="P8" s="13">
        <v>1359091</v>
      </c>
      <c r="Q8" s="54">
        <f>P8-O8</f>
        <v>979091</v>
      </c>
      <c r="R8" s="5"/>
    </row>
    <row r="9" spans="1:18" ht="17.25" customHeight="1" x14ac:dyDescent="0.25">
      <c r="A9" s="25">
        <v>2</v>
      </c>
      <c r="B9" s="120">
        <v>44256</v>
      </c>
      <c r="C9" s="10" t="s">
        <v>1923</v>
      </c>
      <c r="D9" s="129" t="s">
        <v>1949</v>
      </c>
      <c r="E9" s="9" t="s">
        <v>1979</v>
      </c>
      <c r="F9" s="117"/>
      <c r="H9" s="13"/>
      <c r="I9" s="117"/>
      <c r="J9" s="119">
        <v>450000</v>
      </c>
      <c r="K9" s="28"/>
      <c r="L9" s="29"/>
      <c r="M9" s="13"/>
      <c r="N9" s="3"/>
      <c r="O9" s="53">
        <f t="shared" ref="O9:O39" si="0">H9+J9+K9+L9+M9+N9</f>
        <v>450000</v>
      </c>
      <c r="P9" s="13">
        <v>2663636</v>
      </c>
      <c r="Q9" s="54">
        <f t="shared" ref="Q9:Q39" si="1">P9-O9</f>
        <v>2213636</v>
      </c>
      <c r="R9" s="5"/>
    </row>
    <row r="10" spans="1:18" ht="17.25" customHeight="1" x14ac:dyDescent="0.25">
      <c r="A10" s="25">
        <v>3</v>
      </c>
      <c r="B10" s="120">
        <v>44256</v>
      </c>
      <c r="C10" s="10" t="s">
        <v>1924</v>
      </c>
      <c r="D10" s="25" t="s">
        <v>1950</v>
      </c>
      <c r="E10" s="10" t="s">
        <v>1979</v>
      </c>
      <c r="F10" s="8"/>
      <c r="G10" s="8"/>
      <c r="H10" s="13"/>
      <c r="I10" s="8"/>
      <c r="J10" s="13">
        <v>450000</v>
      </c>
      <c r="K10" s="28"/>
      <c r="L10" s="29"/>
      <c r="M10" s="13"/>
      <c r="N10" s="3"/>
      <c r="O10" s="53">
        <f t="shared" si="0"/>
        <v>450000</v>
      </c>
      <c r="P10" s="13">
        <v>2663636</v>
      </c>
      <c r="Q10" s="54">
        <f t="shared" si="1"/>
        <v>2213636</v>
      </c>
      <c r="R10" s="5"/>
    </row>
    <row r="11" spans="1:18" ht="24" customHeight="1" x14ac:dyDescent="0.25">
      <c r="A11" s="25">
        <v>4</v>
      </c>
      <c r="B11" s="120">
        <v>44256</v>
      </c>
      <c r="C11" s="10" t="s">
        <v>1925</v>
      </c>
      <c r="D11" s="25" t="s">
        <v>1951</v>
      </c>
      <c r="E11" s="10" t="s">
        <v>1979</v>
      </c>
      <c r="F11" s="8"/>
      <c r="G11" s="8"/>
      <c r="H11" s="13"/>
      <c r="I11" s="8"/>
      <c r="J11" s="13">
        <v>450000</v>
      </c>
      <c r="K11" s="28"/>
      <c r="L11" s="29"/>
      <c r="M11" s="13"/>
      <c r="N11" s="3"/>
      <c r="O11" s="53">
        <f t="shared" si="0"/>
        <v>450000</v>
      </c>
      <c r="P11" s="13">
        <v>2663636</v>
      </c>
      <c r="Q11" s="54">
        <f t="shared" si="1"/>
        <v>2213636</v>
      </c>
      <c r="R11" s="5"/>
    </row>
    <row r="12" spans="1:18" ht="17.25" customHeight="1" x14ac:dyDescent="0.25">
      <c r="A12" s="25">
        <v>5</v>
      </c>
      <c r="B12" s="120">
        <v>44257</v>
      </c>
      <c r="C12" s="10" t="s">
        <v>1926</v>
      </c>
      <c r="D12" s="25" t="s">
        <v>1952</v>
      </c>
      <c r="E12" s="10" t="s">
        <v>1980</v>
      </c>
      <c r="F12" s="8"/>
      <c r="G12" s="8"/>
      <c r="H12" s="13"/>
      <c r="I12" s="8"/>
      <c r="J12" s="13">
        <v>930000</v>
      </c>
      <c r="K12" s="28"/>
      <c r="L12" s="29"/>
      <c r="M12" s="13"/>
      <c r="N12" s="3"/>
      <c r="O12" s="53">
        <f t="shared" si="0"/>
        <v>930000</v>
      </c>
      <c r="P12" s="13">
        <v>4009091</v>
      </c>
      <c r="Q12" s="54">
        <f t="shared" si="1"/>
        <v>3079091</v>
      </c>
      <c r="R12" s="5"/>
    </row>
    <row r="13" spans="1:18" ht="17.25" customHeight="1" x14ac:dyDescent="0.25">
      <c r="A13" s="25">
        <v>6</v>
      </c>
      <c r="B13" s="120">
        <v>44258</v>
      </c>
      <c r="C13" s="10" t="s">
        <v>1927</v>
      </c>
      <c r="D13" s="25" t="s">
        <v>1953</v>
      </c>
      <c r="E13" s="10" t="s">
        <v>1981</v>
      </c>
      <c r="F13" s="8"/>
      <c r="G13" s="8">
        <v>290</v>
      </c>
      <c r="H13" s="13">
        <f>G13*13840</f>
        <v>4013600</v>
      </c>
      <c r="I13" s="8"/>
      <c r="J13" s="13">
        <v>930000</v>
      </c>
      <c r="K13" s="28"/>
      <c r="L13" s="29"/>
      <c r="M13" s="13"/>
      <c r="N13" s="3"/>
      <c r="O13" s="53">
        <f t="shared" si="0"/>
        <v>4943600</v>
      </c>
      <c r="P13" s="13">
        <v>2918182</v>
      </c>
      <c r="Q13" s="54">
        <f t="shared" si="1"/>
        <v>-2025418</v>
      </c>
      <c r="R13" s="5"/>
    </row>
    <row r="14" spans="1:18" ht="17.25" customHeight="1" x14ac:dyDescent="0.25">
      <c r="A14" s="25">
        <v>7</v>
      </c>
      <c r="B14" s="120">
        <v>44258</v>
      </c>
      <c r="C14" s="10" t="s">
        <v>1928</v>
      </c>
      <c r="D14" s="25" t="s">
        <v>1953</v>
      </c>
      <c r="E14" s="10" t="s">
        <v>1979</v>
      </c>
      <c r="F14" s="8"/>
      <c r="G14" s="8"/>
      <c r="H14" s="13"/>
      <c r="I14" s="8"/>
      <c r="J14" s="13">
        <v>300000</v>
      </c>
      <c r="K14" s="28"/>
      <c r="L14" s="29"/>
      <c r="M14" s="13"/>
      <c r="N14" s="3"/>
      <c r="O14" s="53">
        <f t="shared" si="0"/>
        <v>300000</v>
      </c>
      <c r="P14" s="13">
        <v>2663636</v>
      </c>
      <c r="Q14" s="54">
        <f t="shared" si="1"/>
        <v>2363636</v>
      </c>
      <c r="R14" s="5"/>
    </row>
    <row r="15" spans="1:18" ht="17.25" customHeight="1" x14ac:dyDescent="0.25">
      <c r="A15" s="25">
        <v>8</v>
      </c>
      <c r="B15" s="120">
        <v>44259</v>
      </c>
      <c r="C15" s="10" t="s">
        <v>1929</v>
      </c>
      <c r="D15" s="25" t="s">
        <v>1954</v>
      </c>
      <c r="E15" s="10" t="s">
        <v>736</v>
      </c>
      <c r="F15" s="8"/>
      <c r="G15" s="8"/>
      <c r="H15" s="13"/>
      <c r="I15" s="8"/>
      <c r="J15" s="13">
        <v>930000</v>
      </c>
      <c r="K15" s="28"/>
      <c r="L15" s="29"/>
      <c r="M15" s="13"/>
      <c r="N15" s="3"/>
      <c r="O15" s="53">
        <f t="shared" si="0"/>
        <v>930000</v>
      </c>
      <c r="P15" s="13">
        <v>3427273</v>
      </c>
      <c r="Q15" s="54">
        <f t="shared" si="1"/>
        <v>2497273</v>
      </c>
      <c r="R15" s="5"/>
    </row>
    <row r="16" spans="1:18" ht="17.25" customHeight="1" x14ac:dyDescent="0.25">
      <c r="A16" s="25">
        <v>9</v>
      </c>
      <c r="B16" s="120">
        <v>44260</v>
      </c>
      <c r="C16" s="10" t="s">
        <v>1930</v>
      </c>
      <c r="D16" s="25" t="s">
        <v>1955</v>
      </c>
      <c r="E16" s="10" t="s">
        <v>1982</v>
      </c>
      <c r="F16" s="8"/>
      <c r="G16" s="8">
        <v>220</v>
      </c>
      <c r="H16" s="13">
        <f t="shared" ref="H16:H22" si="2">G16*13840</f>
        <v>3044800</v>
      </c>
      <c r="I16" s="8"/>
      <c r="J16" s="13">
        <v>200000</v>
      </c>
      <c r="K16" s="28"/>
      <c r="L16" s="29"/>
      <c r="M16" s="13"/>
      <c r="N16" s="3"/>
      <c r="O16" s="53">
        <f t="shared" si="0"/>
        <v>3244800</v>
      </c>
      <c r="P16" s="13">
        <v>1500000</v>
      </c>
      <c r="Q16" s="54">
        <f t="shared" si="1"/>
        <v>-1744800</v>
      </c>
      <c r="R16" s="5"/>
    </row>
    <row r="17" spans="1:18" ht="17.25" customHeight="1" x14ac:dyDescent="0.25">
      <c r="A17" s="25">
        <v>10</v>
      </c>
      <c r="B17" s="120">
        <v>44260</v>
      </c>
      <c r="C17" s="10" t="s">
        <v>1931</v>
      </c>
      <c r="D17" s="25" t="s">
        <v>1956</v>
      </c>
      <c r="E17" s="10" t="s">
        <v>330</v>
      </c>
      <c r="F17" s="8"/>
      <c r="G17" s="8"/>
      <c r="H17" s="13">
        <f t="shared" si="2"/>
        <v>0</v>
      </c>
      <c r="I17" s="8"/>
      <c r="J17" s="13">
        <v>680000</v>
      </c>
      <c r="K17" s="28"/>
      <c r="L17" s="29"/>
      <c r="M17" s="13"/>
      <c r="N17" s="3"/>
      <c r="O17" s="53">
        <f t="shared" si="0"/>
        <v>680000</v>
      </c>
      <c r="P17" s="13">
        <v>3200000</v>
      </c>
      <c r="Q17" s="54">
        <f t="shared" si="1"/>
        <v>2520000</v>
      </c>
      <c r="R17" s="5"/>
    </row>
    <row r="18" spans="1:18" ht="17.25" customHeight="1" x14ac:dyDescent="0.25">
      <c r="A18" s="25">
        <v>11</v>
      </c>
      <c r="B18" s="120">
        <v>44263</v>
      </c>
      <c r="C18" s="10" t="s">
        <v>504</v>
      </c>
      <c r="D18" s="25" t="s">
        <v>1957</v>
      </c>
      <c r="E18" s="10" t="s">
        <v>1177</v>
      </c>
      <c r="F18" s="8"/>
      <c r="G18" s="8">
        <v>280</v>
      </c>
      <c r="H18" s="13">
        <f t="shared" si="2"/>
        <v>3875200</v>
      </c>
      <c r="I18" s="8"/>
      <c r="J18" s="13">
        <v>930000</v>
      </c>
      <c r="K18" s="28"/>
      <c r="L18" s="29"/>
      <c r="M18" s="13"/>
      <c r="N18" s="3"/>
      <c r="O18" s="53">
        <f t="shared" si="0"/>
        <v>4805200</v>
      </c>
      <c r="P18" s="13">
        <v>3400000</v>
      </c>
      <c r="Q18" s="54">
        <f t="shared" si="1"/>
        <v>-1405200</v>
      </c>
      <c r="R18" s="5"/>
    </row>
    <row r="19" spans="1:18" ht="17.25" customHeight="1" x14ac:dyDescent="0.25">
      <c r="A19" s="25">
        <v>12</v>
      </c>
      <c r="B19" s="120">
        <v>44263</v>
      </c>
      <c r="C19" s="10" t="s">
        <v>1932</v>
      </c>
      <c r="D19" s="25" t="s">
        <v>1958</v>
      </c>
      <c r="E19" s="10" t="s">
        <v>330</v>
      </c>
      <c r="F19" s="8"/>
      <c r="G19" s="8"/>
      <c r="H19" s="13"/>
      <c r="I19" s="8"/>
      <c r="J19" s="13">
        <v>680000</v>
      </c>
      <c r="K19" s="28"/>
      <c r="L19" s="29"/>
      <c r="M19" s="13"/>
      <c r="N19" s="3"/>
      <c r="O19" s="53">
        <f t="shared" si="0"/>
        <v>680000</v>
      </c>
      <c r="P19" s="13">
        <v>3200000</v>
      </c>
      <c r="Q19" s="54">
        <f t="shared" si="1"/>
        <v>2520000</v>
      </c>
      <c r="R19" s="5"/>
    </row>
    <row r="20" spans="1:18" ht="17.25" customHeight="1" x14ac:dyDescent="0.25">
      <c r="A20" s="25">
        <v>13</v>
      </c>
      <c r="B20" s="120">
        <v>44264</v>
      </c>
      <c r="C20" s="10" t="s">
        <v>1933</v>
      </c>
      <c r="D20" s="25" t="s">
        <v>1959</v>
      </c>
      <c r="E20" s="10" t="s">
        <v>1983</v>
      </c>
      <c r="F20" s="8"/>
      <c r="G20" s="8"/>
      <c r="H20" s="13"/>
      <c r="I20" s="8"/>
      <c r="J20" s="13">
        <v>680000</v>
      </c>
      <c r="K20" s="28"/>
      <c r="L20" s="29"/>
      <c r="M20" s="13"/>
      <c r="N20" s="3"/>
      <c r="O20" s="53">
        <f t="shared" si="0"/>
        <v>680000</v>
      </c>
      <c r="P20" s="13">
        <v>2490909</v>
      </c>
      <c r="Q20" s="54">
        <f t="shared" si="1"/>
        <v>1810909</v>
      </c>
      <c r="R20" s="5"/>
    </row>
    <row r="21" spans="1:18" ht="17.25" customHeight="1" x14ac:dyDescent="0.25">
      <c r="A21" s="25">
        <v>14</v>
      </c>
      <c r="B21" s="120">
        <v>44265</v>
      </c>
      <c r="C21" s="10" t="s">
        <v>1934</v>
      </c>
      <c r="D21" s="25" t="s">
        <v>1960</v>
      </c>
      <c r="E21" s="10" t="s">
        <v>121</v>
      </c>
      <c r="F21" s="8"/>
      <c r="G21" s="8"/>
      <c r="H21" s="13"/>
      <c r="I21" s="8"/>
      <c r="J21" s="13">
        <v>2740000</v>
      </c>
      <c r="K21" s="28"/>
      <c r="L21" s="29"/>
      <c r="M21" s="13"/>
      <c r="N21" s="3"/>
      <c r="O21" s="53">
        <f t="shared" si="0"/>
        <v>2740000</v>
      </c>
      <c r="P21" s="13">
        <v>11363636</v>
      </c>
      <c r="Q21" s="54">
        <f t="shared" si="1"/>
        <v>8623636</v>
      </c>
      <c r="R21" s="5"/>
    </row>
    <row r="22" spans="1:18" ht="17.25" customHeight="1" x14ac:dyDescent="0.25">
      <c r="A22" s="25">
        <v>15</v>
      </c>
      <c r="B22" s="120">
        <v>44266</v>
      </c>
      <c r="C22" s="10" t="s">
        <v>1193</v>
      </c>
      <c r="D22" s="25" t="s">
        <v>1961</v>
      </c>
      <c r="E22" s="10" t="s">
        <v>330</v>
      </c>
      <c r="F22" s="8"/>
      <c r="G22" s="8">
        <v>320</v>
      </c>
      <c r="H22" s="13">
        <f t="shared" si="2"/>
        <v>4428800</v>
      </c>
      <c r="I22" s="8"/>
      <c r="J22" s="13">
        <v>680000</v>
      </c>
      <c r="K22" s="28"/>
      <c r="L22" s="29"/>
      <c r="M22" s="13"/>
      <c r="N22" s="3"/>
      <c r="O22" s="53">
        <f t="shared" si="0"/>
        <v>5108800</v>
      </c>
      <c r="P22" s="13">
        <v>3400000</v>
      </c>
      <c r="Q22" s="54">
        <f t="shared" si="1"/>
        <v>-1708800</v>
      </c>
      <c r="R22" s="5"/>
    </row>
    <row r="23" spans="1:18" ht="17.25" customHeight="1" x14ac:dyDescent="0.25">
      <c r="A23" s="25">
        <v>16</v>
      </c>
      <c r="B23" s="120">
        <v>44266</v>
      </c>
      <c r="C23" s="10" t="s">
        <v>1935</v>
      </c>
      <c r="D23" s="25" t="s">
        <v>1962</v>
      </c>
      <c r="E23" s="10" t="s">
        <v>330</v>
      </c>
      <c r="F23" s="8"/>
      <c r="G23" s="8"/>
      <c r="H23" s="13"/>
      <c r="I23" s="8"/>
      <c r="J23" s="13">
        <v>680000</v>
      </c>
      <c r="K23" s="28"/>
      <c r="L23" s="29"/>
      <c r="M23" s="13"/>
      <c r="N23" s="3"/>
      <c r="O23" s="53">
        <f t="shared" si="0"/>
        <v>680000</v>
      </c>
      <c r="P23" s="13">
        <v>3400000</v>
      </c>
      <c r="Q23" s="54">
        <f t="shared" si="1"/>
        <v>2720000</v>
      </c>
      <c r="R23" s="5"/>
    </row>
    <row r="24" spans="1:18" ht="17.25" customHeight="1" x14ac:dyDescent="0.25">
      <c r="A24" s="25">
        <v>17</v>
      </c>
      <c r="B24" s="120">
        <v>44270</v>
      </c>
      <c r="C24" s="10" t="s">
        <v>1936</v>
      </c>
      <c r="D24" s="25" t="s">
        <v>1963</v>
      </c>
      <c r="E24" s="10" t="s">
        <v>1594</v>
      </c>
      <c r="F24" s="8"/>
      <c r="G24" s="8"/>
      <c r="H24" s="13"/>
      <c r="I24" s="8"/>
      <c r="J24" s="13">
        <v>810000</v>
      </c>
      <c r="K24" s="28"/>
      <c r="L24" s="29"/>
      <c r="M24" s="13"/>
      <c r="N24" s="3"/>
      <c r="O24" s="53">
        <f t="shared" si="0"/>
        <v>810000</v>
      </c>
      <c r="P24" s="13">
        <v>4318182</v>
      </c>
      <c r="Q24" s="54">
        <f t="shared" si="1"/>
        <v>3508182</v>
      </c>
      <c r="R24" s="5"/>
    </row>
    <row r="25" spans="1:18" ht="17.25" customHeight="1" x14ac:dyDescent="0.25">
      <c r="A25" s="25">
        <v>18</v>
      </c>
      <c r="B25" s="120">
        <v>44270</v>
      </c>
      <c r="C25" s="10" t="s">
        <v>1937</v>
      </c>
      <c r="D25" s="25" t="s">
        <v>1964</v>
      </c>
      <c r="E25" s="10" t="s">
        <v>33</v>
      </c>
      <c r="F25" s="8"/>
      <c r="G25" s="8">
        <v>285</v>
      </c>
      <c r="H25" s="13">
        <f>G25*14400</f>
        <v>4104000</v>
      </c>
      <c r="I25" s="8"/>
      <c r="J25" s="13">
        <v>1890000</v>
      </c>
      <c r="K25" s="28"/>
      <c r="L25" s="29"/>
      <c r="M25" s="13"/>
      <c r="N25" s="3"/>
      <c r="O25" s="53">
        <f t="shared" si="0"/>
        <v>5994000</v>
      </c>
      <c r="P25" s="13">
        <v>7209091</v>
      </c>
      <c r="Q25" s="54">
        <f t="shared" si="1"/>
        <v>1215091</v>
      </c>
      <c r="R25" s="5"/>
    </row>
    <row r="26" spans="1:18" ht="17.25" customHeight="1" x14ac:dyDescent="0.25">
      <c r="A26" s="25">
        <v>19</v>
      </c>
      <c r="B26" s="120">
        <v>44271</v>
      </c>
      <c r="C26" s="10" t="s">
        <v>1938</v>
      </c>
      <c r="D26" s="25" t="s">
        <v>1965</v>
      </c>
      <c r="E26" s="10" t="s">
        <v>122</v>
      </c>
      <c r="F26" s="8"/>
      <c r="G26" s="8">
        <v>260</v>
      </c>
      <c r="H26" s="13">
        <f t="shared" ref="H26:H36" si="3">G26*14400</f>
        <v>3744000</v>
      </c>
      <c r="I26" s="8"/>
      <c r="J26" s="13">
        <v>930000</v>
      </c>
      <c r="K26" s="28"/>
      <c r="L26" s="29"/>
      <c r="M26" s="13"/>
      <c r="N26" s="3"/>
      <c r="O26" s="53">
        <f t="shared" si="0"/>
        <v>4674000</v>
      </c>
      <c r="P26" s="13">
        <v>3427273</v>
      </c>
      <c r="Q26" s="54">
        <f t="shared" si="1"/>
        <v>-1246727</v>
      </c>
      <c r="R26" s="5"/>
    </row>
    <row r="27" spans="1:18" ht="17.25" customHeight="1" x14ac:dyDescent="0.25">
      <c r="A27" s="25">
        <v>20</v>
      </c>
      <c r="B27" s="120">
        <v>44272</v>
      </c>
      <c r="C27" s="10" t="s">
        <v>1939</v>
      </c>
      <c r="D27" s="25" t="s">
        <v>1966</v>
      </c>
      <c r="E27" s="10" t="s">
        <v>1541</v>
      </c>
      <c r="F27" s="8"/>
      <c r="G27" s="8"/>
      <c r="H27" s="13"/>
      <c r="I27" s="8"/>
      <c r="J27" s="13">
        <v>810000</v>
      </c>
      <c r="K27" s="28"/>
      <c r="L27" s="29"/>
      <c r="M27" s="13"/>
      <c r="N27" s="3"/>
      <c r="O27" s="53">
        <f t="shared" si="0"/>
        <v>810000</v>
      </c>
      <c r="P27" s="13">
        <v>5100000</v>
      </c>
      <c r="Q27" s="54">
        <f t="shared" si="1"/>
        <v>4290000</v>
      </c>
      <c r="R27" s="5"/>
    </row>
    <row r="28" spans="1:18" ht="17.25" customHeight="1" x14ac:dyDescent="0.25">
      <c r="A28" s="25">
        <v>21</v>
      </c>
      <c r="B28" s="120">
        <v>44272</v>
      </c>
      <c r="C28" s="10" t="s">
        <v>1940</v>
      </c>
      <c r="D28" s="25" t="s">
        <v>1966</v>
      </c>
      <c r="E28" s="10" t="s">
        <v>1336</v>
      </c>
      <c r="F28" s="8"/>
      <c r="G28" s="8"/>
      <c r="H28" s="13"/>
      <c r="I28" s="8"/>
      <c r="J28" s="13">
        <v>360000</v>
      </c>
      <c r="K28" s="28"/>
      <c r="L28" s="29"/>
      <c r="M28" s="13"/>
      <c r="N28" s="3"/>
      <c r="O28" s="53">
        <f t="shared" si="0"/>
        <v>360000</v>
      </c>
      <c r="P28" s="13"/>
      <c r="Q28" s="54">
        <f t="shared" si="1"/>
        <v>-360000</v>
      </c>
      <c r="R28" s="5"/>
    </row>
    <row r="29" spans="1:18" ht="17.25" customHeight="1" x14ac:dyDescent="0.25">
      <c r="A29" s="25">
        <v>22</v>
      </c>
      <c r="B29" s="120">
        <v>44273</v>
      </c>
      <c r="C29" s="10" t="s">
        <v>1941</v>
      </c>
      <c r="D29" s="25" t="s">
        <v>1967</v>
      </c>
      <c r="E29" s="10" t="s">
        <v>1984</v>
      </c>
      <c r="F29" s="8"/>
      <c r="G29" s="8"/>
      <c r="H29" s="13"/>
      <c r="I29" s="8"/>
      <c r="J29" s="13">
        <v>680000</v>
      </c>
      <c r="K29" s="28"/>
      <c r="L29" s="29"/>
      <c r="M29" s="13"/>
      <c r="N29" s="3"/>
      <c r="O29" s="53">
        <f t="shared" si="0"/>
        <v>680000</v>
      </c>
      <c r="P29" s="13">
        <v>3700000</v>
      </c>
      <c r="Q29" s="54">
        <f t="shared" si="1"/>
        <v>3020000</v>
      </c>
      <c r="R29" s="5"/>
    </row>
    <row r="30" spans="1:18" ht="17.25" customHeight="1" x14ac:dyDescent="0.25">
      <c r="A30" s="25">
        <v>23</v>
      </c>
      <c r="B30" s="120">
        <v>44275</v>
      </c>
      <c r="C30" s="10" t="s">
        <v>1942</v>
      </c>
      <c r="D30" s="25" t="s">
        <v>1968</v>
      </c>
      <c r="E30" s="10" t="s">
        <v>1984</v>
      </c>
      <c r="F30" s="8"/>
      <c r="G30" s="8">
        <v>300</v>
      </c>
      <c r="H30" s="13">
        <f t="shared" si="3"/>
        <v>4320000</v>
      </c>
      <c r="I30" s="8"/>
      <c r="J30" s="13">
        <v>680000</v>
      </c>
      <c r="K30" s="28"/>
      <c r="L30" s="29"/>
      <c r="M30" s="13"/>
      <c r="N30" s="3"/>
      <c r="O30" s="53">
        <f t="shared" si="0"/>
        <v>5000000</v>
      </c>
      <c r="P30" s="13">
        <v>3700000</v>
      </c>
      <c r="Q30" s="54">
        <f t="shared" si="1"/>
        <v>-1300000</v>
      </c>
      <c r="R30" s="5"/>
    </row>
    <row r="31" spans="1:18" ht="17.25" customHeight="1" x14ac:dyDescent="0.25">
      <c r="A31" s="25">
        <v>24</v>
      </c>
      <c r="B31" s="120">
        <v>44275</v>
      </c>
      <c r="C31" s="10" t="s">
        <v>1943</v>
      </c>
      <c r="D31" s="25" t="s">
        <v>1969</v>
      </c>
      <c r="E31" s="10" t="s">
        <v>736</v>
      </c>
      <c r="F31" s="8"/>
      <c r="G31" s="8"/>
      <c r="H31" s="13"/>
      <c r="I31" s="8"/>
      <c r="J31" s="13">
        <v>930000</v>
      </c>
      <c r="K31" s="28"/>
      <c r="L31" s="29"/>
      <c r="M31" s="13"/>
      <c r="N31" s="3"/>
      <c r="O31" s="53">
        <f t="shared" si="0"/>
        <v>930000</v>
      </c>
      <c r="P31" s="13">
        <v>3518182</v>
      </c>
      <c r="Q31" s="54">
        <f t="shared" si="1"/>
        <v>2588182</v>
      </c>
      <c r="R31" s="5"/>
    </row>
    <row r="32" spans="1:18" ht="17.25" customHeight="1" x14ac:dyDescent="0.25">
      <c r="A32" s="25">
        <v>25</v>
      </c>
      <c r="B32" s="120">
        <v>44277</v>
      </c>
      <c r="C32" s="10" t="s">
        <v>1199</v>
      </c>
      <c r="D32" s="25" t="s">
        <v>1970</v>
      </c>
      <c r="E32" s="10" t="s">
        <v>330</v>
      </c>
      <c r="F32" s="8"/>
      <c r="G32" s="8"/>
      <c r="H32" s="13"/>
      <c r="I32" s="8"/>
      <c r="J32" s="13">
        <v>680000</v>
      </c>
      <c r="K32" s="28"/>
      <c r="L32" s="29"/>
      <c r="M32" s="13"/>
      <c r="N32" s="3"/>
      <c r="O32" s="53">
        <f t="shared" si="0"/>
        <v>680000</v>
      </c>
      <c r="P32" s="13">
        <v>3400000</v>
      </c>
      <c r="Q32" s="54">
        <f t="shared" si="1"/>
        <v>2720000</v>
      </c>
      <c r="R32" s="5"/>
    </row>
    <row r="33" spans="1:18" ht="17.25" customHeight="1" x14ac:dyDescent="0.25">
      <c r="A33" s="25">
        <v>26</v>
      </c>
      <c r="B33" s="120">
        <v>44277</v>
      </c>
      <c r="C33" s="10" t="s">
        <v>1200</v>
      </c>
      <c r="D33" s="25" t="s">
        <v>1971</v>
      </c>
      <c r="E33" s="10" t="s">
        <v>330</v>
      </c>
      <c r="F33" s="8"/>
      <c r="G33" s="8">
        <v>290</v>
      </c>
      <c r="H33" s="13">
        <f t="shared" si="3"/>
        <v>4176000</v>
      </c>
      <c r="I33" s="8"/>
      <c r="J33" s="13">
        <v>680000</v>
      </c>
      <c r="K33" s="28"/>
      <c r="L33" s="29"/>
      <c r="M33" s="13"/>
      <c r="N33" s="3"/>
      <c r="O33" s="53">
        <f t="shared" si="0"/>
        <v>4856000</v>
      </c>
      <c r="P33" s="13">
        <v>3400000</v>
      </c>
      <c r="Q33" s="54">
        <f t="shared" si="1"/>
        <v>-1456000</v>
      </c>
      <c r="R33" s="5"/>
    </row>
    <row r="34" spans="1:18" ht="17.25" customHeight="1" x14ac:dyDescent="0.25">
      <c r="A34" s="25">
        <v>27</v>
      </c>
      <c r="B34" s="120">
        <v>44277</v>
      </c>
      <c r="C34" s="10" t="s">
        <v>1944</v>
      </c>
      <c r="D34" s="25" t="s">
        <v>1972</v>
      </c>
      <c r="E34" s="10" t="s">
        <v>112</v>
      </c>
      <c r="F34" s="8"/>
      <c r="G34" s="8"/>
      <c r="H34" s="13"/>
      <c r="I34" s="8"/>
      <c r="J34" s="13">
        <v>2470000</v>
      </c>
      <c r="K34" s="28"/>
      <c r="L34" s="29"/>
      <c r="M34" s="13"/>
      <c r="N34" s="3"/>
      <c r="O34" s="53">
        <f t="shared" si="0"/>
        <v>2470000</v>
      </c>
      <c r="P34" s="13">
        <v>12272727</v>
      </c>
      <c r="Q34" s="54">
        <f t="shared" si="1"/>
        <v>9802727</v>
      </c>
      <c r="R34" s="5"/>
    </row>
    <row r="35" spans="1:18" ht="17.25" customHeight="1" x14ac:dyDescent="0.25">
      <c r="A35" s="25">
        <v>28</v>
      </c>
      <c r="B35" s="120">
        <v>44280</v>
      </c>
      <c r="C35" s="10" t="s">
        <v>518</v>
      </c>
      <c r="D35" s="25" t="s">
        <v>1973</v>
      </c>
      <c r="E35" s="10" t="s">
        <v>330</v>
      </c>
      <c r="F35" s="8"/>
      <c r="G35" s="8"/>
      <c r="H35" s="13"/>
      <c r="I35" s="8"/>
      <c r="J35" s="13">
        <v>680000</v>
      </c>
      <c r="K35" s="28"/>
      <c r="L35" s="29"/>
      <c r="M35" s="13"/>
      <c r="N35" s="3"/>
      <c r="O35" s="53">
        <f t="shared" si="0"/>
        <v>680000</v>
      </c>
      <c r="P35" s="13">
        <v>3400000</v>
      </c>
      <c r="Q35" s="54">
        <f t="shared" si="1"/>
        <v>2720000</v>
      </c>
      <c r="R35" s="5"/>
    </row>
    <row r="36" spans="1:18" ht="17.25" customHeight="1" x14ac:dyDescent="0.25">
      <c r="A36" s="25">
        <v>29</v>
      </c>
      <c r="B36" s="120">
        <v>44282</v>
      </c>
      <c r="C36" s="10" t="s">
        <v>1945</v>
      </c>
      <c r="D36" s="25" t="s">
        <v>1974</v>
      </c>
      <c r="E36" s="10" t="s">
        <v>1985</v>
      </c>
      <c r="F36" s="8"/>
      <c r="G36" s="8">
        <v>330</v>
      </c>
      <c r="H36" s="13">
        <f t="shared" si="3"/>
        <v>4752000</v>
      </c>
      <c r="I36" s="8"/>
      <c r="J36" s="13">
        <v>810000</v>
      </c>
      <c r="K36" s="28"/>
      <c r="L36" s="29"/>
      <c r="M36" s="13"/>
      <c r="N36" s="3"/>
      <c r="O36" s="53">
        <f t="shared" si="0"/>
        <v>5562000</v>
      </c>
      <c r="P36" s="13">
        <v>4200000</v>
      </c>
      <c r="Q36" s="54">
        <f t="shared" si="1"/>
        <v>-1362000</v>
      </c>
      <c r="R36" s="5"/>
    </row>
    <row r="37" spans="1:18" ht="17.25" customHeight="1" x14ac:dyDescent="0.25">
      <c r="A37" s="25">
        <v>30</v>
      </c>
      <c r="B37" s="120">
        <v>44283</v>
      </c>
      <c r="C37" s="10" t="s">
        <v>1946</v>
      </c>
      <c r="D37" s="25" t="s">
        <v>1975</v>
      </c>
      <c r="E37" s="10" t="s">
        <v>1986</v>
      </c>
      <c r="F37" s="8"/>
      <c r="G37" s="8">
        <v>185</v>
      </c>
      <c r="H37" s="13">
        <f>G37*14240</f>
        <v>2634400</v>
      </c>
      <c r="I37" s="8"/>
      <c r="J37" s="13">
        <v>680000</v>
      </c>
      <c r="K37" s="28"/>
      <c r="L37" s="29"/>
      <c r="M37" s="13"/>
      <c r="N37" s="3"/>
      <c r="O37" s="53">
        <f t="shared" si="0"/>
        <v>3314400</v>
      </c>
      <c r="P37" s="13">
        <v>2963636</v>
      </c>
      <c r="Q37" s="54">
        <f t="shared" si="1"/>
        <v>-350764</v>
      </c>
      <c r="R37" s="5"/>
    </row>
    <row r="38" spans="1:18" ht="17.25" customHeight="1" x14ac:dyDescent="0.25">
      <c r="A38" s="25">
        <v>31</v>
      </c>
      <c r="B38" s="120">
        <v>44284</v>
      </c>
      <c r="C38" s="10" t="s">
        <v>1947</v>
      </c>
      <c r="D38" s="25" t="s">
        <v>1976</v>
      </c>
      <c r="E38" s="10" t="s">
        <v>112</v>
      </c>
      <c r="F38" s="8"/>
      <c r="G38" s="8"/>
      <c r="H38" s="13"/>
      <c r="I38" s="8"/>
      <c r="J38" s="13">
        <v>2470000</v>
      </c>
      <c r="K38" s="28"/>
      <c r="L38" s="29"/>
      <c r="M38" s="13"/>
      <c r="N38" s="3"/>
      <c r="O38" s="53">
        <f t="shared" si="0"/>
        <v>2470000</v>
      </c>
      <c r="P38" s="13">
        <v>12272727</v>
      </c>
      <c r="Q38" s="54">
        <f t="shared" si="1"/>
        <v>9802727</v>
      </c>
      <c r="R38" s="5"/>
    </row>
    <row r="39" spans="1:18" ht="17.25" customHeight="1" x14ac:dyDescent="0.25">
      <c r="A39" s="25">
        <v>32</v>
      </c>
      <c r="B39" s="120">
        <v>44285</v>
      </c>
      <c r="C39" s="10" t="s">
        <v>1948</v>
      </c>
      <c r="D39" s="25" t="s">
        <v>1977</v>
      </c>
      <c r="E39" s="10" t="s">
        <v>330</v>
      </c>
      <c r="F39" s="8"/>
      <c r="G39" s="8">
        <v>330</v>
      </c>
      <c r="H39" s="13">
        <f t="shared" ref="H39" si="4">G39*14240</f>
        <v>4699200</v>
      </c>
      <c r="I39" s="8"/>
      <c r="J39" s="13">
        <v>680000</v>
      </c>
      <c r="K39" s="28"/>
      <c r="L39" s="29"/>
      <c r="M39" s="13"/>
      <c r="N39" s="3"/>
      <c r="O39" s="53">
        <f t="shared" si="0"/>
        <v>5379200</v>
      </c>
      <c r="P39" s="13">
        <v>3400000</v>
      </c>
      <c r="Q39" s="54">
        <f t="shared" si="1"/>
        <v>-1979200</v>
      </c>
      <c r="R39" s="5"/>
    </row>
    <row r="40" spans="1:18" ht="12.75" customHeight="1" x14ac:dyDescent="0.25">
      <c r="A40" s="25"/>
      <c r="B40" s="44"/>
      <c r="C40" s="10"/>
      <c r="D40" s="8"/>
      <c r="E40" s="10"/>
      <c r="F40" s="8"/>
      <c r="G40" s="8"/>
      <c r="H40" s="13"/>
      <c r="I40" s="8"/>
      <c r="J40" s="13"/>
      <c r="K40" s="28"/>
      <c r="L40" s="29"/>
      <c r="M40" s="13"/>
      <c r="N40" s="13"/>
      <c r="O40" s="53"/>
      <c r="P40" s="13"/>
      <c r="Q40" s="54"/>
      <c r="R40" s="5"/>
    </row>
    <row r="41" spans="1:18" ht="18" customHeight="1" x14ac:dyDescent="0.25">
      <c r="A41" s="8"/>
      <c r="B41" s="8"/>
      <c r="C41" s="213" t="s">
        <v>131</v>
      </c>
      <c r="D41" s="214"/>
      <c r="E41" s="214"/>
      <c r="F41" s="215"/>
      <c r="G41" s="46"/>
      <c r="H41" s="18"/>
      <c r="I41" s="46"/>
      <c r="J41" s="18"/>
      <c r="K41" s="18"/>
      <c r="L41" s="18">
        <v>1200000</v>
      </c>
      <c r="M41" s="18"/>
      <c r="N41" s="28"/>
      <c r="O41" s="53">
        <f t="shared" ref="O41:O52" si="5">H41+J41+K41+L41+M41+N41</f>
        <v>1200000</v>
      </c>
      <c r="P41" s="28"/>
      <c r="Q41" s="54"/>
    </row>
    <row r="42" spans="1:18" ht="27.75" customHeight="1" x14ac:dyDescent="0.25">
      <c r="A42" s="8"/>
      <c r="B42" s="8"/>
      <c r="C42" s="210" t="s">
        <v>556</v>
      </c>
      <c r="D42" s="211"/>
      <c r="E42" s="211"/>
      <c r="F42" s="212"/>
      <c r="G42" s="46"/>
      <c r="H42" s="18"/>
      <c r="I42" s="46"/>
      <c r="J42" s="18"/>
      <c r="K42" s="18"/>
      <c r="L42" s="18">
        <v>610000</v>
      </c>
      <c r="M42" s="18"/>
      <c r="N42" s="28"/>
      <c r="O42" s="53">
        <f t="shared" si="5"/>
        <v>610000</v>
      </c>
      <c r="P42" s="28"/>
      <c r="Q42" s="54"/>
    </row>
    <row r="43" spans="1:18" ht="27.75" customHeight="1" x14ac:dyDescent="0.25">
      <c r="A43" s="8"/>
      <c r="B43" s="8"/>
      <c r="C43" s="210" t="s">
        <v>194</v>
      </c>
      <c r="D43" s="211"/>
      <c r="E43" s="211"/>
      <c r="F43" s="212"/>
      <c r="G43" s="46"/>
      <c r="H43" s="18"/>
      <c r="I43" s="46"/>
      <c r="J43" s="18"/>
      <c r="K43" s="18"/>
      <c r="L43" s="18">
        <v>7717000</v>
      </c>
      <c r="M43" s="18"/>
      <c r="N43" s="28"/>
      <c r="O43" s="53">
        <f t="shared" si="5"/>
        <v>7717000</v>
      </c>
      <c r="P43" s="28"/>
      <c r="Q43" s="54"/>
    </row>
    <row r="44" spans="1:18" ht="24" customHeight="1" x14ac:dyDescent="0.25">
      <c r="A44" s="8"/>
      <c r="B44" s="8"/>
      <c r="C44" s="210" t="s">
        <v>1987</v>
      </c>
      <c r="D44" s="211"/>
      <c r="E44" s="211"/>
      <c r="F44" s="212"/>
      <c r="G44" s="46"/>
      <c r="H44" s="18"/>
      <c r="I44" s="46"/>
      <c r="J44" s="18"/>
      <c r="K44" s="18"/>
      <c r="L44" s="18">
        <v>300000</v>
      </c>
      <c r="M44" s="18"/>
      <c r="N44" s="28"/>
      <c r="O44" s="53">
        <f t="shared" si="5"/>
        <v>300000</v>
      </c>
      <c r="P44" s="28"/>
      <c r="Q44" s="54"/>
    </row>
    <row r="45" spans="1:18" ht="24" customHeight="1" x14ac:dyDescent="0.25">
      <c r="A45" s="8"/>
      <c r="B45" s="8"/>
      <c r="C45" s="210" t="s">
        <v>1988</v>
      </c>
      <c r="D45" s="211"/>
      <c r="E45" s="211"/>
      <c r="F45" s="212"/>
      <c r="G45" s="46"/>
      <c r="H45" s="18"/>
      <c r="I45" s="46"/>
      <c r="J45" s="18"/>
      <c r="K45" s="18"/>
      <c r="L45" s="18"/>
      <c r="M45" s="18">
        <v>11200000</v>
      </c>
      <c r="N45" s="28"/>
      <c r="O45" s="53">
        <f t="shared" si="5"/>
        <v>11200000</v>
      </c>
      <c r="P45" s="28"/>
      <c r="Q45" s="54"/>
    </row>
    <row r="46" spans="1:18" ht="24" customHeight="1" x14ac:dyDescent="0.25">
      <c r="A46" s="8"/>
      <c r="B46" s="8"/>
      <c r="C46" s="210" t="s">
        <v>1989</v>
      </c>
      <c r="D46" s="211"/>
      <c r="E46" s="211"/>
      <c r="F46" s="212"/>
      <c r="G46" s="46"/>
      <c r="H46" s="18"/>
      <c r="I46" s="46"/>
      <c r="J46" s="18"/>
      <c r="K46" s="18"/>
      <c r="L46" s="18">
        <v>1380000</v>
      </c>
      <c r="M46" s="18"/>
      <c r="N46" s="28"/>
      <c r="O46" s="53">
        <f t="shared" si="5"/>
        <v>1380000</v>
      </c>
      <c r="P46" s="28"/>
      <c r="Q46" s="54"/>
    </row>
    <row r="47" spans="1:18" ht="24" customHeight="1" x14ac:dyDescent="0.25">
      <c r="A47" s="8"/>
      <c r="B47" s="8"/>
      <c r="C47" s="210" t="s">
        <v>1990</v>
      </c>
      <c r="D47" s="211"/>
      <c r="E47" s="211"/>
      <c r="F47" s="212"/>
      <c r="G47" s="46"/>
      <c r="H47" s="18"/>
      <c r="I47" s="46"/>
      <c r="J47" s="18"/>
      <c r="K47" s="18"/>
      <c r="L47" s="18">
        <v>170000</v>
      </c>
      <c r="M47" s="18"/>
      <c r="N47" s="28"/>
      <c r="O47" s="53">
        <f t="shared" si="5"/>
        <v>170000</v>
      </c>
      <c r="P47" s="28"/>
      <c r="Q47" s="54"/>
    </row>
    <row r="48" spans="1:18" ht="24" customHeight="1" x14ac:dyDescent="0.25">
      <c r="A48" s="8"/>
      <c r="B48" s="8"/>
      <c r="C48" s="210" t="s">
        <v>1991</v>
      </c>
      <c r="D48" s="211"/>
      <c r="E48" s="211"/>
      <c r="F48" s="212"/>
      <c r="G48" s="46"/>
      <c r="H48" s="18"/>
      <c r="I48" s="46"/>
      <c r="J48" s="18"/>
      <c r="K48" s="18"/>
      <c r="L48" s="18"/>
      <c r="M48" s="18">
        <v>500000</v>
      </c>
      <c r="N48" s="28"/>
      <c r="O48" s="53">
        <f t="shared" si="5"/>
        <v>500000</v>
      </c>
      <c r="P48" s="28"/>
      <c r="Q48" s="54"/>
    </row>
    <row r="49" spans="1:17" ht="24" customHeight="1" x14ac:dyDescent="0.25">
      <c r="A49" s="8"/>
      <c r="B49" s="8"/>
      <c r="C49" s="210" t="s">
        <v>1992</v>
      </c>
      <c r="D49" s="211"/>
      <c r="E49" s="211"/>
      <c r="F49" s="212"/>
      <c r="G49" s="46"/>
      <c r="H49" s="18"/>
      <c r="I49" s="46"/>
      <c r="J49" s="18"/>
      <c r="K49" s="18"/>
      <c r="L49" s="18"/>
      <c r="M49" s="18">
        <v>2870000</v>
      </c>
      <c r="N49" s="28"/>
      <c r="O49" s="53">
        <f t="shared" si="5"/>
        <v>2870000</v>
      </c>
      <c r="P49" s="28"/>
      <c r="Q49" s="54"/>
    </row>
    <row r="50" spans="1:17" ht="24" customHeight="1" x14ac:dyDescent="0.25">
      <c r="A50" s="8"/>
      <c r="B50" s="8"/>
      <c r="C50" s="210" t="s">
        <v>1993</v>
      </c>
      <c r="D50" s="211"/>
      <c r="E50" s="211"/>
      <c r="F50" s="212"/>
      <c r="G50" s="46"/>
      <c r="H50" s="18"/>
      <c r="I50" s="46"/>
      <c r="J50" s="18"/>
      <c r="K50" s="18"/>
      <c r="L50" s="18">
        <v>450000</v>
      </c>
      <c r="M50" s="18"/>
      <c r="N50" s="28"/>
      <c r="O50" s="53">
        <f t="shared" si="5"/>
        <v>450000</v>
      </c>
      <c r="P50" s="28"/>
      <c r="Q50" s="54"/>
    </row>
    <row r="51" spans="1:17" ht="24" customHeight="1" x14ac:dyDescent="0.25">
      <c r="A51" s="8"/>
      <c r="B51" s="8"/>
      <c r="C51" s="210" t="s">
        <v>1994</v>
      </c>
      <c r="D51" s="211"/>
      <c r="E51" s="211"/>
      <c r="F51" s="212"/>
      <c r="G51" s="46"/>
      <c r="H51" s="18"/>
      <c r="I51" s="46"/>
      <c r="J51" s="18"/>
      <c r="K51" s="18"/>
      <c r="L51" s="18"/>
      <c r="M51" s="18">
        <v>11200000</v>
      </c>
      <c r="N51" s="28"/>
      <c r="O51" s="53">
        <f t="shared" si="5"/>
        <v>11200000</v>
      </c>
      <c r="P51" s="28"/>
      <c r="Q51" s="54"/>
    </row>
    <row r="52" spans="1:17" ht="24" customHeight="1" x14ac:dyDescent="0.25">
      <c r="A52" s="8"/>
      <c r="B52" s="8"/>
      <c r="C52" s="213" t="s">
        <v>1995</v>
      </c>
      <c r="D52" s="214"/>
      <c r="E52" s="214"/>
      <c r="F52" s="215"/>
      <c r="G52" s="46"/>
      <c r="H52" s="18"/>
      <c r="I52" s="46"/>
      <c r="J52" s="18"/>
      <c r="K52" s="18"/>
      <c r="L52" s="18">
        <v>2160000</v>
      </c>
      <c r="M52" s="18"/>
      <c r="N52" s="28"/>
      <c r="O52" s="53">
        <f t="shared" si="5"/>
        <v>2160000</v>
      </c>
      <c r="P52" s="28"/>
      <c r="Q52" s="54"/>
    </row>
    <row r="53" spans="1:17" ht="25.5" customHeight="1" x14ac:dyDescent="0.25">
      <c r="A53" s="8"/>
      <c r="B53" s="8"/>
      <c r="C53" s="207" t="s">
        <v>132</v>
      </c>
      <c r="D53" s="208"/>
      <c r="E53" s="208"/>
      <c r="F53" s="209"/>
      <c r="G53" s="46"/>
      <c r="H53" s="18"/>
      <c r="I53" s="46"/>
      <c r="J53" s="18"/>
      <c r="K53" s="18">
        <f>31/26*9000000</f>
        <v>10730769.23076923</v>
      </c>
      <c r="L53" s="18"/>
      <c r="M53" s="18"/>
      <c r="N53" s="28"/>
      <c r="O53" s="53">
        <f>H53+J53+K53+L53+M53+N53</f>
        <v>10730769.23076923</v>
      </c>
      <c r="P53" s="28"/>
      <c r="Q53" s="54"/>
    </row>
    <row r="54" spans="1:17" x14ac:dyDescent="0.25">
      <c r="A54" s="166" t="s">
        <v>19</v>
      </c>
      <c r="B54" s="167"/>
      <c r="C54" s="167"/>
      <c r="D54" s="167"/>
      <c r="E54" s="167"/>
      <c r="F54" s="168"/>
      <c r="G54" s="131">
        <f t="shared" ref="G54:O54" si="6">SUM(G7:G53)</f>
        <v>3090</v>
      </c>
      <c r="H54" s="4">
        <f t="shared" si="6"/>
        <v>43792000</v>
      </c>
      <c r="I54" s="4">
        <f t="shared" si="6"/>
        <v>0</v>
      </c>
      <c r="J54" s="4">
        <f t="shared" si="6"/>
        <v>28330000</v>
      </c>
      <c r="K54" s="4">
        <f t="shared" si="6"/>
        <v>10730769.23076923</v>
      </c>
      <c r="L54" s="4">
        <f t="shared" si="6"/>
        <v>13987000</v>
      </c>
      <c r="M54" s="4">
        <f t="shared" si="6"/>
        <v>25770000</v>
      </c>
      <c r="N54" s="4">
        <f t="shared" si="6"/>
        <v>0</v>
      </c>
      <c r="O54" s="4">
        <f t="shared" si="6"/>
        <v>122609769.23076923</v>
      </c>
      <c r="P54" s="4">
        <f>SUM(P8:P53)</f>
        <v>130604544</v>
      </c>
      <c r="Q54" s="122">
        <f>P54-O54</f>
        <v>7994774.7692307681</v>
      </c>
    </row>
    <row r="55" spans="1:17" x14ac:dyDescent="0.25">
      <c r="O55" s="20"/>
      <c r="P55" s="5" t="s">
        <v>1796</v>
      </c>
      <c r="Q55" s="26"/>
    </row>
    <row r="56" spans="1:17" x14ac:dyDescent="0.25">
      <c r="P56" s="21" t="s">
        <v>20</v>
      </c>
      <c r="Q56" s="26">
        <f>'02.2021'!Q40+'03.2021'!Q54</f>
        <v>67440671.692307681</v>
      </c>
    </row>
    <row r="57" spans="1:17" x14ac:dyDescent="0.25">
      <c r="C57" s="6" t="s">
        <v>993</v>
      </c>
    </row>
    <row r="58" spans="1:17" x14ac:dyDescent="0.25">
      <c r="C58" s="205"/>
      <c r="D58" s="205"/>
      <c r="E58" s="205"/>
      <c r="F58" s="205"/>
      <c r="H58" s="109"/>
    </row>
    <row r="59" spans="1:17" x14ac:dyDescent="0.25">
      <c r="C59" s="206"/>
      <c r="D59" s="206"/>
      <c r="E59" s="206"/>
      <c r="F59" s="206"/>
      <c r="H59" s="109"/>
    </row>
    <row r="60" spans="1:17" x14ac:dyDescent="0.25">
      <c r="B60" s="6"/>
      <c r="C60" s="110"/>
      <c r="D60" s="110"/>
      <c r="E60" s="110"/>
      <c r="F60" s="110"/>
      <c r="H60" s="109"/>
    </row>
    <row r="61" spans="1:17" x14ac:dyDescent="0.25">
      <c r="B61" s="6"/>
      <c r="C61" s="206"/>
      <c r="D61" s="206"/>
      <c r="E61" s="206"/>
      <c r="F61" s="206"/>
      <c r="H61" s="109"/>
    </row>
    <row r="62" spans="1:17" x14ac:dyDescent="0.25">
      <c r="B62" s="6"/>
      <c r="C62" s="206"/>
      <c r="D62" s="206"/>
      <c r="E62" s="206"/>
      <c r="F62" s="206"/>
      <c r="H62" s="109"/>
    </row>
    <row r="63" spans="1:17" x14ac:dyDescent="0.25">
      <c r="B63" s="6"/>
      <c r="C63" s="206"/>
      <c r="D63" s="206"/>
      <c r="E63" s="206"/>
      <c r="F63" s="206"/>
      <c r="H63" s="109"/>
      <c r="J63" s="6"/>
      <c r="K63" s="6"/>
      <c r="L63" s="6"/>
      <c r="M63" s="6"/>
      <c r="N63" s="6"/>
      <c r="O63" s="6"/>
      <c r="P63" s="6"/>
      <c r="Q63" s="6"/>
    </row>
    <row r="64" spans="1:17" x14ac:dyDescent="0.2">
      <c r="C64" s="107"/>
      <c r="D64" s="110"/>
      <c r="E64" s="110"/>
      <c r="F64" s="110"/>
      <c r="H64" s="109"/>
    </row>
    <row r="65" spans="3:6" x14ac:dyDescent="0.25">
      <c r="C65" s="205"/>
      <c r="D65" s="205"/>
      <c r="E65" s="205"/>
      <c r="F65" s="205"/>
    </row>
  </sheetData>
  <mergeCells count="33">
    <mergeCell ref="Q5:Q6"/>
    <mergeCell ref="C41:F41"/>
    <mergeCell ref="C42:F42"/>
    <mergeCell ref="C43:F43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53:F53"/>
    <mergeCell ref="A54:F54"/>
    <mergeCell ref="C58:F58"/>
    <mergeCell ref="O5:O6"/>
    <mergeCell ref="P5:P6"/>
    <mergeCell ref="C47:F47"/>
    <mergeCell ref="C48:F48"/>
    <mergeCell ref="C49:F49"/>
    <mergeCell ref="C50:F50"/>
    <mergeCell ref="C44:F44"/>
    <mergeCell ref="C45:F45"/>
    <mergeCell ref="C46:F46"/>
    <mergeCell ref="C51:F51"/>
    <mergeCell ref="C52:F52"/>
    <mergeCell ref="C59:F59"/>
    <mergeCell ref="C61:F61"/>
    <mergeCell ref="C62:F62"/>
    <mergeCell ref="C63:F63"/>
    <mergeCell ref="C65:F65"/>
  </mergeCells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51"/>
  <sheetViews>
    <sheetView topLeftCell="C25" workbookViewId="0">
      <selection activeCell="H21" sqref="H21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1996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44286</v>
      </c>
      <c r="C8" s="10" t="s">
        <v>1997</v>
      </c>
      <c r="D8" s="25" t="s">
        <v>2020</v>
      </c>
      <c r="E8" s="10" t="s">
        <v>2043</v>
      </c>
      <c r="F8" s="8"/>
      <c r="G8" s="8"/>
      <c r="H8" s="13"/>
      <c r="I8" s="8"/>
      <c r="J8" s="13">
        <v>890000</v>
      </c>
      <c r="K8" s="28"/>
      <c r="L8" s="29"/>
      <c r="M8" s="13"/>
      <c r="N8" s="13"/>
      <c r="O8" s="53">
        <f>H8+J8+K8+L8+M8+N8</f>
        <v>890000</v>
      </c>
      <c r="P8" s="13">
        <v>5980000</v>
      </c>
      <c r="Q8" s="54">
        <f>P8-O8</f>
        <v>5090000</v>
      </c>
      <c r="R8" s="5"/>
    </row>
    <row r="9" spans="1:18" ht="17.25" customHeight="1" x14ac:dyDescent="0.25">
      <c r="A9" s="25">
        <v>2</v>
      </c>
      <c r="B9" s="120">
        <v>44287</v>
      </c>
      <c r="C9" s="10" t="s">
        <v>1998</v>
      </c>
      <c r="D9" s="129" t="s">
        <v>2021</v>
      </c>
      <c r="E9" s="9" t="s">
        <v>1854</v>
      </c>
      <c r="F9" s="117"/>
      <c r="H9" s="13"/>
      <c r="I9" s="117"/>
      <c r="J9" s="119">
        <v>680000</v>
      </c>
      <c r="K9" s="28"/>
      <c r="L9" s="29"/>
      <c r="M9" s="13"/>
      <c r="N9" s="3"/>
      <c r="O9" s="53">
        <f t="shared" ref="O9:O33" si="0">H9+J9+K9+L9+M9+N9</f>
        <v>680000</v>
      </c>
      <c r="P9" s="13">
        <v>2463636</v>
      </c>
      <c r="Q9" s="54">
        <f t="shared" ref="Q9:Q33" si="1">P9-O9</f>
        <v>1783636</v>
      </c>
      <c r="R9" s="5"/>
    </row>
    <row r="10" spans="1:18" ht="17.25" customHeight="1" x14ac:dyDescent="0.25">
      <c r="A10" s="25">
        <v>3</v>
      </c>
      <c r="B10" s="120">
        <v>44288</v>
      </c>
      <c r="C10" s="10" t="s">
        <v>1999</v>
      </c>
      <c r="D10" s="25" t="s">
        <v>2021</v>
      </c>
      <c r="E10" s="10" t="s">
        <v>253</v>
      </c>
      <c r="F10" s="8"/>
      <c r="G10" s="8"/>
      <c r="H10" s="13"/>
      <c r="I10" s="8"/>
      <c r="J10" s="13">
        <v>300000</v>
      </c>
      <c r="K10" s="28"/>
      <c r="L10" s="29"/>
      <c r="M10" s="13"/>
      <c r="N10" s="3"/>
      <c r="O10" s="53">
        <f t="shared" si="0"/>
        <v>300000</v>
      </c>
      <c r="P10" s="13">
        <v>1500000</v>
      </c>
      <c r="Q10" s="54">
        <f t="shared" si="1"/>
        <v>1200000</v>
      </c>
      <c r="R10" s="5"/>
    </row>
    <row r="11" spans="1:18" ht="24" customHeight="1" x14ac:dyDescent="0.25">
      <c r="A11" s="25">
        <v>4</v>
      </c>
      <c r="B11" s="120">
        <v>44288</v>
      </c>
      <c r="C11" s="10" t="s">
        <v>1244</v>
      </c>
      <c r="D11" s="25" t="s">
        <v>2022</v>
      </c>
      <c r="E11" s="10" t="s">
        <v>1177</v>
      </c>
      <c r="F11" s="8"/>
      <c r="G11" s="8">
        <v>290</v>
      </c>
      <c r="H11" s="13">
        <f t="shared" ref="H11:H17" si="2">G11*14240</f>
        <v>4129600</v>
      </c>
      <c r="I11" s="8"/>
      <c r="J11" s="13">
        <v>930000</v>
      </c>
      <c r="K11" s="28"/>
      <c r="L11" s="29"/>
      <c r="M11" s="13"/>
      <c r="N11" s="3"/>
      <c r="O11" s="53">
        <f t="shared" si="0"/>
        <v>5059600</v>
      </c>
      <c r="P11" s="13">
        <v>3300000</v>
      </c>
      <c r="Q11" s="54">
        <f t="shared" si="1"/>
        <v>-1759600</v>
      </c>
      <c r="R11" s="5"/>
    </row>
    <row r="12" spans="1:18" ht="17.25" customHeight="1" x14ac:dyDescent="0.25">
      <c r="A12" s="25">
        <v>5</v>
      </c>
      <c r="B12" s="120">
        <v>44290</v>
      </c>
      <c r="C12" s="10" t="s">
        <v>2000</v>
      </c>
      <c r="D12" s="25" t="s">
        <v>2023</v>
      </c>
      <c r="E12" s="10" t="s">
        <v>799</v>
      </c>
      <c r="F12" s="8"/>
      <c r="G12" s="8"/>
      <c r="H12" s="13"/>
      <c r="I12" s="8"/>
      <c r="J12" s="13">
        <v>680000</v>
      </c>
      <c r="K12" s="28"/>
      <c r="L12" s="29"/>
      <c r="M12" s="13"/>
      <c r="N12" s="3"/>
      <c r="O12" s="53">
        <f t="shared" si="0"/>
        <v>680000</v>
      </c>
      <c r="P12" s="13">
        <v>2363636</v>
      </c>
      <c r="Q12" s="54">
        <f t="shared" si="1"/>
        <v>1683636</v>
      </c>
      <c r="R12" s="5"/>
    </row>
    <row r="13" spans="1:18" ht="17.25" customHeight="1" x14ac:dyDescent="0.25">
      <c r="A13" s="25">
        <v>6</v>
      </c>
      <c r="B13" s="120">
        <v>44291</v>
      </c>
      <c r="C13" s="10" t="s">
        <v>2001</v>
      </c>
      <c r="D13" s="25" t="s">
        <v>2024</v>
      </c>
      <c r="E13" s="10" t="s">
        <v>2044</v>
      </c>
      <c r="F13" s="8"/>
      <c r="G13" s="8"/>
      <c r="H13" s="13"/>
      <c r="I13" s="8"/>
      <c r="J13" s="13">
        <v>810000</v>
      </c>
      <c r="K13" s="28"/>
      <c r="L13" s="29"/>
      <c r="M13" s="13"/>
      <c r="N13" s="3"/>
      <c r="O13" s="53">
        <f t="shared" si="0"/>
        <v>810000</v>
      </c>
      <c r="P13" s="13">
        <v>4200000</v>
      </c>
      <c r="Q13" s="54">
        <f t="shared" si="1"/>
        <v>3390000</v>
      </c>
      <c r="R13" s="5"/>
    </row>
    <row r="14" spans="1:18" ht="17.25" customHeight="1" x14ac:dyDescent="0.25">
      <c r="A14" s="25">
        <v>7</v>
      </c>
      <c r="B14" s="120">
        <v>44292</v>
      </c>
      <c r="C14" s="10" t="s">
        <v>2002</v>
      </c>
      <c r="D14" s="25" t="s">
        <v>2024</v>
      </c>
      <c r="E14" s="10" t="s">
        <v>1394</v>
      </c>
      <c r="F14" s="8"/>
      <c r="G14" s="8"/>
      <c r="H14" s="13"/>
      <c r="I14" s="8"/>
      <c r="J14" s="13">
        <v>200000</v>
      </c>
      <c r="K14" s="28"/>
      <c r="L14" s="29"/>
      <c r="M14" s="13"/>
      <c r="N14" s="3"/>
      <c r="O14" s="53">
        <f t="shared" si="0"/>
        <v>200000</v>
      </c>
      <c r="P14" s="13">
        <v>800000</v>
      </c>
      <c r="Q14" s="54">
        <f t="shared" si="1"/>
        <v>600000</v>
      </c>
      <c r="R14" s="5"/>
    </row>
    <row r="15" spans="1:18" ht="17.25" customHeight="1" x14ac:dyDescent="0.25">
      <c r="A15" s="25">
        <v>8</v>
      </c>
      <c r="B15" s="120">
        <v>44292</v>
      </c>
      <c r="C15" s="10" t="s">
        <v>2003</v>
      </c>
      <c r="D15" s="25" t="s">
        <v>2025</v>
      </c>
      <c r="E15" s="10" t="s">
        <v>330</v>
      </c>
      <c r="F15" s="8"/>
      <c r="G15" s="8">
        <v>285</v>
      </c>
      <c r="H15" s="13">
        <f t="shared" si="2"/>
        <v>4058400</v>
      </c>
      <c r="I15" s="8"/>
      <c r="J15" s="13">
        <v>680000</v>
      </c>
      <c r="K15" s="28"/>
      <c r="L15" s="29"/>
      <c r="M15" s="13"/>
      <c r="N15" s="3"/>
      <c r="O15" s="53">
        <f t="shared" si="0"/>
        <v>4738400</v>
      </c>
      <c r="P15" s="13">
        <v>3400000</v>
      </c>
      <c r="Q15" s="54">
        <f t="shared" si="1"/>
        <v>-1338400</v>
      </c>
      <c r="R15" s="5"/>
    </row>
    <row r="16" spans="1:18" ht="17.25" customHeight="1" x14ac:dyDescent="0.25">
      <c r="A16" s="25">
        <v>9</v>
      </c>
      <c r="B16" s="120">
        <v>44293</v>
      </c>
      <c r="C16" s="10" t="s">
        <v>2004</v>
      </c>
      <c r="D16" s="25" t="s">
        <v>2026</v>
      </c>
      <c r="E16" s="10" t="s">
        <v>2045</v>
      </c>
      <c r="F16" s="8"/>
      <c r="G16" s="8"/>
      <c r="H16" s="13"/>
      <c r="I16" s="8"/>
      <c r="J16" s="13">
        <v>3550000</v>
      </c>
      <c r="K16" s="28"/>
      <c r="L16" s="29"/>
      <c r="M16" s="13"/>
      <c r="N16" s="3"/>
      <c r="O16" s="53">
        <f t="shared" si="0"/>
        <v>3550000</v>
      </c>
      <c r="P16" s="13">
        <v>17181818</v>
      </c>
      <c r="Q16" s="54">
        <f t="shared" si="1"/>
        <v>13631818</v>
      </c>
      <c r="R16" s="5"/>
    </row>
    <row r="17" spans="1:18" ht="17.25" customHeight="1" x14ac:dyDescent="0.25">
      <c r="A17" s="25">
        <v>10</v>
      </c>
      <c r="B17" s="120">
        <v>44298</v>
      </c>
      <c r="C17" s="10" t="s">
        <v>2005</v>
      </c>
      <c r="D17" s="25" t="s">
        <v>2027</v>
      </c>
      <c r="E17" s="10" t="s">
        <v>2046</v>
      </c>
      <c r="F17" s="8"/>
      <c r="G17" s="8">
        <v>320</v>
      </c>
      <c r="H17" s="13">
        <f t="shared" si="2"/>
        <v>4556800</v>
      </c>
      <c r="I17" s="8"/>
      <c r="J17" s="13">
        <v>810000</v>
      </c>
      <c r="K17" s="28"/>
      <c r="L17" s="29"/>
      <c r="M17" s="13"/>
      <c r="N17" s="3"/>
      <c r="O17" s="53">
        <f t="shared" si="0"/>
        <v>5366800</v>
      </c>
      <c r="P17" s="13">
        <v>4000000</v>
      </c>
      <c r="Q17" s="54">
        <f t="shared" si="1"/>
        <v>-1366800</v>
      </c>
      <c r="R17" s="5"/>
    </row>
    <row r="18" spans="1:18" ht="17.25" customHeight="1" x14ac:dyDescent="0.25">
      <c r="A18" s="25">
        <v>11</v>
      </c>
      <c r="B18" s="120">
        <v>44298</v>
      </c>
      <c r="C18" s="10" t="s">
        <v>1251</v>
      </c>
      <c r="D18" s="25" t="s">
        <v>2028</v>
      </c>
      <c r="E18" s="10" t="s">
        <v>330</v>
      </c>
      <c r="F18" s="8"/>
      <c r="G18" s="8"/>
      <c r="H18" s="13"/>
      <c r="I18" s="8"/>
      <c r="J18" s="13">
        <v>680000</v>
      </c>
      <c r="K18" s="28"/>
      <c r="L18" s="29"/>
      <c r="M18" s="13"/>
      <c r="N18" s="3"/>
      <c r="O18" s="53">
        <f t="shared" si="0"/>
        <v>680000</v>
      </c>
      <c r="P18" s="13">
        <v>3400000</v>
      </c>
      <c r="Q18" s="54">
        <f t="shared" si="1"/>
        <v>2720000</v>
      </c>
      <c r="R18" s="5"/>
    </row>
    <row r="19" spans="1:18" ht="17.25" customHeight="1" x14ac:dyDescent="0.25">
      <c r="A19" s="25">
        <v>12</v>
      </c>
      <c r="B19" s="120">
        <v>44298</v>
      </c>
      <c r="C19" s="10" t="s">
        <v>2006</v>
      </c>
      <c r="D19" s="25" t="s">
        <v>2029</v>
      </c>
      <c r="E19" s="10" t="s">
        <v>1178</v>
      </c>
      <c r="F19" s="8"/>
      <c r="G19" s="8"/>
      <c r="H19" s="13"/>
      <c r="I19" s="8"/>
      <c r="J19" s="13">
        <v>540000</v>
      </c>
      <c r="K19" s="28"/>
      <c r="L19" s="29"/>
      <c r="M19" s="13"/>
      <c r="N19" s="3"/>
      <c r="O19" s="53">
        <f t="shared" si="0"/>
        <v>540000</v>
      </c>
      <c r="P19" s="13">
        <v>2445455</v>
      </c>
      <c r="Q19" s="54">
        <f t="shared" si="1"/>
        <v>1905455</v>
      </c>
      <c r="R19" s="5"/>
    </row>
    <row r="20" spans="1:18" ht="17.25" customHeight="1" x14ac:dyDescent="0.25">
      <c r="A20" s="25">
        <v>13</v>
      </c>
      <c r="B20" s="120">
        <v>44298</v>
      </c>
      <c r="C20" s="10" t="s">
        <v>2007</v>
      </c>
      <c r="D20" s="25" t="s">
        <v>2030</v>
      </c>
      <c r="E20" s="10" t="s">
        <v>2047</v>
      </c>
      <c r="F20" s="8"/>
      <c r="G20" s="8">
        <v>330</v>
      </c>
      <c r="H20" s="13">
        <f>G20*14140</f>
        <v>4666200</v>
      </c>
      <c r="I20" s="8"/>
      <c r="J20" s="13">
        <v>540000</v>
      </c>
      <c r="K20" s="28"/>
      <c r="L20" s="29"/>
      <c r="M20" s="13"/>
      <c r="N20" s="3"/>
      <c r="O20" s="53">
        <f t="shared" si="0"/>
        <v>5206200</v>
      </c>
      <c r="P20" s="13">
        <v>2363636</v>
      </c>
      <c r="Q20" s="54">
        <f t="shared" si="1"/>
        <v>-2842564</v>
      </c>
      <c r="R20" s="5"/>
    </row>
    <row r="21" spans="1:18" ht="17.25" customHeight="1" x14ac:dyDescent="0.25">
      <c r="A21" s="25">
        <v>14</v>
      </c>
      <c r="B21" s="120">
        <v>44300</v>
      </c>
      <c r="C21" s="10" t="s">
        <v>2008</v>
      </c>
      <c r="D21" s="25" t="s">
        <v>2030</v>
      </c>
      <c r="E21" s="10" t="s">
        <v>253</v>
      </c>
      <c r="F21" s="8"/>
      <c r="G21" s="8"/>
      <c r="H21" s="13"/>
      <c r="I21" s="8"/>
      <c r="J21" s="13">
        <v>300000</v>
      </c>
      <c r="K21" s="28"/>
      <c r="L21" s="29"/>
      <c r="M21" s="13"/>
      <c r="N21" s="3"/>
      <c r="O21" s="53">
        <f t="shared" si="0"/>
        <v>300000</v>
      </c>
      <c r="P21" s="13">
        <v>1500000</v>
      </c>
      <c r="Q21" s="54">
        <f t="shared" si="1"/>
        <v>1200000</v>
      </c>
      <c r="R21" s="5"/>
    </row>
    <row r="22" spans="1:18" ht="17.25" customHeight="1" x14ac:dyDescent="0.25">
      <c r="A22" s="25">
        <v>15</v>
      </c>
      <c r="B22" s="120">
        <v>44300</v>
      </c>
      <c r="C22" s="10" t="s">
        <v>2009</v>
      </c>
      <c r="D22" s="25" t="s">
        <v>2031</v>
      </c>
      <c r="E22" s="10" t="s">
        <v>2045</v>
      </c>
      <c r="F22" s="8"/>
      <c r="G22" s="8">
        <v>320</v>
      </c>
      <c r="H22" s="13">
        <f t="shared" ref="H22:H33" si="3">G22*14140</f>
        <v>4524800</v>
      </c>
      <c r="I22" s="8"/>
      <c r="J22" s="13">
        <v>3550000</v>
      </c>
      <c r="K22" s="28"/>
      <c r="L22" s="29"/>
      <c r="M22" s="13"/>
      <c r="N22" s="3"/>
      <c r="O22" s="53">
        <f t="shared" si="0"/>
        <v>8074800</v>
      </c>
      <c r="P22" s="13">
        <v>17181818</v>
      </c>
      <c r="Q22" s="54">
        <f t="shared" si="1"/>
        <v>9107018</v>
      </c>
      <c r="R22" s="5"/>
    </row>
    <row r="23" spans="1:18" ht="17.25" customHeight="1" x14ac:dyDescent="0.25">
      <c r="A23" s="25">
        <v>16</v>
      </c>
      <c r="B23" s="120">
        <v>44302</v>
      </c>
      <c r="C23" s="10" t="s">
        <v>2010</v>
      </c>
      <c r="D23" s="25" t="s">
        <v>2032</v>
      </c>
      <c r="E23" s="10" t="s">
        <v>330</v>
      </c>
      <c r="F23" s="8"/>
      <c r="G23" s="8"/>
      <c r="H23" s="13"/>
      <c r="I23" s="8"/>
      <c r="J23" s="13">
        <v>680000</v>
      </c>
      <c r="K23" s="28"/>
      <c r="L23" s="29"/>
      <c r="M23" s="13"/>
      <c r="N23" s="3"/>
      <c r="O23" s="53">
        <f t="shared" si="0"/>
        <v>680000</v>
      </c>
      <c r="P23" s="13">
        <v>3400000</v>
      </c>
      <c r="Q23" s="54">
        <f t="shared" si="1"/>
        <v>2720000</v>
      </c>
      <c r="R23" s="5"/>
    </row>
    <row r="24" spans="1:18" ht="17.25" customHeight="1" x14ac:dyDescent="0.25">
      <c r="A24" s="25">
        <v>17</v>
      </c>
      <c r="B24" s="120">
        <v>44303</v>
      </c>
      <c r="C24" s="10" t="s">
        <v>2011</v>
      </c>
      <c r="D24" s="25" t="s">
        <v>2033</v>
      </c>
      <c r="E24" s="10" t="s">
        <v>330</v>
      </c>
      <c r="F24" s="8"/>
      <c r="G24" s="8"/>
      <c r="H24" s="13"/>
      <c r="I24" s="8"/>
      <c r="J24" s="13">
        <v>680000</v>
      </c>
      <c r="K24" s="28"/>
      <c r="L24" s="29"/>
      <c r="M24" s="13"/>
      <c r="N24" s="3"/>
      <c r="O24" s="53">
        <f t="shared" si="0"/>
        <v>680000</v>
      </c>
      <c r="P24" s="13">
        <v>3400000</v>
      </c>
      <c r="Q24" s="54">
        <f t="shared" si="1"/>
        <v>2720000</v>
      </c>
      <c r="R24" s="5"/>
    </row>
    <row r="25" spans="1:18" ht="17.25" customHeight="1" x14ac:dyDescent="0.25">
      <c r="A25" s="25">
        <v>18</v>
      </c>
      <c r="B25" s="120">
        <v>44305</v>
      </c>
      <c r="C25" s="10" t="s">
        <v>2012</v>
      </c>
      <c r="D25" s="25" t="s">
        <v>2034</v>
      </c>
      <c r="E25" s="10" t="s">
        <v>1043</v>
      </c>
      <c r="F25" s="8"/>
      <c r="G25" s="8"/>
      <c r="H25" s="13"/>
      <c r="I25" s="8"/>
      <c r="J25" s="13">
        <v>1190000</v>
      </c>
      <c r="K25" s="28"/>
      <c r="L25" s="29"/>
      <c r="M25" s="13"/>
      <c r="N25" s="3"/>
      <c r="O25" s="53">
        <f t="shared" si="0"/>
        <v>1190000</v>
      </c>
      <c r="P25" s="13">
        <v>5281818</v>
      </c>
      <c r="Q25" s="54">
        <f t="shared" si="1"/>
        <v>4091818</v>
      </c>
      <c r="R25" s="5"/>
    </row>
    <row r="26" spans="1:18" ht="17.25" customHeight="1" x14ac:dyDescent="0.25">
      <c r="A26" s="25">
        <v>19</v>
      </c>
      <c r="B26" s="120">
        <v>44305</v>
      </c>
      <c r="C26" s="10" t="s">
        <v>2013</v>
      </c>
      <c r="D26" s="25" t="s">
        <v>2035</v>
      </c>
      <c r="E26" s="10" t="s">
        <v>1043</v>
      </c>
      <c r="F26" s="8"/>
      <c r="G26" s="8">
        <v>330</v>
      </c>
      <c r="H26" s="13">
        <f t="shared" si="3"/>
        <v>4666200</v>
      </c>
      <c r="I26" s="8"/>
      <c r="J26" s="13">
        <v>1190000</v>
      </c>
      <c r="K26" s="28"/>
      <c r="L26" s="29"/>
      <c r="M26" s="13"/>
      <c r="N26" s="3"/>
      <c r="O26" s="53">
        <f t="shared" si="0"/>
        <v>5856200</v>
      </c>
      <c r="P26" s="13">
        <v>5281818</v>
      </c>
      <c r="Q26" s="54">
        <f t="shared" si="1"/>
        <v>-574382</v>
      </c>
      <c r="R26" s="5"/>
    </row>
    <row r="27" spans="1:18" ht="17.25" customHeight="1" x14ac:dyDescent="0.25">
      <c r="A27" s="25">
        <v>20</v>
      </c>
      <c r="B27" s="120">
        <v>44306</v>
      </c>
      <c r="C27" s="10" t="s">
        <v>2014</v>
      </c>
      <c r="D27" s="25" t="s">
        <v>2036</v>
      </c>
      <c r="E27" s="10" t="s">
        <v>112</v>
      </c>
      <c r="F27" s="8"/>
      <c r="G27" s="8">
        <v>120</v>
      </c>
      <c r="H27" s="13">
        <f t="shared" si="3"/>
        <v>1696800</v>
      </c>
      <c r="I27" s="8"/>
      <c r="J27" s="13">
        <v>2470000</v>
      </c>
      <c r="K27" s="28"/>
      <c r="L27" s="29"/>
      <c r="M27" s="13"/>
      <c r="N27" s="3"/>
      <c r="O27" s="53">
        <f t="shared" si="0"/>
        <v>4166800</v>
      </c>
      <c r="P27" s="13">
        <v>12818182</v>
      </c>
      <c r="Q27" s="54">
        <f t="shared" si="1"/>
        <v>8651382</v>
      </c>
      <c r="R27" s="5"/>
    </row>
    <row r="28" spans="1:18" ht="17.25" customHeight="1" x14ac:dyDescent="0.25">
      <c r="A28" s="25">
        <v>21</v>
      </c>
      <c r="B28" s="120">
        <v>44309</v>
      </c>
      <c r="C28" s="10" t="s">
        <v>2015</v>
      </c>
      <c r="D28" s="25" t="s">
        <v>2037</v>
      </c>
      <c r="E28" s="10" t="s">
        <v>330</v>
      </c>
      <c r="F28" s="8"/>
      <c r="G28" s="8">
        <v>230</v>
      </c>
      <c r="H28" s="13">
        <f t="shared" si="3"/>
        <v>3252200</v>
      </c>
      <c r="I28" s="8"/>
      <c r="J28" s="13">
        <v>680000</v>
      </c>
      <c r="K28" s="28"/>
      <c r="L28" s="29"/>
      <c r="M28" s="13"/>
      <c r="N28" s="3"/>
      <c r="O28" s="53">
        <f t="shared" si="0"/>
        <v>3932200</v>
      </c>
      <c r="P28" s="13">
        <v>3400000</v>
      </c>
      <c r="Q28" s="54">
        <f t="shared" si="1"/>
        <v>-532200</v>
      </c>
      <c r="R28" s="5"/>
    </row>
    <row r="29" spans="1:18" ht="17.25" customHeight="1" x14ac:dyDescent="0.25">
      <c r="A29" s="25">
        <v>22</v>
      </c>
      <c r="B29" s="120">
        <v>44309</v>
      </c>
      <c r="C29" s="10" t="s">
        <v>2016</v>
      </c>
      <c r="D29" s="25" t="s">
        <v>2038</v>
      </c>
      <c r="E29" s="10" t="s">
        <v>1541</v>
      </c>
      <c r="F29" s="8"/>
      <c r="G29" s="8"/>
      <c r="H29" s="13"/>
      <c r="I29" s="8"/>
      <c r="J29" s="13">
        <v>810000</v>
      </c>
      <c r="K29" s="28"/>
      <c r="L29" s="29"/>
      <c r="M29" s="13"/>
      <c r="N29" s="3"/>
      <c r="O29" s="53">
        <f t="shared" si="0"/>
        <v>810000</v>
      </c>
      <c r="P29" s="13">
        <v>3600000</v>
      </c>
      <c r="Q29" s="54">
        <f t="shared" si="1"/>
        <v>2790000</v>
      </c>
      <c r="R29" s="5"/>
    </row>
    <row r="30" spans="1:18" ht="25.5" customHeight="1" x14ac:dyDescent="0.25">
      <c r="A30" s="25">
        <v>23</v>
      </c>
      <c r="B30" s="120">
        <v>44310</v>
      </c>
      <c r="C30" s="10" t="s">
        <v>2017</v>
      </c>
      <c r="D30" s="25" t="s">
        <v>2039</v>
      </c>
      <c r="E30" s="10" t="s">
        <v>2048</v>
      </c>
      <c r="F30" s="8"/>
      <c r="G30" s="8">
        <v>275</v>
      </c>
      <c r="H30" s="13">
        <f t="shared" si="3"/>
        <v>3888500</v>
      </c>
      <c r="I30" s="8"/>
      <c r="J30" s="13">
        <v>880000</v>
      </c>
      <c r="K30" s="28"/>
      <c r="L30" s="29"/>
      <c r="M30" s="13"/>
      <c r="N30" s="3"/>
      <c r="O30" s="53">
        <f t="shared" si="0"/>
        <v>4768500</v>
      </c>
      <c r="P30" s="13">
        <v>2636364</v>
      </c>
      <c r="Q30" s="54">
        <f t="shared" si="1"/>
        <v>-2132136</v>
      </c>
      <c r="R30" s="5"/>
    </row>
    <row r="31" spans="1:18" ht="17.25" customHeight="1" x14ac:dyDescent="0.25">
      <c r="A31" s="25">
        <v>24</v>
      </c>
      <c r="B31" s="120">
        <v>44312</v>
      </c>
      <c r="C31" s="10" t="s">
        <v>2018</v>
      </c>
      <c r="D31" s="25" t="s">
        <v>2040</v>
      </c>
      <c r="E31" s="10" t="s">
        <v>799</v>
      </c>
      <c r="F31" s="8"/>
      <c r="G31" s="8"/>
      <c r="H31" s="13"/>
      <c r="I31" s="8"/>
      <c r="J31" s="13">
        <v>680000</v>
      </c>
      <c r="K31" s="28"/>
      <c r="L31" s="29"/>
      <c r="M31" s="13"/>
      <c r="N31" s="3"/>
      <c r="O31" s="53">
        <f t="shared" si="0"/>
        <v>680000</v>
      </c>
      <c r="P31" s="13">
        <v>2363636</v>
      </c>
      <c r="Q31" s="54">
        <f t="shared" si="1"/>
        <v>1683636</v>
      </c>
      <c r="R31" s="5"/>
    </row>
    <row r="32" spans="1:18" ht="17.25" customHeight="1" x14ac:dyDescent="0.25">
      <c r="A32" s="25">
        <v>25</v>
      </c>
      <c r="B32" s="120">
        <v>44314</v>
      </c>
      <c r="C32" s="10" t="s">
        <v>2019</v>
      </c>
      <c r="D32" s="25" t="s">
        <v>2041</v>
      </c>
      <c r="E32" s="10" t="s">
        <v>1177</v>
      </c>
      <c r="F32" s="8"/>
      <c r="G32" s="8"/>
      <c r="H32" s="13"/>
      <c r="I32" s="8"/>
      <c r="J32" s="13">
        <v>930000</v>
      </c>
      <c r="K32" s="28"/>
      <c r="L32" s="29"/>
      <c r="M32" s="13"/>
      <c r="N32" s="3"/>
      <c r="O32" s="53">
        <f t="shared" si="0"/>
        <v>930000</v>
      </c>
      <c r="P32" s="13">
        <v>3600000</v>
      </c>
      <c r="Q32" s="54">
        <f t="shared" si="1"/>
        <v>2670000</v>
      </c>
      <c r="R32" s="5"/>
    </row>
    <row r="33" spans="1:18" ht="17.25" customHeight="1" x14ac:dyDescent="0.25">
      <c r="A33" s="25">
        <v>26</v>
      </c>
      <c r="B33" s="120">
        <v>44314</v>
      </c>
      <c r="C33" s="10" t="s">
        <v>595</v>
      </c>
      <c r="D33" s="25" t="s">
        <v>2042</v>
      </c>
      <c r="E33" s="10" t="s">
        <v>2049</v>
      </c>
      <c r="F33" s="8"/>
      <c r="G33" s="8">
        <v>300</v>
      </c>
      <c r="H33" s="13">
        <f t="shared" si="3"/>
        <v>4242000</v>
      </c>
      <c r="I33" s="8"/>
      <c r="J33" s="13">
        <v>810000</v>
      </c>
      <c r="K33" s="28"/>
      <c r="L33" s="29"/>
      <c r="M33" s="13"/>
      <c r="N33" s="3"/>
      <c r="O33" s="53">
        <f t="shared" si="0"/>
        <v>5052000</v>
      </c>
      <c r="P33" s="13">
        <v>5000000</v>
      </c>
      <c r="Q33" s="54">
        <f t="shared" si="1"/>
        <v>-52000</v>
      </c>
      <c r="R33" s="5"/>
    </row>
    <row r="34" spans="1:18" ht="12.75" customHeight="1" x14ac:dyDescent="0.25">
      <c r="A34" s="25"/>
      <c r="B34" s="44"/>
      <c r="C34" s="10"/>
      <c r="D34" s="8"/>
      <c r="E34" s="10"/>
      <c r="F34" s="8"/>
      <c r="G34" s="8"/>
      <c r="H34" s="13"/>
      <c r="I34" s="8"/>
      <c r="J34" s="13"/>
      <c r="K34" s="28"/>
      <c r="L34" s="29"/>
      <c r="M34" s="13"/>
      <c r="N34" s="13"/>
      <c r="O34" s="53"/>
      <c r="P34" s="13"/>
      <c r="Q34" s="54"/>
      <c r="R34" s="5"/>
    </row>
    <row r="35" spans="1:18" ht="18" customHeight="1" x14ac:dyDescent="0.25">
      <c r="A35" s="8"/>
      <c r="B35" s="8"/>
      <c r="C35" s="213"/>
      <c r="D35" s="214"/>
      <c r="E35" s="214"/>
      <c r="F35" s="215"/>
      <c r="G35" s="46"/>
      <c r="H35" s="18"/>
      <c r="I35" s="46"/>
      <c r="J35" s="18"/>
      <c r="K35" s="18"/>
      <c r="L35" s="18"/>
      <c r="M35" s="18"/>
      <c r="N35" s="28"/>
      <c r="O35" s="53">
        <f t="shared" ref="O35:O38" si="4">H35+J35+K35+L35+M35+N35</f>
        <v>0</v>
      </c>
      <c r="P35" s="28"/>
      <c r="Q35" s="54"/>
    </row>
    <row r="36" spans="1:18" ht="24" customHeight="1" x14ac:dyDescent="0.25">
      <c r="A36" s="8"/>
      <c r="B36" s="8"/>
      <c r="C36" s="17" t="s">
        <v>131</v>
      </c>
      <c r="D36" s="8"/>
      <c r="E36" s="10"/>
      <c r="F36" s="8"/>
      <c r="G36" s="12"/>
      <c r="H36" s="3"/>
      <c r="I36" s="12"/>
      <c r="J36" s="13"/>
      <c r="K36" s="28"/>
      <c r="L36" s="28">
        <v>1200000</v>
      </c>
      <c r="M36" s="18"/>
      <c r="N36" s="28"/>
      <c r="O36" s="53">
        <f t="shared" si="4"/>
        <v>1200000</v>
      </c>
      <c r="P36" s="28"/>
      <c r="Q36" s="54"/>
    </row>
    <row r="37" spans="1:18" ht="24" customHeight="1" x14ac:dyDescent="0.25">
      <c r="A37" s="8"/>
      <c r="B37" s="8"/>
      <c r="C37" s="210" t="s">
        <v>2051</v>
      </c>
      <c r="D37" s="211"/>
      <c r="E37" s="211"/>
      <c r="F37" s="212"/>
      <c r="G37" s="46"/>
      <c r="H37" s="18"/>
      <c r="I37" s="46"/>
      <c r="J37" s="18"/>
      <c r="K37" s="18"/>
      <c r="L37" s="18">
        <v>1300000</v>
      </c>
      <c r="M37" s="18"/>
      <c r="N37" s="28"/>
      <c r="O37" s="53">
        <f t="shared" si="4"/>
        <v>1300000</v>
      </c>
      <c r="P37" s="28"/>
      <c r="Q37" s="54"/>
    </row>
    <row r="38" spans="1:18" ht="24" customHeight="1" x14ac:dyDescent="0.25">
      <c r="A38" s="8"/>
      <c r="B38" s="8"/>
      <c r="C38" s="210" t="s">
        <v>2050</v>
      </c>
      <c r="D38" s="211"/>
      <c r="E38" s="211"/>
      <c r="F38" s="212"/>
      <c r="G38" s="46"/>
      <c r="H38" s="18"/>
      <c r="I38" s="46"/>
      <c r="J38" s="18"/>
      <c r="K38" s="18"/>
      <c r="L38" s="18">
        <v>500000</v>
      </c>
      <c r="M38" s="18"/>
      <c r="N38" s="28"/>
      <c r="O38" s="53">
        <f t="shared" si="4"/>
        <v>500000</v>
      </c>
      <c r="P38" s="28"/>
      <c r="Q38" s="54"/>
    </row>
    <row r="39" spans="1:18" ht="25.5" customHeight="1" x14ac:dyDescent="0.25">
      <c r="A39" s="8"/>
      <c r="B39" s="8"/>
      <c r="C39" s="207" t="s">
        <v>132</v>
      </c>
      <c r="D39" s="208"/>
      <c r="E39" s="208"/>
      <c r="F39" s="209"/>
      <c r="G39" s="46"/>
      <c r="H39" s="18"/>
      <c r="I39" s="46"/>
      <c r="J39" s="18"/>
      <c r="K39" s="18">
        <f>26/26*9000000</f>
        <v>9000000</v>
      </c>
      <c r="L39" s="18"/>
      <c r="M39" s="18"/>
      <c r="N39" s="28"/>
      <c r="O39" s="53">
        <f>H39+J39+K39+L39+M39+N39</f>
        <v>9000000</v>
      </c>
      <c r="P39" s="28"/>
      <c r="Q39" s="54"/>
    </row>
    <row r="40" spans="1:18" x14ac:dyDescent="0.25">
      <c r="A40" s="166" t="s">
        <v>19</v>
      </c>
      <c r="B40" s="167"/>
      <c r="C40" s="167"/>
      <c r="D40" s="167"/>
      <c r="E40" s="167"/>
      <c r="F40" s="168"/>
      <c r="G40" s="131">
        <f t="shared" ref="G40:O40" si="5">SUM(G7:G39)</f>
        <v>2800</v>
      </c>
      <c r="H40" s="4">
        <f t="shared" si="5"/>
        <v>39681500</v>
      </c>
      <c r="I40" s="4">
        <f t="shared" si="5"/>
        <v>0</v>
      </c>
      <c r="J40" s="4">
        <f t="shared" si="5"/>
        <v>26140000</v>
      </c>
      <c r="K40" s="4">
        <f t="shared" si="5"/>
        <v>9000000</v>
      </c>
      <c r="L40" s="4">
        <f t="shared" si="5"/>
        <v>3000000</v>
      </c>
      <c r="M40" s="4">
        <f t="shared" si="5"/>
        <v>0</v>
      </c>
      <c r="N40" s="4">
        <f t="shared" si="5"/>
        <v>0</v>
      </c>
      <c r="O40" s="4">
        <f t="shared" si="5"/>
        <v>77821500</v>
      </c>
      <c r="P40" s="4">
        <f>SUM(P8:P39)</f>
        <v>122861817</v>
      </c>
      <c r="Q40" s="122">
        <f>P40-O40</f>
        <v>45040317</v>
      </c>
    </row>
    <row r="41" spans="1:18" x14ac:dyDescent="0.25">
      <c r="O41" s="20"/>
      <c r="P41" s="5" t="s">
        <v>1796</v>
      </c>
      <c r="Q41" s="26"/>
    </row>
    <row r="42" spans="1:18" x14ac:dyDescent="0.25">
      <c r="P42" s="21" t="s">
        <v>20</v>
      </c>
      <c r="Q42" s="26">
        <f>'03.2021'!Q56+'04.2021'!Q40</f>
        <v>112480988.69230768</v>
      </c>
    </row>
    <row r="43" spans="1:18" x14ac:dyDescent="0.25">
      <c r="C43" s="6" t="s">
        <v>993</v>
      </c>
    </row>
    <row r="44" spans="1:18" x14ac:dyDescent="0.25">
      <c r="C44" s="205"/>
      <c r="D44" s="205"/>
      <c r="E44" s="205"/>
      <c r="F44" s="205"/>
      <c r="H44" s="109"/>
    </row>
    <row r="45" spans="1:18" x14ac:dyDescent="0.25">
      <c r="C45" s="206"/>
      <c r="D45" s="206"/>
      <c r="E45" s="206"/>
      <c r="F45" s="206"/>
      <c r="H45" s="109"/>
    </row>
    <row r="46" spans="1:18" x14ac:dyDescent="0.25">
      <c r="B46" s="6"/>
      <c r="C46" s="110"/>
      <c r="D46" s="110"/>
      <c r="E46" s="110"/>
      <c r="F46" s="110"/>
      <c r="H46" s="109"/>
    </row>
    <row r="47" spans="1:18" x14ac:dyDescent="0.25">
      <c r="B47" s="6"/>
      <c r="C47" s="206"/>
      <c r="D47" s="206"/>
      <c r="E47" s="206"/>
      <c r="F47" s="206"/>
      <c r="H47" s="109"/>
    </row>
    <row r="48" spans="1:18" x14ac:dyDescent="0.25">
      <c r="B48" s="6"/>
      <c r="C48" s="206"/>
      <c r="D48" s="206"/>
      <c r="E48" s="206"/>
      <c r="F48" s="206"/>
      <c r="H48" s="109"/>
    </row>
    <row r="49" spans="2:17" x14ac:dyDescent="0.25">
      <c r="B49" s="6"/>
      <c r="C49" s="206"/>
      <c r="D49" s="206"/>
      <c r="E49" s="206"/>
      <c r="F49" s="206"/>
      <c r="H49" s="109"/>
      <c r="J49" s="6"/>
      <c r="K49" s="6"/>
      <c r="L49" s="6"/>
      <c r="M49" s="6"/>
      <c r="N49" s="6"/>
      <c r="O49" s="6"/>
      <c r="P49" s="6"/>
      <c r="Q49" s="6"/>
    </row>
    <row r="50" spans="2:17" x14ac:dyDescent="0.2">
      <c r="C50" s="107"/>
      <c r="D50" s="110"/>
      <c r="E50" s="110"/>
      <c r="F50" s="110"/>
      <c r="H50" s="109"/>
    </row>
    <row r="51" spans="2:17" x14ac:dyDescent="0.25">
      <c r="C51" s="205"/>
      <c r="D51" s="205"/>
      <c r="E51" s="205"/>
      <c r="F51" s="205"/>
    </row>
  </sheetData>
  <mergeCells count="24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5:F35"/>
    <mergeCell ref="C37:F37"/>
    <mergeCell ref="C38:F38"/>
    <mergeCell ref="C39:F39"/>
    <mergeCell ref="A40:F40"/>
    <mergeCell ref="C51:F51"/>
    <mergeCell ref="C44:F44"/>
    <mergeCell ref="C45:F45"/>
    <mergeCell ref="C47:F47"/>
    <mergeCell ref="C48:F48"/>
    <mergeCell ref="C49:F49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56"/>
  <sheetViews>
    <sheetView topLeftCell="C36" workbookViewId="0">
      <selection activeCell="K45" sqref="K4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2052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44315</v>
      </c>
      <c r="C8" s="10" t="s">
        <v>2053</v>
      </c>
      <c r="D8" s="25" t="s">
        <v>2079</v>
      </c>
      <c r="E8" s="10" t="s">
        <v>330</v>
      </c>
      <c r="F8" s="8"/>
      <c r="G8" s="8"/>
      <c r="H8" s="13"/>
      <c r="I8" s="8"/>
      <c r="J8" s="50">
        <v>680000</v>
      </c>
      <c r="K8" s="28"/>
      <c r="L8" s="29"/>
      <c r="M8" s="13"/>
      <c r="N8" s="13"/>
      <c r="O8" s="53">
        <f>H8+J8+K8+L8+M8+N8</f>
        <v>680000</v>
      </c>
      <c r="P8" s="13">
        <v>3400000</v>
      </c>
      <c r="Q8" s="54">
        <f>P8-O8</f>
        <v>2720000</v>
      </c>
      <c r="R8" s="5"/>
    </row>
    <row r="9" spans="1:18" ht="17.25" customHeight="1" x14ac:dyDescent="0.25">
      <c r="A9" s="25">
        <v>2</v>
      </c>
      <c r="B9" s="120">
        <v>44319</v>
      </c>
      <c r="C9" s="10" t="s">
        <v>2054</v>
      </c>
      <c r="D9" s="129" t="s">
        <v>2080</v>
      </c>
      <c r="E9" s="9" t="s">
        <v>330</v>
      </c>
      <c r="F9" s="117"/>
      <c r="H9" s="13"/>
      <c r="I9" s="117"/>
      <c r="J9" s="134">
        <v>680000</v>
      </c>
      <c r="K9" s="28"/>
      <c r="L9" s="29"/>
      <c r="M9" s="13"/>
      <c r="N9" s="3"/>
      <c r="O9" s="53">
        <f t="shared" ref="O9:O35" si="0">H9+J9+K9+L9+M9+N9</f>
        <v>680000</v>
      </c>
      <c r="P9" s="13">
        <v>3400000</v>
      </c>
      <c r="Q9" s="54">
        <f t="shared" ref="Q9:Q34" si="1">P9-O9</f>
        <v>2720000</v>
      </c>
      <c r="R9" s="5"/>
    </row>
    <row r="10" spans="1:18" ht="17.25" customHeight="1" x14ac:dyDescent="0.25">
      <c r="A10" s="25">
        <v>3</v>
      </c>
      <c r="B10" s="120">
        <v>44320</v>
      </c>
      <c r="C10" s="10" t="s">
        <v>2055</v>
      </c>
      <c r="D10" s="25" t="s">
        <v>2081</v>
      </c>
      <c r="E10" s="10" t="s">
        <v>2073</v>
      </c>
      <c r="F10" s="8"/>
      <c r="G10" s="8"/>
      <c r="H10" s="13"/>
      <c r="I10" s="8"/>
      <c r="J10" s="50">
        <v>200000</v>
      </c>
      <c r="K10" s="28"/>
      <c r="L10" s="29"/>
      <c r="M10" s="13"/>
      <c r="N10" s="3"/>
      <c r="O10" s="53">
        <f t="shared" si="0"/>
        <v>200000</v>
      </c>
      <c r="P10" s="13">
        <v>1500000</v>
      </c>
      <c r="Q10" s="54">
        <f t="shared" si="1"/>
        <v>1300000</v>
      </c>
      <c r="R10" s="5"/>
    </row>
    <row r="11" spans="1:18" ht="24" customHeight="1" x14ac:dyDescent="0.25">
      <c r="A11" s="25">
        <v>4</v>
      </c>
      <c r="B11" s="120">
        <v>44320</v>
      </c>
      <c r="C11" s="10" t="s">
        <v>2056</v>
      </c>
      <c r="D11" s="25" t="s">
        <v>2082</v>
      </c>
      <c r="E11" s="10" t="s">
        <v>2074</v>
      </c>
      <c r="F11" s="8"/>
      <c r="G11" s="8"/>
      <c r="H11" s="13"/>
      <c r="I11" s="8"/>
      <c r="J11" s="50">
        <v>810000</v>
      </c>
      <c r="K11" s="28"/>
      <c r="L11" s="29"/>
      <c r="M11" s="13"/>
      <c r="N11" s="3"/>
      <c r="O11" s="53">
        <f t="shared" si="0"/>
        <v>810000</v>
      </c>
      <c r="P11" s="13">
        <v>3900000</v>
      </c>
      <c r="Q11" s="54">
        <f t="shared" si="1"/>
        <v>3090000</v>
      </c>
      <c r="R11" s="5"/>
    </row>
    <row r="12" spans="1:18" ht="17.25" customHeight="1" x14ac:dyDescent="0.25">
      <c r="A12" s="25">
        <v>5</v>
      </c>
      <c r="B12" s="120">
        <v>44321</v>
      </c>
      <c r="C12" s="10" t="s">
        <v>2057</v>
      </c>
      <c r="D12" s="25" t="s">
        <v>2083</v>
      </c>
      <c r="E12" s="10" t="s">
        <v>112</v>
      </c>
      <c r="F12" s="8"/>
      <c r="G12" s="8">
        <v>325</v>
      </c>
      <c r="H12" s="13">
        <f>G12*14320</f>
        <v>4654000</v>
      </c>
      <c r="I12" s="8"/>
      <c r="J12" s="50">
        <v>2470000</v>
      </c>
      <c r="K12" s="28"/>
      <c r="L12" s="29"/>
      <c r="M12" s="13"/>
      <c r="N12" s="3"/>
      <c r="O12" s="53">
        <f t="shared" si="0"/>
        <v>7124000</v>
      </c>
      <c r="P12" s="13">
        <v>12818182</v>
      </c>
      <c r="Q12" s="54">
        <f t="shared" si="1"/>
        <v>5694182</v>
      </c>
      <c r="R12" s="5"/>
    </row>
    <row r="13" spans="1:18" ht="17.25" customHeight="1" x14ac:dyDescent="0.25">
      <c r="A13" s="25">
        <v>6</v>
      </c>
      <c r="B13" s="120">
        <v>44322</v>
      </c>
      <c r="C13" s="10" t="s">
        <v>2058</v>
      </c>
      <c r="D13" s="25" t="s">
        <v>2084</v>
      </c>
      <c r="E13" s="10" t="s">
        <v>1135</v>
      </c>
      <c r="F13" s="8"/>
      <c r="G13" s="8">
        <v>300</v>
      </c>
      <c r="H13" s="13">
        <f t="shared" ref="H13:H17" si="2">G13*14320</f>
        <v>4296000</v>
      </c>
      <c r="I13" s="8"/>
      <c r="J13" s="50">
        <v>810000</v>
      </c>
      <c r="K13" s="28"/>
      <c r="L13" s="29"/>
      <c r="M13" s="13"/>
      <c r="N13" s="3"/>
      <c r="O13" s="53">
        <f t="shared" si="0"/>
        <v>5106000</v>
      </c>
      <c r="P13" s="13">
        <v>3300000</v>
      </c>
      <c r="Q13" s="54">
        <f t="shared" si="1"/>
        <v>-1806000</v>
      </c>
      <c r="R13" s="5"/>
    </row>
    <row r="14" spans="1:18" ht="17.25" customHeight="1" x14ac:dyDescent="0.25">
      <c r="A14" s="25">
        <v>7</v>
      </c>
      <c r="B14" s="120">
        <v>44322</v>
      </c>
      <c r="C14" s="10" t="s">
        <v>1299</v>
      </c>
      <c r="D14" s="25" t="s">
        <v>2085</v>
      </c>
      <c r="E14" s="10" t="s">
        <v>736</v>
      </c>
      <c r="F14" s="8"/>
      <c r="G14" s="8"/>
      <c r="H14" s="13"/>
      <c r="I14" s="8"/>
      <c r="J14" s="50">
        <v>930000</v>
      </c>
      <c r="K14" s="28"/>
      <c r="L14" s="29"/>
      <c r="M14" s="13"/>
      <c r="N14" s="3"/>
      <c r="O14" s="53">
        <f t="shared" si="0"/>
        <v>930000</v>
      </c>
      <c r="P14" s="13">
        <v>3500000</v>
      </c>
      <c r="Q14" s="54">
        <f t="shared" si="1"/>
        <v>2570000</v>
      </c>
      <c r="R14" s="5"/>
    </row>
    <row r="15" spans="1:18" ht="17.25" customHeight="1" x14ac:dyDescent="0.25">
      <c r="A15" s="25">
        <v>8</v>
      </c>
      <c r="B15" s="120">
        <v>44323</v>
      </c>
      <c r="C15" s="10" t="s">
        <v>1300</v>
      </c>
      <c r="D15" s="25" t="s">
        <v>2086</v>
      </c>
      <c r="E15" s="10" t="s">
        <v>330</v>
      </c>
      <c r="F15" s="8"/>
      <c r="G15" s="8"/>
      <c r="H15" s="13"/>
      <c r="I15" s="8"/>
      <c r="J15" s="134">
        <v>680000</v>
      </c>
      <c r="K15" s="28"/>
      <c r="L15" s="29"/>
      <c r="M15" s="13"/>
      <c r="N15" s="3"/>
      <c r="O15" s="53">
        <f t="shared" si="0"/>
        <v>680000</v>
      </c>
      <c r="P15" s="13">
        <v>3400000</v>
      </c>
      <c r="Q15" s="54">
        <f t="shared" si="1"/>
        <v>2720000</v>
      </c>
      <c r="R15" s="5"/>
    </row>
    <row r="16" spans="1:18" ht="17.25" customHeight="1" x14ac:dyDescent="0.25">
      <c r="A16" s="25">
        <v>9</v>
      </c>
      <c r="B16" s="120">
        <v>44326</v>
      </c>
      <c r="C16" s="10" t="s">
        <v>1301</v>
      </c>
      <c r="D16" s="25" t="s">
        <v>2087</v>
      </c>
      <c r="E16" s="10" t="s">
        <v>330</v>
      </c>
      <c r="F16" s="8"/>
      <c r="G16" s="8"/>
      <c r="H16" s="13"/>
      <c r="I16" s="8"/>
      <c r="J16" s="50">
        <v>680000</v>
      </c>
      <c r="K16" s="28"/>
      <c r="L16" s="29"/>
      <c r="M16" s="13"/>
      <c r="N16" s="3"/>
      <c r="O16" s="53">
        <f t="shared" si="0"/>
        <v>680000</v>
      </c>
      <c r="P16" s="13">
        <v>3400000</v>
      </c>
      <c r="Q16" s="54">
        <f t="shared" si="1"/>
        <v>2720000</v>
      </c>
      <c r="R16" s="5"/>
    </row>
    <row r="17" spans="1:18" ht="17.25" customHeight="1" x14ac:dyDescent="0.25">
      <c r="A17" s="25">
        <v>10</v>
      </c>
      <c r="B17" s="120">
        <v>44327</v>
      </c>
      <c r="C17" s="10" t="s">
        <v>2059</v>
      </c>
      <c r="D17" s="25" t="s">
        <v>2088</v>
      </c>
      <c r="E17" s="10" t="s">
        <v>2075</v>
      </c>
      <c r="F17" s="8"/>
      <c r="G17" s="8">
        <v>295</v>
      </c>
      <c r="H17" s="13">
        <f t="shared" si="2"/>
        <v>4224400</v>
      </c>
      <c r="I17" s="8"/>
      <c r="J17" s="50">
        <v>380000</v>
      </c>
      <c r="K17" s="28"/>
      <c r="L17" s="29"/>
      <c r="M17" s="13"/>
      <c r="N17" s="3"/>
      <c r="O17" s="53">
        <f t="shared" si="0"/>
        <v>4604400</v>
      </c>
      <c r="P17" s="13">
        <v>1272727</v>
      </c>
      <c r="Q17" s="54">
        <f t="shared" si="1"/>
        <v>-3331673</v>
      </c>
      <c r="R17" s="5"/>
    </row>
    <row r="18" spans="1:18" ht="17.25" customHeight="1" x14ac:dyDescent="0.25">
      <c r="A18" s="25">
        <v>11</v>
      </c>
      <c r="B18" s="120">
        <v>44328</v>
      </c>
      <c r="C18" s="10" t="s">
        <v>2060</v>
      </c>
      <c r="D18" s="25" t="s">
        <v>2088</v>
      </c>
      <c r="E18" s="10" t="s">
        <v>1979</v>
      </c>
      <c r="F18" s="8"/>
      <c r="G18" s="8"/>
      <c r="H18" s="13"/>
      <c r="I18" s="8"/>
      <c r="J18" s="50">
        <v>400000</v>
      </c>
      <c r="K18" s="28"/>
      <c r="L18" s="29"/>
      <c r="M18" s="13"/>
      <c r="N18" s="3"/>
      <c r="O18" s="53">
        <f t="shared" si="0"/>
        <v>400000</v>
      </c>
      <c r="P18" s="13">
        <v>2745455</v>
      </c>
      <c r="Q18" s="54">
        <f t="shared" si="1"/>
        <v>2345455</v>
      </c>
      <c r="R18" s="5"/>
    </row>
    <row r="19" spans="1:18" ht="17.25" customHeight="1" x14ac:dyDescent="0.25">
      <c r="A19" s="25">
        <v>12</v>
      </c>
      <c r="B19" s="120">
        <v>44328</v>
      </c>
      <c r="C19" s="10" t="s">
        <v>2061</v>
      </c>
      <c r="D19" s="25" t="s">
        <v>2089</v>
      </c>
      <c r="E19" s="10" t="s">
        <v>112</v>
      </c>
      <c r="F19" s="8"/>
      <c r="G19" s="8"/>
      <c r="H19" s="13"/>
      <c r="I19" s="8"/>
      <c r="J19" s="50">
        <v>2470000</v>
      </c>
      <c r="K19" s="28"/>
      <c r="L19" s="29"/>
      <c r="M19" s="13"/>
      <c r="N19" s="3"/>
      <c r="O19" s="53">
        <f t="shared" si="0"/>
        <v>2470000</v>
      </c>
      <c r="P19" s="13">
        <v>12818182</v>
      </c>
      <c r="Q19" s="54">
        <f t="shared" si="1"/>
        <v>10348182</v>
      </c>
      <c r="R19" s="5"/>
    </row>
    <row r="20" spans="1:18" ht="17.25" customHeight="1" x14ac:dyDescent="0.25">
      <c r="A20" s="25">
        <v>13</v>
      </c>
      <c r="B20" s="120">
        <v>44329</v>
      </c>
      <c r="C20" s="10" t="s">
        <v>2062</v>
      </c>
      <c r="D20" s="25" t="s">
        <v>2090</v>
      </c>
      <c r="E20" s="10" t="s">
        <v>1758</v>
      </c>
      <c r="F20" s="8"/>
      <c r="G20" s="8">
        <v>310</v>
      </c>
      <c r="H20" s="13">
        <f>G20*14770</f>
        <v>4578700</v>
      </c>
      <c r="I20" s="8"/>
      <c r="J20" s="50">
        <v>540000</v>
      </c>
      <c r="K20" s="28"/>
      <c r="L20" s="29"/>
      <c r="M20" s="13"/>
      <c r="N20" s="3"/>
      <c r="O20" s="53">
        <f t="shared" si="0"/>
        <v>5118700</v>
      </c>
      <c r="P20" s="13">
        <v>2154545</v>
      </c>
      <c r="Q20" s="54">
        <f t="shared" si="1"/>
        <v>-2964155</v>
      </c>
      <c r="R20" s="5"/>
    </row>
    <row r="21" spans="1:18" ht="17.25" customHeight="1" x14ac:dyDescent="0.25">
      <c r="A21" s="25">
        <v>14</v>
      </c>
      <c r="B21" s="120">
        <v>44331</v>
      </c>
      <c r="C21" s="10" t="s">
        <v>1305</v>
      </c>
      <c r="D21" s="25" t="s">
        <v>2091</v>
      </c>
      <c r="E21" s="10" t="s">
        <v>254</v>
      </c>
      <c r="F21" s="8"/>
      <c r="G21" s="8"/>
      <c r="H21" s="13"/>
      <c r="I21" s="8"/>
      <c r="J21" s="50">
        <v>810000</v>
      </c>
      <c r="K21" s="28"/>
      <c r="L21" s="29"/>
      <c r="M21" s="13"/>
      <c r="N21" s="3"/>
      <c r="O21" s="53">
        <f t="shared" si="0"/>
        <v>810000</v>
      </c>
      <c r="P21" s="13">
        <v>3600000</v>
      </c>
      <c r="Q21" s="54">
        <f t="shared" si="1"/>
        <v>2790000</v>
      </c>
      <c r="R21" s="5"/>
    </row>
    <row r="22" spans="1:18" ht="17.25" customHeight="1" x14ac:dyDescent="0.25">
      <c r="A22" s="25">
        <v>15</v>
      </c>
      <c r="B22" s="120">
        <v>44334</v>
      </c>
      <c r="C22" s="10" t="s">
        <v>2063</v>
      </c>
      <c r="D22" s="25" t="s">
        <v>2092</v>
      </c>
      <c r="E22" s="10" t="s">
        <v>330</v>
      </c>
      <c r="F22" s="8"/>
      <c r="G22" s="8">
        <v>265</v>
      </c>
      <c r="H22" s="13">
        <f t="shared" ref="H22:H33" si="3">G22*14770</f>
        <v>3914050</v>
      </c>
      <c r="I22" s="8"/>
      <c r="J22" s="50">
        <v>680000</v>
      </c>
      <c r="K22" s="28"/>
      <c r="L22" s="29"/>
      <c r="M22" s="13"/>
      <c r="N22" s="3"/>
      <c r="O22" s="53">
        <f t="shared" si="0"/>
        <v>4594050</v>
      </c>
      <c r="P22" s="13">
        <v>3400000</v>
      </c>
      <c r="Q22" s="54">
        <f t="shared" si="1"/>
        <v>-1194050</v>
      </c>
      <c r="R22" s="5"/>
    </row>
    <row r="23" spans="1:18" ht="17.25" customHeight="1" x14ac:dyDescent="0.25">
      <c r="A23" s="25">
        <v>16</v>
      </c>
      <c r="B23" s="120">
        <v>44335</v>
      </c>
      <c r="C23" s="10" t="s">
        <v>1307</v>
      </c>
      <c r="D23" s="25" t="s">
        <v>2093</v>
      </c>
      <c r="E23" s="10" t="s">
        <v>330</v>
      </c>
      <c r="F23" s="8"/>
      <c r="G23" s="8"/>
      <c r="H23" s="13"/>
      <c r="I23" s="8"/>
      <c r="J23" s="50">
        <v>680000</v>
      </c>
      <c r="K23" s="28"/>
      <c r="L23" s="29"/>
      <c r="M23" s="13"/>
      <c r="N23" s="3"/>
      <c r="O23" s="53">
        <f t="shared" si="0"/>
        <v>680000</v>
      </c>
      <c r="P23" s="13">
        <v>3400000</v>
      </c>
      <c r="Q23" s="54">
        <f t="shared" si="1"/>
        <v>2720000</v>
      </c>
      <c r="R23" s="5"/>
    </row>
    <row r="24" spans="1:18" ht="17.25" customHeight="1" x14ac:dyDescent="0.25">
      <c r="A24" s="25">
        <v>17</v>
      </c>
      <c r="B24" s="120">
        <v>44335</v>
      </c>
      <c r="C24" s="10" t="s">
        <v>2064</v>
      </c>
      <c r="D24" s="25" t="s">
        <v>2094</v>
      </c>
      <c r="E24" s="10" t="s">
        <v>1541</v>
      </c>
      <c r="F24" s="8"/>
      <c r="G24" s="8"/>
      <c r="H24" s="13"/>
      <c r="I24" s="8"/>
      <c r="J24" s="50">
        <v>810000</v>
      </c>
      <c r="K24" s="28"/>
      <c r="L24" s="29"/>
      <c r="M24" s="13"/>
      <c r="N24" s="3"/>
      <c r="O24" s="53">
        <f t="shared" si="0"/>
        <v>810000</v>
      </c>
      <c r="P24" s="13">
        <v>3600000</v>
      </c>
      <c r="Q24" s="54">
        <f t="shared" si="1"/>
        <v>2790000</v>
      </c>
      <c r="R24" s="5"/>
    </row>
    <row r="25" spans="1:18" ht="30" customHeight="1" x14ac:dyDescent="0.25">
      <c r="A25" s="25">
        <v>18</v>
      </c>
      <c r="B25" s="120">
        <v>44336</v>
      </c>
      <c r="C25" s="10" t="s">
        <v>2065</v>
      </c>
      <c r="D25" s="25" t="s">
        <v>2094</v>
      </c>
      <c r="E25" s="10" t="s">
        <v>2076</v>
      </c>
      <c r="F25" s="8"/>
      <c r="G25" s="8"/>
      <c r="H25" s="13"/>
      <c r="I25" s="8"/>
      <c r="J25" s="50">
        <v>560000</v>
      </c>
      <c r="K25" s="28"/>
      <c r="L25" s="29"/>
      <c r="M25" s="13"/>
      <c r="N25" s="3"/>
      <c r="O25" s="53">
        <f t="shared" si="0"/>
        <v>560000</v>
      </c>
      <c r="P25" s="13">
        <v>2000000</v>
      </c>
      <c r="Q25" s="54">
        <f t="shared" si="1"/>
        <v>1440000</v>
      </c>
      <c r="R25" s="5"/>
    </row>
    <row r="26" spans="1:18" ht="17.25" customHeight="1" x14ac:dyDescent="0.25">
      <c r="A26" s="25">
        <v>19</v>
      </c>
      <c r="B26" s="120">
        <v>44336</v>
      </c>
      <c r="C26" s="10" t="s">
        <v>2066</v>
      </c>
      <c r="D26" s="25" t="s">
        <v>2095</v>
      </c>
      <c r="E26" s="10" t="s">
        <v>1591</v>
      </c>
      <c r="F26" s="8"/>
      <c r="G26" s="8"/>
      <c r="H26" s="13"/>
      <c r="I26" s="8"/>
      <c r="J26" s="50">
        <v>810000</v>
      </c>
      <c r="K26" s="28"/>
      <c r="L26" s="29"/>
      <c r="M26" s="13"/>
      <c r="N26" s="3"/>
      <c r="O26" s="53">
        <f t="shared" si="0"/>
        <v>810000</v>
      </c>
      <c r="P26" s="13">
        <v>3600000</v>
      </c>
      <c r="Q26" s="54">
        <f t="shared" si="1"/>
        <v>2790000</v>
      </c>
      <c r="R26" s="5"/>
    </row>
    <row r="27" spans="1:18" ht="17.25" customHeight="1" x14ac:dyDescent="0.25">
      <c r="A27" s="25">
        <v>20</v>
      </c>
      <c r="B27" s="120">
        <v>44337</v>
      </c>
      <c r="C27" s="10" t="s">
        <v>2067</v>
      </c>
      <c r="D27" s="25" t="s">
        <v>2096</v>
      </c>
      <c r="E27" s="10" t="s">
        <v>736</v>
      </c>
      <c r="F27" s="8"/>
      <c r="G27" s="8">
        <v>350</v>
      </c>
      <c r="H27" s="13">
        <f t="shared" si="3"/>
        <v>5169500</v>
      </c>
      <c r="I27" s="8"/>
      <c r="J27" s="50">
        <v>930000</v>
      </c>
      <c r="K27" s="28"/>
      <c r="L27" s="29"/>
      <c r="M27" s="13"/>
      <c r="N27" s="3"/>
      <c r="O27" s="53">
        <f t="shared" si="0"/>
        <v>6099500</v>
      </c>
      <c r="P27" s="13">
        <v>4500000</v>
      </c>
      <c r="Q27" s="54">
        <f t="shared" si="1"/>
        <v>-1599500</v>
      </c>
      <c r="R27" s="5"/>
    </row>
    <row r="28" spans="1:18" ht="17.25" customHeight="1" x14ac:dyDescent="0.25">
      <c r="A28" s="25">
        <v>21</v>
      </c>
      <c r="B28" s="120">
        <v>44340</v>
      </c>
      <c r="C28" s="10" t="s">
        <v>2068</v>
      </c>
      <c r="D28" s="25" t="s">
        <v>2097</v>
      </c>
      <c r="E28" s="10" t="s">
        <v>2077</v>
      </c>
      <c r="F28" s="8"/>
      <c r="G28" s="8"/>
      <c r="H28" s="13"/>
      <c r="I28" s="8"/>
      <c r="J28" s="50">
        <v>810000</v>
      </c>
      <c r="K28" s="28"/>
      <c r="L28" s="29"/>
      <c r="M28" s="13"/>
      <c r="N28" s="3"/>
      <c r="O28" s="53">
        <f t="shared" si="0"/>
        <v>810000</v>
      </c>
      <c r="P28" s="13">
        <v>3600000</v>
      </c>
      <c r="Q28" s="54">
        <f t="shared" si="1"/>
        <v>2790000</v>
      </c>
      <c r="R28" s="5"/>
    </row>
    <row r="29" spans="1:18" ht="17.25" customHeight="1" x14ac:dyDescent="0.25">
      <c r="A29" s="25">
        <v>22</v>
      </c>
      <c r="B29" s="120">
        <v>44340</v>
      </c>
      <c r="C29" s="10" t="s">
        <v>2069</v>
      </c>
      <c r="D29" s="25" t="s">
        <v>2098</v>
      </c>
      <c r="E29" s="10" t="s">
        <v>33</v>
      </c>
      <c r="F29" s="8"/>
      <c r="G29" s="8">
        <v>190</v>
      </c>
      <c r="H29" s="13">
        <f t="shared" si="3"/>
        <v>2806300</v>
      </c>
      <c r="I29" s="8"/>
      <c r="J29" s="50">
        <v>1720000</v>
      </c>
      <c r="K29" s="28"/>
      <c r="L29" s="29"/>
      <c r="M29" s="13"/>
      <c r="N29" s="3"/>
      <c r="O29" s="53">
        <f t="shared" si="0"/>
        <v>4526300</v>
      </c>
      <c r="P29" s="13">
        <v>7390909</v>
      </c>
      <c r="Q29" s="54">
        <f t="shared" si="1"/>
        <v>2864609</v>
      </c>
      <c r="R29" s="5"/>
    </row>
    <row r="30" spans="1:18" ht="25.5" customHeight="1" x14ac:dyDescent="0.25">
      <c r="A30" s="25">
        <v>23</v>
      </c>
      <c r="B30" s="120">
        <v>44342</v>
      </c>
      <c r="C30" s="10" t="s">
        <v>1312</v>
      </c>
      <c r="D30" s="25" t="s">
        <v>2099</v>
      </c>
      <c r="E30" s="10" t="s">
        <v>330</v>
      </c>
      <c r="F30" s="8"/>
      <c r="G30" s="8"/>
      <c r="H30" s="13"/>
      <c r="I30" s="8"/>
      <c r="J30" s="50">
        <v>680000</v>
      </c>
      <c r="K30" s="28"/>
      <c r="L30" s="29"/>
      <c r="M30" s="13"/>
      <c r="N30" s="3"/>
      <c r="O30" s="53">
        <f t="shared" si="0"/>
        <v>680000</v>
      </c>
      <c r="P30" s="13">
        <v>3400000</v>
      </c>
      <c r="Q30" s="54">
        <f t="shared" si="1"/>
        <v>2720000</v>
      </c>
      <c r="R30" s="5"/>
    </row>
    <row r="31" spans="1:18" ht="17.25" customHeight="1" x14ac:dyDescent="0.25">
      <c r="A31" s="25">
        <v>24</v>
      </c>
      <c r="B31" s="120">
        <v>44342</v>
      </c>
      <c r="C31" s="10" t="s">
        <v>1313</v>
      </c>
      <c r="D31" s="25" t="s">
        <v>2100</v>
      </c>
      <c r="E31" s="10" t="s">
        <v>330</v>
      </c>
      <c r="F31" s="8"/>
      <c r="G31" s="8">
        <v>265</v>
      </c>
      <c r="H31" s="13">
        <f t="shared" si="3"/>
        <v>3914050</v>
      </c>
      <c r="I31" s="8"/>
      <c r="J31" s="50">
        <v>680000</v>
      </c>
      <c r="K31" s="28"/>
      <c r="L31" s="29"/>
      <c r="M31" s="13"/>
      <c r="N31" s="3"/>
      <c r="O31" s="53">
        <f t="shared" si="0"/>
        <v>4594050</v>
      </c>
      <c r="P31" s="13">
        <v>3400000</v>
      </c>
      <c r="Q31" s="54">
        <f t="shared" si="1"/>
        <v>-1194050</v>
      </c>
      <c r="R31" s="5"/>
    </row>
    <row r="32" spans="1:18" ht="17.25" customHeight="1" x14ac:dyDescent="0.25">
      <c r="A32" s="25">
        <v>25</v>
      </c>
      <c r="B32" s="120">
        <v>44344</v>
      </c>
      <c r="C32" s="10" t="s">
        <v>2070</v>
      </c>
      <c r="D32" s="25" t="s">
        <v>2101</v>
      </c>
      <c r="E32" s="10" t="s">
        <v>2078</v>
      </c>
      <c r="F32" s="8"/>
      <c r="G32" s="8"/>
      <c r="H32" s="13"/>
      <c r="I32" s="8"/>
      <c r="J32" s="50">
        <v>680000</v>
      </c>
      <c r="K32" s="28"/>
      <c r="L32" s="29"/>
      <c r="M32" s="13"/>
      <c r="N32" s="3"/>
      <c r="O32" s="53">
        <f t="shared" si="0"/>
        <v>680000</v>
      </c>
      <c r="P32" s="13">
        <v>3600000</v>
      </c>
      <c r="Q32" s="54">
        <f t="shared" si="1"/>
        <v>2920000</v>
      </c>
      <c r="R32" s="5"/>
    </row>
    <row r="33" spans="1:18" ht="17.25" customHeight="1" x14ac:dyDescent="0.25">
      <c r="A33" s="25">
        <v>26</v>
      </c>
      <c r="B33" s="120">
        <v>44345</v>
      </c>
      <c r="C33" s="10" t="s">
        <v>2071</v>
      </c>
      <c r="D33" s="25" t="s">
        <v>2102</v>
      </c>
      <c r="E33" s="10" t="s">
        <v>330</v>
      </c>
      <c r="F33" s="8"/>
      <c r="G33" s="8">
        <v>320</v>
      </c>
      <c r="H33" s="13">
        <f t="shared" si="3"/>
        <v>4726400</v>
      </c>
      <c r="I33" s="8"/>
      <c r="J33" s="50">
        <v>680000</v>
      </c>
      <c r="K33" s="28"/>
      <c r="L33" s="29"/>
      <c r="M33" s="13"/>
      <c r="N33" s="3"/>
      <c r="O33" s="53">
        <f t="shared" si="0"/>
        <v>5406400</v>
      </c>
      <c r="P33" s="13">
        <v>3400000</v>
      </c>
      <c r="Q33" s="54">
        <f t="shared" si="1"/>
        <v>-2006400</v>
      </c>
      <c r="R33" s="5"/>
    </row>
    <row r="34" spans="1:18" ht="17.25" customHeight="1" x14ac:dyDescent="0.25">
      <c r="A34" s="25">
        <v>27</v>
      </c>
      <c r="B34" s="120">
        <v>44347</v>
      </c>
      <c r="C34" s="10" t="s">
        <v>2072</v>
      </c>
      <c r="D34" s="25" t="s">
        <v>2103</v>
      </c>
      <c r="E34" s="10" t="s">
        <v>330</v>
      </c>
      <c r="F34" s="8"/>
      <c r="G34" s="8"/>
      <c r="H34" s="13"/>
      <c r="I34" s="8"/>
      <c r="J34" s="50">
        <v>680000</v>
      </c>
      <c r="K34" s="28"/>
      <c r="L34" s="29"/>
      <c r="M34" s="13"/>
      <c r="N34" s="3"/>
      <c r="O34" s="53">
        <f t="shared" si="0"/>
        <v>680000</v>
      </c>
      <c r="P34" s="13">
        <v>3400000</v>
      </c>
      <c r="Q34" s="54">
        <f t="shared" si="1"/>
        <v>2720000</v>
      </c>
      <c r="R34" s="5"/>
    </row>
    <row r="35" spans="1:18" ht="12.75" customHeight="1" x14ac:dyDescent="0.25">
      <c r="A35" s="25"/>
      <c r="B35" s="44"/>
      <c r="C35" s="10"/>
      <c r="D35" s="8"/>
      <c r="E35" s="10"/>
      <c r="F35" s="8"/>
      <c r="G35" s="8"/>
      <c r="H35" s="13"/>
      <c r="I35" s="8"/>
      <c r="J35" s="13"/>
      <c r="K35" s="28"/>
      <c r="L35" s="29"/>
      <c r="M35" s="13"/>
      <c r="N35" s="13"/>
      <c r="O35" s="53">
        <f t="shared" si="0"/>
        <v>0</v>
      </c>
      <c r="P35" s="13"/>
      <c r="Q35" s="54"/>
      <c r="R35" s="5"/>
    </row>
    <row r="36" spans="1:18" ht="18" customHeight="1" x14ac:dyDescent="0.25">
      <c r="A36" s="8"/>
      <c r="B36" s="8"/>
      <c r="C36" s="213"/>
      <c r="D36" s="214"/>
      <c r="E36" s="214"/>
      <c r="F36" s="215"/>
      <c r="G36" s="46"/>
      <c r="H36" s="18"/>
      <c r="I36" s="46"/>
      <c r="J36" s="18"/>
      <c r="K36" s="18"/>
      <c r="L36" s="18"/>
      <c r="M36" s="18"/>
      <c r="N36" s="28"/>
      <c r="O36" s="53">
        <f t="shared" ref="O36:O43" si="4">H36+J36+K36+L36+M36+N36</f>
        <v>0</v>
      </c>
      <c r="P36" s="28"/>
      <c r="Q36" s="54"/>
    </row>
    <row r="37" spans="1:18" ht="24" customHeight="1" x14ac:dyDescent="0.25">
      <c r="A37" s="8"/>
      <c r="B37" s="8"/>
      <c r="C37" s="17" t="s">
        <v>131</v>
      </c>
      <c r="D37" s="8"/>
      <c r="E37" s="10"/>
      <c r="F37" s="8"/>
      <c r="G37" s="12"/>
      <c r="H37" s="3"/>
      <c r="I37" s="12"/>
      <c r="J37" s="13"/>
      <c r="K37" s="28"/>
      <c r="L37" s="90">
        <v>1200000</v>
      </c>
      <c r="M37" s="18"/>
      <c r="N37" s="28"/>
      <c r="O37" s="53">
        <f t="shared" si="4"/>
        <v>1200000</v>
      </c>
      <c r="P37" s="28"/>
      <c r="Q37" s="54"/>
    </row>
    <row r="38" spans="1:18" ht="24" customHeight="1" x14ac:dyDescent="0.25">
      <c r="A38" s="8"/>
      <c r="B38" s="8"/>
      <c r="C38" s="196" t="s">
        <v>2104</v>
      </c>
      <c r="D38" s="197"/>
      <c r="E38" s="197"/>
      <c r="F38" s="198"/>
      <c r="G38" s="46"/>
      <c r="H38" s="18"/>
      <c r="I38" s="46"/>
      <c r="J38" s="18"/>
      <c r="K38" s="18"/>
      <c r="L38" s="90">
        <v>1300000</v>
      </c>
      <c r="M38" s="18"/>
      <c r="N38" s="28"/>
      <c r="O38" s="53">
        <f t="shared" si="4"/>
        <v>1300000</v>
      </c>
      <c r="P38" s="28"/>
      <c r="Q38" s="54"/>
    </row>
    <row r="39" spans="1:18" ht="24" customHeight="1" x14ac:dyDescent="0.25">
      <c r="A39" s="8"/>
      <c r="B39" s="8"/>
      <c r="C39" s="196" t="s">
        <v>2105</v>
      </c>
      <c r="D39" s="197"/>
      <c r="E39" s="197"/>
      <c r="F39" s="198"/>
      <c r="G39" s="46"/>
      <c r="H39" s="18"/>
      <c r="I39" s="46"/>
      <c r="J39" s="18"/>
      <c r="K39" s="18"/>
      <c r="L39" s="90">
        <v>200000</v>
      </c>
      <c r="M39" s="18"/>
      <c r="N39" s="28"/>
      <c r="O39" s="53">
        <f t="shared" si="4"/>
        <v>200000</v>
      </c>
      <c r="P39" s="28"/>
      <c r="Q39" s="54"/>
    </row>
    <row r="40" spans="1:18" ht="24" customHeight="1" x14ac:dyDescent="0.25">
      <c r="A40" s="8"/>
      <c r="B40" s="8"/>
      <c r="C40" s="128" t="s">
        <v>2106</v>
      </c>
      <c r="D40" s="126"/>
      <c r="E40" s="126"/>
      <c r="F40" s="127"/>
      <c r="G40" s="46"/>
      <c r="H40" s="18"/>
      <c r="I40" s="46"/>
      <c r="J40" s="18"/>
      <c r="K40" s="18"/>
      <c r="L40" s="90">
        <v>133500</v>
      </c>
      <c r="M40" s="18"/>
      <c r="N40" s="28"/>
      <c r="O40" s="53">
        <f t="shared" si="4"/>
        <v>133500</v>
      </c>
      <c r="P40" s="28"/>
      <c r="Q40" s="54"/>
    </row>
    <row r="41" spans="1:18" ht="24" customHeight="1" x14ac:dyDescent="0.25">
      <c r="A41" s="8"/>
      <c r="B41" s="8"/>
      <c r="C41" s="128" t="s">
        <v>2107</v>
      </c>
      <c r="D41" s="126"/>
      <c r="E41" s="126"/>
      <c r="F41" s="127"/>
      <c r="G41" s="46"/>
      <c r="H41" s="18"/>
      <c r="I41" s="46"/>
      <c r="J41" s="18"/>
      <c r="K41" s="18"/>
      <c r="L41" s="90">
        <v>120000</v>
      </c>
      <c r="M41" s="18"/>
      <c r="N41" s="28"/>
      <c r="O41" s="53">
        <f t="shared" si="4"/>
        <v>120000</v>
      </c>
      <c r="P41" s="28"/>
      <c r="Q41" s="54"/>
    </row>
    <row r="42" spans="1:18" ht="24" customHeight="1" x14ac:dyDescent="0.25">
      <c r="A42" s="8"/>
      <c r="B42" s="8"/>
      <c r="C42" s="196" t="s">
        <v>2108</v>
      </c>
      <c r="D42" s="197"/>
      <c r="E42" s="197"/>
      <c r="F42" s="198"/>
      <c r="G42" s="46"/>
      <c r="H42" s="18"/>
      <c r="I42" s="46"/>
      <c r="J42" s="18"/>
      <c r="K42" s="18"/>
      <c r="L42" s="90">
        <v>1300000</v>
      </c>
      <c r="M42" s="18"/>
      <c r="N42" s="28"/>
      <c r="O42" s="53">
        <f t="shared" si="4"/>
        <v>1300000</v>
      </c>
      <c r="P42" s="28"/>
      <c r="Q42" s="54"/>
    </row>
    <row r="43" spans="1:18" ht="24" customHeight="1" x14ac:dyDescent="0.25">
      <c r="A43" s="8"/>
      <c r="B43" s="8"/>
      <c r="C43" s="196" t="s">
        <v>2109</v>
      </c>
      <c r="D43" s="197"/>
      <c r="E43" s="197"/>
      <c r="F43" s="198"/>
      <c r="G43" s="46"/>
      <c r="H43" s="18"/>
      <c r="I43" s="46"/>
      <c r="J43" s="18"/>
      <c r="K43" s="18"/>
      <c r="L43" s="90">
        <v>200000</v>
      </c>
      <c r="M43" s="18"/>
      <c r="N43" s="28"/>
      <c r="O43" s="53">
        <f t="shared" si="4"/>
        <v>200000</v>
      </c>
      <c r="P43" s="28"/>
      <c r="Q43" s="54"/>
    </row>
    <row r="44" spans="1:18" ht="25.5" customHeight="1" x14ac:dyDescent="0.25">
      <c r="A44" s="8"/>
      <c r="B44" s="8"/>
      <c r="C44" s="191" t="s">
        <v>132</v>
      </c>
      <c r="D44" s="192"/>
      <c r="E44" s="192"/>
      <c r="F44" s="195"/>
      <c r="G44" s="46"/>
      <c r="H44" s="18"/>
      <c r="I44" s="46"/>
      <c r="J44" s="18"/>
      <c r="K44" s="90">
        <f>27/26*9000000</f>
        <v>9346153.846153846</v>
      </c>
      <c r="L44" s="18"/>
      <c r="M44" s="18"/>
      <c r="N44" s="28"/>
      <c r="O44" s="53">
        <f>H44+J44+K44+L44+M44+N44</f>
        <v>9346153.846153846</v>
      </c>
      <c r="P44" s="28"/>
      <c r="Q44" s="54"/>
    </row>
    <row r="45" spans="1:18" x14ac:dyDescent="0.25">
      <c r="A45" s="166" t="s">
        <v>19</v>
      </c>
      <c r="B45" s="167"/>
      <c r="C45" s="167"/>
      <c r="D45" s="167"/>
      <c r="E45" s="167"/>
      <c r="F45" s="168"/>
      <c r="G45" s="131">
        <f t="shared" ref="G45:N45" si="5">SUM(G7:G44)</f>
        <v>2620</v>
      </c>
      <c r="H45" s="4">
        <f t="shared" si="5"/>
        <v>38283400</v>
      </c>
      <c r="I45" s="4">
        <f t="shared" si="5"/>
        <v>0</v>
      </c>
      <c r="J45" s="4">
        <f t="shared" si="5"/>
        <v>22940000</v>
      </c>
      <c r="K45" s="4">
        <f t="shared" si="5"/>
        <v>9346153.846153846</v>
      </c>
      <c r="L45" s="4">
        <f t="shared" si="5"/>
        <v>4453500</v>
      </c>
      <c r="M45" s="4">
        <f t="shared" si="5"/>
        <v>0</v>
      </c>
      <c r="N45" s="4">
        <f t="shared" si="5"/>
        <v>0</v>
      </c>
      <c r="O45" s="135">
        <f>SUM(O8:O44)</f>
        <v>75023053.84615384</v>
      </c>
      <c r="P45" s="4">
        <f>SUM(P8:P44)</f>
        <v>109900000</v>
      </c>
      <c r="Q45" s="4">
        <f>P45-O45</f>
        <v>34876946.15384616</v>
      </c>
    </row>
    <row r="46" spans="1:18" x14ac:dyDescent="0.25">
      <c r="O46" s="20"/>
      <c r="P46" s="5" t="s">
        <v>1796</v>
      </c>
      <c r="Q46" s="26"/>
    </row>
    <row r="47" spans="1:18" x14ac:dyDescent="0.25">
      <c r="P47" s="21" t="s">
        <v>20</v>
      </c>
      <c r="Q47" s="26">
        <f>'04.2021'!Q42+'05.2021'!Q45</f>
        <v>147357934.84615386</v>
      </c>
    </row>
    <row r="48" spans="1:18" x14ac:dyDescent="0.25">
      <c r="C48" s="6" t="s">
        <v>993</v>
      </c>
    </row>
    <row r="49" spans="2:17" x14ac:dyDescent="0.25">
      <c r="C49" s="205"/>
      <c r="D49" s="205"/>
      <c r="E49" s="205"/>
      <c r="F49" s="205"/>
      <c r="H49" s="109"/>
    </row>
    <row r="50" spans="2:17" x14ac:dyDescent="0.25">
      <c r="C50" s="206"/>
      <c r="D50" s="206"/>
      <c r="E50" s="206"/>
      <c r="F50" s="206"/>
      <c r="H50" s="109"/>
    </row>
    <row r="51" spans="2:17" x14ac:dyDescent="0.25">
      <c r="B51" s="6"/>
      <c r="C51" s="110"/>
      <c r="D51" s="110"/>
      <c r="E51" s="110"/>
      <c r="F51" s="110"/>
      <c r="H51" s="109"/>
    </row>
    <row r="52" spans="2:17" x14ac:dyDescent="0.25">
      <c r="B52" s="6"/>
      <c r="C52" s="206"/>
      <c r="D52" s="206"/>
      <c r="E52" s="206"/>
      <c r="F52" s="206"/>
      <c r="H52" s="109"/>
    </row>
    <row r="53" spans="2:17" x14ac:dyDescent="0.25">
      <c r="B53" s="6"/>
      <c r="C53" s="206"/>
      <c r="D53" s="206"/>
      <c r="E53" s="206"/>
      <c r="F53" s="206"/>
      <c r="H53" s="109"/>
    </row>
    <row r="54" spans="2:17" x14ac:dyDescent="0.25">
      <c r="B54" s="6"/>
      <c r="C54" s="206"/>
      <c r="D54" s="206"/>
      <c r="E54" s="206"/>
      <c r="F54" s="206"/>
      <c r="H54" s="109"/>
      <c r="J54" s="6"/>
      <c r="K54" s="6"/>
      <c r="L54" s="6"/>
      <c r="M54" s="6"/>
      <c r="N54" s="6"/>
      <c r="O54" s="6"/>
      <c r="P54" s="6"/>
      <c r="Q54" s="6"/>
    </row>
    <row r="55" spans="2:17" x14ac:dyDescent="0.2">
      <c r="C55" s="107"/>
      <c r="D55" s="110"/>
      <c r="E55" s="110"/>
      <c r="F55" s="110"/>
      <c r="H55" s="109"/>
    </row>
    <row r="56" spans="2:17" x14ac:dyDescent="0.25">
      <c r="C56" s="205"/>
      <c r="D56" s="205"/>
      <c r="E56" s="205"/>
      <c r="F56" s="205"/>
    </row>
  </sheetData>
  <mergeCells count="26">
    <mergeCell ref="C54:F54"/>
    <mergeCell ref="C56:F56"/>
    <mergeCell ref="C42:F42"/>
    <mergeCell ref="C43:F43"/>
    <mergeCell ref="C44:F44"/>
    <mergeCell ref="A45:F45"/>
    <mergeCell ref="C49:F49"/>
    <mergeCell ref="C50:F50"/>
    <mergeCell ref="C52:F52"/>
    <mergeCell ref="C53:F53"/>
    <mergeCell ref="C39:F39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6:F36"/>
    <mergeCell ref="C38:F38"/>
  </mergeCells>
  <pageMargins left="0.7" right="0.7" top="0.75" bottom="0.75" header="0.3" footer="0.3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57"/>
  <sheetViews>
    <sheetView topLeftCell="A25" workbookViewId="0">
      <selection activeCell="R31" sqref="R31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2110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44348</v>
      </c>
      <c r="C8" s="10" t="s">
        <v>1345</v>
      </c>
      <c r="D8" s="25" t="s">
        <v>2132</v>
      </c>
      <c r="E8" s="10" t="s">
        <v>254</v>
      </c>
      <c r="F8" s="8"/>
      <c r="G8" s="136">
        <v>225</v>
      </c>
      <c r="H8" s="13">
        <f>G8*14770</f>
        <v>3323250</v>
      </c>
      <c r="I8" s="8"/>
      <c r="J8" s="50">
        <v>810000</v>
      </c>
      <c r="K8" s="28"/>
      <c r="L8" s="29"/>
      <c r="M8" s="13"/>
      <c r="N8" s="13"/>
      <c r="O8" s="53">
        <f>H8+J8+K8+L8+M8+N8</f>
        <v>4133250</v>
      </c>
      <c r="P8" s="13">
        <v>3700000</v>
      </c>
      <c r="Q8" s="54">
        <f>P8-O8</f>
        <v>-433250</v>
      </c>
      <c r="R8" s="5"/>
    </row>
    <row r="9" spans="1:18" ht="17.25" customHeight="1" x14ac:dyDescent="0.25">
      <c r="A9" s="25">
        <v>2</v>
      </c>
      <c r="B9" s="120">
        <v>44349</v>
      </c>
      <c r="C9" s="10" t="s">
        <v>2111</v>
      </c>
      <c r="D9" s="129" t="s">
        <v>2133</v>
      </c>
      <c r="E9" s="9" t="s">
        <v>112</v>
      </c>
      <c r="F9" s="117"/>
      <c r="G9" s="137"/>
      <c r="H9" s="13"/>
      <c r="I9" s="117"/>
      <c r="J9" s="134">
        <v>2470000</v>
      </c>
      <c r="K9" s="28"/>
      <c r="L9" s="29"/>
      <c r="M9" s="13"/>
      <c r="N9" s="3"/>
      <c r="O9" s="53">
        <f t="shared" ref="O9:O33" si="0">H9+J9+K9+L9+M9+N9</f>
        <v>2470000</v>
      </c>
      <c r="P9" s="13">
        <v>12818182</v>
      </c>
      <c r="Q9" s="54">
        <f t="shared" ref="Q9:Q33" si="1">P9-O9</f>
        <v>10348182</v>
      </c>
      <c r="R9" s="5"/>
    </row>
    <row r="10" spans="1:18" ht="17.25" customHeight="1" x14ac:dyDescent="0.25">
      <c r="A10" s="25">
        <v>3</v>
      </c>
      <c r="B10" s="120">
        <v>44349</v>
      </c>
      <c r="C10" s="10" t="s">
        <v>2112</v>
      </c>
      <c r="D10" s="25" t="s">
        <v>2134</v>
      </c>
      <c r="E10" s="10" t="s">
        <v>121</v>
      </c>
      <c r="F10" s="8"/>
      <c r="G10" s="136"/>
      <c r="H10" s="13"/>
      <c r="I10" s="8"/>
      <c r="J10" s="50">
        <v>200000</v>
      </c>
      <c r="K10" s="28"/>
      <c r="L10" s="29"/>
      <c r="M10" s="13"/>
      <c r="N10" s="3"/>
      <c r="O10" s="53">
        <f t="shared" si="0"/>
        <v>200000</v>
      </c>
      <c r="P10" s="13">
        <v>500000</v>
      </c>
      <c r="Q10" s="54">
        <f t="shared" si="1"/>
        <v>300000</v>
      </c>
      <c r="R10" s="5"/>
    </row>
    <row r="11" spans="1:18" ht="24" customHeight="1" x14ac:dyDescent="0.25">
      <c r="A11" s="25">
        <v>4</v>
      </c>
      <c r="B11" s="120">
        <v>44350</v>
      </c>
      <c r="C11" s="10" t="s">
        <v>2113</v>
      </c>
      <c r="D11" s="25" t="s">
        <v>2135</v>
      </c>
      <c r="E11" s="10" t="s">
        <v>1662</v>
      </c>
      <c r="F11" s="8"/>
      <c r="G11" s="136"/>
      <c r="H11" s="13"/>
      <c r="I11" s="8"/>
      <c r="J11" s="50">
        <v>680000</v>
      </c>
      <c r="K11" s="28"/>
      <c r="L11" s="29"/>
      <c r="M11" s="13"/>
      <c r="N11" s="3"/>
      <c r="O11" s="53">
        <f t="shared" si="0"/>
        <v>680000</v>
      </c>
      <c r="P11" s="13">
        <v>2954545</v>
      </c>
      <c r="Q11" s="54">
        <f t="shared" si="1"/>
        <v>2274545</v>
      </c>
      <c r="R11" s="5"/>
    </row>
    <row r="12" spans="1:18" ht="17.25" customHeight="1" x14ac:dyDescent="0.25">
      <c r="A12" s="25">
        <v>5</v>
      </c>
      <c r="B12" s="120">
        <v>44351</v>
      </c>
      <c r="C12" s="10" t="s">
        <v>2114</v>
      </c>
      <c r="D12" s="25" t="s">
        <v>2136</v>
      </c>
      <c r="E12" s="10" t="s">
        <v>1506</v>
      </c>
      <c r="F12" s="8"/>
      <c r="G12" s="136">
        <v>310</v>
      </c>
      <c r="H12" s="13">
        <f t="shared" ref="H12:H16" si="2">G12*14770</f>
        <v>4578700</v>
      </c>
      <c r="I12" s="8"/>
      <c r="J12" s="50">
        <v>810000</v>
      </c>
      <c r="K12" s="28"/>
      <c r="L12" s="29"/>
      <c r="M12" s="13"/>
      <c r="N12" s="3"/>
      <c r="O12" s="53">
        <f t="shared" si="0"/>
        <v>5388700</v>
      </c>
      <c r="P12" s="13">
        <v>3600000</v>
      </c>
      <c r="Q12" s="54">
        <f t="shared" si="1"/>
        <v>-1788700</v>
      </c>
      <c r="R12" s="5"/>
    </row>
    <row r="13" spans="1:18" ht="17.25" customHeight="1" x14ac:dyDescent="0.25">
      <c r="A13" s="25">
        <v>6</v>
      </c>
      <c r="B13" s="120">
        <v>44354</v>
      </c>
      <c r="C13" s="10" t="s">
        <v>2115</v>
      </c>
      <c r="D13" s="25" t="s">
        <v>2137</v>
      </c>
      <c r="E13" s="10" t="s">
        <v>2155</v>
      </c>
      <c r="F13" s="8"/>
      <c r="G13" s="136">
        <v>100</v>
      </c>
      <c r="H13" s="13">
        <f t="shared" si="2"/>
        <v>1477000</v>
      </c>
      <c r="I13" s="8"/>
      <c r="J13" s="50">
        <v>1320000</v>
      </c>
      <c r="K13" s="28"/>
      <c r="L13" s="29"/>
      <c r="M13" s="13"/>
      <c r="N13" s="3"/>
      <c r="O13" s="53">
        <f t="shared" si="0"/>
        <v>2797000</v>
      </c>
      <c r="P13" s="13">
        <v>3227273</v>
      </c>
      <c r="Q13" s="54">
        <f t="shared" si="1"/>
        <v>430273</v>
      </c>
      <c r="R13" s="5"/>
    </row>
    <row r="14" spans="1:18" ht="17.25" customHeight="1" x14ac:dyDescent="0.25">
      <c r="A14" s="25">
        <v>7</v>
      </c>
      <c r="B14" s="120">
        <v>44354</v>
      </c>
      <c r="C14" s="10" t="s">
        <v>2116</v>
      </c>
      <c r="D14" s="25" t="s">
        <v>2137</v>
      </c>
      <c r="E14" s="106" t="s">
        <v>108</v>
      </c>
      <c r="F14" s="98"/>
      <c r="G14" s="98">
        <v>120</v>
      </c>
      <c r="H14" s="13">
        <f t="shared" si="2"/>
        <v>1772400</v>
      </c>
      <c r="I14" s="98"/>
      <c r="J14" s="57">
        <v>100000</v>
      </c>
      <c r="K14" s="48"/>
      <c r="L14" s="60"/>
      <c r="M14" s="57"/>
      <c r="N14" s="57"/>
      <c r="O14" s="103">
        <f t="shared" si="0"/>
        <v>1872400</v>
      </c>
      <c r="P14" s="57">
        <v>2563636</v>
      </c>
      <c r="Q14" s="104">
        <f t="shared" si="1"/>
        <v>691236</v>
      </c>
      <c r="R14" s="72" t="s">
        <v>2168</v>
      </c>
    </row>
    <row r="15" spans="1:18" ht="17.25" customHeight="1" x14ac:dyDescent="0.25">
      <c r="A15" s="25">
        <v>8</v>
      </c>
      <c r="B15" s="120">
        <v>44354</v>
      </c>
      <c r="C15" s="10" t="s">
        <v>2117</v>
      </c>
      <c r="D15" s="25" t="s">
        <v>2138</v>
      </c>
      <c r="E15" s="10" t="s">
        <v>2156</v>
      </c>
      <c r="F15" s="8"/>
      <c r="G15" s="8">
        <v>98</v>
      </c>
      <c r="H15" s="13">
        <f t="shared" si="2"/>
        <v>1447460</v>
      </c>
      <c r="I15" s="8"/>
      <c r="J15" s="134">
        <v>680000</v>
      </c>
      <c r="K15" s="28"/>
      <c r="L15" s="29"/>
      <c r="M15" s="13"/>
      <c r="N15" s="3"/>
      <c r="O15" s="53">
        <f t="shared" si="0"/>
        <v>2127460</v>
      </c>
      <c r="P15" s="13">
        <v>3600000</v>
      </c>
      <c r="Q15" s="54">
        <f t="shared" si="1"/>
        <v>1472540</v>
      </c>
      <c r="R15" s="5"/>
    </row>
    <row r="16" spans="1:18" ht="17.25" customHeight="1" x14ac:dyDescent="0.25">
      <c r="A16" s="25">
        <v>9</v>
      </c>
      <c r="B16" s="120">
        <v>44355</v>
      </c>
      <c r="C16" s="10" t="s">
        <v>2118</v>
      </c>
      <c r="D16" s="25" t="s">
        <v>2139</v>
      </c>
      <c r="E16" s="10" t="s">
        <v>121</v>
      </c>
      <c r="F16" s="8"/>
      <c r="G16" s="8">
        <v>210</v>
      </c>
      <c r="H16" s="13">
        <f t="shared" si="2"/>
        <v>3101700</v>
      </c>
      <c r="I16" s="8"/>
      <c r="J16" s="50">
        <v>2470000</v>
      </c>
      <c r="K16" s="28"/>
      <c r="L16" s="29"/>
      <c r="M16" s="13"/>
      <c r="N16" s="3"/>
      <c r="O16" s="53">
        <f t="shared" si="0"/>
        <v>5571700</v>
      </c>
      <c r="P16" s="13">
        <v>11909091</v>
      </c>
      <c r="Q16" s="54">
        <f t="shared" si="1"/>
        <v>6337391</v>
      </c>
      <c r="R16" s="5"/>
    </row>
    <row r="17" spans="1:18" ht="17.25" customHeight="1" x14ac:dyDescent="0.25">
      <c r="A17" s="25">
        <v>10</v>
      </c>
      <c r="B17" s="120">
        <v>44356</v>
      </c>
      <c r="C17" s="10" t="s">
        <v>2119</v>
      </c>
      <c r="D17" s="25" t="s">
        <v>2140</v>
      </c>
      <c r="E17" s="10" t="s">
        <v>112</v>
      </c>
      <c r="F17" s="8"/>
      <c r="G17" s="8">
        <v>234</v>
      </c>
      <c r="H17" s="13">
        <f t="shared" ref="H17:H30" si="3">G17*15440</f>
        <v>3612960</v>
      </c>
      <c r="I17" s="8"/>
      <c r="J17" s="50">
        <v>2470000</v>
      </c>
      <c r="K17" s="28"/>
      <c r="L17" s="29"/>
      <c r="M17" s="13"/>
      <c r="N17" s="3"/>
      <c r="O17" s="53">
        <f t="shared" si="0"/>
        <v>6082960</v>
      </c>
      <c r="P17" s="13">
        <v>12818182</v>
      </c>
      <c r="Q17" s="54">
        <f t="shared" si="1"/>
        <v>6735222</v>
      </c>
      <c r="R17" s="5"/>
    </row>
    <row r="18" spans="1:18" ht="17.25" customHeight="1" x14ac:dyDescent="0.25">
      <c r="A18" s="25">
        <v>11</v>
      </c>
      <c r="B18" s="120">
        <v>44358</v>
      </c>
      <c r="C18" s="10" t="s">
        <v>2120</v>
      </c>
      <c r="D18" s="25" t="s">
        <v>2141</v>
      </c>
      <c r="E18" s="10" t="s">
        <v>1392</v>
      </c>
      <c r="F18" s="8"/>
      <c r="G18" s="8">
        <v>22</v>
      </c>
      <c r="H18" s="13">
        <f t="shared" si="3"/>
        <v>339680</v>
      </c>
      <c r="I18" s="8"/>
      <c r="J18" s="50">
        <v>300000</v>
      </c>
      <c r="K18" s="28"/>
      <c r="L18" s="29"/>
      <c r="M18" s="13"/>
      <c r="N18" s="3"/>
      <c r="O18" s="53">
        <f t="shared" si="0"/>
        <v>639680</v>
      </c>
      <c r="P18" s="13">
        <v>1600000</v>
      </c>
      <c r="Q18" s="54">
        <f t="shared" si="1"/>
        <v>960320</v>
      </c>
      <c r="R18" s="5"/>
    </row>
    <row r="19" spans="1:18" ht="17.25" customHeight="1" x14ac:dyDescent="0.25">
      <c r="A19" s="25">
        <v>12</v>
      </c>
      <c r="B19" s="120">
        <v>44360</v>
      </c>
      <c r="C19" s="10" t="s">
        <v>2121</v>
      </c>
      <c r="D19" s="25" t="s">
        <v>2142</v>
      </c>
      <c r="E19" s="10" t="s">
        <v>33</v>
      </c>
      <c r="F19" s="8"/>
      <c r="G19" s="8">
        <v>160</v>
      </c>
      <c r="H19" s="13">
        <f t="shared" si="3"/>
        <v>2470400</v>
      </c>
      <c r="I19" s="8"/>
      <c r="J19" s="50">
        <v>1720000</v>
      </c>
      <c r="K19" s="28"/>
      <c r="L19" s="29"/>
      <c r="M19" s="13"/>
      <c r="N19" s="3"/>
      <c r="O19" s="53">
        <f t="shared" si="0"/>
        <v>4190400</v>
      </c>
      <c r="P19" s="13">
        <v>7390909</v>
      </c>
      <c r="Q19" s="54">
        <f t="shared" si="1"/>
        <v>3200509</v>
      </c>
      <c r="R19" s="5"/>
    </row>
    <row r="20" spans="1:18" ht="17.25" customHeight="1" x14ac:dyDescent="0.25">
      <c r="A20" s="25">
        <v>13</v>
      </c>
      <c r="B20" s="120">
        <v>44361</v>
      </c>
      <c r="C20" s="10" t="s">
        <v>2122</v>
      </c>
      <c r="D20" s="25" t="s">
        <v>2143</v>
      </c>
      <c r="E20" s="10" t="s">
        <v>2157</v>
      </c>
      <c r="F20" s="8"/>
      <c r="G20" s="8">
        <v>87</v>
      </c>
      <c r="H20" s="13">
        <f t="shared" si="3"/>
        <v>1343280</v>
      </c>
      <c r="I20" s="8"/>
      <c r="J20" s="50">
        <v>930000</v>
      </c>
      <c r="K20" s="28"/>
      <c r="L20" s="29"/>
      <c r="M20" s="13"/>
      <c r="N20" s="3"/>
      <c r="O20" s="53">
        <f t="shared" si="0"/>
        <v>2273280</v>
      </c>
      <c r="P20" s="13">
        <v>3600000</v>
      </c>
      <c r="Q20" s="54">
        <f t="shared" si="1"/>
        <v>1326720</v>
      </c>
      <c r="R20" s="5"/>
    </row>
    <row r="21" spans="1:18" ht="17.25" customHeight="1" x14ac:dyDescent="0.25">
      <c r="A21" s="25">
        <v>14</v>
      </c>
      <c r="B21" s="120">
        <v>44362</v>
      </c>
      <c r="C21" s="10" t="s">
        <v>1358</v>
      </c>
      <c r="D21" s="25" t="s">
        <v>2144</v>
      </c>
      <c r="E21" s="10" t="s">
        <v>1541</v>
      </c>
      <c r="F21" s="8"/>
      <c r="G21" s="8">
        <v>0</v>
      </c>
      <c r="H21" s="13">
        <f t="shared" si="3"/>
        <v>0</v>
      </c>
      <c r="I21" s="8"/>
      <c r="J21" s="50">
        <v>930000</v>
      </c>
      <c r="K21" s="28"/>
      <c r="L21" s="29"/>
      <c r="M21" s="13"/>
      <c r="N21" s="3"/>
      <c r="O21" s="53">
        <f t="shared" si="0"/>
        <v>930000</v>
      </c>
      <c r="P21" s="13">
        <v>3600000</v>
      </c>
      <c r="Q21" s="54">
        <f t="shared" si="1"/>
        <v>2670000</v>
      </c>
      <c r="R21" s="5"/>
    </row>
    <row r="22" spans="1:18" ht="17.25" customHeight="1" x14ac:dyDescent="0.25">
      <c r="A22" s="25">
        <v>15</v>
      </c>
      <c r="B22" s="120">
        <v>44362</v>
      </c>
      <c r="C22" s="10" t="s">
        <v>2123</v>
      </c>
      <c r="D22" s="25" t="s">
        <v>2144</v>
      </c>
      <c r="E22" s="10" t="s">
        <v>1985</v>
      </c>
      <c r="F22" s="8"/>
      <c r="G22" s="8">
        <v>141</v>
      </c>
      <c r="H22" s="13">
        <f t="shared" si="3"/>
        <v>2177040</v>
      </c>
      <c r="I22" s="8"/>
      <c r="J22" s="50">
        <v>300000</v>
      </c>
      <c r="K22" s="28"/>
      <c r="L22" s="29"/>
      <c r="M22" s="13"/>
      <c r="N22" s="3"/>
      <c r="O22" s="53">
        <f t="shared" si="0"/>
        <v>2477040</v>
      </c>
      <c r="P22" s="13">
        <v>2000000</v>
      </c>
      <c r="Q22" s="54">
        <f t="shared" si="1"/>
        <v>-477040</v>
      </c>
      <c r="R22" s="5"/>
    </row>
    <row r="23" spans="1:18" ht="17.25" customHeight="1" x14ac:dyDescent="0.25">
      <c r="A23" s="25">
        <v>16</v>
      </c>
      <c r="B23" s="120">
        <v>44363</v>
      </c>
      <c r="C23" s="10" t="s">
        <v>2124</v>
      </c>
      <c r="D23" s="25" t="s">
        <v>2145</v>
      </c>
      <c r="E23" s="10" t="s">
        <v>112</v>
      </c>
      <c r="F23" s="8"/>
      <c r="G23" s="8">
        <f>234+3</f>
        <v>237</v>
      </c>
      <c r="H23" s="13">
        <f t="shared" si="3"/>
        <v>3659280</v>
      </c>
      <c r="I23" s="8"/>
      <c r="J23" s="50">
        <v>2470000</v>
      </c>
      <c r="K23" s="28"/>
      <c r="L23" s="29"/>
      <c r="M23" s="13"/>
      <c r="N23" s="3"/>
      <c r="O23" s="53">
        <f t="shared" si="0"/>
        <v>6129280</v>
      </c>
      <c r="P23" s="13">
        <v>12818182</v>
      </c>
      <c r="Q23" s="54">
        <f t="shared" si="1"/>
        <v>6688902</v>
      </c>
      <c r="R23" s="5"/>
    </row>
    <row r="24" spans="1:18" ht="17.25" customHeight="1" x14ac:dyDescent="0.25">
      <c r="A24" s="25">
        <v>17</v>
      </c>
      <c r="B24" s="120">
        <v>44367</v>
      </c>
      <c r="C24" s="10" t="s">
        <v>1362</v>
      </c>
      <c r="D24" s="25" t="s">
        <v>2146</v>
      </c>
      <c r="E24" s="10" t="s">
        <v>1043</v>
      </c>
      <c r="F24" s="8"/>
      <c r="G24" s="8">
        <v>114</v>
      </c>
      <c r="H24" s="13">
        <f t="shared" si="3"/>
        <v>1760160</v>
      </c>
      <c r="I24" s="8"/>
      <c r="J24" s="50">
        <v>930000</v>
      </c>
      <c r="K24" s="28"/>
      <c r="L24" s="29"/>
      <c r="M24" s="13"/>
      <c r="N24" s="3"/>
      <c r="O24" s="53">
        <f t="shared" si="0"/>
        <v>2690160</v>
      </c>
      <c r="P24" s="13">
        <v>4636364</v>
      </c>
      <c r="Q24" s="54">
        <f t="shared" si="1"/>
        <v>1946204</v>
      </c>
      <c r="R24" s="5"/>
    </row>
    <row r="25" spans="1:18" ht="30" customHeight="1" x14ac:dyDescent="0.25">
      <c r="A25" s="25">
        <v>18</v>
      </c>
      <c r="B25" s="120">
        <v>44368</v>
      </c>
      <c r="C25" s="10" t="s">
        <v>2125</v>
      </c>
      <c r="D25" s="25" t="s">
        <v>2147</v>
      </c>
      <c r="E25" s="10" t="s">
        <v>2158</v>
      </c>
      <c r="F25" s="8"/>
      <c r="G25" s="8">
        <v>0</v>
      </c>
      <c r="H25" s="13">
        <f t="shared" si="3"/>
        <v>0</v>
      </c>
      <c r="I25" s="8"/>
      <c r="J25" s="50">
        <v>200000</v>
      </c>
      <c r="K25" s="28"/>
      <c r="L25" s="29"/>
      <c r="M25" s="13"/>
      <c r="N25" s="3"/>
      <c r="O25" s="53">
        <f t="shared" si="0"/>
        <v>200000</v>
      </c>
      <c r="P25" s="13">
        <v>600000</v>
      </c>
      <c r="Q25" s="54">
        <f t="shared" si="1"/>
        <v>400000</v>
      </c>
      <c r="R25" s="5"/>
    </row>
    <row r="26" spans="1:18" ht="17.25" customHeight="1" x14ac:dyDescent="0.25">
      <c r="A26" s="25">
        <v>19</v>
      </c>
      <c r="B26" s="120">
        <v>44368</v>
      </c>
      <c r="C26" s="10" t="s">
        <v>2125</v>
      </c>
      <c r="D26" s="25" t="s">
        <v>2148</v>
      </c>
      <c r="E26" s="10" t="s">
        <v>2158</v>
      </c>
      <c r="F26" s="8"/>
      <c r="G26" s="8">
        <v>0</v>
      </c>
      <c r="H26" s="13">
        <f t="shared" si="3"/>
        <v>0</v>
      </c>
      <c r="I26" s="8"/>
      <c r="J26" s="50">
        <v>200000</v>
      </c>
      <c r="K26" s="28"/>
      <c r="L26" s="29"/>
      <c r="M26" s="13"/>
      <c r="N26" s="3"/>
      <c r="O26" s="53">
        <f t="shared" si="0"/>
        <v>200000</v>
      </c>
      <c r="P26" s="13">
        <v>600000</v>
      </c>
      <c r="Q26" s="54">
        <f t="shared" si="1"/>
        <v>400000</v>
      </c>
      <c r="R26" s="5"/>
    </row>
    <row r="27" spans="1:18" ht="17.25" customHeight="1" x14ac:dyDescent="0.25">
      <c r="A27" s="25">
        <v>20</v>
      </c>
      <c r="B27" s="120">
        <v>44368</v>
      </c>
      <c r="C27" s="10" t="s">
        <v>2125</v>
      </c>
      <c r="D27" s="25" t="s">
        <v>2149</v>
      </c>
      <c r="E27" s="10" t="s">
        <v>2159</v>
      </c>
      <c r="F27" s="8"/>
      <c r="G27" s="8">
        <v>19</v>
      </c>
      <c r="H27" s="13">
        <f t="shared" si="3"/>
        <v>293360</v>
      </c>
      <c r="I27" s="8"/>
      <c r="J27" s="50">
        <v>200000</v>
      </c>
      <c r="K27" s="28"/>
      <c r="L27" s="29"/>
      <c r="M27" s="13"/>
      <c r="N27" s="3"/>
      <c r="O27" s="53">
        <f t="shared" si="0"/>
        <v>493360</v>
      </c>
      <c r="P27" s="13">
        <v>600000</v>
      </c>
      <c r="Q27" s="54">
        <f t="shared" si="1"/>
        <v>106640</v>
      </c>
      <c r="R27" s="5"/>
    </row>
    <row r="28" spans="1:18" ht="31.5" customHeight="1" x14ac:dyDescent="0.25">
      <c r="A28" s="25">
        <v>21</v>
      </c>
      <c r="B28" s="120">
        <v>44369</v>
      </c>
      <c r="C28" s="10" t="s">
        <v>2126</v>
      </c>
      <c r="D28" s="25" t="s">
        <v>2150</v>
      </c>
      <c r="E28" s="10" t="s">
        <v>2160</v>
      </c>
      <c r="F28" s="8"/>
      <c r="G28" s="8">
        <v>111</v>
      </c>
      <c r="H28" s="13">
        <f t="shared" si="3"/>
        <v>1713840</v>
      </c>
      <c r="I28" s="8"/>
      <c r="J28" s="57">
        <f>980000+200000+50000</f>
        <v>1230000</v>
      </c>
      <c r="K28" s="28"/>
      <c r="L28" s="29"/>
      <c r="M28" s="13"/>
      <c r="N28" s="3"/>
      <c r="O28" s="53">
        <f t="shared" si="0"/>
        <v>2943840</v>
      </c>
      <c r="P28" s="13">
        <v>4500000</v>
      </c>
      <c r="Q28" s="54">
        <f t="shared" si="1"/>
        <v>1556160</v>
      </c>
      <c r="R28" s="5"/>
    </row>
    <row r="29" spans="1:18" ht="31.5" customHeight="1" x14ac:dyDescent="0.25">
      <c r="A29" s="25">
        <v>22</v>
      </c>
      <c r="B29" s="120">
        <v>44370</v>
      </c>
      <c r="C29" s="10" t="s">
        <v>2127</v>
      </c>
      <c r="D29" s="25" t="s">
        <v>2151</v>
      </c>
      <c r="E29" s="10" t="s">
        <v>2160</v>
      </c>
      <c r="F29" s="8"/>
      <c r="G29" s="8">
        <v>115</v>
      </c>
      <c r="H29" s="13">
        <f t="shared" si="3"/>
        <v>1775600</v>
      </c>
      <c r="I29" s="8"/>
      <c r="J29" s="50">
        <v>1280000</v>
      </c>
      <c r="K29" s="28"/>
      <c r="L29" s="29"/>
      <c r="M29" s="13"/>
      <c r="N29" s="3"/>
      <c r="O29" s="53">
        <f t="shared" si="0"/>
        <v>3055600</v>
      </c>
      <c r="P29" s="13">
        <v>4500000</v>
      </c>
      <c r="Q29" s="54">
        <f t="shared" si="1"/>
        <v>1444400</v>
      </c>
      <c r="R29" s="5"/>
    </row>
    <row r="30" spans="1:18" ht="31.5" customHeight="1" x14ac:dyDescent="0.25">
      <c r="A30" s="25">
        <v>23</v>
      </c>
      <c r="B30" s="120">
        <v>44371</v>
      </c>
      <c r="C30" s="10" t="s">
        <v>2128</v>
      </c>
      <c r="D30" s="25" t="s">
        <v>2152</v>
      </c>
      <c r="E30" s="10" t="s">
        <v>2160</v>
      </c>
      <c r="F30" s="8"/>
      <c r="G30" s="8">
        <v>115</v>
      </c>
      <c r="H30" s="13">
        <f t="shared" si="3"/>
        <v>1775600</v>
      </c>
      <c r="I30" s="8"/>
      <c r="J30" s="50">
        <v>1280000</v>
      </c>
      <c r="K30" s="28"/>
      <c r="L30" s="29"/>
      <c r="M30" s="13"/>
      <c r="N30" s="3"/>
      <c r="O30" s="53">
        <f t="shared" si="0"/>
        <v>3055600</v>
      </c>
      <c r="P30" s="13">
        <v>4500000</v>
      </c>
      <c r="Q30" s="54">
        <f t="shared" si="1"/>
        <v>1444400</v>
      </c>
      <c r="R30" s="5"/>
    </row>
    <row r="31" spans="1:18" ht="31.5" customHeight="1" x14ac:dyDescent="0.25">
      <c r="A31" s="25">
        <v>24</v>
      </c>
      <c r="B31" s="120">
        <v>44375</v>
      </c>
      <c r="C31" s="10" t="s">
        <v>2129</v>
      </c>
      <c r="D31" s="25" t="s">
        <v>2153</v>
      </c>
      <c r="E31" s="106" t="s">
        <v>2160</v>
      </c>
      <c r="F31" s="98"/>
      <c r="G31" s="98">
        <v>115</v>
      </c>
      <c r="H31" s="57">
        <f>G31*16110</f>
        <v>1852650</v>
      </c>
      <c r="I31" s="98"/>
      <c r="J31" s="57">
        <v>1280000</v>
      </c>
      <c r="K31" s="48"/>
      <c r="L31" s="60"/>
      <c r="M31" s="57"/>
      <c r="N31" s="57"/>
      <c r="O31" s="103">
        <f t="shared" si="0"/>
        <v>3132650</v>
      </c>
      <c r="P31" s="57">
        <v>4500000</v>
      </c>
      <c r="Q31" s="104">
        <f t="shared" si="1"/>
        <v>1367350</v>
      </c>
      <c r="R31" s="5" t="s">
        <v>2169</v>
      </c>
    </row>
    <row r="32" spans="1:18" ht="31.5" customHeight="1" x14ac:dyDescent="0.25">
      <c r="A32" s="25">
        <v>25</v>
      </c>
      <c r="B32" s="120">
        <v>44375</v>
      </c>
      <c r="C32" s="10" t="s">
        <v>2130</v>
      </c>
      <c r="D32" s="25" t="s">
        <v>2154</v>
      </c>
      <c r="E32" s="10" t="s">
        <v>2160</v>
      </c>
      <c r="F32" s="8"/>
      <c r="G32" s="8">
        <v>115</v>
      </c>
      <c r="H32" s="13">
        <f>G32*16110</f>
        <v>1852650</v>
      </c>
      <c r="I32" s="8"/>
      <c r="J32" s="50">
        <v>1280000</v>
      </c>
      <c r="K32" s="28"/>
      <c r="L32" s="29"/>
      <c r="M32" s="13"/>
      <c r="N32" s="3"/>
      <c r="O32" s="53">
        <f t="shared" si="0"/>
        <v>3132650</v>
      </c>
      <c r="P32" s="13">
        <v>4500000</v>
      </c>
      <c r="Q32" s="54">
        <f t="shared" si="1"/>
        <v>1367350</v>
      </c>
      <c r="R32" s="5"/>
    </row>
    <row r="33" spans="1:18" ht="17.25" customHeight="1" x14ac:dyDescent="0.25">
      <c r="A33" s="25">
        <v>26</v>
      </c>
      <c r="B33" s="120">
        <v>44376</v>
      </c>
      <c r="C33" s="10" t="s">
        <v>2131</v>
      </c>
      <c r="D33" s="25" t="s">
        <v>1471</v>
      </c>
      <c r="E33" s="10" t="s">
        <v>1177</v>
      </c>
      <c r="F33" s="8"/>
      <c r="G33" s="8"/>
      <c r="H33" s="13"/>
      <c r="I33" s="8"/>
      <c r="J33" s="50">
        <f>930000+400000</f>
        <v>1330000</v>
      </c>
      <c r="K33" s="28"/>
      <c r="L33" s="29"/>
      <c r="M33" s="13"/>
      <c r="N33" s="3"/>
      <c r="O33" s="53">
        <f t="shared" si="0"/>
        <v>1330000</v>
      </c>
      <c r="P33" s="13">
        <v>5500000</v>
      </c>
      <c r="Q33" s="54">
        <f t="shared" si="1"/>
        <v>4170000</v>
      </c>
      <c r="R33" s="5"/>
    </row>
    <row r="34" spans="1:18" ht="12.75" customHeight="1" x14ac:dyDescent="0.25">
      <c r="A34" s="25"/>
      <c r="B34" s="44"/>
      <c r="C34" s="10"/>
      <c r="D34" s="8"/>
      <c r="E34" s="10"/>
      <c r="F34" s="8"/>
      <c r="G34" s="8"/>
      <c r="H34" s="13"/>
      <c r="I34" s="8"/>
      <c r="J34" s="13"/>
      <c r="K34" s="28"/>
      <c r="L34" s="29"/>
      <c r="M34" s="13"/>
      <c r="N34" s="13"/>
      <c r="O34" s="53"/>
      <c r="P34" s="13"/>
      <c r="Q34" s="54"/>
      <c r="R34" s="5"/>
    </row>
    <row r="35" spans="1:18" ht="18" customHeight="1" x14ac:dyDescent="0.25">
      <c r="A35" s="8"/>
      <c r="B35" s="8"/>
      <c r="C35" s="213"/>
      <c r="D35" s="214"/>
      <c r="E35" s="214"/>
      <c r="F35" s="215"/>
      <c r="G35" s="46"/>
      <c r="H35" s="18"/>
      <c r="I35" s="46"/>
      <c r="J35" s="18"/>
      <c r="K35" s="18"/>
      <c r="L35" s="18"/>
      <c r="M35" s="18"/>
      <c r="N35" s="28"/>
      <c r="O35" s="53">
        <f t="shared" ref="O35:O44" si="4">H35+J35+K35+L35+M35+N35</f>
        <v>0</v>
      </c>
      <c r="P35" s="28"/>
      <c r="Q35" s="54"/>
    </row>
    <row r="36" spans="1:18" ht="24" customHeight="1" x14ac:dyDescent="0.25">
      <c r="A36" s="8"/>
      <c r="B36" s="8"/>
      <c r="C36" s="17" t="s">
        <v>131</v>
      </c>
      <c r="D36" s="8"/>
      <c r="E36" s="10"/>
      <c r="F36" s="8"/>
      <c r="G36" s="12"/>
      <c r="H36" s="3"/>
      <c r="I36" s="12"/>
      <c r="J36" s="13"/>
      <c r="K36" s="28"/>
      <c r="L36" s="90">
        <v>1200000</v>
      </c>
      <c r="M36" s="18"/>
      <c r="N36" s="28"/>
      <c r="O36" s="53">
        <f t="shared" si="4"/>
        <v>1200000</v>
      </c>
      <c r="P36" s="28"/>
      <c r="Q36" s="54"/>
    </row>
    <row r="37" spans="1:18" ht="24" customHeight="1" x14ac:dyDescent="0.25">
      <c r="A37" s="8"/>
      <c r="B37" s="8"/>
      <c r="C37" s="210" t="s">
        <v>2161</v>
      </c>
      <c r="D37" s="211"/>
      <c r="E37" s="211"/>
      <c r="F37" s="212"/>
      <c r="G37" s="46"/>
      <c r="H37" s="18"/>
      <c r="I37" s="46"/>
      <c r="J37" s="18"/>
      <c r="K37" s="18"/>
      <c r="L37" s="90">
        <v>1760000</v>
      </c>
      <c r="M37" s="18"/>
      <c r="N37" s="28"/>
      <c r="O37" s="53">
        <f t="shared" si="4"/>
        <v>1760000</v>
      </c>
      <c r="P37" s="28"/>
      <c r="Q37" s="54"/>
    </row>
    <row r="38" spans="1:18" ht="24" customHeight="1" x14ac:dyDescent="0.25">
      <c r="A38" s="8"/>
      <c r="B38" s="8"/>
      <c r="C38" s="210" t="s">
        <v>2162</v>
      </c>
      <c r="D38" s="211"/>
      <c r="E38" s="211"/>
      <c r="F38" s="212"/>
      <c r="G38" s="46"/>
      <c r="H38" s="18"/>
      <c r="I38" s="46"/>
      <c r="J38" s="18"/>
      <c r="K38" s="18"/>
      <c r="L38" s="90">
        <v>200000</v>
      </c>
      <c r="M38" s="18"/>
      <c r="N38" s="28"/>
      <c r="O38" s="53">
        <f t="shared" si="4"/>
        <v>200000</v>
      </c>
      <c r="P38" s="28"/>
      <c r="Q38" s="54"/>
    </row>
    <row r="39" spans="1:18" ht="24" customHeight="1" x14ac:dyDescent="0.25">
      <c r="A39" s="8"/>
      <c r="B39" s="8"/>
      <c r="C39" s="210" t="s">
        <v>2163</v>
      </c>
      <c r="D39" s="211"/>
      <c r="E39" s="211"/>
      <c r="F39" s="132"/>
      <c r="G39" s="46"/>
      <c r="H39" s="18"/>
      <c r="I39" s="46"/>
      <c r="J39" s="18"/>
      <c r="K39" s="18"/>
      <c r="L39" s="90">
        <v>250000</v>
      </c>
      <c r="M39" s="18"/>
      <c r="N39" s="28"/>
      <c r="O39" s="53">
        <f t="shared" si="4"/>
        <v>250000</v>
      </c>
      <c r="P39" s="28"/>
      <c r="Q39" s="54"/>
    </row>
    <row r="40" spans="1:18" ht="24" customHeight="1" x14ac:dyDescent="0.25">
      <c r="A40" s="8"/>
      <c r="B40" s="8"/>
      <c r="C40" s="210" t="s">
        <v>2164</v>
      </c>
      <c r="D40" s="211"/>
      <c r="E40" s="211"/>
      <c r="F40" s="212"/>
      <c r="G40" s="46"/>
      <c r="H40" s="18"/>
      <c r="I40" s="46"/>
      <c r="J40" s="18"/>
      <c r="K40" s="18"/>
      <c r="L40" s="18"/>
      <c r="M40" s="18"/>
      <c r="N40" s="90">
        <v>420000</v>
      </c>
      <c r="O40" s="53">
        <f t="shared" si="4"/>
        <v>420000</v>
      </c>
      <c r="P40" s="28"/>
      <c r="Q40" s="54"/>
    </row>
    <row r="41" spans="1:18" ht="24" customHeight="1" x14ac:dyDescent="0.25">
      <c r="A41" s="8"/>
      <c r="B41" s="8"/>
      <c r="C41" s="216" t="s">
        <v>2108</v>
      </c>
      <c r="D41" s="217"/>
      <c r="E41" s="217"/>
      <c r="F41" s="218"/>
      <c r="G41" s="46"/>
      <c r="H41" s="18"/>
      <c r="I41" s="46"/>
      <c r="J41" s="18"/>
      <c r="K41" s="18"/>
      <c r="L41" s="18"/>
      <c r="M41" s="18"/>
      <c r="N41" s="28"/>
      <c r="O41" s="53">
        <f t="shared" si="4"/>
        <v>0</v>
      </c>
      <c r="P41" s="28"/>
      <c r="Q41" s="54"/>
    </row>
    <row r="42" spans="1:18" ht="24" customHeight="1" x14ac:dyDescent="0.25">
      <c r="A42" s="8"/>
      <c r="B42" s="8"/>
      <c r="C42" s="210" t="s">
        <v>2165</v>
      </c>
      <c r="D42" s="211"/>
      <c r="E42" s="211"/>
      <c r="F42" s="212"/>
      <c r="G42" s="46"/>
      <c r="H42" s="18"/>
      <c r="I42" s="46"/>
      <c r="J42" s="18"/>
      <c r="K42" s="18"/>
      <c r="L42" s="90">
        <v>350000</v>
      </c>
      <c r="M42" s="18"/>
      <c r="N42" s="28"/>
      <c r="O42" s="53">
        <f t="shared" si="4"/>
        <v>350000</v>
      </c>
      <c r="P42" s="28"/>
      <c r="Q42" s="54"/>
    </row>
    <row r="43" spans="1:18" ht="24" customHeight="1" x14ac:dyDescent="0.25">
      <c r="A43" s="8"/>
      <c r="B43" s="8"/>
      <c r="C43" s="210" t="s">
        <v>2166</v>
      </c>
      <c r="D43" s="211"/>
      <c r="E43" s="211"/>
      <c r="F43" s="212"/>
      <c r="G43" s="46"/>
      <c r="H43" s="18"/>
      <c r="I43" s="46"/>
      <c r="J43" s="18"/>
      <c r="K43" s="18"/>
      <c r="L43" s="90">
        <v>5430000</v>
      </c>
      <c r="M43" s="18"/>
      <c r="N43" s="28"/>
      <c r="O43" s="53">
        <f t="shared" si="4"/>
        <v>5430000</v>
      </c>
      <c r="P43" s="28"/>
      <c r="Q43" s="54"/>
    </row>
    <row r="44" spans="1:18" ht="24" customHeight="1" x14ac:dyDescent="0.25">
      <c r="A44" s="8"/>
      <c r="B44" s="8"/>
      <c r="C44" s="210" t="s">
        <v>2167</v>
      </c>
      <c r="D44" s="211"/>
      <c r="E44" s="211"/>
      <c r="F44" s="212"/>
      <c r="G44" s="46"/>
      <c r="H44" s="18"/>
      <c r="I44" s="46"/>
      <c r="J44" s="18"/>
      <c r="K44" s="18"/>
      <c r="L44" s="18"/>
      <c r="M44" s="18"/>
      <c r="N44" s="90">
        <v>3150000</v>
      </c>
      <c r="O44" s="53">
        <f t="shared" si="4"/>
        <v>3150000</v>
      </c>
      <c r="P44" s="28"/>
      <c r="Q44" s="54"/>
    </row>
    <row r="45" spans="1:18" ht="25.5" customHeight="1" x14ac:dyDescent="0.25">
      <c r="A45" s="8"/>
      <c r="B45" s="8"/>
      <c r="C45" s="207" t="s">
        <v>132</v>
      </c>
      <c r="D45" s="208"/>
      <c r="E45" s="208"/>
      <c r="F45" s="209"/>
      <c r="G45" s="46"/>
      <c r="H45" s="18"/>
      <c r="I45" s="46"/>
      <c r="J45" s="18"/>
      <c r="K45" s="90">
        <f>26/26*8000000+1000000</f>
        <v>9000000</v>
      </c>
      <c r="L45" s="18"/>
      <c r="M45" s="18"/>
      <c r="N45" s="28"/>
      <c r="O45" s="53">
        <f>H45+J45+K45+L45+M45+N45</f>
        <v>9000000</v>
      </c>
      <c r="P45" s="28"/>
      <c r="Q45" s="54"/>
    </row>
    <row r="46" spans="1:18" x14ac:dyDescent="0.25">
      <c r="A46" s="166" t="s">
        <v>19</v>
      </c>
      <c r="B46" s="167"/>
      <c r="C46" s="167"/>
      <c r="D46" s="167"/>
      <c r="E46" s="167"/>
      <c r="F46" s="168"/>
      <c r="G46" s="131">
        <f>SUM(G7:G45)</f>
        <v>2648</v>
      </c>
      <c r="H46" s="4">
        <f>SUM(H7:H45)</f>
        <v>40327010</v>
      </c>
      <c r="I46" s="4">
        <f t="shared" ref="I46:O46" si="5">SUM(I7:I45)</f>
        <v>0</v>
      </c>
      <c r="J46" s="4">
        <f t="shared" si="5"/>
        <v>27870000</v>
      </c>
      <c r="K46" s="4">
        <f t="shared" si="5"/>
        <v>9000000</v>
      </c>
      <c r="L46" s="4">
        <f t="shared" si="5"/>
        <v>9190000</v>
      </c>
      <c r="M46" s="4">
        <f t="shared" si="5"/>
        <v>0</v>
      </c>
      <c r="N46" s="4">
        <f t="shared" si="5"/>
        <v>3570000</v>
      </c>
      <c r="O46" s="4">
        <f t="shared" si="5"/>
        <v>89957010</v>
      </c>
      <c r="P46" s="4">
        <f>SUM(P8:P45)</f>
        <v>123136364</v>
      </c>
      <c r="Q46" s="4">
        <f>P46-O46</f>
        <v>33179354</v>
      </c>
    </row>
    <row r="47" spans="1:18" x14ac:dyDescent="0.25">
      <c r="O47" s="20"/>
      <c r="P47" s="5" t="s">
        <v>1796</v>
      </c>
      <c r="Q47" s="26"/>
    </row>
    <row r="48" spans="1:18" x14ac:dyDescent="0.25">
      <c r="P48" s="21" t="s">
        <v>20</v>
      </c>
      <c r="Q48" s="26">
        <f>'05.2021'!Q47+'06.2021'!Q46</f>
        <v>180537288.84615386</v>
      </c>
    </row>
    <row r="49" spans="2:17" x14ac:dyDescent="0.25">
      <c r="C49" s="6" t="s">
        <v>993</v>
      </c>
    </row>
    <row r="50" spans="2:17" x14ac:dyDescent="0.25">
      <c r="C50" s="205"/>
      <c r="D50" s="205"/>
      <c r="E50" s="205"/>
      <c r="F50" s="205"/>
      <c r="H50" s="109"/>
    </row>
    <row r="51" spans="2:17" x14ac:dyDescent="0.25">
      <c r="C51" s="206"/>
      <c r="D51" s="206"/>
      <c r="E51" s="206"/>
      <c r="F51" s="206"/>
      <c r="H51" s="109"/>
    </row>
    <row r="52" spans="2:17" x14ac:dyDescent="0.25">
      <c r="B52" s="6"/>
      <c r="C52" s="110"/>
      <c r="D52" s="110"/>
      <c r="E52" s="110"/>
      <c r="F52" s="110"/>
      <c r="G52" s="133"/>
      <c r="H52" s="109"/>
    </row>
    <row r="53" spans="2:17" x14ac:dyDescent="0.25">
      <c r="B53" s="6"/>
      <c r="C53" s="206"/>
      <c r="D53" s="206"/>
      <c r="E53" s="206"/>
      <c r="F53" s="206"/>
      <c r="H53" s="109"/>
    </row>
    <row r="54" spans="2:17" x14ac:dyDescent="0.25">
      <c r="B54" s="6"/>
      <c r="C54" s="206"/>
      <c r="D54" s="206"/>
      <c r="E54" s="206"/>
      <c r="F54" s="206"/>
      <c r="H54" s="109"/>
    </row>
    <row r="55" spans="2:17" x14ac:dyDescent="0.25">
      <c r="B55" s="6"/>
      <c r="C55" s="206"/>
      <c r="D55" s="206"/>
      <c r="E55" s="206"/>
      <c r="F55" s="206"/>
      <c r="H55" s="109"/>
      <c r="J55" s="6"/>
      <c r="K55" s="6"/>
      <c r="L55" s="6"/>
      <c r="M55" s="6"/>
      <c r="N55" s="6"/>
      <c r="O55" s="6"/>
      <c r="P55" s="6"/>
      <c r="Q55" s="6"/>
    </row>
    <row r="56" spans="2:17" x14ac:dyDescent="0.2">
      <c r="C56" s="107"/>
      <c r="D56" s="110"/>
      <c r="E56" s="110"/>
      <c r="F56" s="110"/>
      <c r="H56" s="109"/>
    </row>
    <row r="57" spans="2:17" x14ac:dyDescent="0.25">
      <c r="C57" s="205"/>
      <c r="D57" s="205"/>
      <c r="E57" s="205"/>
      <c r="F57" s="205"/>
    </row>
  </sheetData>
  <mergeCells count="30">
    <mergeCell ref="C57:F57"/>
    <mergeCell ref="C41:F41"/>
    <mergeCell ref="C42:F42"/>
    <mergeCell ref="C45:F45"/>
    <mergeCell ref="A46:F46"/>
    <mergeCell ref="C50:F50"/>
    <mergeCell ref="C51:F51"/>
    <mergeCell ref="C35:F35"/>
    <mergeCell ref="C37:F37"/>
    <mergeCell ref="C53:F53"/>
    <mergeCell ref="C54:F54"/>
    <mergeCell ref="C55:F55"/>
    <mergeCell ref="C39:E39"/>
    <mergeCell ref="C40:F40"/>
    <mergeCell ref="C43:F43"/>
    <mergeCell ref="C44:F44"/>
    <mergeCell ref="C38:F38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D8CF-337C-45B0-9987-06E998843D73}">
  <dimension ref="A1:R59"/>
  <sheetViews>
    <sheetView topLeftCell="A31" workbookViewId="0">
      <selection activeCell="K44" sqref="K44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2170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44378</v>
      </c>
      <c r="C8" s="10" t="s">
        <v>2171</v>
      </c>
      <c r="D8" s="25" t="s">
        <v>2172</v>
      </c>
      <c r="E8" s="10" t="s">
        <v>2160</v>
      </c>
      <c r="F8" s="8"/>
      <c r="G8" s="8"/>
      <c r="H8" s="13"/>
      <c r="I8" s="8"/>
      <c r="J8" s="13">
        <v>1280000</v>
      </c>
      <c r="K8" s="28"/>
      <c r="L8" s="29"/>
      <c r="M8" s="13"/>
      <c r="N8" s="13"/>
      <c r="O8" s="53">
        <f>H8+J8+K8+L8+M8+N8</f>
        <v>1280000</v>
      </c>
      <c r="P8" s="13">
        <v>4500000</v>
      </c>
      <c r="Q8" s="54">
        <f>P8-O8</f>
        <v>3220000</v>
      </c>
      <c r="R8" s="5"/>
    </row>
    <row r="9" spans="1:18" ht="17.25" customHeight="1" x14ac:dyDescent="0.25">
      <c r="A9" s="25">
        <v>2</v>
      </c>
      <c r="B9" s="120">
        <v>44379</v>
      </c>
      <c r="C9" s="10" t="s">
        <v>2173</v>
      </c>
      <c r="D9" s="129" t="s">
        <v>2174</v>
      </c>
      <c r="E9" s="9" t="s">
        <v>2175</v>
      </c>
      <c r="F9" s="117"/>
      <c r="G9" s="6">
        <v>91</v>
      </c>
      <c r="H9" s="13">
        <f>G9*16110</f>
        <v>1466010</v>
      </c>
      <c r="I9" s="117"/>
      <c r="J9" s="119">
        <v>930000</v>
      </c>
      <c r="K9" s="28"/>
      <c r="L9" s="29"/>
      <c r="M9" s="13"/>
      <c r="N9" s="13"/>
      <c r="O9" s="53">
        <f t="shared" ref="O9:O29" si="0">H9+J9+K9+L9+M9+N9</f>
        <v>2396010</v>
      </c>
      <c r="P9" s="13">
        <v>3800000</v>
      </c>
      <c r="Q9" s="54">
        <f t="shared" ref="Q9:Q29" si="1">P9-O9</f>
        <v>1403990</v>
      </c>
      <c r="R9" s="5"/>
    </row>
    <row r="10" spans="1:18" ht="24.75" customHeight="1" x14ac:dyDescent="0.25">
      <c r="A10" s="25">
        <v>3</v>
      </c>
      <c r="B10" s="120">
        <v>44380</v>
      </c>
      <c r="C10" s="10" t="s">
        <v>2176</v>
      </c>
      <c r="D10" s="25" t="s">
        <v>2177</v>
      </c>
      <c r="E10" s="10" t="s">
        <v>2160</v>
      </c>
      <c r="F10" s="8"/>
      <c r="G10" s="8">
        <v>115</v>
      </c>
      <c r="H10" s="13">
        <f t="shared" ref="H10:H16" si="2">G10*16110</f>
        <v>1852650</v>
      </c>
      <c r="I10" s="8"/>
      <c r="J10" s="13">
        <f>1280000+100000</f>
        <v>1380000</v>
      </c>
      <c r="K10" s="28"/>
      <c r="L10" s="29"/>
      <c r="M10" s="13"/>
      <c r="N10" s="13"/>
      <c r="O10" s="53">
        <f t="shared" si="0"/>
        <v>3232650</v>
      </c>
      <c r="P10" s="13">
        <v>4500000</v>
      </c>
      <c r="Q10" s="54">
        <f t="shared" si="1"/>
        <v>1267350</v>
      </c>
      <c r="R10" s="5"/>
    </row>
    <row r="11" spans="1:18" ht="24" customHeight="1" x14ac:dyDescent="0.25">
      <c r="A11" s="25">
        <v>4</v>
      </c>
      <c r="B11" s="120">
        <v>44382</v>
      </c>
      <c r="C11" s="10" t="s">
        <v>2178</v>
      </c>
      <c r="D11" s="25" t="s">
        <v>2179</v>
      </c>
      <c r="E11" s="10" t="s">
        <v>258</v>
      </c>
      <c r="F11" s="8"/>
      <c r="G11" s="8">
        <v>193</v>
      </c>
      <c r="H11" s="13">
        <f t="shared" si="2"/>
        <v>3109230</v>
      </c>
      <c r="I11" s="8"/>
      <c r="J11" s="13">
        <f>1840000+120000</f>
        <v>1960000</v>
      </c>
      <c r="K11" s="28"/>
      <c r="L11" s="29"/>
      <c r="M11" s="13"/>
      <c r="N11" s="13"/>
      <c r="O11" s="53">
        <f t="shared" si="0"/>
        <v>5069230</v>
      </c>
      <c r="P11" s="13">
        <v>9272727</v>
      </c>
      <c r="Q11" s="54">
        <f t="shared" si="1"/>
        <v>4203497</v>
      </c>
      <c r="R11" s="5"/>
    </row>
    <row r="12" spans="1:18" ht="17.25" customHeight="1" x14ac:dyDescent="0.25">
      <c r="A12" s="25">
        <v>5</v>
      </c>
      <c r="B12" s="120">
        <v>44383</v>
      </c>
      <c r="C12" s="10" t="s">
        <v>2180</v>
      </c>
      <c r="D12" s="25" t="s">
        <v>2181</v>
      </c>
      <c r="E12" s="10" t="s">
        <v>112</v>
      </c>
      <c r="F12" s="8"/>
      <c r="G12" s="8">
        <v>165</v>
      </c>
      <c r="H12" s="13">
        <f t="shared" si="2"/>
        <v>2658150</v>
      </c>
      <c r="I12" s="8"/>
      <c r="J12" s="13">
        <v>2470000</v>
      </c>
      <c r="K12" s="28"/>
      <c r="L12" s="29"/>
      <c r="M12" s="13"/>
      <c r="N12" s="13"/>
      <c r="O12" s="53">
        <f t="shared" si="0"/>
        <v>5128150</v>
      </c>
      <c r="P12" s="13">
        <v>12818182</v>
      </c>
      <c r="Q12" s="54">
        <f t="shared" si="1"/>
        <v>7690032</v>
      </c>
      <c r="R12" s="5"/>
    </row>
    <row r="13" spans="1:18" ht="17.25" customHeight="1" x14ac:dyDescent="0.25">
      <c r="A13" s="25">
        <v>6</v>
      </c>
      <c r="B13" s="120">
        <v>44385</v>
      </c>
      <c r="C13" s="10" t="s">
        <v>2182</v>
      </c>
      <c r="D13" s="25" t="s">
        <v>2183</v>
      </c>
      <c r="E13" s="10" t="s">
        <v>1177</v>
      </c>
      <c r="F13" s="8"/>
      <c r="G13" s="8">
        <v>235</v>
      </c>
      <c r="H13" s="13">
        <f t="shared" si="2"/>
        <v>3785850</v>
      </c>
      <c r="I13" s="8"/>
      <c r="J13" s="13">
        <f>930000</f>
        <v>930000</v>
      </c>
      <c r="K13" s="28"/>
      <c r="L13" s="29"/>
      <c r="M13" s="13"/>
      <c r="N13" s="13"/>
      <c r="O13" s="53">
        <f t="shared" si="0"/>
        <v>4715850</v>
      </c>
      <c r="P13" s="13">
        <v>3730000</v>
      </c>
      <c r="Q13" s="54">
        <f t="shared" si="1"/>
        <v>-985850</v>
      </c>
      <c r="R13" s="5"/>
    </row>
    <row r="14" spans="1:18" ht="17.25" customHeight="1" x14ac:dyDescent="0.25">
      <c r="A14" s="25">
        <v>7</v>
      </c>
      <c r="B14" s="120">
        <v>44385</v>
      </c>
      <c r="C14" s="10" t="s">
        <v>2184</v>
      </c>
      <c r="D14" s="25" t="s">
        <v>2183</v>
      </c>
      <c r="E14" s="10" t="s">
        <v>2185</v>
      </c>
      <c r="F14" s="8"/>
      <c r="G14" s="8"/>
      <c r="H14" s="13"/>
      <c r="I14" s="8"/>
      <c r="J14" s="13">
        <v>500000</v>
      </c>
      <c r="K14" s="28"/>
      <c r="L14" s="29"/>
      <c r="M14" s="13"/>
      <c r="N14" s="13"/>
      <c r="O14" s="53">
        <f t="shared" si="0"/>
        <v>500000</v>
      </c>
      <c r="P14" s="13">
        <v>2000000</v>
      </c>
      <c r="Q14" s="54">
        <f t="shared" si="1"/>
        <v>1500000</v>
      </c>
      <c r="R14" s="5"/>
    </row>
    <row r="15" spans="1:18" ht="17.25" customHeight="1" x14ac:dyDescent="0.25">
      <c r="A15" s="25">
        <v>8</v>
      </c>
      <c r="B15" s="120">
        <v>44386</v>
      </c>
      <c r="C15" s="10" t="s">
        <v>2186</v>
      </c>
      <c r="D15" s="25" t="s">
        <v>2187</v>
      </c>
      <c r="E15" s="10" t="s">
        <v>1541</v>
      </c>
      <c r="F15" s="8"/>
      <c r="G15" s="8">
        <v>106</v>
      </c>
      <c r="H15" s="13">
        <f t="shared" si="2"/>
        <v>1707660</v>
      </c>
      <c r="I15" s="8"/>
      <c r="J15" s="119">
        <v>930000</v>
      </c>
      <c r="K15" s="28"/>
      <c r="L15" s="29"/>
      <c r="M15" s="13"/>
      <c r="N15" s="13"/>
      <c r="O15" s="53">
        <f t="shared" si="0"/>
        <v>2637660</v>
      </c>
      <c r="P15" s="13">
        <v>3600000</v>
      </c>
      <c r="Q15" s="54">
        <f t="shared" si="1"/>
        <v>962340</v>
      </c>
      <c r="R15" s="5"/>
    </row>
    <row r="16" spans="1:18" ht="17.25" customHeight="1" x14ac:dyDescent="0.25">
      <c r="A16" s="25">
        <v>9</v>
      </c>
      <c r="B16" s="120">
        <v>44389</v>
      </c>
      <c r="C16" s="10" t="s">
        <v>2188</v>
      </c>
      <c r="D16" s="25" t="s">
        <v>2189</v>
      </c>
      <c r="E16" s="10" t="s">
        <v>330</v>
      </c>
      <c r="F16" s="8"/>
      <c r="G16" s="8">
        <v>197</v>
      </c>
      <c r="H16" s="13">
        <f t="shared" si="2"/>
        <v>3173670</v>
      </c>
      <c r="I16" s="8"/>
      <c r="J16" s="13">
        <v>680000</v>
      </c>
      <c r="K16" s="28"/>
      <c r="L16" s="29"/>
      <c r="M16" s="13"/>
      <c r="N16" s="13"/>
      <c r="O16" s="53">
        <f t="shared" si="0"/>
        <v>3853670</v>
      </c>
      <c r="P16" s="13">
        <v>3600000</v>
      </c>
      <c r="Q16" s="54">
        <f t="shared" si="1"/>
        <v>-253670</v>
      </c>
      <c r="R16" s="5"/>
    </row>
    <row r="17" spans="1:18" ht="17.25" customHeight="1" x14ac:dyDescent="0.25">
      <c r="A17" s="25">
        <v>10</v>
      </c>
      <c r="B17" s="120">
        <v>44389</v>
      </c>
      <c r="C17" s="10" t="s">
        <v>2190</v>
      </c>
      <c r="D17" s="25" t="s">
        <v>2191</v>
      </c>
      <c r="E17" s="10" t="s">
        <v>330</v>
      </c>
      <c r="F17" s="8"/>
      <c r="G17" s="8">
        <v>114</v>
      </c>
      <c r="H17" s="13">
        <f>G17*16530</f>
        <v>1884420</v>
      </c>
      <c r="I17" s="8"/>
      <c r="J17" s="13">
        <v>680000</v>
      </c>
      <c r="K17" s="28"/>
      <c r="L17" s="29"/>
      <c r="M17" s="13"/>
      <c r="N17" s="13"/>
      <c r="O17" s="53">
        <f t="shared" si="0"/>
        <v>2564420</v>
      </c>
      <c r="P17" s="13">
        <v>3600000</v>
      </c>
      <c r="Q17" s="54">
        <f t="shared" si="1"/>
        <v>1035580</v>
      </c>
      <c r="R17" s="5"/>
    </row>
    <row r="18" spans="1:18" ht="17.25" customHeight="1" x14ac:dyDescent="0.25">
      <c r="A18" s="25">
        <v>11</v>
      </c>
      <c r="B18" s="120">
        <v>44390</v>
      </c>
      <c r="C18" s="10" t="s">
        <v>2192</v>
      </c>
      <c r="D18" s="25" t="s">
        <v>2193</v>
      </c>
      <c r="E18" s="10" t="s">
        <v>1043</v>
      </c>
      <c r="F18" s="8"/>
      <c r="G18" s="8">
        <v>99</v>
      </c>
      <c r="H18" s="13">
        <f t="shared" ref="H18:H26" si="3">G18*16530</f>
        <v>1636470</v>
      </c>
      <c r="I18" s="8"/>
      <c r="J18" s="13">
        <v>930000</v>
      </c>
      <c r="K18" s="28"/>
      <c r="L18" s="29"/>
      <c r="M18" s="13"/>
      <c r="N18" s="13"/>
      <c r="O18" s="53">
        <f t="shared" si="0"/>
        <v>2566470</v>
      </c>
      <c r="P18" s="13">
        <v>4636364</v>
      </c>
      <c r="Q18" s="54">
        <f t="shared" si="1"/>
        <v>2069894</v>
      </c>
      <c r="R18" s="5"/>
    </row>
    <row r="19" spans="1:18" ht="17.25" customHeight="1" x14ac:dyDescent="0.25">
      <c r="A19" s="25">
        <v>12</v>
      </c>
      <c r="B19" s="120">
        <v>44391</v>
      </c>
      <c r="C19" s="10" t="s">
        <v>2194</v>
      </c>
      <c r="D19" s="25" t="s">
        <v>2195</v>
      </c>
      <c r="E19" s="10" t="s">
        <v>2196</v>
      </c>
      <c r="F19" s="8"/>
      <c r="G19" s="8">
        <v>258</v>
      </c>
      <c r="H19" s="13">
        <f t="shared" si="3"/>
        <v>4264740</v>
      </c>
      <c r="I19" s="8"/>
      <c r="J19" s="13">
        <v>3280000</v>
      </c>
      <c r="K19" s="28"/>
      <c r="L19" s="29"/>
      <c r="M19" s="13"/>
      <c r="N19" s="13"/>
      <c r="O19" s="53">
        <f t="shared" si="0"/>
        <v>7544740</v>
      </c>
      <c r="P19" s="13">
        <v>11170000</v>
      </c>
      <c r="Q19" s="54">
        <f t="shared" si="1"/>
        <v>3625260</v>
      </c>
      <c r="R19" s="5"/>
    </row>
    <row r="20" spans="1:18" ht="17.25" customHeight="1" x14ac:dyDescent="0.25">
      <c r="A20" s="25">
        <v>13</v>
      </c>
      <c r="B20" s="120">
        <v>44392</v>
      </c>
      <c r="C20" s="10" t="s">
        <v>776</v>
      </c>
      <c r="D20" s="25" t="s">
        <v>2197</v>
      </c>
      <c r="E20" s="10" t="s">
        <v>1504</v>
      </c>
      <c r="F20" s="8"/>
      <c r="G20" s="8">
        <v>92</v>
      </c>
      <c r="H20" s="13">
        <f t="shared" si="3"/>
        <v>1520760</v>
      </c>
      <c r="I20" s="8"/>
      <c r="J20" s="13">
        <v>930000</v>
      </c>
      <c r="K20" s="28"/>
      <c r="L20" s="29"/>
      <c r="M20" s="13"/>
      <c r="N20" s="13"/>
      <c r="O20" s="53">
        <f t="shared" si="0"/>
        <v>2450760</v>
      </c>
      <c r="P20" s="13">
        <v>3600000</v>
      </c>
      <c r="Q20" s="54">
        <f t="shared" si="1"/>
        <v>1149240</v>
      </c>
      <c r="R20" s="5"/>
    </row>
    <row r="21" spans="1:18" ht="17.25" customHeight="1" x14ac:dyDescent="0.25">
      <c r="A21" s="25">
        <v>14</v>
      </c>
      <c r="B21" s="120">
        <v>44393</v>
      </c>
      <c r="C21" s="10" t="s">
        <v>2198</v>
      </c>
      <c r="D21" s="25" t="s">
        <v>2199</v>
      </c>
      <c r="E21" s="10" t="s">
        <v>254</v>
      </c>
      <c r="F21" s="8"/>
      <c r="G21" s="8">
        <v>94</v>
      </c>
      <c r="H21" s="13">
        <f t="shared" si="3"/>
        <v>1553820</v>
      </c>
      <c r="I21" s="8"/>
      <c r="J21" s="13">
        <v>930000</v>
      </c>
      <c r="K21" s="28"/>
      <c r="L21" s="29"/>
      <c r="M21" s="13"/>
      <c r="N21" s="13"/>
      <c r="O21" s="53">
        <f t="shared" si="0"/>
        <v>2483820</v>
      </c>
      <c r="P21" s="13">
        <v>3700000</v>
      </c>
      <c r="Q21" s="54">
        <f t="shared" si="1"/>
        <v>1216180</v>
      </c>
      <c r="R21" s="5"/>
    </row>
    <row r="22" spans="1:18" ht="27" customHeight="1" x14ac:dyDescent="0.25">
      <c r="A22" s="25">
        <v>15</v>
      </c>
      <c r="B22" s="120">
        <v>44394</v>
      </c>
      <c r="C22" s="10" t="s">
        <v>2200</v>
      </c>
      <c r="D22" s="25" t="s">
        <v>2201</v>
      </c>
      <c r="E22" s="10" t="s">
        <v>2160</v>
      </c>
      <c r="F22" s="8"/>
      <c r="G22" s="8">
        <v>113</v>
      </c>
      <c r="H22" s="13">
        <f t="shared" si="3"/>
        <v>1867890</v>
      </c>
      <c r="I22" s="8"/>
      <c r="J22" s="13">
        <f>1280000+80000</f>
        <v>1360000</v>
      </c>
      <c r="K22" s="28"/>
      <c r="L22" s="29"/>
      <c r="M22" s="13"/>
      <c r="N22" s="13"/>
      <c r="O22" s="53">
        <f t="shared" si="0"/>
        <v>3227890</v>
      </c>
      <c r="P22" s="13">
        <v>4500000</v>
      </c>
      <c r="Q22" s="54">
        <f t="shared" si="1"/>
        <v>1272110</v>
      </c>
      <c r="R22" s="5"/>
    </row>
    <row r="23" spans="1:18" ht="28.5" customHeight="1" x14ac:dyDescent="0.25">
      <c r="A23" s="25">
        <v>16</v>
      </c>
      <c r="B23" s="120">
        <v>44396</v>
      </c>
      <c r="C23" s="10" t="s">
        <v>1439</v>
      </c>
      <c r="D23" s="25" t="s">
        <v>2202</v>
      </c>
      <c r="E23" s="10" t="s">
        <v>2160</v>
      </c>
      <c r="F23" s="8"/>
      <c r="G23" s="8">
        <v>115</v>
      </c>
      <c r="H23" s="13">
        <f t="shared" si="3"/>
        <v>1900950</v>
      </c>
      <c r="I23" s="8"/>
      <c r="J23" s="13">
        <v>1280000</v>
      </c>
      <c r="K23" s="28"/>
      <c r="L23" s="29"/>
      <c r="M23" s="13"/>
      <c r="N23" s="13"/>
      <c r="O23" s="53">
        <f t="shared" si="0"/>
        <v>3180950</v>
      </c>
      <c r="P23" s="13">
        <v>4500000</v>
      </c>
      <c r="Q23" s="54">
        <f t="shared" si="1"/>
        <v>1319050</v>
      </c>
      <c r="R23" s="5"/>
    </row>
    <row r="24" spans="1:18" ht="34.5" customHeight="1" x14ac:dyDescent="0.25">
      <c r="A24" s="25">
        <v>17</v>
      </c>
      <c r="B24" s="120">
        <v>44397</v>
      </c>
      <c r="C24" s="10" t="s">
        <v>2203</v>
      </c>
      <c r="D24" s="25" t="s">
        <v>2204</v>
      </c>
      <c r="E24" s="10" t="s">
        <v>2160</v>
      </c>
      <c r="F24" s="8"/>
      <c r="G24" s="8">
        <v>120</v>
      </c>
      <c r="H24" s="13">
        <f t="shared" si="3"/>
        <v>1983600</v>
      </c>
      <c r="I24" s="8"/>
      <c r="J24" s="13">
        <v>1280000</v>
      </c>
      <c r="K24" s="28"/>
      <c r="L24" s="29"/>
      <c r="M24" s="13"/>
      <c r="N24" s="13"/>
      <c r="O24" s="53">
        <f t="shared" si="0"/>
        <v>3263600</v>
      </c>
      <c r="P24" s="13">
        <v>4500000</v>
      </c>
      <c r="Q24" s="54">
        <f t="shared" si="1"/>
        <v>1236400</v>
      </c>
      <c r="R24" s="5"/>
    </row>
    <row r="25" spans="1:18" ht="30" customHeight="1" x14ac:dyDescent="0.25">
      <c r="A25" s="25">
        <v>18</v>
      </c>
      <c r="B25" s="120">
        <v>44398</v>
      </c>
      <c r="C25" s="10" t="s">
        <v>1441</v>
      </c>
      <c r="D25" s="25" t="s">
        <v>2205</v>
      </c>
      <c r="E25" s="10" t="s">
        <v>122</v>
      </c>
      <c r="F25" s="8"/>
      <c r="G25" s="8">
        <v>96</v>
      </c>
      <c r="H25" s="13">
        <f t="shared" si="3"/>
        <v>1586880</v>
      </c>
      <c r="I25" s="8"/>
      <c r="J25" s="13">
        <v>930000</v>
      </c>
      <c r="K25" s="28"/>
      <c r="L25" s="29"/>
      <c r="M25" s="13"/>
      <c r="N25" s="13"/>
      <c r="O25" s="53">
        <f t="shared" si="0"/>
        <v>2516880</v>
      </c>
      <c r="P25" s="13">
        <v>3800000</v>
      </c>
      <c r="Q25" s="54">
        <f t="shared" si="1"/>
        <v>1283120</v>
      </c>
      <c r="R25" s="5"/>
    </row>
    <row r="26" spans="1:18" ht="17.25" customHeight="1" x14ac:dyDescent="0.25">
      <c r="A26" s="25">
        <v>19</v>
      </c>
      <c r="B26" s="120">
        <v>44399</v>
      </c>
      <c r="C26" s="10" t="s">
        <v>2206</v>
      </c>
      <c r="D26" s="25" t="s">
        <v>2207</v>
      </c>
      <c r="E26" s="10" t="s">
        <v>1043</v>
      </c>
      <c r="F26" s="8"/>
      <c r="G26" s="8">
        <v>113</v>
      </c>
      <c r="H26" s="13">
        <f t="shared" si="3"/>
        <v>1867890</v>
      </c>
      <c r="I26" s="8"/>
      <c r="J26" s="13">
        <v>930000</v>
      </c>
      <c r="K26" s="28"/>
      <c r="L26" s="29"/>
      <c r="M26" s="13"/>
      <c r="N26" s="13"/>
      <c r="O26" s="53">
        <f t="shared" si="0"/>
        <v>2797890</v>
      </c>
      <c r="P26" s="13">
        <v>4818182</v>
      </c>
      <c r="Q26" s="54">
        <f t="shared" si="1"/>
        <v>2020292</v>
      </c>
      <c r="R26" s="5"/>
    </row>
    <row r="27" spans="1:18" ht="17.25" customHeight="1" x14ac:dyDescent="0.25">
      <c r="A27" s="25">
        <v>20</v>
      </c>
      <c r="B27" s="120">
        <v>44400</v>
      </c>
      <c r="C27" s="10" t="s">
        <v>2208</v>
      </c>
      <c r="D27" s="25" t="s">
        <v>2209</v>
      </c>
      <c r="E27" s="10" t="s">
        <v>1043</v>
      </c>
      <c r="F27" s="8"/>
      <c r="G27" s="8">
        <v>114</v>
      </c>
      <c r="H27" s="13">
        <f>G27*16370</f>
        <v>1866180</v>
      </c>
      <c r="I27" s="8"/>
      <c r="J27" s="13">
        <v>930000</v>
      </c>
      <c r="K27" s="28"/>
      <c r="L27" s="29"/>
      <c r="M27" s="13"/>
      <c r="N27" s="13"/>
      <c r="O27" s="53">
        <f t="shared" si="0"/>
        <v>2796180</v>
      </c>
      <c r="P27" s="13">
        <v>4636364</v>
      </c>
      <c r="Q27" s="54">
        <f t="shared" si="1"/>
        <v>1840184</v>
      </c>
      <c r="R27" s="5"/>
    </row>
    <row r="28" spans="1:18" ht="31.5" customHeight="1" x14ac:dyDescent="0.25">
      <c r="A28" s="25">
        <v>21</v>
      </c>
      <c r="B28" s="120">
        <v>44404</v>
      </c>
      <c r="C28" s="10" t="s">
        <v>801</v>
      </c>
      <c r="D28" s="25" t="s">
        <v>2210</v>
      </c>
      <c r="E28" s="10" t="s">
        <v>1394</v>
      </c>
      <c r="F28" s="8"/>
      <c r="G28" s="8">
        <v>55</v>
      </c>
      <c r="H28" s="13">
        <f t="shared" ref="H28:H29" si="4">G28*16370</f>
        <v>900350</v>
      </c>
      <c r="I28" s="8"/>
      <c r="J28" s="13">
        <v>600000</v>
      </c>
      <c r="K28" s="28"/>
      <c r="L28" s="29"/>
      <c r="M28" s="13"/>
      <c r="N28" s="13"/>
      <c r="O28" s="53">
        <f t="shared" si="0"/>
        <v>1500350</v>
      </c>
      <c r="P28" s="13">
        <v>2600000</v>
      </c>
      <c r="Q28" s="54">
        <f t="shared" si="1"/>
        <v>1099650</v>
      </c>
      <c r="R28" s="5"/>
    </row>
    <row r="29" spans="1:18" ht="31.5" customHeight="1" x14ac:dyDescent="0.25">
      <c r="A29" s="25">
        <v>22</v>
      </c>
      <c r="B29" s="120">
        <v>44405</v>
      </c>
      <c r="C29" s="10" t="s">
        <v>2211</v>
      </c>
      <c r="D29" s="25" t="s">
        <v>2212</v>
      </c>
      <c r="E29" s="10" t="s">
        <v>2045</v>
      </c>
      <c r="F29" s="8"/>
      <c r="G29" s="8">
        <v>320</v>
      </c>
      <c r="H29" s="13">
        <f t="shared" si="4"/>
        <v>5238400</v>
      </c>
      <c r="I29" s="8"/>
      <c r="J29" s="13">
        <v>3550000</v>
      </c>
      <c r="K29" s="28"/>
      <c r="L29" s="29"/>
      <c r="M29" s="13"/>
      <c r="N29" s="13"/>
      <c r="O29" s="53">
        <f t="shared" si="0"/>
        <v>8788400</v>
      </c>
      <c r="P29" s="13">
        <v>17836364</v>
      </c>
      <c r="Q29" s="54">
        <f t="shared" si="1"/>
        <v>9047964</v>
      </c>
      <c r="R29" s="5"/>
    </row>
    <row r="30" spans="1:18" ht="12.75" customHeight="1" x14ac:dyDescent="0.25">
      <c r="A30" s="25"/>
      <c r="B30" s="44"/>
      <c r="C30" s="10"/>
      <c r="D30" s="8"/>
      <c r="E30" s="10"/>
      <c r="F30" s="8"/>
      <c r="G30" s="8"/>
      <c r="H30" s="13"/>
      <c r="I30" s="8"/>
      <c r="J30" s="13"/>
      <c r="K30" s="28"/>
      <c r="L30" s="29"/>
      <c r="M30" s="13"/>
      <c r="N30" s="13"/>
      <c r="O30" s="53"/>
      <c r="P30" s="13"/>
      <c r="Q30" s="54"/>
      <c r="R30" s="5"/>
    </row>
    <row r="31" spans="1:18" ht="18" customHeight="1" x14ac:dyDescent="0.25">
      <c r="A31" s="8"/>
      <c r="B31" s="8"/>
      <c r="C31" s="213"/>
      <c r="D31" s="214"/>
      <c r="E31" s="214"/>
      <c r="F31" s="215"/>
      <c r="G31" s="46"/>
      <c r="H31" s="18"/>
      <c r="I31" s="46"/>
      <c r="J31" s="18"/>
      <c r="K31" s="18"/>
      <c r="L31" s="18"/>
      <c r="M31" s="18"/>
      <c r="N31" s="28"/>
      <c r="O31" s="53">
        <f t="shared" ref="O31:O46" si="5">H31+J31+K31+L31+M31+N31</f>
        <v>0</v>
      </c>
      <c r="P31" s="28"/>
      <c r="Q31" s="54"/>
    </row>
    <row r="32" spans="1:18" ht="24" customHeight="1" x14ac:dyDescent="0.25">
      <c r="A32" s="8"/>
      <c r="B32" s="8"/>
      <c r="C32" s="17" t="s">
        <v>131</v>
      </c>
      <c r="D32" s="8"/>
      <c r="E32" s="10"/>
      <c r="F32" s="8"/>
      <c r="G32" s="12"/>
      <c r="H32" s="3"/>
      <c r="I32" s="12"/>
      <c r="J32" s="13"/>
      <c r="K32" s="28"/>
      <c r="L32" s="28">
        <v>1200000</v>
      </c>
      <c r="M32" s="18"/>
      <c r="N32" s="28"/>
      <c r="O32" s="53">
        <f t="shared" si="5"/>
        <v>1200000</v>
      </c>
      <c r="P32" s="28"/>
      <c r="Q32" s="54"/>
    </row>
    <row r="33" spans="1:17" ht="24" customHeight="1" x14ac:dyDescent="0.25">
      <c r="A33" s="8"/>
      <c r="B33" s="8"/>
      <c r="C33" s="210" t="s">
        <v>2213</v>
      </c>
      <c r="D33" s="211"/>
      <c r="E33" s="211"/>
      <c r="F33" s="212"/>
      <c r="G33" s="46"/>
      <c r="H33" s="18"/>
      <c r="I33" s="46"/>
      <c r="J33" s="18"/>
      <c r="K33" s="18"/>
      <c r="L33" s="18">
        <v>300000</v>
      </c>
      <c r="M33" s="18"/>
      <c r="N33" s="28"/>
      <c r="O33" s="53">
        <f t="shared" si="5"/>
        <v>300000</v>
      </c>
      <c r="P33" s="28"/>
      <c r="Q33" s="54"/>
    </row>
    <row r="34" spans="1:17" ht="24" customHeight="1" x14ac:dyDescent="0.25">
      <c r="A34" s="8"/>
      <c r="B34" s="8"/>
      <c r="C34" s="210" t="s">
        <v>2214</v>
      </c>
      <c r="D34" s="211"/>
      <c r="E34" s="211"/>
      <c r="F34" s="212"/>
      <c r="G34" s="46"/>
      <c r="H34" s="18"/>
      <c r="I34" s="46"/>
      <c r="J34" s="18"/>
      <c r="K34" s="18"/>
      <c r="L34" s="18">
        <v>6600000</v>
      </c>
      <c r="M34" s="18"/>
      <c r="N34" s="28"/>
      <c r="O34" s="53">
        <f t="shared" si="5"/>
        <v>6600000</v>
      </c>
      <c r="P34" s="28"/>
      <c r="Q34" s="54"/>
    </row>
    <row r="35" spans="1:17" ht="24" customHeight="1" x14ac:dyDescent="0.25">
      <c r="A35" s="8"/>
      <c r="B35" s="8"/>
      <c r="C35" s="210" t="s">
        <v>2215</v>
      </c>
      <c r="D35" s="211"/>
      <c r="E35" s="211"/>
      <c r="F35" s="132"/>
      <c r="G35" s="46"/>
      <c r="H35" s="18"/>
      <c r="I35" s="46"/>
      <c r="J35" s="18"/>
      <c r="K35" s="18"/>
      <c r="L35" s="18">
        <v>150000</v>
      </c>
      <c r="M35" s="18"/>
      <c r="N35" s="28"/>
      <c r="O35" s="53">
        <f t="shared" si="5"/>
        <v>150000</v>
      </c>
      <c r="P35" s="28"/>
      <c r="Q35" s="54"/>
    </row>
    <row r="36" spans="1:17" ht="24" customHeight="1" x14ac:dyDescent="0.25">
      <c r="A36" s="8"/>
      <c r="B36" s="8"/>
      <c r="C36" s="210" t="s">
        <v>2216</v>
      </c>
      <c r="D36" s="211"/>
      <c r="E36" s="211"/>
      <c r="F36" s="212"/>
      <c r="G36" s="46"/>
      <c r="H36" s="18"/>
      <c r="I36" s="46"/>
      <c r="J36" s="18"/>
      <c r="K36" s="18"/>
      <c r="L36" s="18">
        <v>1100000</v>
      </c>
      <c r="M36" s="18"/>
      <c r="N36" s="28"/>
      <c r="O36" s="53">
        <f t="shared" si="5"/>
        <v>1100000</v>
      </c>
      <c r="P36" s="28"/>
      <c r="Q36" s="54"/>
    </row>
    <row r="37" spans="1:17" ht="24" customHeight="1" x14ac:dyDescent="0.25">
      <c r="A37" s="8"/>
      <c r="B37" s="8"/>
      <c r="C37" s="210" t="s">
        <v>2217</v>
      </c>
      <c r="D37" s="211"/>
      <c r="E37" s="211"/>
      <c r="F37" s="212"/>
      <c r="G37" s="46"/>
      <c r="H37" s="18"/>
      <c r="I37" s="46"/>
      <c r="J37" s="18"/>
      <c r="K37" s="18"/>
      <c r="L37" s="18">
        <v>11557000</v>
      </c>
      <c r="M37" s="18"/>
      <c r="N37" s="28"/>
      <c r="O37" s="53">
        <f t="shared" si="5"/>
        <v>11557000</v>
      </c>
      <c r="P37" s="28"/>
      <c r="Q37" s="54"/>
    </row>
    <row r="38" spans="1:17" ht="24" customHeight="1" x14ac:dyDescent="0.25">
      <c r="A38" s="8"/>
      <c r="B38" s="8"/>
      <c r="C38" s="210" t="s">
        <v>2345</v>
      </c>
      <c r="D38" s="211"/>
      <c r="E38" s="211"/>
      <c r="F38" s="212"/>
      <c r="G38" s="46"/>
      <c r="H38" s="18"/>
      <c r="I38" s="46"/>
      <c r="J38" s="18"/>
      <c r="K38" s="18"/>
      <c r="L38" s="18">
        <v>2700000</v>
      </c>
      <c r="M38" s="18"/>
      <c r="N38" s="28"/>
      <c r="O38" s="53">
        <f t="shared" si="5"/>
        <v>2700000</v>
      </c>
      <c r="P38" s="28"/>
      <c r="Q38" s="54"/>
    </row>
    <row r="39" spans="1:17" ht="24" customHeight="1" x14ac:dyDescent="0.25">
      <c r="A39" s="8"/>
      <c r="B39" s="8"/>
      <c r="C39" s="210" t="s">
        <v>2218</v>
      </c>
      <c r="D39" s="211"/>
      <c r="E39" s="211"/>
      <c r="F39" s="212"/>
      <c r="G39" s="46"/>
      <c r="H39" s="18"/>
      <c r="I39" s="46"/>
      <c r="J39" s="18"/>
      <c r="K39" s="18"/>
      <c r="L39" s="18">
        <v>13200000</v>
      </c>
      <c r="M39" s="18"/>
      <c r="N39" s="28"/>
      <c r="O39" s="53">
        <f t="shared" si="5"/>
        <v>13200000</v>
      </c>
      <c r="P39" s="28"/>
      <c r="Q39" s="54"/>
    </row>
    <row r="40" spans="1:17" ht="24" customHeight="1" x14ac:dyDescent="0.25">
      <c r="A40" s="8"/>
      <c r="B40" s="8"/>
      <c r="C40" s="210" t="s">
        <v>2280</v>
      </c>
      <c r="D40" s="211"/>
      <c r="E40" s="211"/>
      <c r="F40" s="212"/>
      <c r="G40" s="46"/>
      <c r="H40" s="18"/>
      <c r="I40" s="46"/>
      <c r="J40" s="18"/>
      <c r="K40" s="18"/>
      <c r="L40" s="18"/>
      <c r="M40" s="18"/>
      <c r="N40" s="28">
        <v>200000</v>
      </c>
      <c r="O40" s="53">
        <f t="shared" si="5"/>
        <v>200000</v>
      </c>
      <c r="P40" s="28"/>
      <c r="Q40" s="54"/>
    </row>
    <row r="41" spans="1:17" ht="24" customHeight="1" x14ac:dyDescent="0.25">
      <c r="A41" s="8"/>
      <c r="B41" s="8"/>
      <c r="C41" s="210" t="s">
        <v>2219</v>
      </c>
      <c r="D41" s="211"/>
      <c r="E41" s="211"/>
      <c r="F41" s="212"/>
      <c r="G41" s="46"/>
      <c r="H41" s="18"/>
      <c r="I41" s="46"/>
      <c r="J41" s="18"/>
      <c r="K41" s="18">
        <v>100000</v>
      </c>
      <c r="L41" s="18"/>
      <c r="M41" s="18"/>
      <c r="N41" s="28"/>
      <c r="O41" s="53">
        <f t="shared" si="5"/>
        <v>100000</v>
      </c>
      <c r="P41" s="28"/>
      <c r="Q41" s="54"/>
    </row>
    <row r="42" spans="1:17" ht="24" customHeight="1" x14ac:dyDescent="0.25">
      <c r="A42" s="8"/>
      <c r="B42" s="8"/>
      <c r="C42" s="199" t="s">
        <v>2538</v>
      </c>
      <c r="D42" s="200"/>
      <c r="E42" s="200"/>
      <c r="F42" s="201"/>
      <c r="G42" s="46"/>
      <c r="H42" s="18"/>
      <c r="I42" s="46"/>
      <c r="J42" s="18"/>
      <c r="K42" s="142">
        <f>834000/2</f>
        <v>417000</v>
      </c>
      <c r="L42" s="18"/>
      <c r="M42" s="18"/>
      <c r="N42" s="28"/>
      <c r="O42" s="53">
        <f t="shared" si="5"/>
        <v>417000</v>
      </c>
      <c r="P42" s="28"/>
      <c r="Q42" s="54"/>
    </row>
    <row r="43" spans="1:17" ht="24" customHeight="1" x14ac:dyDescent="0.25">
      <c r="A43" s="8"/>
      <c r="B43" s="8"/>
      <c r="C43" s="210" t="s">
        <v>2220</v>
      </c>
      <c r="D43" s="211"/>
      <c r="E43" s="211"/>
      <c r="F43" s="212"/>
      <c r="G43" s="46"/>
      <c r="H43" s="18"/>
      <c r="I43" s="46"/>
      <c r="J43" s="18"/>
      <c r="K43" s="18">
        <v>100000</v>
      </c>
      <c r="L43" s="18"/>
      <c r="M43" s="18"/>
      <c r="N43" s="28"/>
      <c r="O43" s="53">
        <f t="shared" si="5"/>
        <v>100000</v>
      </c>
      <c r="P43" s="28"/>
      <c r="Q43" s="54"/>
    </row>
    <row r="44" spans="1:17" ht="24" customHeight="1" x14ac:dyDescent="0.25">
      <c r="A44" s="8"/>
      <c r="B44" s="8"/>
      <c r="C44" s="210" t="s">
        <v>2221</v>
      </c>
      <c r="D44" s="211"/>
      <c r="E44" s="211"/>
      <c r="F44" s="212"/>
      <c r="G44" s="46"/>
      <c r="H44" s="18"/>
      <c r="I44" s="46"/>
      <c r="J44" s="18"/>
      <c r="K44" s="18">
        <v>490000</v>
      </c>
      <c r="L44" s="18"/>
      <c r="M44" s="18"/>
      <c r="N44" s="28"/>
      <c r="O44" s="53">
        <f t="shared" si="5"/>
        <v>490000</v>
      </c>
      <c r="P44" s="28"/>
      <c r="Q44" s="54"/>
    </row>
    <row r="45" spans="1:17" ht="24" customHeight="1" x14ac:dyDescent="0.25">
      <c r="A45" s="8"/>
      <c r="B45" s="8"/>
      <c r="C45" s="210" t="s">
        <v>2222</v>
      </c>
      <c r="D45" s="211"/>
      <c r="E45" s="211"/>
      <c r="F45" s="212"/>
      <c r="G45" s="46"/>
      <c r="H45" s="18"/>
      <c r="I45" s="46"/>
      <c r="J45" s="18"/>
      <c r="K45" s="18">
        <v>390000</v>
      </c>
      <c r="L45" s="18"/>
      <c r="M45" s="18"/>
      <c r="N45" s="28"/>
      <c r="O45" s="53">
        <f t="shared" si="5"/>
        <v>390000</v>
      </c>
      <c r="P45" s="28"/>
      <c r="Q45" s="54"/>
    </row>
    <row r="46" spans="1:17" ht="24" customHeight="1" x14ac:dyDescent="0.25">
      <c r="A46" s="8"/>
      <c r="B46" s="8"/>
      <c r="C46" s="210" t="s">
        <v>2223</v>
      </c>
      <c r="D46" s="211"/>
      <c r="E46" s="211"/>
      <c r="F46" s="212"/>
      <c r="G46" s="46"/>
      <c r="H46" s="18"/>
      <c r="I46" s="46"/>
      <c r="J46" s="18"/>
      <c r="K46" s="18">
        <v>230000</v>
      </c>
      <c r="L46" s="18"/>
      <c r="M46" s="18"/>
      <c r="N46" s="28"/>
      <c r="O46" s="53">
        <f t="shared" si="5"/>
        <v>230000</v>
      </c>
      <c r="P46" s="28"/>
      <c r="Q46" s="54"/>
    </row>
    <row r="47" spans="1:17" ht="25.5" customHeight="1" x14ac:dyDescent="0.25">
      <c r="A47" s="8"/>
      <c r="B47" s="8"/>
      <c r="C47" s="207" t="s">
        <v>2224</v>
      </c>
      <c r="D47" s="208"/>
      <c r="E47" s="208"/>
      <c r="F47" s="209"/>
      <c r="G47" s="46"/>
      <c r="H47" s="18"/>
      <c r="I47" s="46"/>
      <c r="J47" s="18"/>
      <c r="K47" s="18">
        <f>26/26*8000000+1000000</f>
        <v>9000000</v>
      </c>
      <c r="L47" s="18"/>
      <c r="M47" s="18"/>
      <c r="N47" s="28"/>
      <c r="O47" s="53">
        <f>H47+J47+K47+L47+M47+N47</f>
        <v>9000000</v>
      </c>
      <c r="P47" s="28"/>
      <c r="Q47" s="54"/>
    </row>
    <row r="48" spans="1:17" x14ac:dyDescent="0.25">
      <c r="A48" s="166" t="s">
        <v>19</v>
      </c>
      <c r="B48" s="167"/>
      <c r="C48" s="167"/>
      <c r="D48" s="167"/>
      <c r="E48" s="167"/>
      <c r="F48" s="168"/>
      <c r="G48" s="131">
        <f t="shared" ref="G48:O48" si="6">SUM(G7:G47)</f>
        <v>2805</v>
      </c>
      <c r="H48" s="4">
        <f t="shared" si="6"/>
        <v>45825570</v>
      </c>
      <c r="I48" s="4">
        <f t="shared" si="6"/>
        <v>0</v>
      </c>
      <c r="J48" s="4">
        <f t="shared" si="6"/>
        <v>28670000</v>
      </c>
      <c r="K48" s="4">
        <f t="shared" si="6"/>
        <v>10727000</v>
      </c>
      <c r="L48" s="4">
        <f t="shared" si="6"/>
        <v>36807000</v>
      </c>
      <c r="M48" s="4">
        <f t="shared" si="6"/>
        <v>0</v>
      </c>
      <c r="N48" s="4">
        <f t="shared" si="6"/>
        <v>200000</v>
      </c>
      <c r="O48" s="4">
        <f t="shared" si="6"/>
        <v>122229570</v>
      </c>
      <c r="P48" s="4">
        <f>SUM(P8:P47)</f>
        <v>121718183</v>
      </c>
      <c r="Q48" s="122">
        <f>P48-O48</f>
        <v>-511387</v>
      </c>
    </row>
    <row r="49" spans="2:17" x14ac:dyDescent="0.25">
      <c r="O49" s="20"/>
      <c r="P49" s="5" t="s">
        <v>1796</v>
      </c>
      <c r="Q49" s="26"/>
    </row>
    <row r="50" spans="2:17" x14ac:dyDescent="0.25">
      <c r="P50" s="21" t="s">
        <v>20</v>
      </c>
      <c r="Q50" s="26">
        <f>'06.2021'!Q48+'07.2021'!Q48</f>
        <v>180025901.84615386</v>
      </c>
    </row>
    <row r="51" spans="2:17" x14ac:dyDescent="0.25">
      <c r="C51" s="6" t="s">
        <v>993</v>
      </c>
    </row>
    <row r="52" spans="2:17" x14ac:dyDescent="0.25">
      <c r="C52" s="205"/>
      <c r="D52" s="205"/>
      <c r="E52" s="205"/>
      <c r="F52" s="205"/>
      <c r="H52" s="109"/>
    </row>
    <row r="53" spans="2:17" x14ac:dyDescent="0.25">
      <c r="C53" s="206"/>
      <c r="D53" s="206"/>
      <c r="E53" s="206"/>
      <c r="F53" s="206"/>
      <c r="H53" s="109"/>
    </row>
    <row r="54" spans="2:17" x14ac:dyDescent="0.25">
      <c r="B54" s="6"/>
      <c r="C54" s="110"/>
      <c r="D54" s="110"/>
      <c r="E54" s="110"/>
      <c r="F54" s="110"/>
      <c r="G54" s="133"/>
      <c r="H54" s="109"/>
    </row>
    <row r="55" spans="2:17" x14ac:dyDescent="0.25">
      <c r="B55" s="6"/>
      <c r="C55" s="206"/>
      <c r="D55" s="206"/>
      <c r="E55" s="206"/>
      <c r="F55" s="206"/>
      <c r="H55" s="109"/>
    </row>
    <row r="56" spans="2:17" x14ac:dyDescent="0.25">
      <c r="B56" s="6"/>
      <c r="C56" s="206"/>
      <c r="D56" s="206"/>
      <c r="E56" s="206"/>
      <c r="F56" s="206"/>
      <c r="H56" s="109"/>
    </row>
    <row r="57" spans="2:17" x14ac:dyDescent="0.25">
      <c r="B57" s="6"/>
      <c r="C57" s="206"/>
      <c r="D57" s="206"/>
      <c r="E57" s="206"/>
      <c r="F57" s="206"/>
      <c r="H57" s="109"/>
      <c r="J57" s="6"/>
      <c r="K57" s="6"/>
      <c r="L57" s="6"/>
      <c r="M57" s="6"/>
      <c r="N57" s="6"/>
      <c r="O57" s="6"/>
      <c r="P57" s="6"/>
      <c r="Q57" s="6"/>
    </row>
    <row r="58" spans="2:17" x14ac:dyDescent="0.2">
      <c r="C58" s="107"/>
      <c r="D58" s="110"/>
      <c r="E58" s="110"/>
      <c r="F58" s="110"/>
      <c r="H58" s="109"/>
    </row>
    <row r="59" spans="2:17" x14ac:dyDescent="0.25">
      <c r="C59" s="205"/>
      <c r="D59" s="205"/>
      <c r="E59" s="205"/>
      <c r="F59" s="205"/>
    </row>
  </sheetData>
  <mergeCells count="36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46:F46"/>
    <mergeCell ref="C47:F47"/>
    <mergeCell ref="O5:O6"/>
    <mergeCell ref="P5:P6"/>
    <mergeCell ref="Q5:Q6"/>
    <mergeCell ref="C37:F37"/>
    <mergeCell ref="C39:F39"/>
    <mergeCell ref="C40:F40"/>
    <mergeCell ref="C38:F38"/>
    <mergeCell ref="C42:F42"/>
    <mergeCell ref="C59:F59"/>
    <mergeCell ref="C31:F31"/>
    <mergeCell ref="C33:F33"/>
    <mergeCell ref="C34:F34"/>
    <mergeCell ref="C35:E35"/>
    <mergeCell ref="C36:F36"/>
    <mergeCell ref="C41:F41"/>
    <mergeCell ref="A48:F48"/>
    <mergeCell ref="C52:F52"/>
    <mergeCell ref="C53:F53"/>
    <mergeCell ref="C56:F56"/>
    <mergeCell ref="C57:F57"/>
    <mergeCell ref="C55:F55"/>
    <mergeCell ref="C43:F43"/>
    <mergeCell ref="C44:F44"/>
    <mergeCell ref="C45:F45"/>
  </mergeCells>
  <pageMargins left="0.7" right="0.7" top="0.75" bottom="0.75" header="0.3" footer="0.3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A44C-F1F7-4333-8A74-F37AF1BE9694}">
  <dimension ref="A1:R61"/>
  <sheetViews>
    <sheetView topLeftCell="B37" workbookViewId="0">
      <selection activeCell="L43" sqref="L4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2225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44410</v>
      </c>
      <c r="C8" s="10" t="s">
        <v>2226</v>
      </c>
      <c r="D8" s="25" t="s">
        <v>2227</v>
      </c>
      <c r="E8" s="10" t="s">
        <v>2196</v>
      </c>
      <c r="F8" s="8"/>
      <c r="G8" s="8">
        <v>257</v>
      </c>
      <c r="H8" s="13">
        <f>G8*16370</f>
        <v>4207090</v>
      </c>
      <c r="I8" s="8"/>
      <c r="J8" s="13">
        <v>3280000</v>
      </c>
      <c r="K8" s="28"/>
      <c r="L8" s="29"/>
      <c r="M8" s="13"/>
      <c r="N8" s="13"/>
      <c r="O8" s="53">
        <f>H8+J8+K8+L8+M8+N8</f>
        <v>7487090</v>
      </c>
      <c r="P8" s="13">
        <v>11300000</v>
      </c>
      <c r="Q8" s="54">
        <f>P8-O8</f>
        <v>3812910</v>
      </c>
      <c r="R8" s="5"/>
    </row>
    <row r="9" spans="1:18" ht="17.25" customHeight="1" x14ac:dyDescent="0.25">
      <c r="A9" s="25">
        <v>2</v>
      </c>
      <c r="B9" s="120">
        <v>44410</v>
      </c>
      <c r="C9" s="10" t="s">
        <v>2228</v>
      </c>
      <c r="D9" s="129" t="s">
        <v>2229</v>
      </c>
      <c r="E9" s="9" t="s">
        <v>2230</v>
      </c>
      <c r="F9" s="117"/>
      <c r="H9" s="13">
        <f t="shared" ref="H9" si="0">G9*16370</f>
        <v>0</v>
      </c>
      <c r="I9" s="117"/>
      <c r="J9" s="119">
        <v>930000</v>
      </c>
      <c r="K9" s="28"/>
      <c r="L9" s="29"/>
      <c r="M9" s="13"/>
      <c r="N9" s="13"/>
      <c r="O9" s="53">
        <f t="shared" ref="O9:O30" si="1">H9+J9+K9+L9+M9+N9</f>
        <v>930000</v>
      </c>
      <c r="P9" s="13">
        <v>3500000</v>
      </c>
      <c r="Q9" s="54">
        <f t="shared" ref="Q9:Q30" si="2">P9-O9</f>
        <v>2570000</v>
      </c>
      <c r="R9" s="5"/>
    </row>
    <row r="10" spans="1:18" ht="24.75" customHeight="1" x14ac:dyDescent="0.25">
      <c r="A10" s="25">
        <v>3</v>
      </c>
      <c r="B10" s="120">
        <v>44412</v>
      </c>
      <c r="C10" s="10" t="s">
        <v>2231</v>
      </c>
      <c r="D10" s="25" t="s">
        <v>2232</v>
      </c>
      <c r="E10" s="10" t="s">
        <v>2196</v>
      </c>
      <c r="F10" s="8"/>
      <c r="G10" s="8">
        <v>89</v>
      </c>
      <c r="H10" s="13">
        <f t="shared" ref="H10:H14" si="3">G10*16370</f>
        <v>1456930</v>
      </c>
      <c r="I10" s="8"/>
      <c r="J10" s="13">
        <v>3280000</v>
      </c>
      <c r="K10" s="28"/>
      <c r="L10" s="29"/>
      <c r="M10" s="13"/>
      <c r="N10" s="13"/>
      <c r="O10" s="53">
        <f t="shared" si="1"/>
        <v>4736930</v>
      </c>
      <c r="P10" s="13">
        <v>11300000</v>
      </c>
      <c r="Q10" s="54">
        <f t="shared" si="2"/>
        <v>6563070</v>
      </c>
      <c r="R10" s="5"/>
    </row>
    <row r="11" spans="1:18" ht="27.75" customHeight="1" x14ac:dyDescent="0.25">
      <c r="A11" s="25">
        <v>4</v>
      </c>
      <c r="B11" s="120">
        <v>44413</v>
      </c>
      <c r="C11" s="10" t="s">
        <v>2233</v>
      </c>
      <c r="D11" s="25" t="s">
        <v>2234</v>
      </c>
      <c r="E11" s="10" t="s">
        <v>2235</v>
      </c>
      <c r="F11" s="8"/>
      <c r="G11" s="8">
        <v>257</v>
      </c>
      <c r="H11" s="13">
        <f t="shared" si="3"/>
        <v>4207090</v>
      </c>
      <c r="I11" s="8"/>
      <c r="J11" s="13">
        <v>930000</v>
      </c>
      <c r="K11" s="28"/>
      <c r="L11" s="29"/>
      <c r="M11" s="13"/>
      <c r="N11" s="13"/>
      <c r="O11" s="53">
        <f t="shared" si="1"/>
        <v>5137090</v>
      </c>
      <c r="P11" s="13">
        <v>3500000</v>
      </c>
      <c r="Q11" s="54">
        <f t="shared" si="2"/>
        <v>-1637090</v>
      </c>
      <c r="R11" s="5"/>
    </row>
    <row r="12" spans="1:18" ht="27.75" customHeight="1" x14ac:dyDescent="0.25">
      <c r="A12" s="25">
        <v>5</v>
      </c>
      <c r="B12" s="120">
        <v>44414</v>
      </c>
      <c r="C12" s="10" t="s">
        <v>66</v>
      </c>
      <c r="D12" s="25" t="s">
        <v>2236</v>
      </c>
      <c r="E12" s="10" t="s">
        <v>2235</v>
      </c>
      <c r="F12" s="8"/>
      <c r="G12" s="8">
        <v>69</v>
      </c>
      <c r="H12" s="13">
        <f t="shared" si="3"/>
        <v>1129530</v>
      </c>
      <c r="I12" s="8"/>
      <c r="J12" s="13">
        <v>930000</v>
      </c>
      <c r="K12" s="28"/>
      <c r="L12" s="29"/>
      <c r="M12" s="13"/>
      <c r="N12" s="13"/>
      <c r="O12" s="53">
        <f t="shared" si="1"/>
        <v>2059530</v>
      </c>
      <c r="P12" s="13">
        <v>3600000</v>
      </c>
      <c r="Q12" s="54">
        <f t="shared" si="2"/>
        <v>1540470</v>
      </c>
      <c r="R12" s="5"/>
    </row>
    <row r="13" spans="1:18" ht="27.75" customHeight="1" x14ac:dyDescent="0.25">
      <c r="A13" s="25">
        <v>6</v>
      </c>
      <c r="B13" s="120">
        <v>44416</v>
      </c>
      <c r="C13" s="10" t="s">
        <v>2237</v>
      </c>
      <c r="D13" s="25" t="s">
        <v>2238</v>
      </c>
      <c r="E13" s="10" t="s">
        <v>1177</v>
      </c>
      <c r="F13" s="8"/>
      <c r="G13" s="8">
        <v>69</v>
      </c>
      <c r="H13" s="13">
        <f t="shared" si="3"/>
        <v>1129530</v>
      </c>
      <c r="I13" s="8"/>
      <c r="J13" s="13">
        <v>930000</v>
      </c>
      <c r="K13" s="28"/>
      <c r="L13" s="29"/>
      <c r="M13" s="13"/>
      <c r="N13" s="13"/>
      <c r="O13" s="53">
        <f t="shared" si="1"/>
        <v>2059530</v>
      </c>
      <c r="P13" s="13">
        <v>5800000</v>
      </c>
      <c r="Q13" s="54">
        <f t="shared" si="2"/>
        <v>3740470</v>
      </c>
      <c r="R13" s="5"/>
    </row>
    <row r="14" spans="1:18" ht="27.75" customHeight="1" x14ac:dyDescent="0.25">
      <c r="A14" s="25">
        <v>7</v>
      </c>
      <c r="B14" s="120">
        <v>44417</v>
      </c>
      <c r="C14" s="10" t="s">
        <v>2239</v>
      </c>
      <c r="D14" s="25" t="s">
        <v>2238</v>
      </c>
      <c r="E14" s="10" t="s">
        <v>675</v>
      </c>
      <c r="F14" s="8"/>
      <c r="G14" s="8">
        <v>106</v>
      </c>
      <c r="H14" s="13">
        <f t="shared" si="3"/>
        <v>1735220</v>
      </c>
      <c r="I14" s="8"/>
      <c r="J14" s="13">
        <v>500000</v>
      </c>
      <c r="K14" s="28"/>
      <c r="L14" s="29"/>
      <c r="M14" s="13"/>
      <c r="N14" s="13"/>
      <c r="O14" s="53">
        <f t="shared" si="1"/>
        <v>2235220</v>
      </c>
      <c r="P14" s="13">
        <v>0</v>
      </c>
      <c r="Q14" s="54">
        <f t="shared" si="2"/>
        <v>-2235220</v>
      </c>
      <c r="R14" s="5"/>
    </row>
    <row r="15" spans="1:18" ht="27.75" customHeight="1" x14ac:dyDescent="0.25">
      <c r="A15" s="25">
        <v>8</v>
      </c>
      <c r="B15" s="120">
        <v>44418</v>
      </c>
      <c r="C15" s="10" t="s">
        <v>1490</v>
      </c>
      <c r="D15" s="25" t="s">
        <v>2240</v>
      </c>
      <c r="E15" s="10" t="s">
        <v>2241</v>
      </c>
      <c r="F15" s="8"/>
      <c r="G15" s="8">
        <v>256</v>
      </c>
      <c r="H15" s="13">
        <f>G15*16170</f>
        <v>4139520</v>
      </c>
      <c r="I15" s="8"/>
      <c r="J15" s="119">
        <v>400000</v>
      </c>
      <c r="K15" s="28"/>
      <c r="L15" s="29"/>
      <c r="M15" s="13"/>
      <c r="N15" s="13"/>
      <c r="O15" s="53">
        <f t="shared" si="1"/>
        <v>4539520</v>
      </c>
      <c r="P15" s="13">
        <v>1927273</v>
      </c>
      <c r="Q15" s="54">
        <f t="shared" si="2"/>
        <v>-2612247</v>
      </c>
      <c r="R15" s="5"/>
    </row>
    <row r="16" spans="1:18" ht="27.75" customHeight="1" x14ac:dyDescent="0.25">
      <c r="A16" s="25">
        <v>9</v>
      </c>
      <c r="B16" s="120">
        <v>44419</v>
      </c>
      <c r="C16" s="10" t="s">
        <v>2242</v>
      </c>
      <c r="D16" s="25" t="s">
        <v>2243</v>
      </c>
      <c r="E16" s="10" t="s">
        <v>2196</v>
      </c>
      <c r="F16" s="8"/>
      <c r="G16" s="8">
        <v>26</v>
      </c>
      <c r="H16" s="13">
        <f t="shared" ref="H16:H26" si="4">G16*16170</f>
        <v>420420</v>
      </c>
      <c r="I16" s="8"/>
      <c r="J16" s="13">
        <v>3280000</v>
      </c>
      <c r="K16" s="28"/>
      <c r="L16" s="29"/>
      <c r="M16" s="13"/>
      <c r="N16" s="13"/>
      <c r="O16" s="53">
        <f t="shared" si="1"/>
        <v>3700420</v>
      </c>
      <c r="P16" s="13">
        <v>11300000</v>
      </c>
      <c r="Q16" s="54">
        <f t="shared" si="2"/>
        <v>7599580</v>
      </c>
      <c r="R16" s="5"/>
    </row>
    <row r="17" spans="1:18" ht="27.75" customHeight="1" x14ac:dyDescent="0.25">
      <c r="A17" s="25">
        <v>10</v>
      </c>
      <c r="B17" s="120">
        <v>44420</v>
      </c>
      <c r="C17" s="10" t="s">
        <v>2244</v>
      </c>
      <c r="D17" s="25" t="s">
        <v>2245</v>
      </c>
      <c r="E17" s="10" t="s">
        <v>2196</v>
      </c>
      <c r="F17" s="8"/>
      <c r="G17" s="8">
        <v>256</v>
      </c>
      <c r="H17" s="13">
        <f t="shared" si="4"/>
        <v>4139520</v>
      </c>
      <c r="I17" s="8"/>
      <c r="J17" s="13">
        <v>3280000</v>
      </c>
      <c r="K17" s="28"/>
      <c r="L17" s="29"/>
      <c r="M17" s="13"/>
      <c r="N17" s="13"/>
      <c r="O17" s="53">
        <f t="shared" si="1"/>
        <v>7419520</v>
      </c>
      <c r="P17" s="13">
        <v>11300000</v>
      </c>
      <c r="Q17" s="54">
        <f t="shared" si="2"/>
        <v>3880480</v>
      </c>
      <c r="R17" s="5"/>
    </row>
    <row r="18" spans="1:18" ht="22.5" customHeight="1" x14ac:dyDescent="0.25">
      <c r="A18" s="25">
        <v>11</v>
      </c>
      <c r="B18" s="120">
        <v>44422</v>
      </c>
      <c r="C18" s="10" t="s">
        <v>2246</v>
      </c>
      <c r="D18" s="25" t="s">
        <v>2247</v>
      </c>
      <c r="E18" s="10" t="s">
        <v>2248</v>
      </c>
      <c r="F18" s="8"/>
      <c r="G18" s="8"/>
      <c r="H18" s="13">
        <f t="shared" si="4"/>
        <v>0</v>
      </c>
      <c r="I18" s="8"/>
      <c r="J18" s="13">
        <v>1150000</v>
      </c>
      <c r="K18" s="28"/>
      <c r="L18" s="29"/>
      <c r="M18" s="13"/>
      <c r="N18" s="13"/>
      <c r="O18" s="53">
        <f t="shared" si="1"/>
        <v>1150000</v>
      </c>
      <c r="P18" s="13">
        <v>4781818</v>
      </c>
      <c r="Q18" s="54">
        <f t="shared" si="2"/>
        <v>3631818</v>
      </c>
      <c r="R18" s="5"/>
    </row>
    <row r="19" spans="1:18" ht="22.5" customHeight="1" x14ac:dyDescent="0.25">
      <c r="A19" s="25">
        <v>12</v>
      </c>
      <c r="B19" s="120">
        <v>44424</v>
      </c>
      <c r="C19" s="10" t="s">
        <v>2249</v>
      </c>
      <c r="D19" s="25" t="s">
        <v>2250</v>
      </c>
      <c r="E19" s="10" t="s">
        <v>736</v>
      </c>
      <c r="F19" s="8"/>
      <c r="G19" s="8">
        <v>110</v>
      </c>
      <c r="H19" s="13">
        <f t="shared" si="4"/>
        <v>1778700</v>
      </c>
      <c r="I19" s="8"/>
      <c r="J19" s="13">
        <v>1150000</v>
      </c>
      <c r="K19" s="28"/>
      <c r="L19" s="29"/>
      <c r="M19" s="13"/>
      <c r="N19" s="13"/>
      <c r="O19" s="53">
        <f t="shared" si="1"/>
        <v>2928700</v>
      </c>
      <c r="P19" s="13">
        <v>3700000</v>
      </c>
      <c r="Q19" s="54">
        <f t="shared" si="2"/>
        <v>771300</v>
      </c>
      <c r="R19" s="5"/>
    </row>
    <row r="20" spans="1:18" ht="22.5" customHeight="1" x14ac:dyDescent="0.25">
      <c r="A20" s="25">
        <v>13</v>
      </c>
      <c r="B20" s="120">
        <v>44425</v>
      </c>
      <c r="C20" s="10" t="s">
        <v>2251</v>
      </c>
      <c r="D20" s="25" t="s">
        <v>2252</v>
      </c>
      <c r="E20" s="10" t="s">
        <v>2253</v>
      </c>
      <c r="F20" s="8"/>
      <c r="G20" s="8">
        <v>79</v>
      </c>
      <c r="H20" s="13">
        <f t="shared" si="4"/>
        <v>1277430</v>
      </c>
      <c r="I20" s="8"/>
      <c r="J20" s="13">
        <v>300000</v>
      </c>
      <c r="K20" s="28"/>
      <c r="L20" s="29"/>
      <c r="M20" s="13"/>
      <c r="N20" s="13"/>
      <c r="O20" s="53">
        <f t="shared" si="1"/>
        <v>1577430</v>
      </c>
      <c r="P20" s="13">
        <v>1500000</v>
      </c>
      <c r="Q20" s="54">
        <f t="shared" si="2"/>
        <v>-77430</v>
      </c>
      <c r="R20" s="5"/>
    </row>
    <row r="21" spans="1:18" ht="22.5" customHeight="1" x14ac:dyDescent="0.25">
      <c r="A21" s="25">
        <v>14</v>
      </c>
      <c r="B21" s="120">
        <v>44426</v>
      </c>
      <c r="C21" s="10" t="s">
        <v>2254</v>
      </c>
      <c r="D21" s="25" t="s">
        <v>2255</v>
      </c>
      <c r="E21" s="10" t="s">
        <v>112</v>
      </c>
      <c r="F21" s="8"/>
      <c r="G21" s="8">
        <v>234</v>
      </c>
      <c r="H21" s="13">
        <f t="shared" si="4"/>
        <v>3783780</v>
      </c>
      <c r="I21" s="8"/>
      <c r="J21" s="13">
        <v>2470000</v>
      </c>
      <c r="K21" s="28"/>
      <c r="L21" s="29"/>
      <c r="M21" s="13"/>
      <c r="N21" s="13"/>
      <c r="O21" s="53">
        <f t="shared" si="1"/>
        <v>6253780</v>
      </c>
      <c r="P21" s="13">
        <v>13027273</v>
      </c>
      <c r="Q21" s="54">
        <f t="shared" si="2"/>
        <v>6773493</v>
      </c>
      <c r="R21" s="5"/>
    </row>
    <row r="22" spans="1:18" ht="27" customHeight="1" x14ac:dyDescent="0.25">
      <c r="A22" s="25">
        <v>15</v>
      </c>
      <c r="B22" s="120">
        <v>44427</v>
      </c>
      <c r="C22" s="10" t="s">
        <v>2256</v>
      </c>
      <c r="D22" s="25" t="s">
        <v>2257</v>
      </c>
      <c r="E22" s="10" t="s">
        <v>1043</v>
      </c>
      <c r="F22" s="8"/>
      <c r="G22" s="8">
        <v>13</v>
      </c>
      <c r="H22" s="13">
        <f t="shared" si="4"/>
        <v>210210</v>
      </c>
      <c r="I22" s="8"/>
      <c r="J22" s="13">
        <v>930000</v>
      </c>
      <c r="K22" s="28"/>
      <c r="L22" s="29"/>
      <c r="M22" s="13"/>
      <c r="N22" s="13"/>
      <c r="O22" s="53">
        <f t="shared" si="1"/>
        <v>1140210</v>
      </c>
      <c r="P22" s="13">
        <v>4636364</v>
      </c>
      <c r="Q22" s="54">
        <f t="shared" si="2"/>
        <v>3496154</v>
      </c>
      <c r="R22" s="5"/>
    </row>
    <row r="23" spans="1:18" ht="28.5" customHeight="1" x14ac:dyDescent="0.25">
      <c r="A23" s="25">
        <v>16</v>
      </c>
      <c r="B23" s="120">
        <v>44428</v>
      </c>
      <c r="C23" s="10" t="s">
        <v>2258</v>
      </c>
      <c r="D23" s="25" t="s">
        <v>2259</v>
      </c>
      <c r="E23" s="10" t="s">
        <v>2260</v>
      </c>
      <c r="F23" s="8"/>
      <c r="G23" s="8">
        <v>114</v>
      </c>
      <c r="H23" s="13">
        <f t="shared" si="4"/>
        <v>1843380</v>
      </c>
      <c r="I23" s="8"/>
      <c r="J23" s="13">
        <v>2190000</v>
      </c>
      <c r="K23" s="28"/>
      <c r="L23" s="29"/>
      <c r="M23" s="13"/>
      <c r="N23" s="13"/>
      <c r="O23" s="53">
        <f t="shared" si="1"/>
        <v>4033380</v>
      </c>
      <c r="P23" s="13">
        <v>9500000</v>
      </c>
      <c r="Q23" s="54">
        <f t="shared" si="2"/>
        <v>5466620</v>
      </c>
      <c r="R23" s="5"/>
    </row>
    <row r="24" spans="1:18" ht="34.5" customHeight="1" x14ac:dyDescent="0.25">
      <c r="A24" s="25">
        <v>17</v>
      </c>
      <c r="B24" s="120">
        <v>44431</v>
      </c>
      <c r="C24" s="10" t="s">
        <v>2261</v>
      </c>
      <c r="D24" s="25" t="s">
        <v>2262</v>
      </c>
      <c r="E24" s="10" t="s">
        <v>2196</v>
      </c>
      <c r="F24" s="8"/>
      <c r="G24" s="8">
        <v>211</v>
      </c>
      <c r="H24" s="13">
        <f t="shared" si="4"/>
        <v>3411870</v>
      </c>
      <c r="I24" s="8"/>
      <c r="J24" s="13">
        <v>3280000</v>
      </c>
      <c r="K24" s="28"/>
      <c r="L24" s="29"/>
      <c r="M24" s="13"/>
      <c r="N24" s="13"/>
      <c r="O24" s="53">
        <f t="shared" si="1"/>
        <v>6691870</v>
      </c>
      <c r="P24" s="13">
        <v>11300000</v>
      </c>
      <c r="Q24" s="54">
        <f t="shared" si="2"/>
        <v>4608130</v>
      </c>
      <c r="R24" s="5"/>
    </row>
    <row r="25" spans="1:18" ht="30" customHeight="1" x14ac:dyDescent="0.25">
      <c r="A25" s="25">
        <v>18</v>
      </c>
      <c r="B25" s="120">
        <v>44432</v>
      </c>
      <c r="C25" s="10" t="s">
        <v>2263</v>
      </c>
      <c r="D25" s="25" t="s">
        <v>2264</v>
      </c>
      <c r="E25" s="10" t="s">
        <v>2265</v>
      </c>
      <c r="F25" s="8"/>
      <c r="G25" s="8">
        <v>260</v>
      </c>
      <c r="H25" s="13">
        <f t="shared" si="4"/>
        <v>4204200</v>
      </c>
      <c r="I25" s="8"/>
      <c r="J25" s="13">
        <v>680000</v>
      </c>
      <c r="K25" s="28"/>
      <c r="L25" s="29"/>
      <c r="M25" s="13"/>
      <c r="N25" s="13"/>
      <c r="O25" s="53">
        <f t="shared" si="1"/>
        <v>4884200</v>
      </c>
      <c r="P25" s="13">
        <v>2363636</v>
      </c>
      <c r="Q25" s="54">
        <f t="shared" si="2"/>
        <v>-2520564</v>
      </c>
      <c r="R25" s="5"/>
    </row>
    <row r="26" spans="1:18" ht="21" customHeight="1" x14ac:dyDescent="0.25">
      <c r="A26" s="25">
        <v>19</v>
      </c>
      <c r="B26" s="120">
        <v>44433</v>
      </c>
      <c r="C26" s="10" t="s">
        <v>2266</v>
      </c>
      <c r="D26" s="25" t="s">
        <v>2267</v>
      </c>
      <c r="E26" s="10" t="s">
        <v>2196</v>
      </c>
      <c r="F26" s="8"/>
      <c r="G26" s="8">
        <v>56</v>
      </c>
      <c r="H26" s="13">
        <f t="shared" si="4"/>
        <v>905520</v>
      </c>
      <c r="I26" s="8"/>
      <c r="J26" s="13">
        <v>3280000</v>
      </c>
      <c r="K26" s="28"/>
      <c r="L26" s="29"/>
      <c r="M26" s="13"/>
      <c r="N26" s="13"/>
      <c r="O26" s="53">
        <f t="shared" si="1"/>
        <v>4185520</v>
      </c>
      <c r="P26" s="13">
        <v>11300000</v>
      </c>
      <c r="Q26" s="54">
        <f t="shared" si="2"/>
        <v>7114480</v>
      </c>
      <c r="R26" s="5"/>
    </row>
    <row r="27" spans="1:18" ht="17.25" customHeight="1" x14ac:dyDescent="0.25">
      <c r="A27" s="25">
        <v>20</v>
      </c>
      <c r="B27" s="120">
        <v>44434</v>
      </c>
      <c r="C27" s="10" t="s">
        <v>2268</v>
      </c>
      <c r="D27" s="25" t="s">
        <v>2269</v>
      </c>
      <c r="E27" s="10" t="s">
        <v>1287</v>
      </c>
      <c r="F27" s="8"/>
      <c r="G27" s="8">
        <v>325</v>
      </c>
      <c r="H27" s="13">
        <f>G27*15660</f>
        <v>5089500</v>
      </c>
      <c r="I27" s="8"/>
      <c r="J27" s="13">
        <v>680000</v>
      </c>
      <c r="K27" s="28"/>
      <c r="L27" s="29"/>
      <c r="M27" s="13"/>
      <c r="N27" s="13"/>
      <c r="O27" s="53">
        <f t="shared" si="1"/>
        <v>5769500</v>
      </c>
      <c r="P27" s="13">
        <v>2800000</v>
      </c>
      <c r="Q27" s="54">
        <f t="shared" si="2"/>
        <v>-2969500</v>
      </c>
      <c r="R27" s="5"/>
    </row>
    <row r="28" spans="1:18" ht="31.5" customHeight="1" x14ac:dyDescent="0.25">
      <c r="A28" s="25">
        <v>21</v>
      </c>
      <c r="B28" s="120">
        <v>44435</v>
      </c>
      <c r="C28" s="10" t="s">
        <v>2270</v>
      </c>
      <c r="D28" s="25" t="s">
        <v>2271</v>
      </c>
      <c r="E28" s="10" t="s">
        <v>736</v>
      </c>
      <c r="F28" s="8"/>
      <c r="G28" s="8">
        <v>81</v>
      </c>
      <c r="H28" s="13">
        <f t="shared" ref="H28:H29" si="5">G28*15660</f>
        <v>1268460</v>
      </c>
      <c r="I28" s="8"/>
      <c r="J28" s="13">
        <v>930000</v>
      </c>
      <c r="K28" s="28"/>
      <c r="L28" s="29"/>
      <c r="M28" s="13"/>
      <c r="N28" s="13"/>
      <c r="O28" s="53">
        <f t="shared" si="1"/>
        <v>2198460</v>
      </c>
      <c r="P28" s="13">
        <v>3600000</v>
      </c>
      <c r="Q28" s="54">
        <f t="shared" si="2"/>
        <v>1401540</v>
      </c>
      <c r="R28" s="5"/>
    </row>
    <row r="29" spans="1:18" ht="31.5" customHeight="1" x14ac:dyDescent="0.25">
      <c r="A29" s="25">
        <v>22</v>
      </c>
      <c r="B29" s="120">
        <v>44438</v>
      </c>
      <c r="C29" s="10" t="s">
        <v>2272</v>
      </c>
      <c r="D29" s="25" t="s">
        <v>2273</v>
      </c>
      <c r="E29" s="10" t="s">
        <v>736</v>
      </c>
      <c r="F29" s="8"/>
      <c r="G29" s="8">
        <v>81</v>
      </c>
      <c r="H29" s="13">
        <f t="shared" si="5"/>
        <v>1268460</v>
      </c>
      <c r="I29" s="8"/>
      <c r="J29" s="13">
        <v>930000</v>
      </c>
      <c r="K29" s="28"/>
      <c r="L29" s="29"/>
      <c r="M29" s="13"/>
      <c r="N29" s="13"/>
      <c r="O29" s="53">
        <f t="shared" si="1"/>
        <v>2198460</v>
      </c>
      <c r="P29" s="13">
        <v>3600000</v>
      </c>
      <c r="Q29" s="54">
        <f t="shared" si="2"/>
        <v>1401540</v>
      </c>
      <c r="R29" s="5"/>
    </row>
    <row r="30" spans="1:18" ht="30" customHeight="1" x14ac:dyDescent="0.25">
      <c r="A30" s="25">
        <v>23</v>
      </c>
      <c r="B30" s="120">
        <v>44438</v>
      </c>
      <c r="C30" s="10" t="s">
        <v>2274</v>
      </c>
      <c r="D30" s="25" t="s">
        <v>2275</v>
      </c>
      <c r="E30" s="10" t="s">
        <v>2045</v>
      </c>
      <c r="F30" s="8"/>
      <c r="G30" s="8">
        <v>320</v>
      </c>
      <c r="H30" s="13">
        <f t="shared" ref="H30" si="6">G30*15660</f>
        <v>5011200</v>
      </c>
      <c r="I30" s="8"/>
      <c r="J30" s="13">
        <v>3550000</v>
      </c>
      <c r="K30" s="28"/>
      <c r="L30" s="29"/>
      <c r="M30" s="13"/>
      <c r="N30" s="13"/>
      <c r="O30" s="53">
        <f t="shared" si="1"/>
        <v>8561200</v>
      </c>
      <c r="P30" s="13">
        <v>17395455</v>
      </c>
      <c r="Q30" s="54">
        <f t="shared" si="2"/>
        <v>8834255</v>
      </c>
      <c r="R30" s="5"/>
    </row>
    <row r="31" spans="1:18" ht="18" customHeight="1" x14ac:dyDescent="0.25">
      <c r="A31" s="8"/>
      <c r="B31" s="8"/>
      <c r="C31" s="213"/>
      <c r="D31" s="214"/>
      <c r="E31" s="214"/>
      <c r="F31" s="215"/>
      <c r="G31" s="46"/>
      <c r="H31" s="18"/>
      <c r="I31" s="46"/>
      <c r="J31" s="18"/>
      <c r="K31" s="18"/>
      <c r="L31" s="18"/>
      <c r="M31" s="18"/>
      <c r="N31" s="28"/>
      <c r="O31" s="53"/>
      <c r="P31" s="28"/>
      <c r="Q31" s="54"/>
    </row>
    <row r="32" spans="1:18" ht="24" customHeight="1" x14ac:dyDescent="0.25">
      <c r="A32" s="8"/>
      <c r="B32" s="8"/>
      <c r="C32" s="17" t="s">
        <v>131</v>
      </c>
      <c r="D32" s="8"/>
      <c r="E32" s="10"/>
      <c r="F32" s="8"/>
      <c r="G32" s="12"/>
      <c r="H32" s="3"/>
      <c r="I32" s="12"/>
      <c r="J32" s="13"/>
      <c r="K32" s="28"/>
      <c r="L32" s="28">
        <v>1200000</v>
      </c>
      <c r="M32" s="18"/>
      <c r="N32" s="28"/>
      <c r="O32" s="53">
        <f t="shared" ref="O32:O48" si="7">H32+J32+K32+L32+M32+N32</f>
        <v>1200000</v>
      </c>
      <c r="P32" s="28"/>
      <c r="Q32" s="54"/>
    </row>
    <row r="33" spans="1:17" ht="24" customHeight="1" x14ac:dyDescent="0.25">
      <c r="A33" s="8"/>
      <c r="B33" s="8"/>
      <c r="C33" s="199" t="s">
        <v>2276</v>
      </c>
      <c r="D33" s="200"/>
      <c r="E33" s="200"/>
      <c r="F33" s="201"/>
      <c r="G33" s="93"/>
      <c r="H33" s="48"/>
      <c r="I33" s="93"/>
      <c r="J33" s="48"/>
      <c r="K33" s="48"/>
      <c r="L33" s="48"/>
      <c r="M33" s="48">
        <f>814000/4</f>
        <v>203500</v>
      </c>
      <c r="N33" s="28"/>
      <c r="O33" s="53">
        <f t="shared" si="7"/>
        <v>203500</v>
      </c>
      <c r="P33" s="28"/>
      <c r="Q33" s="54"/>
    </row>
    <row r="34" spans="1:17" ht="24" customHeight="1" x14ac:dyDescent="0.25">
      <c r="A34" s="8"/>
      <c r="B34" s="8"/>
      <c r="C34" s="210" t="s">
        <v>2277</v>
      </c>
      <c r="D34" s="211"/>
      <c r="E34" s="211"/>
      <c r="F34" s="212"/>
      <c r="G34" s="46"/>
      <c r="H34" s="18"/>
      <c r="I34" s="46"/>
      <c r="J34" s="18"/>
      <c r="K34" s="18"/>
      <c r="L34" s="18"/>
      <c r="M34" s="18">
        <v>12600000</v>
      </c>
      <c r="N34" s="28"/>
      <c r="O34" s="53">
        <f t="shared" si="7"/>
        <v>12600000</v>
      </c>
      <c r="P34" s="28"/>
      <c r="Q34" s="54"/>
    </row>
    <row r="35" spans="1:17" ht="24" customHeight="1" x14ac:dyDescent="0.25">
      <c r="A35" s="8"/>
      <c r="B35" s="8"/>
      <c r="C35" s="210" t="s">
        <v>2278</v>
      </c>
      <c r="D35" s="211"/>
      <c r="E35" s="211"/>
      <c r="F35" s="132"/>
      <c r="G35" s="46"/>
      <c r="H35" s="18"/>
      <c r="I35" s="46"/>
      <c r="J35" s="18"/>
      <c r="K35" s="18"/>
      <c r="L35" s="18"/>
      <c r="M35" s="18">
        <v>11200000</v>
      </c>
      <c r="N35" s="28"/>
      <c r="O35" s="53">
        <f t="shared" si="7"/>
        <v>11200000</v>
      </c>
      <c r="P35" s="28"/>
      <c r="Q35" s="54"/>
    </row>
    <row r="36" spans="1:17" ht="24" customHeight="1" x14ac:dyDescent="0.25">
      <c r="A36" s="8"/>
      <c r="B36" s="8"/>
      <c r="C36" s="210" t="s">
        <v>2279</v>
      </c>
      <c r="D36" s="211"/>
      <c r="E36" s="211"/>
      <c r="F36" s="212"/>
      <c r="G36" s="46"/>
      <c r="H36" s="18"/>
      <c r="I36" s="46"/>
      <c r="J36" s="18"/>
      <c r="K36" s="18"/>
      <c r="L36" s="18"/>
      <c r="M36" s="18">
        <v>140000</v>
      </c>
      <c r="N36" s="28"/>
      <c r="O36" s="53">
        <f t="shared" si="7"/>
        <v>140000</v>
      </c>
      <c r="P36" s="28"/>
      <c r="Q36" s="54"/>
    </row>
    <row r="37" spans="1:17" ht="24" customHeight="1" x14ac:dyDescent="0.25">
      <c r="A37" s="8"/>
      <c r="B37" s="8"/>
      <c r="C37" s="210" t="s">
        <v>2344</v>
      </c>
      <c r="D37" s="211"/>
      <c r="E37" s="211"/>
      <c r="F37" s="212"/>
      <c r="G37" s="46"/>
      <c r="H37" s="18"/>
      <c r="I37" s="46"/>
      <c r="J37" s="18"/>
      <c r="K37" s="18"/>
      <c r="L37" s="18"/>
      <c r="M37" s="18">
        <v>2979000</v>
      </c>
      <c r="N37" s="28"/>
      <c r="O37" s="53">
        <f t="shared" si="7"/>
        <v>2979000</v>
      </c>
      <c r="P37" s="28"/>
      <c r="Q37" s="54"/>
    </row>
    <row r="38" spans="1:17" ht="24" customHeight="1" x14ac:dyDescent="0.25">
      <c r="A38" s="8"/>
      <c r="B38" s="8"/>
      <c r="C38" s="210" t="s">
        <v>2281</v>
      </c>
      <c r="D38" s="211"/>
      <c r="E38" s="211"/>
      <c r="F38" s="212"/>
      <c r="G38" s="46"/>
      <c r="H38" s="18"/>
      <c r="I38" s="46"/>
      <c r="J38" s="18"/>
      <c r="K38" s="18"/>
      <c r="L38" s="18">
        <v>170000</v>
      </c>
      <c r="M38" s="18"/>
      <c r="N38" s="28"/>
      <c r="O38" s="53">
        <f t="shared" si="7"/>
        <v>170000</v>
      </c>
      <c r="P38" s="28"/>
      <c r="Q38" s="54"/>
    </row>
    <row r="39" spans="1:17" ht="24" customHeight="1" x14ac:dyDescent="0.25">
      <c r="A39" s="8"/>
      <c r="B39" s="8"/>
      <c r="C39" s="210" t="s">
        <v>2282</v>
      </c>
      <c r="D39" s="211"/>
      <c r="E39" s="211"/>
      <c r="F39" s="132"/>
      <c r="G39" s="46"/>
      <c r="H39" s="18"/>
      <c r="I39" s="46"/>
      <c r="J39" s="18"/>
      <c r="K39" s="18"/>
      <c r="L39" s="18">
        <v>170000</v>
      </c>
      <c r="M39" s="18"/>
      <c r="N39" s="28"/>
      <c r="O39" s="53">
        <f t="shared" si="7"/>
        <v>170000</v>
      </c>
      <c r="P39" s="28"/>
      <c r="Q39" s="54"/>
    </row>
    <row r="40" spans="1:17" ht="24" customHeight="1" x14ac:dyDescent="0.25">
      <c r="A40" s="8"/>
      <c r="B40" s="8"/>
      <c r="C40" s="138" t="s">
        <v>2283</v>
      </c>
      <c r="D40" s="139"/>
      <c r="E40" s="139"/>
      <c r="F40" s="132"/>
      <c r="G40" s="46"/>
      <c r="H40" s="18"/>
      <c r="I40" s="46"/>
      <c r="J40" s="18"/>
      <c r="K40" s="18"/>
      <c r="L40" s="18">
        <v>160000</v>
      </c>
      <c r="M40" s="18"/>
      <c r="N40" s="28"/>
      <c r="O40" s="53">
        <f t="shared" si="7"/>
        <v>160000</v>
      </c>
      <c r="P40" s="28"/>
      <c r="Q40" s="54"/>
    </row>
    <row r="41" spans="1:17" ht="24" customHeight="1" x14ac:dyDescent="0.25">
      <c r="A41" s="8"/>
      <c r="B41" s="8"/>
      <c r="C41" s="138" t="s">
        <v>2284</v>
      </c>
      <c r="D41" s="139"/>
      <c r="E41" s="139"/>
      <c r="F41" s="132"/>
      <c r="G41" s="46"/>
      <c r="H41" s="18"/>
      <c r="I41" s="46"/>
      <c r="J41" s="18"/>
      <c r="K41" s="18"/>
      <c r="L41" s="18">
        <v>170000</v>
      </c>
      <c r="M41" s="18"/>
      <c r="N41" s="28"/>
      <c r="O41" s="53">
        <f t="shared" si="7"/>
        <v>170000</v>
      </c>
      <c r="P41" s="28"/>
      <c r="Q41" s="54"/>
    </row>
    <row r="42" spans="1:17" ht="24" customHeight="1" x14ac:dyDescent="0.25">
      <c r="A42" s="8"/>
      <c r="B42" s="8"/>
      <c r="C42" s="138" t="s">
        <v>2537</v>
      </c>
      <c r="D42" s="139"/>
      <c r="E42" s="139"/>
      <c r="F42" s="132"/>
      <c r="G42" s="46"/>
      <c r="H42" s="18"/>
      <c r="I42" s="46"/>
      <c r="J42" s="18"/>
      <c r="K42" s="18"/>
      <c r="L42" s="18">
        <v>230000</v>
      </c>
      <c r="M42" s="18"/>
      <c r="N42" s="28"/>
      <c r="O42" s="53">
        <f t="shared" si="7"/>
        <v>230000</v>
      </c>
      <c r="P42" s="28"/>
      <c r="Q42" s="54"/>
    </row>
    <row r="43" spans="1:17" ht="24" customHeight="1" x14ac:dyDescent="0.25">
      <c r="A43" s="8"/>
      <c r="B43" s="8"/>
      <c r="C43" s="138" t="s">
        <v>2285</v>
      </c>
      <c r="D43" s="139"/>
      <c r="E43" s="139"/>
      <c r="F43" s="132"/>
      <c r="G43" s="46"/>
      <c r="H43" s="18"/>
      <c r="I43" s="46"/>
      <c r="J43" s="18"/>
      <c r="K43" s="18"/>
      <c r="L43" s="18">
        <v>230000</v>
      </c>
      <c r="M43" s="18"/>
      <c r="N43" s="28"/>
      <c r="O43" s="53">
        <f t="shared" si="7"/>
        <v>230000</v>
      </c>
      <c r="P43" s="28"/>
      <c r="Q43" s="54"/>
    </row>
    <row r="44" spans="1:17" ht="24" customHeight="1" x14ac:dyDescent="0.25">
      <c r="A44" s="8"/>
      <c r="B44" s="8"/>
      <c r="C44" s="138" t="s">
        <v>2286</v>
      </c>
      <c r="D44" s="139"/>
      <c r="E44" s="139"/>
      <c r="F44" s="132"/>
      <c r="G44" s="46"/>
      <c r="H44" s="18"/>
      <c r="I44" s="46"/>
      <c r="J44" s="18"/>
      <c r="K44" s="18"/>
      <c r="L44" s="18">
        <v>230000</v>
      </c>
      <c r="M44" s="18"/>
      <c r="N44" s="28"/>
      <c r="O44" s="53">
        <f t="shared" si="7"/>
        <v>230000</v>
      </c>
      <c r="P44" s="28"/>
      <c r="Q44" s="54"/>
    </row>
    <row r="45" spans="1:17" ht="24" customHeight="1" x14ac:dyDescent="0.25">
      <c r="A45" s="8"/>
      <c r="B45" s="8"/>
      <c r="C45" s="138" t="s">
        <v>2287</v>
      </c>
      <c r="D45" s="139"/>
      <c r="E45" s="139"/>
      <c r="F45" s="132"/>
      <c r="G45" s="46"/>
      <c r="H45" s="18"/>
      <c r="I45" s="46"/>
      <c r="J45" s="18"/>
      <c r="K45" s="18"/>
      <c r="L45" s="18">
        <v>163000</v>
      </c>
      <c r="M45" s="18"/>
      <c r="N45" s="28"/>
      <c r="O45" s="53">
        <f t="shared" si="7"/>
        <v>163000</v>
      </c>
      <c r="P45" s="28"/>
      <c r="Q45" s="54"/>
    </row>
    <row r="46" spans="1:17" ht="24" customHeight="1" x14ac:dyDescent="0.25">
      <c r="A46" s="8"/>
      <c r="B46" s="8"/>
      <c r="C46" s="138" t="s">
        <v>2288</v>
      </c>
      <c r="D46" s="139"/>
      <c r="E46" s="139"/>
      <c r="F46" s="132"/>
      <c r="G46" s="46"/>
      <c r="H46" s="18"/>
      <c r="I46" s="46"/>
      <c r="J46" s="18"/>
      <c r="K46" s="18"/>
      <c r="L46" s="18">
        <v>230000</v>
      </c>
      <c r="M46" s="18"/>
      <c r="N46" s="28"/>
      <c r="O46" s="53">
        <f t="shared" si="7"/>
        <v>230000</v>
      </c>
      <c r="P46" s="28"/>
      <c r="Q46" s="54"/>
    </row>
    <row r="47" spans="1:17" ht="24" customHeight="1" x14ac:dyDescent="0.25">
      <c r="A47" s="8"/>
      <c r="B47" s="8"/>
      <c r="C47" s="138" t="s">
        <v>2289</v>
      </c>
      <c r="D47" s="139"/>
      <c r="E47" s="139"/>
      <c r="F47" s="132"/>
      <c r="G47" s="46"/>
      <c r="H47" s="18"/>
      <c r="I47" s="46"/>
      <c r="J47" s="18"/>
      <c r="K47" s="18"/>
      <c r="L47" s="18">
        <v>163000</v>
      </c>
      <c r="M47" s="18"/>
      <c r="N47" s="28"/>
      <c r="O47" s="53">
        <f t="shared" si="7"/>
        <v>163000</v>
      </c>
      <c r="P47" s="28"/>
      <c r="Q47" s="54"/>
    </row>
    <row r="48" spans="1:17" ht="24" customHeight="1" x14ac:dyDescent="0.25">
      <c r="A48" s="8"/>
      <c r="B48" s="8"/>
      <c r="C48" s="138" t="s">
        <v>2290</v>
      </c>
      <c r="D48" s="139"/>
      <c r="E48" s="139"/>
      <c r="F48" s="132"/>
      <c r="G48" s="46"/>
      <c r="H48" s="18"/>
      <c r="I48" s="46"/>
      <c r="J48" s="18"/>
      <c r="K48" s="18"/>
      <c r="L48" s="18">
        <v>163000</v>
      </c>
      <c r="M48" s="18"/>
      <c r="N48" s="28"/>
      <c r="O48" s="53">
        <f t="shared" si="7"/>
        <v>163000</v>
      </c>
      <c r="P48" s="28"/>
      <c r="Q48" s="54"/>
    </row>
    <row r="49" spans="1:17" ht="25.5" customHeight="1" x14ac:dyDescent="0.25">
      <c r="A49" s="8"/>
      <c r="B49" s="8"/>
      <c r="C49" s="207" t="s">
        <v>2224</v>
      </c>
      <c r="D49" s="208"/>
      <c r="E49" s="208"/>
      <c r="F49" s="209"/>
      <c r="G49" s="46"/>
      <c r="H49" s="18"/>
      <c r="I49" s="46"/>
      <c r="J49" s="18"/>
      <c r="K49" s="18">
        <f>26/26*8000000+1000000</f>
        <v>9000000</v>
      </c>
      <c r="L49" s="18"/>
      <c r="M49" s="18"/>
      <c r="N49" s="28"/>
      <c r="O49" s="53">
        <f>H49+J49+K49+L49+M49+N49</f>
        <v>9000000</v>
      </c>
      <c r="P49" s="28"/>
      <c r="Q49" s="54"/>
    </row>
    <row r="50" spans="1:17" x14ac:dyDescent="0.25">
      <c r="A50" s="166" t="s">
        <v>19</v>
      </c>
      <c r="B50" s="167"/>
      <c r="C50" s="167"/>
      <c r="D50" s="167"/>
      <c r="E50" s="167"/>
      <c r="F50" s="168"/>
      <c r="G50" s="131">
        <f t="shared" ref="G50:O50" si="8">SUM(G7:G49)</f>
        <v>3269</v>
      </c>
      <c r="H50" s="4">
        <f t="shared" si="8"/>
        <v>52617560</v>
      </c>
      <c r="I50" s="4">
        <f t="shared" si="8"/>
        <v>0</v>
      </c>
      <c r="J50" s="4">
        <f t="shared" si="8"/>
        <v>39260000</v>
      </c>
      <c r="K50" s="4">
        <f t="shared" si="8"/>
        <v>9000000</v>
      </c>
      <c r="L50" s="4">
        <f t="shared" si="8"/>
        <v>3279000</v>
      </c>
      <c r="M50" s="4">
        <f t="shared" si="8"/>
        <v>27122500</v>
      </c>
      <c r="N50" s="4">
        <f t="shared" si="8"/>
        <v>0</v>
      </c>
      <c r="O50" s="4">
        <f t="shared" si="8"/>
        <v>131279060</v>
      </c>
      <c r="P50" s="4">
        <f>SUM(P8:P49)</f>
        <v>153031819</v>
      </c>
      <c r="Q50" s="122">
        <f>P50-O50</f>
        <v>21752759</v>
      </c>
    </row>
    <row r="51" spans="1:17" x14ac:dyDescent="0.25">
      <c r="O51" s="20"/>
      <c r="P51" s="5" t="s">
        <v>1796</v>
      </c>
      <c r="Q51" s="26"/>
    </row>
    <row r="52" spans="1:17" x14ac:dyDescent="0.25">
      <c r="P52" s="21" t="s">
        <v>20</v>
      </c>
      <c r="Q52" s="26">
        <f>'07.2021'!Q50+'08.2021'!Q50</f>
        <v>201778660.84615386</v>
      </c>
    </row>
    <row r="53" spans="1:17" x14ac:dyDescent="0.25">
      <c r="C53" s="6" t="s">
        <v>993</v>
      </c>
    </row>
    <row r="54" spans="1:17" x14ac:dyDescent="0.25">
      <c r="C54" s="205"/>
      <c r="D54" s="205"/>
      <c r="E54" s="205"/>
      <c r="F54" s="205"/>
      <c r="H54" s="109"/>
    </row>
    <row r="55" spans="1:17" x14ac:dyDescent="0.25">
      <c r="C55" s="206"/>
      <c r="D55" s="206"/>
      <c r="E55" s="206"/>
      <c r="F55" s="206"/>
      <c r="H55" s="109"/>
    </row>
    <row r="56" spans="1:17" x14ac:dyDescent="0.25">
      <c r="B56" s="6"/>
      <c r="C56" s="110"/>
      <c r="D56" s="110"/>
      <c r="E56" s="110"/>
      <c r="F56" s="110"/>
      <c r="G56" s="133"/>
      <c r="H56" s="109"/>
    </row>
    <row r="57" spans="1:17" x14ac:dyDescent="0.25">
      <c r="B57" s="6"/>
      <c r="C57" s="206"/>
      <c r="D57" s="206"/>
      <c r="E57" s="206"/>
      <c r="F57" s="206"/>
      <c r="H57" s="109"/>
    </row>
    <row r="58" spans="1:17" x14ac:dyDescent="0.25">
      <c r="B58" s="6"/>
      <c r="C58" s="206"/>
      <c r="D58" s="206"/>
      <c r="E58" s="206"/>
      <c r="F58" s="206"/>
      <c r="H58" s="109"/>
    </row>
    <row r="59" spans="1:17" x14ac:dyDescent="0.25">
      <c r="B59" s="6"/>
      <c r="C59" s="206"/>
      <c r="D59" s="206"/>
      <c r="E59" s="206"/>
      <c r="F59" s="206"/>
      <c r="H59" s="109"/>
      <c r="J59" s="6"/>
      <c r="K59" s="6"/>
      <c r="L59" s="6"/>
      <c r="M59" s="6"/>
      <c r="N59" s="6"/>
      <c r="O59" s="6"/>
      <c r="P59" s="6"/>
      <c r="Q59" s="6"/>
    </row>
    <row r="60" spans="1:17" x14ac:dyDescent="0.2">
      <c r="C60" s="107"/>
      <c r="D60" s="110"/>
      <c r="E60" s="110"/>
      <c r="F60" s="110"/>
      <c r="H60" s="109"/>
    </row>
    <row r="61" spans="1:17" x14ac:dyDescent="0.25">
      <c r="C61" s="205"/>
      <c r="D61" s="205"/>
      <c r="E61" s="205"/>
      <c r="F61" s="205"/>
    </row>
  </sheetData>
  <mergeCells count="29">
    <mergeCell ref="C61:F61"/>
    <mergeCell ref="A50:F50"/>
    <mergeCell ref="C57:F57"/>
    <mergeCell ref="C58:F58"/>
    <mergeCell ref="C59:F59"/>
    <mergeCell ref="C54:F54"/>
    <mergeCell ref="C55:F55"/>
    <mergeCell ref="C35:E35"/>
    <mergeCell ref="C36:F36"/>
    <mergeCell ref="C38:F38"/>
    <mergeCell ref="C49:F49"/>
    <mergeCell ref="C39:E39"/>
    <mergeCell ref="C37:F37"/>
    <mergeCell ref="C34:F34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1:F31"/>
    <mergeCell ref="C33:F33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2F87-7D1E-415D-960A-36991C91255C}">
  <dimension ref="A1:R64"/>
  <sheetViews>
    <sheetView topLeftCell="A37" workbookViewId="0">
      <selection activeCell="L50" sqref="L5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2291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44445</v>
      </c>
      <c r="C8" s="10" t="s">
        <v>2292</v>
      </c>
      <c r="D8" s="25" t="s">
        <v>2314</v>
      </c>
      <c r="E8" s="10" t="s">
        <v>2309</v>
      </c>
      <c r="F8" s="8"/>
      <c r="G8" s="8"/>
      <c r="H8" s="13">
        <f>G8*15660</f>
        <v>0</v>
      </c>
      <c r="I8" s="8"/>
      <c r="J8" s="13">
        <v>680000</v>
      </c>
      <c r="K8" s="28"/>
      <c r="L8" s="29"/>
      <c r="M8" s="13"/>
      <c r="N8" s="13"/>
      <c r="O8" s="53">
        <f>H8+J8+K8+L8+M8+N8</f>
        <v>680000</v>
      </c>
      <c r="P8" s="13">
        <v>2363636</v>
      </c>
      <c r="Q8" s="54">
        <f>P8-O8</f>
        <v>1683636</v>
      </c>
      <c r="R8" s="5"/>
    </row>
    <row r="9" spans="1:18" ht="17.25" customHeight="1" x14ac:dyDescent="0.25">
      <c r="A9" s="25">
        <v>2</v>
      </c>
      <c r="B9" s="120">
        <v>44445</v>
      </c>
      <c r="C9" s="10" t="s">
        <v>2293</v>
      </c>
      <c r="D9" s="129" t="s">
        <v>2315</v>
      </c>
      <c r="E9" s="9" t="s">
        <v>2310</v>
      </c>
      <c r="F9" s="117"/>
      <c r="G9" s="6">
        <v>63</v>
      </c>
      <c r="H9" s="13">
        <f t="shared" ref="H9:H11" si="0">G9*15660</f>
        <v>986580</v>
      </c>
      <c r="I9" s="117"/>
      <c r="J9" s="119">
        <v>680000</v>
      </c>
      <c r="K9" s="28"/>
      <c r="L9" s="29"/>
      <c r="M9" s="13"/>
      <c r="N9" s="13"/>
      <c r="O9" s="53">
        <f t="shared" ref="O9:O29" si="1">H9+J9+K9+L9+M9+N9</f>
        <v>1666580</v>
      </c>
      <c r="P9" s="13">
        <v>2700000</v>
      </c>
      <c r="Q9" s="54">
        <f t="shared" ref="Q9:Q29" si="2">P9-O9</f>
        <v>1033420</v>
      </c>
      <c r="R9" s="5"/>
    </row>
    <row r="10" spans="1:18" ht="24.75" customHeight="1" x14ac:dyDescent="0.25">
      <c r="A10" s="25">
        <v>3</v>
      </c>
      <c r="B10" s="120">
        <v>44446</v>
      </c>
      <c r="C10" s="10" t="s">
        <v>2294</v>
      </c>
      <c r="D10" s="25" t="s">
        <v>2316</v>
      </c>
      <c r="E10" s="10" t="s">
        <v>2311</v>
      </c>
      <c r="F10" s="8"/>
      <c r="G10" s="8">
        <v>62</v>
      </c>
      <c r="H10" s="13">
        <f t="shared" si="0"/>
        <v>970920</v>
      </c>
      <c r="I10" s="8"/>
      <c r="J10" s="13">
        <v>930000</v>
      </c>
      <c r="K10" s="28"/>
      <c r="L10" s="29"/>
      <c r="M10" s="13"/>
      <c r="N10" s="13"/>
      <c r="O10" s="53">
        <f t="shared" si="1"/>
        <v>1900920</v>
      </c>
      <c r="P10" s="13">
        <v>3227273</v>
      </c>
      <c r="Q10" s="54">
        <f t="shared" si="2"/>
        <v>1326353</v>
      </c>
      <c r="R10" s="5"/>
    </row>
    <row r="11" spans="1:18" ht="27.75" customHeight="1" x14ac:dyDescent="0.25">
      <c r="A11" s="25">
        <v>4</v>
      </c>
      <c r="B11" s="120">
        <v>44446</v>
      </c>
      <c r="C11" s="10" t="s">
        <v>1555</v>
      </c>
      <c r="D11" s="25" t="s">
        <v>2317</v>
      </c>
      <c r="E11" s="10" t="s">
        <v>736</v>
      </c>
      <c r="F11" s="8"/>
      <c r="G11" s="8">
        <v>85</v>
      </c>
      <c r="H11" s="13">
        <f t="shared" si="0"/>
        <v>1331100</v>
      </c>
      <c r="I11" s="8"/>
      <c r="J11" s="13">
        <v>930000</v>
      </c>
      <c r="K11" s="28"/>
      <c r="L11" s="29"/>
      <c r="M11" s="13"/>
      <c r="N11" s="13"/>
      <c r="O11" s="53">
        <f t="shared" si="1"/>
        <v>2261100</v>
      </c>
      <c r="P11" s="13">
        <v>3600000</v>
      </c>
      <c r="Q11" s="54">
        <f t="shared" si="2"/>
        <v>1338900</v>
      </c>
      <c r="R11" s="5"/>
    </row>
    <row r="12" spans="1:18" ht="27.75" customHeight="1" x14ac:dyDescent="0.25">
      <c r="A12" s="25">
        <v>5</v>
      </c>
      <c r="B12" s="120">
        <v>44447</v>
      </c>
      <c r="C12" s="10" t="s">
        <v>1556</v>
      </c>
      <c r="D12" s="25" t="s">
        <v>2318</v>
      </c>
      <c r="E12" s="10" t="s">
        <v>1177</v>
      </c>
      <c r="F12" s="8"/>
      <c r="G12" s="8">
        <v>95</v>
      </c>
      <c r="H12" s="13">
        <f>G12*16020</f>
        <v>1521900</v>
      </c>
      <c r="I12" s="8"/>
      <c r="J12" s="13">
        <v>930000</v>
      </c>
      <c r="K12" s="28"/>
      <c r="L12" s="29"/>
      <c r="M12" s="13"/>
      <c r="N12" s="13"/>
      <c r="O12" s="53">
        <f t="shared" si="1"/>
        <v>2451900</v>
      </c>
      <c r="P12" s="13">
        <v>3600000</v>
      </c>
      <c r="Q12" s="54">
        <f t="shared" si="2"/>
        <v>1148100</v>
      </c>
      <c r="R12" s="5"/>
    </row>
    <row r="13" spans="1:18" ht="27.75" customHeight="1" x14ac:dyDescent="0.25">
      <c r="A13" s="25">
        <v>6</v>
      </c>
      <c r="B13" s="120">
        <v>44448</v>
      </c>
      <c r="C13" s="10" t="s">
        <v>2295</v>
      </c>
      <c r="D13" s="25" t="s">
        <v>2319</v>
      </c>
      <c r="E13" s="10" t="s">
        <v>549</v>
      </c>
      <c r="F13" s="8"/>
      <c r="G13" s="8">
        <v>80</v>
      </c>
      <c r="H13" s="13">
        <f t="shared" ref="H13:H25" si="3">G13*16020</f>
        <v>1281600</v>
      </c>
      <c r="I13" s="8"/>
      <c r="J13" s="13">
        <v>930000</v>
      </c>
      <c r="K13" s="28"/>
      <c r="L13" s="29"/>
      <c r="M13" s="13"/>
      <c r="N13" s="13"/>
      <c r="O13" s="53">
        <f t="shared" si="1"/>
        <v>2211600</v>
      </c>
      <c r="P13" s="13">
        <v>3600000</v>
      </c>
      <c r="Q13" s="54">
        <f t="shared" si="2"/>
        <v>1388400</v>
      </c>
      <c r="R13" s="5"/>
    </row>
    <row r="14" spans="1:18" ht="27.75" customHeight="1" x14ac:dyDescent="0.25">
      <c r="A14" s="25">
        <v>7</v>
      </c>
      <c r="B14" s="120">
        <v>44452</v>
      </c>
      <c r="C14" s="10" t="s">
        <v>897</v>
      </c>
      <c r="D14" s="25" t="s">
        <v>2320</v>
      </c>
      <c r="E14" s="10" t="s">
        <v>736</v>
      </c>
      <c r="F14" s="8"/>
      <c r="G14" s="8">
        <v>81</v>
      </c>
      <c r="H14" s="13">
        <f t="shared" si="3"/>
        <v>1297620</v>
      </c>
      <c r="I14" s="8"/>
      <c r="J14" s="13">
        <v>930000</v>
      </c>
      <c r="K14" s="28"/>
      <c r="L14" s="29"/>
      <c r="M14" s="13"/>
      <c r="N14" s="13"/>
      <c r="O14" s="53">
        <f t="shared" si="1"/>
        <v>2227620</v>
      </c>
      <c r="P14" s="13">
        <v>3600000</v>
      </c>
      <c r="Q14" s="54">
        <f t="shared" si="2"/>
        <v>1372380</v>
      </c>
      <c r="R14" s="5"/>
    </row>
    <row r="15" spans="1:18" ht="27.75" customHeight="1" x14ac:dyDescent="0.25">
      <c r="A15" s="25">
        <v>8</v>
      </c>
      <c r="B15" s="120">
        <v>44452</v>
      </c>
      <c r="C15" s="10" t="s">
        <v>2296</v>
      </c>
      <c r="D15" s="25" t="s">
        <v>2321</v>
      </c>
      <c r="E15" s="10" t="s">
        <v>1177</v>
      </c>
      <c r="F15" s="8"/>
      <c r="G15" s="8">
        <v>81</v>
      </c>
      <c r="H15" s="13">
        <f t="shared" si="3"/>
        <v>1297620</v>
      </c>
      <c r="I15" s="8"/>
      <c r="J15" s="119">
        <v>930000</v>
      </c>
      <c r="K15" s="28"/>
      <c r="L15" s="29"/>
      <c r="M15" s="13"/>
      <c r="N15" s="13"/>
      <c r="O15" s="53">
        <f t="shared" si="1"/>
        <v>2227620</v>
      </c>
      <c r="P15" s="13">
        <v>3600000</v>
      </c>
      <c r="Q15" s="54">
        <f t="shared" si="2"/>
        <v>1372380</v>
      </c>
      <c r="R15" s="5"/>
    </row>
    <row r="16" spans="1:18" ht="27.75" customHeight="1" x14ac:dyDescent="0.25">
      <c r="A16" s="25">
        <v>9</v>
      </c>
      <c r="B16" s="120">
        <v>44453</v>
      </c>
      <c r="C16" s="10" t="s">
        <v>2297</v>
      </c>
      <c r="D16" s="25" t="s">
        <v>2322</v>
      </c>
      <c r="E16" s="10" t="s">
        <v>2045</v>
      </c>
      <c r="F16" s="8"/>
      <c r="G16" s="8">
        <v>81</v>
      </c>
      <c r="H16" s="13">
        <f t="shared" si="3"/>
        <v>1297620</v>
      </c>
      <c r="I16" s="8"/>
      <c r="J16" s="13">
        <v>3550000</v>
      </c>
      <c r="K16" s="28"/>
      <c r="L16" s="29"/>
      <c r="M16" s="13"/>
      <c r="N16" s="13"/>
      <c r="O16" s="53">
        <f t="shared" si="1"/>
        <v>4847620</v>
      </c>
      <c r="P16" s="13">
        <v>17395455</v>
      </c>
      <c r="Q16" s="54">
        <f t="shared" si="2"/>
        <v>12547835</v>
      </c>
      <c r="R16" s="5"/>
    </row>
    <row r="17" spans="1:18" ht="27.75" customHeight="1" x14ac:dyDescent="0.25">
      <c r="A17" s="25">
        <v>10</v>
      </c>
      <c r="B17" s="120">
        <v>44455</v>
      </c>
      <c r="C17" s="10" t="s">
        <v>1561</v>
      </c>
      <c r="D17" s="25" t="s">
        <v>2323</v>
      </c>
      <c r="E17" s="10" t="s">
        <v>2312</v>
      </c>
      <c r="F17" s="8"/>
      <c r="G17" s="8">
        <v>320</v>
      </c>
      <c r="H17" s="13">
        <f t="shared" si="3"/>
        <v>5126400</v>
      </c>
      <c r="I17" s="8"/>
      <c r="J17" s="13">
        <v>1720000</v>
      </c>
      <c r="K17" s="28"/>
      <c r="L17" s="29"/>
      <c r="M17" s="13"/>
      <c r="N17" s="13"/>
      <c r="O17" s="53">
        <f t="shared" si="1"/>
        <v>6846400</v>
      </c>
      <c r="P17" s="13">
        <v>9609091</v>
      </c>
      <c r="Q17" s="54">
        <f t="shared" si="2"/>
        <v>2762691</v>
      </c>
      <c r="R17" s="5"/>
    </row>
    <row r="18" spans="1:18" ht="22.5" customHeight="1" x14ac:dyDescent="0.25">
      <c r="A18" s="25">
        <v>11</v>
      </c>
      <c r="B18" s="120">
        <v>44456</v>
      </c>
      <c r="C18" s="10" t="s">
        <v>2298</v>
      </c>
      <c r="D18" s="25" t="s">
        <v>2324</v>
      </c>
      <c r="E18" s="10" t="s">
        <v>2196</v>
      </c>
      <c r="F18" s="8"/>
      <c r="G18" s="8">
        <v>267</v>
      </c>
      <c r="H18" s="13">
        <f t="shared" si="3"/>
        <v>4277340</v>
      </c>
      <c r="I18" s="8"/>
      <c r="J18" s="13">
        <v>3280000</v>
      </c>
      <c r="K18" s="28"/>
      <c r="L18" s="29"/>
      <c r="M18" s="13"/>
      <c r="N18" s="13"/>
      <c r="O18" s="53">
        <f t="shared" si="1"/>
        <v>7557340</v>
      </c>
      <c r="P18" s="13">
        <v>11300000</v>
      </c>
      <c r="Q18" s="54">
        <f t="shared" si="2"/>
        <v>3742660</v>
      </c>
      <c r="R18" s="5"/>
    </row>
    <row r="19" spans="1:18" ht="22.5" customHeight="1" x14ac:dyDescent="0.25">
      <c r="A19" s="25">
        <v>12</v>
      </c>
      <c r="B19" s="120">
        <v>44459</v>
      </c>
      <c r="C19" s="10" t="s">
        <v>2299</v>
      </c>
      <c r="D19" s="25" t="s">
        <v>2325</v>
      </c>
      <c r="E19" s="10" t="s">
        <v>1759</v>
      </c>
      <c r="F19" s="8"/>
      <c r="G19" s="8">
        <v>261</v>
      </c>
      <c r="H19" s="13">
        <f t="shared" si="3"/>
        <v>4181220</v>
      </c>
      <c r="I19" s="8"/>
      <c r="J19" s="13">
        <v>600000</v>
      </c>
      <c r="K19" s="28"/>
      <c r="L19" s="29"/>
      <c r="M19" s="13"/>
      <c r="N19" s="13"/>
      <c r="O19" s="53">
        <f t="shared" si="1"/>
        <v>4781220</v>
      </c>
      <c r="P19" s="13">
        <v>2463636</v>
      </c>
      <c r="Q19" s="54">
        <f t="shared" si="2"/>
        <v>-2317584</v>
      </c>
      <c r="R19" s="5"/>
    </row>
    <row r="20" spans="1:18" ht="22.5" customHeight="1" x14ac:dyDescent="0.25">
      <c r="A20" s="25">
        <v>13</v>
      </c>
      <c r="B20" s="120">
        <v>44459</v>
      </c>
      <c r="C20" s="10" t="s">
        <v>2300</v>
      </c>
      <c r="D20" s="25" t="s">
        <v>2326</v>
      </c>
      <c r="E20" s="10" t="s">
        <v>2075</v>
      </c>
      <c r="F20" s="8"/>
      <c r="G20" s="8">
        <v>34</v>
      </c>
      <c r="H20" s="13">
        <f t="shared" si="3"/>
        <v>544680</v>
      </c>
      <c r="I20" s="8"/>
      <c r="J20" s="13">
        <v>300000</v>
      </c>
      <c r="K20" s="28"/>
      <c r="L20" s="29"/>
      <c r="M20" s="13"/>
      <c r="N20" s="13"/>
      <c r="O20" s="53">
        <f t="shared" si="1"/>
        <v>844680</v>
      </c>
      <c r="P20" s="13">
        <v>1272727</v>
      </c>
      <c r="Q20" s="54">
        <f t="shared" si="2"/>
        <v>428047</v>
      </c>
      <c r="R20" s="5"/>
    </row>
    <row r="21" spans="1:18" ht="22.5" customHeight="1" x14ac:dyDescent="0.25">
      <c r="A21" s="25">
        <v>14</v>
      </c>
      <c r="B21" s="120">
        <v>44460</v>
      </c>
      <c r="C21" s="10" t="s">
        <v>2301</v>
      </c>
      <c r="D21" s="25" t="s">
        <v>2327</v>
      </c>
      <c r="E21" s="10" t="s">
        <v>2313</v>
      </c>
      <c r="F21" s="8"/>
      <c r="G21" s="8">
        <v>52</v>
      </c>
      <c r="H21" s="13">
        <f t="shared" si="3"/>
        <v>833040</v>
      </c>
      <c r="I21" s="8"/>
      <c r="J21" s="13">
        <v>300000</v>
      </c>
      <c r="K21" s="28"/>
      <c r="L21" s="29"/>
      <c r="M21" s="13"/>
      <c r="N21" s="13"/>
      <c r="O21" s="53">
        <f t="shared" si="1"/>
        <v>1133040</v>
      </c>
      <c r="P21" s="13">
        <v>1536364</v>
      </c>
      <c r="Q21" s="54">
        <f t="shared" si="2"/>
        <v>403324</v>
      </c>
      <c r="R21" s="5"/>
    </row>
    <row r="22" spans="1:18" ht="27" customHeight="1" x14ac:dyDescent="0.25">
      <c r="A22" s="25">
        <v>15</v>
      </c>
      <c r="B22" s="120">
        <v>44461</v>
      </c>
      <c r="C22" s="10" t="s">
        <v>2302</v>
      </c>
      <c r="D22" s="25" t="s">
        <v>2328</v>
      </c>
      <c r="E22" s="10" t="s">
        <v>330</v>
      </c>
      <c r="F22" s="8"/>
      <c r="G22" s="8">
        <v>99</v>
      </c>
      <c r="H22" s="13">
        <f t="shared" si="3"/>
        <v>1585980</v>
      </c>
      <c r="I22" s="8"/>
      <c r="J22" s="13">
        <v>680000</v>
      </c>
      <c r="K22" s="28"/>
      <c r="L22" s="29"/>
      <c r="M22" s="13"/>
      <c r="N22" s="13"/>
      <c r="O22" s="53">
        <f t="shared" si="1"/>
        <v>2265980</v>
      </c>
      <c r="P22" s="13">
        <v>3600000</v>
      </c>
      <c r="Q22" s="54">
        <f t="shared" si="2"/>
        <v>1334020</v>
      </c>
      <c r="R22" s="5"/>
    </row>
    <row r="23" spans="1:18" ht="28.5" customHeight="1" x14ac:dyDescent="0.25">
      <c r="A23" s="25">
        <v>16</v>
      </c>
      <c r="B23" s="120">
        <v>44461</v>
      </c>
      <c r="C23" s="10" t="s">
        <v>2303</v>
      </c>
      <c r="D23" s="25" t="s">
        <v>2329</v>
      </c>
      <c r="E23" s="10" t="s">
        <v>799</v>
      </c>
      <c r="F23" s="8"/>
      <c r="G23" s="8">
        <v>73</v>
      </c>
      <c r="H23" s="13">
        <f t="shared" si="3"/>
        <v>1169460</v>
      </c>
      <c r="I23" s="8"/>
      <c r="J23" s="13">
        <v>680000</v>
      </c>
      <c r="K23" s="28"/>
      <c r="L23" s="29"/>
      <c r="M23" s="13"/>
      <c r="N23" s="13"/>
      <c r="O23" s="53">
        <f t="shared" si="1"/>
        <v>1849460</v>
      </c>
      <c r="P23" s="13">
        <v>3300000</v>
      </c>
      <c r="Q23" s="54">
        <f t="shared" si="2"/>
        <v>1450540</v>
      </c>
      <c r="R23" s="5"/>
    </row>
    <row r="24" spans="1:18" ht="34.5" customHeight="1" x14ac:dyDescent="0.25">
      <c r="A24" s="25">
        <v>17</v>
      </c>
      <c r="B24" s="120">
        <v>44462</v>
      </c>
      <c r="C24" s="10" t="s">
        <v>2304</v>
      </c>
      <c r="D24" s="25" t="s">
        <v>2330</v>
      </c>
      <c r="E24" s="10" t="s">
        <v>799</v>
      </c>
      <c r="F24" s="8"/>
      <c r="G24" s="8">
        <v>75</v>
      </c>
      <c r="H24" s="13">
        <f t="shared" si="3"/>
        <v>1201500</v>
      </c>
      <c r="I24" s="8"/>
      <c r="J24" s="13">
        <v>680000</v>
      </c>
      <c r="K24" s="28"/>
      <c r="L24" s="29"/>
      <c r="M24" s="13"/>
      <c r="N24" s="13"/>
      <c r="O24" s="53">
        <f t="shared" si="1"/>
        <v>1881500</v>
      </c>
      <c r="P24" s="13">
        <v>3300000</v>
      </c>
      <c r="Q24" s="54">
        <f t="shared" si="2"/>
        <v>1418500</v>
      </c>
      <c r="R24" s="5"/>
    </row>
    <row r="25" spans="1:18" ht="30" customHeight="1" x14ac:dyDescent="0.25">
      <c r="A25" s="25">
        <v>18</v>
      </c>
      <c r="B25" s="120">
        <v>44463</v>
      </c>
      <c r="C25" s="10" t="s">
        <v>2305</v>
      </c>
      <c r="D25" s="25" t="s">
        <v>2331</v>
      </c>
      <c r="E25" s="10" t="s">
        <v>494</v>
      </c>
      <c r="F25" s="8"/>
      <c r="G25" s="8">
        <v>97</v>
      </c>
      <c r="H25" s="13">
        <f t="shared" si="3"/>
        <v>1553940</v>
      </c>
      <c r="I25" s="8"/>
      <c r="J25" s="13">
        <v>930000</v>
      </c>
      <c r="K25" s="28"/>
      <c r="L25" s="29"/>
      <c r="M25" s="13"/>
      <c r="N25" s="13"/>
      <c r="O25" s="53">
        <f t="shared" si="1"/>
        <v>2483940</v>
      </c>
      <c r="P25" s="13">
        <v>3700000</v>
      </c>
      <c r="Q25" s="54">
        <f t="shared" si="2"/>
        <v>1216060</v>
      </c>
      <c r="R25" s="5"/>
    </row>
    <row r="26" spans="1:18" ht="21" customHeight="1" x14ac:dyDescent="0.25">
      <c r="A26" s="25">
        <v>19</v>
      </c>
      <c r="B26" s="120">
        <v>44467</v>
      </c>
      <c r="C26" s="10" t="s">
        <v>157</v>
      </c>
      <c r="D26" s="25" t="s">
        <v>2332</v>
      </c>
      <c r="E26" s="10" t="s">
        <v>33</v>
      </c>
      <c r="F26" s="8"/>
      <c r="G26" s="8">
        <v>180</v>
      </c>
      <c r="H26" s="13">
        <f>G26*16580</f>
        <v>2984400</v>
      </c>
      <c r="I26" s="8"/>
      <c r="J26" s="13">
        <v>1890000</v>
      </c>
      <c r="K26" s="28"/>
      <c r="L26" s="29"/>
      <c r="M26" s="13"/>
      <c r="N26" s="13"/>
      <c r="O26" s="53">
        <f t="shared" si="1"/>
        <v>4874400</v>
      </c>
      <c r="P26" s="13">
        <v>7663636</v>
      </c>
      <c r="Q26" s="54">
        <f t="shared" si="2"/>
        <v>2789236</v>
      </c>
      <c r="R26" s="5"/>
    </row>
    <row r="27" spans="1:18" ht="17.25" customHeight="1" x14ac:dyDescent="0.25">
      <c r="A27" s="25">
        <v>20</v>
      </c>
      <c r="B27" s="120">
        <v>44467</v>
      </c>
      <c r="C27" s="10" t="s">
        <v>2306</v>
      </c>
      <c r="D27" s="25" t="s">
        <v>2333</v>
      </c>
      <c r="E27" s="10" t="s">
        <v>2196</v>
      </c>
      <c r="F27" s="8"/>
      <c r="G27" s="8">
        <v>278</v>
      </c>
      <c r="H27" s="13">
        <f t="shared" ref="H27:H28" si="4">G27*16580</f>
        <v>4609240</v>
      </c>
      <c r="I27" s="8"/>
      <c r="J27" s="13">
        <v>3280000</v>
      </c>
      <c r="K27" s="28"/>
      <c r="L27" s="29"/>
      <c r="M27" s="13"/>
      <c r="N27" s="13"/>
      <c r="O27" s="53">
        <f t="shared" si="1"/>
        <v>7889240</v>
      </c>
      <c r="P27" s="13">
        <v>11300000</v>
      </c>
      <c r="Q27" s="54">
        <f t="shared" si="2"/>
        <v>3410760</v>
      </c>
      <c r="R27" s="5"/>
    </row>
    <row r="28" spans="1:18" ht="31.5" customHeight="1" x14ac:dyDescent="0.25">
      <c r="A28" s="25">
        <v>21</v>
      </c>
      <c r="B28" s="120">
        <v>44467</v>
      </c>
      <c r="C28" s="10" t="s">
        <v>2307</v>
      </c>
      <c r="D28" s="25" t="s">
        <v>2334</v>
      </c>
      <c r="E28" s="10" t="s">
        <v>330</v>
      </c>
      <c r="F28" s="8"/>
      <c r="G28" s="8">
        <v>99</v>
      </c>
      <c r="H28" s="13">
        <f t="shared" si="4"/>
        <v>1641420</v>
      </c>
      <c r="I28" s="8"/>
      <c r="J28" s="13">
        <v>680000</v>
      </c>
      <c r="K28" s="28"/>
      <c r="L28" s="29"/>
      <c r="M28" s="13"/>
      <c r="N28" s="13"/>
      <c r="O28" s="53">
        <f t="shared" si="1"/>
        <v>2321420</v>
      </c>
      <c r="P28" s="13">
        <v>3600000</v>
      </c>
      <c r="Q28" s="54">
        <f t="shared" si="2"/>
        <v>1278580</v>
      </c>
      <c r="R28" s="5"/>
    </row>
    <row r="29" spans="1:18" ht="31.5" customHeight="1" x14ac:dyDescent="0.25">
      <c r="A29" s="25">
        <v>22</v>
      </c>
      <c r="B29" s="120">
        <v>44468</v>
      </c>
      <c r="C29" s="10" t="s">
        <v>2308</v>
      </c>
      <c r="D29" s="25" t="s">
        <v>2335</v>
      </c>
      <c r="E29" s="10" t="s">
        <v>2196</v>
      </c>
      <c r="F29" s="8"/>
      <c r="G29" s="8">
        <v>256</v>
      </c>
      <c r="H29" s="13">
        <f>G29*16580</f>
        <v>4244480</v>
      </c>
      <c r="I29" s="8"/>
      <c r="J29" s="13">
        <v>3280000</v>
      </c>
      <c r="K29" s="28"/>
      <c r="L29" s="29"/>
      <c r="M29" s="13"/>
      <c r="N29" s="13"/>
      <c r="O29" s="53">
        <f t="shared" si="1"/>
        <v>7524480</v>
      </c>
      <c r="P29" s="13">
        <v>11300000</v>
      </c>
      <c r="Q29" s="54">
        <f t="shared" si="2"/>
        <v>3775520</v>
      </c>
      <c r="R29" s="5"/>
    </row>
    <row r="30" spans="1:18" ht="18" customHeight="1" x14ac:dyDescent="0.25">
      <c r="A30" s="8"/>
      <c r="B30" s="8"/>
      <c r="C30" s="213"/>
      <c r="D30" s="214"/>
      <c r="E30" s="214"/>
      <c r="F30" s="215"/>
      <c r="G30" s="46"/>
      <c r="H30" s="18"/>
      <c r="I30" s="46"/>
      <c r="J30" s="18"/>
      <c r="K30" s="18"/>
      <c r="L30" s="18"/>
      <c r="M30" s="18"/>
      <c r="N30" s="28"/>
      <c r="O30" s="53"/>
      <c r="P30" s="28"/>
      <c r="Q30" s="54"/>
    </row>
    <row r="31" spans="1:18" ht="24" customHeight="1" x14ac:dyDescent="0.25">
      <c r="A31" s="8"/>
      <c r="B31" s="8"/>
      <c r="C31" s="17" t="s">
        <v>131</v>
      </c>
      <c r="D31" s="8"/>
      <c r="E31" s="10"/>
      <c r="F31" s="8"/>
      <c r="G31" s="12"/>
      <c r="H31" s="3"/>
      <c r="I31" s="12"/>
      <c r="J31" s="13"/>
      <c r="K31" s="28"/>
      <c r="L31" s="28">
        <v>1200000</v>
      </c>
      <c r="M31" s="18"/>
      <c r="N31" s="28"/>
      <c r="O31" s="53">
        <f t="shared" ref="O31:O51" si="5">H31+J31+K31+L31+M31+N31</f>
        <v>1200000</v>
      </c>
      <c r="P31" s="28"/>
      <c r="Q31" s="54"/>
    </row>
    <row r="32" spans="1:18" ht="24" customHeight="1" x14ac:dyDescent="0.25">
      <c r="A32" s="8"/>
      <c r="B32" s="8"/>
      <c r="C32" s="210" t="s">
        <v>2336</v>
      </c>
      <c r="D32" s="211"/>
      <c r="E32" s="211"/>
      <c r="F32" s="212"/>
      <c r="G32" s="46"/>
      <c r="H32" s="18"/>
      <c r="I32" s="46"/>
      <c r="J32" s="18"/>
      <c r="K32" s="18">
        <v>300000</v>
      </c>
      <c r="L32" s="18"/>
      <c r="M32" s="18"/>
      <c r="N32" s="28"/>
      <c r="O32" s="53">
        <f t="shared" si="5"/>
        <v>300000</v>
      </c>
      <c r="P32" s="28"/>
      <c r="Q32" s="54"/>
    </row>
    <row r="33" spans="1:17" ht="24" customHeight="1" x14ac:dyDescent="0.25">
      <c r="A33" s="8"/>
      <c r="B33" s="8"/>
      <c r="C33" s="210" t="s">
        <v>2337</v>
      </c>
      <c r="D33" s="211"/>
      <c r="E33" s="211"/>
      <c r="F33" s="212"/>
      <c r="G33" s="46"/>
      <c r="H33" s="18"/>
      <c r="I33" s="46"/>
      <c r="J33" s="18"/>
      <c r="K33" s="18"/>
      <c r="L33" s="18">
        <v>8257000</v>
      </c>
      <c r="M33" s="18"/>
      <c r="N33" s="28"/>
      <c r="O33" s="53">
        <f t="shared" si="5"/>
        <v>8257000</v>
      </c>
      <c r="P33" s="28"/>
      <c r="Q33" s="54"/>
    </row>
    <row r="34" spans="1:17" ht="24" customHeight="1" x14ac:dyDescent="0.25">
      <c r="A34" s="8"/>
      <c r="B34" s="8"/>
      <c r="C34" s="210" t="s">
        <v>2338</v>
      </c>
      <c r="D34" s="211"/>
      <c r="E34" s="211"/>
      <c r="F34" s="132"/>
      <c r="G34" s="46"/>
      <c r="H34" s="18"/>
      <c r="I34" s="46"/>
      <c r="J34" s="18"/>
      <c r="K34" s="18"/>
      <c r="L34" s="18">
        <v>300000</v>
      </c>
      <c r="M34" s="18"/>
      <c r="N34" s="28"/>
      <c r="O34" s="53">
        <f t="shared" si="5"/>
        <v>300000</v>
      </c>
      <c r="P34" s="28"/>
      <c r="Q34" s="54"/>
    </row>
    <row r="35" spans="1:17" ht="24" customHeight="1" x14ac:dyDescent="0.25">
      <c r="A35" s="8"/>
      <c r="B35" s="8"/>
      <c r="C35" s="210" t="s">
        <v>2339</v>
      </c>
      <c r="D35" s="211"/>
      <c r="E35" s="211"/>
      <c r="F35" s="212"/>
      <c r="G35" s="46"/>
      <c r="H35" s="18"/>
      <c r="I35" s="46"/>
      <c r="J35" s="18"/>
      <c r="K35" s="18"/>
      <c r="L35" s="18">
        <v>150000</v>
      </c>
      <c r="M35" s="18"/>
      <c r="N35" s="28"/>
      <c r="O35" s="53">
        <f t="shared" si="5"/>
        <v>150000</v>
      </c>
      <c r="P35" s="28"/>
      <c r="Q35" s="54"/>
    </row>
    <row r="36" spans="1:17" ht="24" customHeight="1" x14ac:dyDescent="0.25">
      <c r="A36" s="8"/>
      <c r="B36" s="8"/>
      <c r="C36" s="210" t="s">
        <v>2340</v>
      </c>
      <c r="D36" s="211"/>
      <c r="E36" s="211"/>
      <c r="F36" s="212"/>
      <c r="G36" s="46"/>
      <c r="H36" s="18"/>
      <c r="I36" s="46"/>
      <c r="J36" s="18"/>
      <c r="K36" s="18"/>
      <c r="L36" s="18">
        <v>730000</v>
      </c>
      <c r="M36" s="18"/>
      <c r="N36" s="28"/>
      <c r="O36" s="53">
        <f t="shared" si="5"/>
        <v>730000</v>
      </c>
      <c r="P36" s="28"/>
      <c r="Q36" s="54"/>
    </row>
    <row r="37" spans="1:17" ht="24" customHeight="1" x14ac:dyDescent="0.25">
      <c r="A37" s="8"/>
      <c r="B37" s="8"/>
      <c r="C37" s="210" t="s">
        <v>2341</v>
      </c>
      <c r="D37" s="211"/>
      <c r="E37" s="211"/>
      <c r="F37" s="132"/>
      <c r="G37" s="46"/>
      <c r="H37" s="18"/>
      <c r="I37" s="46"/>
      <c r="J37" s="18"/>
      <c r="K37" s="18"/>
      <c r="L37" s="18">
        <v>400000</v>
      </c>
      <c r="M37" s="18"/>
      <c r="N37" s="28"/>
      <c r="O37" s="53">
        <f t="shared" si="5"/>
        <v>400000</v>
      </c>
      <c r="P37" s="28"/>
      <c r="Q37" s="54"/>
    </row>
    <row r="38" spans="1:17" ht="24" customHeight="1" x14ac:dyDescent="0.25">
      <c r="A38" s="8"/>
      <c r="B38" s="8"/>
      <c r="C38" s="210" t="s">
        <v>2342</v>
      </c>
      <c r="D38" s="211"/>
      <c r="E38" s="211"/>
      <c r="F38" s="212"/>
      <c r="G38" s="46"/>
      <c r="H38" s="18"/>
      <c r="I38" s="46"/>
      <c r="J38" s="18"/>
      <c r="K38" s="18"/>
      <c r="L38" s="18">
        <v>200000</v>
      </c>
      <c r="M38" s="18"/>
      <c r="N38" s="28"/>
      <c r="O38" s="53">
        <f t="shared" si="5"/>
        <v>200000</v>
      </c>
      <c r="P38" s="28"/>
      <c r="Q38" s="54"/>
    </row>
    <row r="39" spans="1:17" ht="24" customHeight="1" x14ac:dyDescent="0.25">
      <c r="A39" s="8"/>
      <c r="B39" s="8"/>
      <c r="C39" s="210" t="s">
        <v>2343</v>
      </c>
      <c r="D39" s="211"/>
      <c r="E39" s="211"/>
      <c r="F39" s="212"/>
      <c r="G39" s="46"/>
      <c r="H39" s="18"/>
      <c r="I39" s="46"/>
      <c r="J39" s="18"/>
      <c r="K39" s="18"/>
      <c r="L39" s="18">
        <v>2300000</v>
      </c>
      <c r="M39" s="18"/>
      <c r="N39" s="28"/>
      <c r="O39" s="53">
        <f t="shared" si="5"/>
        <v>2300000</v>
      </c>
      <c r="P39" s="28"/>
      <c r="Q39" s="54"/>
    </row>
    <row r="40" spans="1:17" ht="24" customHeight="1" x14ac:dyDescent="0.25">
      <c r="A40" s="8"/>
      <c r="B40" s="8"/>
      <c r="C40" s="199" t="s">
        <v>2536</v>
      </c>
      <c r="D40" s="200"/>
      <c r="E40" s="200"/>
      <c r="F40" s="201"/>
      <c r="G40" s="93"/>
      <c r="H40" s="48"/>
      <c r="I40" s="93"/>
      <c r="J40" s="48"/>
      <c r="K40" s="48"/>
      <c r="L40" s="48"/>
      <c r="M40" s="48"/>
      <c r="N40" s="48">
        <v>3250000</v>
      </c>
      <c r="O40" s="53">
        <f t="shared" si="5"/>
        <v>3250000</v>
      </c>
      <c r="P40" s="28"/>
      <c r="Q40" s="54"/>
    </row>
    <row r="41" spans="1:17" ht="24" customHeight="1" x14ac:dyDescent="0.25">
      <c r="A41" s="8"/>
      <c r="B41" s="8"/>
      <c r="C41" s="138" t="s">
        <v>2346</v>
      </c>
      <c r="D41" s="139"/>
      <c r="E41" s="139"/>
      <c r="F41" s="132"/>
      <c r="G41" s="46"/>
      <c r="H41" s="18"/>
      <c r="I41" s="46"/>
      <c r="J41" s="18"/>
      <c r="K41" s="18">
        <v>163000</v>
      </c>
      <c r="L41" s="18"/>
      <c r="M41" s="18"/>
      <c r="N41" s="28"/>
      <c r="O41" s="53">
        <f t="shared" si="5"/>
        <v>163000</v>
      </c>
      <c r="P41" s="28"/>
      <c r="Q41" s="54"/>
    </row>
    <row r="42" spans="1:17" ht="24" customHeight="1" x14ac:dyDescent="0.25">
      <c r="A42" s="8"/>
      <c r="B42" s="8"/>
      <c r="C42" s="138" t="s">
        <v>2347</v>
      </c>
      <c r="D42" s="139"/>
      <c r="E42" s="139"/>
      <c r="F42" s="132"/>
      <c r="G42" s="46"/>
      <c r="H42" s="18"/>
      <c r="I42" s="46"/>
      <c r="J42" s="18"/>
      <c r="K42" s="18">
        <v>163000</v>
      </c>
      <c r="L42" s="18"/>
      <c r="M42" s="18"/>
      <c r="N42" s="28"/>
      <c r="O42" s="53">
        <f t="shared" si="5"/>
        <v>163000</v>
      </c>
      <c r="P42" s="28"/>
      <c r="Q42" s="54"/>
    </row>
    <row r="43" spans="1:17" ht="24" customHeight="1" x14ac:dyDescent="0.25">
      <c r="A43" s="8"/>
      <c r="B43" s="8"/>
      <c r="C43" s="138" t="s">
        <v>2348</v>
      </c>
      <c r="D43" s="139"/>
      <c r="E43" s="139"/>
      <c r="F43" s="132"/>
      <c r="G43" s="46"/>
      <c r="H43" s="18"/>
      <c r="I43" s="46"/>
      <c r="J43" s="18"/>
      <c r="K43" s="18">
        <v>163000</v>
      </c>
      <c r="L43" s="18"/>
      <c r="M43" s="18"/>
      <c r="N43" s="28"/>
      <c r="O43" s="53">
        <f t="shared" si="5"/>
        <v>163000</v>
      </c>
      <c r="P43" s="28"/>
      <c r="Q43" s="54"/>
    </row>
    <row r="44" spans="1:17" ht="24" customHeight="1" x14ac:dyDescent="0.25">
      <c r="A44" s="8"/>
      <c r="B44" s="8"/>
      <c r="C44" s="138" t="s">
        <v>2349</v>
      </c>
      <c r="D44" s="139"/>
      <c r="E44" s="139"/>
      <c r="F44" s="132"/>
      <c r="G44" s="46"/>
      <c r="H44" s="18"/>
      <c r="I44" s="46"/>
      <c r="J44" s="18"/>
      <c r="K44" s="18">
        <v>163000</v>
      </c>
      <c r="L44" s="18"/>
      <c r="M44" s="18"/>
      <c r="N44" s="28"/>
      <c r="O44" s="53">
        <f t="shared" si="5"/>
        <v>163000</v>
      </c>
      <c r="P44" s="28"/>
      <c r="Q44" s="54"/>
    </row>
    <row r="45" spans="1:17" ht="24" customHeight="1" x14ac:dyDescent="0.25">
      <c r="A45" s="8"/>
      <c r="B45" s="8"/>
      <c r="C45" s="138" t="s">
        <v>2350</v>
      </c>
      <c r="D45" s="139"/>
      <c r="E45" s="139"/>
      <c r="F45" s="132"/>
      <c r="G45" s="46"/>
      <c r="H45" s="18"/>
      <c r="I45" s="46"/>
      <c r="J45" s="18"/>
      <c r="K45" s="18">
        <v>163000</v>
      </c>
      <c r="L45" s="18"/>
      <c r="M45" s="18"/>
      <c r="N45" s="28"/>
      <c r="O45" s="53">
        <f t="shared" si="5"/>
        <v>163000</v>
      </c>
      <c r="P45" s="28"/>
      <c r="Q45" s="54"/>
    </row>
    <row r="46" spans="1:17" ht="24" customHeight="1" x14ac:dyDescent="0.25">
      <c r="A46" s="8"/>
      <c r="B46" s="8"/>
      <c r="C46" s="138" t="s">
        <v>2351</v>
      </c>
      <c r="D46" s="139"/>
      <c r="E46" s="139"/>
      <c r="F46" s="132"/>
      <c r="G46" s="46"/>
      <c r="H46" s="18"/>
      <c r="I46" s="46"/>
      <c r="J46" s="18"/>
      <c r="K46" s="18">
        <v>163000</v>
      </c>
      <c r="L46" s="18"/>
      <c r="M46" s="18"/>
      <c r="N46" s="28"/>
      <c r="O46" s="53">
        <f t="shared" si="5"/>
        <v>163000</v>
      </c>
      <c r="P46" s="28"/>
      <c r="Q46" s="54"/>
    </row>
    <row r="47" spans="1:17" ht="24" customHeight="1" x14ac:dyDescent="0.25">
      <c r="A47" s="8"/>
      <c r="B47" s="8"/>
      <c r="C47" s="138" t="s">
        <v>2352</v>
      </c>
      <c r="D47" s="139"/>
      <c r="E47" s="139"/>
      <c r="F47" s="132"/>
      <c r="G47" s="46"/>
      <c r="H47" s="18"/>
      <c r="I47" s="46"/>
      <c r="J47" s="18"/>
      <c r="K47" s="18">
        <v>163000</v>
      </c>
      <c r="L47" s="18"/>
      <c r="M47" s="18"/>
      <c r="N47" s="28"/>
      <c r="O47" s="53">
        <f t="shared" si="5"/>
        <v>163000</v>
      </c>
      <c r="P47" s="28"/>
      <c r="Q47" s="54"/>
    </row>
    <row r="48" spans="1:17" ht="24" customHeight="1" x14ac:dyDescent="0.25">
      <c r="A48" s="8"/>
      <c r="B48" s="8"/>
      <c r="C48" s="138" t="s">
        <v>2353</v>
      </c>
      <c r="D48" s="139"/>
      <c r="E48" s="139"/>
      <c r="F48" s="132"/>
      <c r="G48" s="46"/>
      <c r="H48" s="18"/>
      <c r="I48" s="46"/>
      <c r="J48" s="18"/>
      <c r="K48" s="18">
        <v>163000</v>
      </c>
      <c r="L48" s="18"/>
      <c r="M48" s="18"/>
      <c r="N48" s="28"/>
      <c r="O48" s="53">
        <f t="shared" si="5"/>
        <v>163000</v>
      </c>
      <c r="P48" s="28"/>
      <c r="Q48" s="54"/>
    </row>
    <row r="49" spans="1:17" ht="24" customHeight="1" x14ac:dyDescent="0.25">
      <c r="A49" s="8"/>
      <c r="B49" s="8"/>
      <c r="C49" s="138" t="s">
        <v>2354</v>
      </c>
      <c r="D49" s="139"/>
      <c r="E49" s="139"/>
      <c r="F49" s="132"/>
      <c r="G49" s="46"/>
      <c r="H49" s="18"/>
      <c r="I49" s="46"/>
      <c r="J49" s="18"/>
      <c r="K49" s="18">
        <v>163000</v>
      </c>
      <c r="L49" s="18"/>
      <c r="M49" s="18"/>
      <c r="N49" s="28"/>
      <c r="O49" s="53">
        <f t="shared" si="5"/>
        <v>163000</v>
      </c>
      <c r="P49" s="28"/>
      <c r="Q49" s="54"/>
    </row>
    <row r="50" spans="1:17" ht="24" customHeight="1" x14ac:dyDescent="0.25">
      <c r="A50" s="8"/>
      <c r="B50" s="8"/>
      <c r="C50" s="138" t="s">
        <v>2355</v>
      </c>
      <c r="D50" s="139"/>
      <c r="E50" s="139"/>
      <c r="F50" s="132"/>
      <c r="G50" s="46"/>
      <c r="H50" s="18"/>
      <c r="I50" s="46"/>
      <c r="J50" s="18"/>
      <c r="K50" s="18">
        <v>163000</v>
      </c>
      <c r="L50" s="18"/>
      <c r="M50" s="18"/>
      <c r="N50" s="28"/>
      <c r="O50" s="53">
        <f t="shared" si="5"/>
        <v>163000</v>
      </c>
      <c r="P50" s="28"/>
      <c r="Q50" s="54"/>
    </row>
    <row r="51" spans="1:17" ht="24" customHeight="1" x14ac:dyDescent="0.25">
      <c r="A51" s="8"/>
      <c r="B51" s="8"/>
      <c r="C51" s="138" t="s">
        <v>2356</v>
      </c>
      <c r="D51" s="139"/>
      <c r="E51" s="139"/>
      <c r="F51" s="132"/>
      <c r="G51" s="46"/>
      <c r="H51" s="18"/>
      <c r="I51" s="46"/>
      <c r="J51" s="18"/>
      <c r="K51" s="18">
        <v>163000</v>
      </c>
      <c r="L51" s="18"/>
      <c r="M51" s="18"/>
      <c r="N51" s="28"/>
      <c r="O51" s="53">
        <f t="shared" si="5"/>
        <v>163000</v>
      </c>
      <c r="P51" s="28"/>
      <c r="Q51" s="54"/>
    </row>
    <row r="52" spans="1:17" ht="25.5" customHeight="1" x14ac:dyDescent="0.25">
      <c r="A52" s="8"/>
      <c r="B52" s="8"/>
      <c r="C52" s="207" t="s">
        <v>2224</v>
      </c>
      <c r="D52" s="208"/>
      <c r="E52" s="208"/>
      <c r="F52" s="209"/>
      <c r="G52" s="46"/>
      <c r="H52" s="18"/>
      <c r="I52" s="46"/>
      <c r="J52" s="18"/>
      <c r="K52" s="18">
        <f>26/26*8000000+1000000</f>
        <v>9000000</v>
      </c>
      <c r="L52" s="18"/>
      <c r="M52" s="18"/>
      <c r="N52" s="28"/>
      <c r="O52" s="53">
        <f>H52+J52+K52+L52+M52+N52</f>
        <v>9000000</v>
      </c>
      <c r="P52" s="28"/>
      <c r="Q52" s="54"/>
    </row>
    <row r="53" spans="1:17" x14ac:dyDescent="0.25">
      <c r="A53" s="166" t="s">
        <v>19</v>
      </c>
      <c r="B53" s="167"/>
      <c r="C53" s="167"/>
      <c r="D53" s="167"/>
      <c r="E53" s="167"/>
      <c r="F53" s="168"/>
      <c r="G53" s="131">
        <f t="shared" ref="G53:O53" si="6">SUM(G7:G52)</f>
        <v>2719</v>
      </c>
      <c r="H53" s="4">
        <f t="shared" si="6"/>
        <v>43938060</v>
      </c>
      <c r="I53" s="4">
        <f t="shared" si="6"/>
        <v>0</v>
      </c>
      <c r="J53" s="4">
        <f t="shared" si="6"/>
        <v>28790000</v>
      </c>
      <c r="K53" s="4">
        <f t="shared" si="6"/>
        <v>11093000</v>
      </c>
      <c r="L53" s="4">
        <f t="shared" si="6"/>
        <v>13537000</v>
      </c>
      <c r="M53" s="4">
        <f t="shared" si="6"/>
        <v>0</v>
      </c>
      <c r="N53" s="4">
        <f t="shared" si="6"/>
        <v>3250000</v>
      </c>
      <c r="O53" s="4">
        <f t="shared" si="6"/>
        <v>100608060</v>
      </c>
      <c r="P53" s="4">
        <f>SUM(P8:P52)</f>
        <v>117631818</v>
      </c>
      <c r="Q53" s="122">
        <f>P53-O53</f>
        <v>17023758</v>
      </c>
    </row>
    <row r="54" spans="1:17" x14ac:dyDescent="0.25">
      <c r="O54" s="20"/>
      <c r="P54" s="5" t="s">
        <v>1796</v>
      </c>
      <c r="Q54" s="26"/>
    </row>
    <row r="55" spans="1:17" x14ac:dyDescent="0.25">
      <c r="P55" s="21" t="s">
        <v>20</v>
      </c>
      <c r="Q55" s="26">
        <f>'08.2021'!Q52+'09.2021'!Q53</f>
        <v>218802418.84615386</v>
      </c>
    </row>
    <row r="56" spans="1:17" x14ac:dyDescent="0.25">
      <c r="C56" s="6" t="s">
        <v>993</v>
      </c>
    </row>
    <row r="57" spans="1:17" x14ac:dyDescent="0.25">
      <c r="C57" s="205"/>
      <c r="D57" s="205"/>
      <c r="E57" s="205"/>
      <c r="F57" s="205"/>
      <c r="H57" s="109"/>
    </row>
    <row r="58" spans="1:17" x14ac:dyDescent="0.25">
      <c r="C58" s="206"/>
      <c r="D58" s="206"/>
      <c r="E58" s="206"/>
      <c r="F58" s="206"/>
      <c r="H58" s="109"/>
    </row>
    <row r="59" spans="1:17" x14ac:dyDescent="0.25">
      <c r="B59" s="6"/>
      <c r="C59" s="110"/>
      <c r="D59" s="110"/>
      <c r="E59" s="110"/>
      <c r="F59" s="110"/>
      <c r="G59" s="133"/>
      <c r="H59" s="109"/>
    </row>
    <row r="60" spans="1:17" x14ac:dyDescent="0.25">
      <c r="B60" s="6"/>
      <c r="C60" s="206"/>
      <c r="D60" s="206"/>
      <c r="E60" s="206"/>
      <c r="F60" s="206"/>
      <c r="H60" s="109"/>
    </row>
    <row r="61" spans="1:17" x14ac:dyDescent="0.25">
      <c r="B61" s="6"/>
      <c r="C61" s="206"/>
      <c r="D61" s="206"/>
      <c r="E61" s="206"/>
      <c r="F61" s="206"/>
      <c r="H61" s="109"/>
    </row>
    <row r="62" spans="1:17" x14ac:dyDescent="0.25">
      <c r="B62" s="6"/>
      <c r="C62" s="206"/>
      <c r="D62" s="206"/>
      <c r="E62" s="206"/>
      <c r="F62" s="206"/>
      <c r="G62" s="133"/>
      <c r="H62" s="109"/>
      <c r="J62" s="6"/>
      <c r="K62" s="6"/>
      <c r="L62" s="6"/>
      <c r="M62" s="6"/>
      <c r="N62" s="6"/>
      <c r="O62" s="6"/>
      <c r="P62" s="6"/>
      <c r="Q62" s="6"/>
    </row>
    <row r="63" spans="1:17" x14ac:dyDescent="0.2">
      <c r="C63" s="107"/>
      <c r="D63" s="110"/>
      <c r="E63" s="110"/>
      <c r="F63" s="110"/>
      <c r="H63" s="109"/>
    </row>
    <row r="64" spans="1:17" x14ac:dyDescent="0.25">
      <c r="C64" s="205"/>
      <c r="D64" s="205"/>
      <c r="E64" s="205"/>
      <c r="F64" s="205"/>
    </row>
  </sheetData>
  <mergeCells count="31">
    <mergeCell ref="C64:F64"/>
    <mergeCell ref="C34:E34"/>
    <mergeCell ref="C35:F35"/>
    <mergeCell ref="C36:F36"/>
    <mergeCell ref="C37:E37"/>
    <mergeCell ref="C52:F52"/>
    <mergeCell ref="A53:F53"/>
    <mergeCell ref="C38:F38"/>
    <mergeCell ref="C39:F39"/>
    <mergeCell ref="C57:F57"/>
    <mergeCell ref="C58:F58"/>
    <mergeCell ref="C60:F60"/>
    <mergeCell ref="C61:F61"/>
    <mergeCell ref="C62:F62"/>
    <mergeCell ref="C40:F40"/>
    <mergeCell ref="C33:F33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0:F30"/>
    <mergeCell ref="C32:F32"/>
  </mergeCells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87B9-40B1-4471-B682-96E024D5F06F}">
  <dimension ref="A1:R60"/>
  <sheetViews>
    <sheetView topLeftCell="A36" zoomScaleNormal="100" workbookViewId="0">
      <selection activeCell="J39" sqref="J39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2413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33" customHeight="1" x14ac:dyDescent="0.25">
      <c r="A8" s="25">
        <v>1</v>
      </c>
      <c r="B8" s="120">
        <v>44470</v>
      </c>
      <c r="C8" s="10" t="s">
        <v>2357</v>
      </c>
      <c r="D8" s="25" t="s">
        <v>2371</v>
      </c>
      <c r="E8" s="10" t="s">
        <v>2265</v>
      </c>
      <c r="F8" s="8"/>
      <c r="G8" s="25">
        <v>57</v>
      </c>
      <c r="H8" s="13">
        <f>G8*16580</f>
        <v>945060</v>
      </c>
      <c r="I8" s="8"/>
      <c r="J8" s="50">
        <v>680000</v>
      </c>
      <c r="K8" s="28"/>
      <c r="L8" s="29"/>
      <c r="M8" s="13"/>
      <c r="N8" s="13"/>
      <c r="O8" s="53">
        <f>H8+J8+K8+L8+M8+N8</f>
        <v>1625060</v>
      </c>
      <c r="P8" s="13">
        <v>2472727</v>
      </c>
      <c r="Q8" s="54">
        <f>P8-O8</f>
        <v>847667</v>
      </c>
      <c r="R8" s="5"/>
    </row>
    <row r="9" spans="1:18" ht="33" customHeight="1" x14ac:dyDescent="0.25">
      <c r="A9" s="25">
        <v>2</v>
      </c>
      <c r="B9" s="120">
        <v>44472</v>
      </c>
      <c r="C9" s="10" t="s">
        <v>2358</v>
      </c>
      <c r="D9" s="129" t="s">
        <v>2372</v>
      </c>
      <c r="E9" s="9" t="s">
        <v>736</v>
      </c>
      <c r="F9" s="117"/>
      <c r="G9" s="1">
        <v>81</v>
      </c>
      <c r="H9" s="13">
        <f t="shared" ref="H9:H11" si="0">G9*16580</f>
        <v>1342980</v>
      </c>
      <c r="I9" s="117"/>
      <c r="J9" s="134">
        <v>930000</v>
      </c>
      <c r="K9" s="28"/>
      <c r="L9" s="29"/>
      <c r="M9" s="13"/>
      <c r="N9" s="13"/>
      <c r="O9" s="53">
        <f t="shared" ref="O9:O29" si="1">H9+J9+K9+L9+M9+N9</f>
        <v>2272980</v>
      </c>
      <c r="P9" s="13">
        <v>3400000</v>
      </c>
      <c r="Q9" s="54">
        <f t="shared" ref="Q9:Q29" si="2">P9-O9</f>
        <v>1127020</v>
      </c>
      <c r="R9" s="5"/>
    </row>
    <row r="10" spans="1:18" ht="33" customHeight="1" x14ac:dyDescent="0.25">
      <c r="A10" s="25">
        <v>3</v>
      </c>
      <c r="B10" s="120">
        <v>44473</v>
      </c>
      <c r="C10" s="10" t="s">
        <v>2359</v>
      </c>
      <c r="D10" s="25" t="s">
        <v>2373</v>
      </c>
      <c r="E10" s="10" t="s">
        <v>1395</v>
      </c>
      <c r="F10" s="8"/>
      <c r="G10" s="25">
        <v>77</v>
      </c>
      <c r="H10" s="13">
        <f t="shared" si="0"/>
        <v>1276660</v>
      </c>
      <c r="I10" s="8"/>
      <c r="J10" s="50">
        <f>930000+200000</f>
        <v>1130000</v>
      </c>
      <c r="K10" s="28"/>
      <c r="L10" s="29"/>
      <c r="M10" s="13"/>
      <c r="N10" s="13"/>
      <c r="O10" s="53">
        <f t="shared" si="1"/>
        <v>2406660</v>
      </c>
      <c r="P10" s="13">
        <v>4390909</v>
      </c>
      <c r="Q10" s="54">
        <f t="shared" si="2"/>
        <v>1984249</v>
      </c>
      <c r="R10" s="5"/>
    </row>
    <row r="11" spans="1:18" ht="33" customHeight="1" x14ac:dyDescent="0.25">
      <c r="A11" s="25">
        <v>4</v>
      </c>
      <c r="B11" s="120">
        <v>44475</v>
      </c>
      <c r="C11" s="10" t="s">
        <v>2360</v>
      </c>
      <c r="D11" s="25" t="s">
        <v>2374</v>
      </c>
      <c r="E11" s="10" t="s">
        <v>2160</v>
      </c>
      <c r="F11" s="8"/>
      <c r="G11" s="25">
        <v>116</v>
      </c>
      <c r="H11" s="13">
        <f t="shared" si="0"/>
        <v>1923280</v>
      </c>
      <c r="I11" s="8"/>
      <c r="J11" s="50">
        <v>1080000</v>
      </c>
      <c r="K11" s="28"/>
      <c r="L11" s="29"/>
      <c r="M11" s="13"/>
      <c r="N11" s="13"/>
      <c r="O11" s="53">
        <f t="shared" si="1"/>
        <v>3003280</v>
      </c>
      <c r="P11" s="13">
        <v>4500000</v>
      </c>
      <c r="Q11" s="54">
        <f t="shared" si="2"/>
        <v>1496720</v>
      </c>
      <c r="R11" s="5"/>
    </row>
    <row r="12" spans="1:18" ht="33" customHeight="1" x14ac:dyDescent="0.25">
      <c r="A12" s="25">
        <v>5</v>
      </c>
      <c r="B12" s="120">
        <v>44476</v>
      </c>
      <c r="C12" s="10" t="s">
        <v>949</v>
      </c>
      <c r="D12" s="25" t="s">
        <v>2375</v>
      </c>
      <c r="E12" s="10" t="s">
        <v>2391</v>
      </c>
      <c r="F12" s="8"/>
      <c r="G12" s="25">
        <v>118</v>
      </c>
      <c r="H12" s="13">
        <f>G12*16580</f>
        <v>1956440</v>
      </c>
      <c r="I12" s="8"/>
      <c r="J12" s="50">
        <f>680000+350000</f>
        <v>1030000</v>
      </c>
      <c r="K12" s="28"/>
      <c r="L12" s="29"/>
      <c r="M12" s="13"/>
      <c r="N12" s="13"/>
      <c r="O12" s="53">
        <f t="shared" si="1"/>
        <v>2986440</v>
      </c>
      <c r="P12" s="13">
        <v>4600000</v>
      </c>
      <c r="Q12" s="54">
        <f t="shared" si="2"/>
        <v>1613560</v>
      </c>
      <c r="R12" s="5"/>
    </row>
    <row r="13" spans="1:18" ht="33" customHeight="1" x14ac:dyDescent="0.25">
      <c r="A13" s="25">
        <v>6</v>
      </c>
      <c r="B13" s="120">
        <v>44477</v>
      </c>
      <c r="C13" s="10" t="s">
        <v>2361</v>
      </c>
      <c r="D13" s="25" t="s">
        <v>2376</v>
      </c>
      <c r="E13" s="10" t="s">
        <v>122</v>
      </c>
      <c r="F13" s="8"/>
      <c r="G13" s="25">
        <f>88+3</f>
        <v>91</v>
      </c>
      <c r="H13" s="13">
        <f>G13*17540</f>
        <v>1596140</v>
      </c>
      <c r="I13" s="8"/>
      <c r="J13" s="50">
        <v>930000</v>
      </c>
      <c r="K13" s="28"/>
      <c r="L13" s="29"/>
      <c r="M13" s="13"/>
      <c r="N13" s="13"/>
      <c r="O13" s="53">
        <f t="shared" si="1"/>
        <v>2526140</v>
      </c>
      <c r="P13" s="13">
        <v>3400000</v>
      </c>
      <c r="Q13" s="54">
        <f t="shared" si="2"/>
        <v>873860</v>
      </c>
      <c r="R13" s="5"/>
    </row>
    <row r="14" spans="1:18" ht="33" customHeight="1" x14ac:dyDescent="0.25">
      <c r="A14" s="25">
        <v>7</v>
      </c>
      <c r="B14" s="120">
        <v>44480</v>
      </c>
      <c r="C14" s="10" t="s">
        <v>2362</v>
      </c>
      <c r="D14" s="25" t="s">
        <v>2377</v>
      </c>
      <c r="E14" s="10" t="s">
        <v>2392</v>
      </c>
      <c r="F14" s="8"/>
      <c r="G14" s="25">
        <v>45</v>
      </c>
      <c r="H14" s="13">
        <f t="shared" ref="H14:H24" si="3">G14*17540</f>
        <v>789300</v>
      </c>
      <c r="I14" s="8"/>
      <c r="J14" s="50">
        <v>600000</v>
      </c>
      <c r="K14" s="28"/>
      <c r="L14" s="29"/>
      <c r="M14" s="13"/>
      <c r="N14" s="13"/>
      <c r="O14" s="53">
        <f t="shared" si="1"/>
        <v>1389300</v>
      </c>
      <c r="P14" s="13">
        <v>2472727</v>
      </c>
      <c r="Q14" s="54">
        <f t="shared" si="2"/>
        <v>1083427</v>
      </c>
      <c r="R14" s="5"/>
    </row>
    <row r="15" spans="1:18" ht="33" customHeight="1" x14ac:dyDescent="0.25">
      <c r="A15" s="25">
        <v>8</v>
      </c>
      <c r="B15" s="120">
        <v>44480</v>
      </c>
      <c r="C15" s="10" t="s">
        <v>209</v>
      </c>
      <c r="D15" s="25" t="s">
        <v>2378</v>
      </c>
      <c r="E15" s="10" t="s">
        <v>2393</v>
      </c>
      <c r="F15" s="8"/>
      <c r="G15" s="25">
        <v>112</v>
      </c>
      <c r="H15" s="13">
        <f t="shared" si="3"/>
        <v>1964480</v>
      </c>
      <c r="I15" s="8"/>
      <c r="J15" s="134">
        <f>600000+500000</f>
        <v>1100000</v>
      </c>
      <c r="K15" s="28"/>
      <c r="L15" s="29"/>
      <c r="M15" s="13"/>
      <c r="N15" s="13"/>
      <c r="O15" s="53">
        <f t="shared" si="1"/>
        <v>3064480</v>
      </c>
      <c r="P15" s="13">
        <v>4600000</v>
      </c>
      <c r="Q15" s="54">
        <f t="shared" si="2"/>
        <v>1535520</v>
      </c>
      <c r="R15" s="5"/>
    </row>
    <row r="16" spans="1:18" ht="33" customHeight="1" x14ac:dyDescent="0.25">
      <c r="A16" s="25">
        <v>9</v>
      </c>
      <c r="B16" s="120">
        <v>44482</v>
      </c>
      <c r="C16" s="10" t="s">
        <v>2363</v>
      </c>
      <c r="D16" s="25" t="s">
        <v>775</v>
      </c>
      <c r="E16" s="10" t="s">
        <v>2394</v>
      </c>
      <c r="F16" s="8"/>
      <c r="G16" s="25">
        <v>119</v>
      </c>
      <c r="H16" s="13">
        <f t="shared" si="3"/>
        <v>2087260</v>
      </c>
      <c r="I16" s="8"/>
      <c r="J16" s="50">
        <v>1100000</v>
      </c>
      <c r="K16" s="28"/>
      <c r="L16" s="29"/>
      <c r="M16" s="13"/>
      <c r="N16" s="13"/>
      <c r="O16" s="53">
        <f t="shared" si="1"/>
        <v>3187260</v>
      </c>
      <c r="P16" s="13">
        <v>4600000</v>
      </c>
      <c r="Q16" s="54">
        <f t="shared" si="2"/>
        <v>1412740</v>
      </c>
      <c r="R16" s="5"/>
    </row>
    <row r="17" spans="1:18" ht="33" customHeight="1" x14ac:dyDescent="0.25">
      <c r="A17" s="25">
        <v>10</v>
      </c>
      <c r="B17" s="120">
        <v>44483</v>
      </c>
      <c r="C17" s="10" t="s">
        <v>2364</v>
      </c>
      <c r="D17" s="25" t="s">
        <v>2379</v>
      </c>
      <c r="E17" s="10" t="s">
        <v>1762</v>
      </c>
      <c r="F17" s="8"/>
      <c r="G17" s="25">
        <v>78</v>
      </c>
      <c r="H17" s="13">
        <f t="shared" si="3"/>
        <v>1368120</v>
      </c>
      <c r="I17" s="8"/>
      <c r="J17" s="50">
        <v>930000</v>
      </c>
      <c r="K17" s="28"/>
      <c r="L17" s="29"/>
      <c r="M17" s="13"/>
      <c r="N17" s="13"/>
      <c r="O17" s="53">
        <f t="shared" si="1"/>
        <v>2298120</v>
      </c>
      <c r="P17" s="13">
        <v>3800000</v>
      </c>
      <c r="Q17" s="54">
        <f t="shared" si="2"/>
        <v>1501880</v>
      </c>
      <c r="R17" s="5"/>
    </row>
    <row r="18" spans="1:18" ht="33" customHeight="1" x14ac:dyDescent="0.25">
      <c r="A18" s="25">
        <v>11</v>
      </c>
      <c r="B18" s="120">
        <v>44484</v>
      </c>
      <c r="C18" s="10" t="s">
        <v>2365</v>
      </c>
      <c r="D18" s="25" t="s">
        <v>2380</v>
      </c>
      <c r="E18" s="10" t="s">
        <v>33</v>
      </c>
      <c r="F18" s="8"/>
      <c r="G18" s="25">
        <v>128</v>
      </c>
      <c r="H18" s="13">
        <f t="shared" si="3"/>
        <v>2245120</v>
      </c>
      <c r="I18" s="8"/>
      <c r="J18" s="50">
        <v>1420000</v>
      </c>
      <c r="K18" s="28"/>
      <c r="L18" s="29"/>
      <c r="M18" s="13"/>
      <c r="N18" s="13"/>
      <c r="O18" s="53">
        <f t="shared" si="1"/>
        <v>3665120</v>
      </c>
      <c r="P18" s="13">
        <v>0</v>
      </c>
      <c r="Q18" s="54">
        <f t="shared" si="2"/>
        <v>-3665120</v>
      </c>
      <c r="R18" s="5"/>
    </row>
    <row r="19" spans="1:18" ht="33" customHeight="1" x14ac:dyDescent="0.25">
      <c r="A19" s="25">
        <v>12</v>
      </c>
      <c r="B19" s="120">
        <v>44487</v>
      </c>
      <c r="C19" s="10" t="s">
        <v>2366</v>
      </c>
      <c r="D19" s="25" t="s">
        <v>2381</v>
      </c>
      <c r="E19" s="10" t="s">
        <v>2160</v>
      </c>
      <c r="F19" s="8"/>
      <c r="G19" s="25">
        <v>116</v>
      </c>
      <c r="H19" s="13">
        <f t="shared" si="3"/>
        <v>2034640</v>
      </c>
      <c r="I19" s="8"/>
      <c r="J19" s="50">
        <v>1330000</v>
      </c>
      <c r="K19" s="28"/>
      <c r="L19" s="29"/>
      <c r="M19" s="13"/>
      <c r="N19" s="13"/>
      <c r="O19" s="53">
        <f t="shared" si="1"/>
        <v>3364640</v>
      </c>
      <c r="P19" s="13">
        <v>4500000</v>
      </c>
      <c r="Q19" s="54">
        <f t="shared" si="2"/>
        <v>1135360</v>
      </c>
      <c r="R19" s="5"/>
    </row>
    <row r="20" spans="1:18" ht="33" customHeight="1" x14ac:dyDescent="0.25">
      <c r="A20" s="25">
        <v>13</v>
      </c>
      <c r="B20" s="120">
        <v>44487</v>
      </c>
      <c r="C20" s="10" t="s">
        <v>1622</v>
      </c>
      <c r="D20" s="25" t="s">
        <v>2382</v>
      </c>
      <c r="E20" s="10" t="s">
        <v>1504</v>
      </c>
      <c r="F20" s="8"/>
      <c r="G20" s="25">
        <v>84</v>
      </c>
      <c r="H20" s="13">
        <f t="shared" si="3"/>
        <v>1473360</v>
      </c>
      <c r="I20" s="8"/>
      <c r="J20" s="50">
        <v>930000</v>
      </c>
      <c r="K20" s="28"/>
      <c r="L20" s="29"/>
      <c r="M20" s="13"/>
      <c r="N20" s="13"/>
      <c r="O20" s="53">
        <f t="shared" si="1"/>
        <v>2403360</v>
      </c>
      <c r="P20" s="13">
        <v>3500000</v>
      </c>
      <c r="Q20" s="54">
        <f t="shared" si="2"/>
        <v>1096640</v>
      </c>
      <c r="R20" s="5"/>
    </row>
    <row r="21" spans="1:18" ht="33" customHeight="1" x14ac:dyDescent="0.25">
      <c r="A21" s="25">
        <v>14</v>
      </c>
      <c r="B21" s="120">
        <v>44488</v>
      </c>
      <c r="C21" s="10" t="s">
        <v>2367</v>
      </c>
      <c r="D21" s="25" t="s">
        <v>2383</v>
      </c>
      <c r="E21" s="10" t="s">
        <v>2395</v>
      </c>
      <c r="F21" s="8"/>
      <c r="G21" s="25">
        <v>102</v>
      </c>
      <c r="H21" s="13">
        <f t="shared" si="3"/>
        <v>1789080</v>
      </c>
      <c r="I21" s="8"/>
      <c r="J21" s="50">
        <v>930000</v>
      </c>
      <c r="K21" s="28"/>
      <c r="L21" s="29"/>
      <c r="M21" s="13"/>
      <c r="N21" s="13"/>
      <c r="O21" s="53">
        <f t="shared" si="1"/>
        <v>2719080</v>
      </c>
      <c r="P21" s="13">
        <v>3700000</v>
      </c>
      <c r="Q21" s="54">
        <f t="shared" si="2"/>
        <v>980920</v>
      </c>
      <c r="R21" s="5"/>
    </row>
    <row r="22" spans="1:18" ht="33" customHeight="1" x14ac:dyDescent="0.25">
      <c r="A22" s="25">
        <v>15</v>
      </c>
      <c r="B22" s="120">
        <v>44489</v>
      </c>
      <c r="C22" s="10" t="s">
        <v>2368</v>
      </c>
      <c r="D22" s="25" t="s">
        <v>2384</v>
      </c>
      <c r="E22" s="10" t="s">
        <v>2045</v>
      </c>
      <c r="F22" s="8"/>
      <c r="G22" s="25">
        <v>320</v>
      </c>
      <c r="H22" s="13">
        <f t="shared" si="3"/>
        <v>5612800</v>
      </c>
      <c r="I22" s="8"/>
      <c r="J22" s="50">
        <v>3550000</v>
      </c>
      <c r="K22" s="28"/>
      <c r="L22" s="29"/>
      <c r="M22" s="13"/>
      <c r="N22" s="13"/>
      <c r="O22" s="53">
        <f t="shared" si="1"/>
        <v>9162800</v>
      </c>
      <c r="P22" s="13">
        <v>17395455</v>
      </c>
      <c r="Q22" s="54">
        <f t="shared" si="2"/>
        <v>8232655</v>
      </c>
      <c r="R22" s="5"/>
    </row>
    <row r="23" spans="1:18" ht="33" customHeight="1" x14ac:dyDescent="0.25">
      <c r="A23" s="25">
        <v>16</v>
      </c>
      <c r="B23" s="120">
        <v>44491</v>
      </c>
      <c r="C23" s="10" t="s">
        <v>2369</v>
      </c>
      <c r="D23" s="25" t="s">
        <v>2385</v>
      </c>
      <c r="E23" s="10" t="s">
        <v>2396</v>
      </c>
      <c r="F23" s="8"/>
      <c r="G23" s="25">
        <v>58</v>
      </c>
      <c r="H23" s="13">
        <f t="shared" si="3"/>
        <v>1017320</v>
      </c>
      <c r="I23" s="8"/>
      <c r="J23" s="50">
        <v>900000</v>
      </c>
      <c r="K23" s="28"/>
      <c r="L23" s="29"/>
      <c r="M23" s="13"/>
      <c r="N23" s="13"/>
      <c r="O23" s="53">
        <f t="shared" si="1"/>
        <v>1917320</v>
      </c>
      <c r="P23" s="13">
        <v>2472727</v>
      </c>
      <c r="Q23" s="54">
        <f t="shared" si="2"/>
        <v>555407</v>
      </c>
      <c r="R23" s="5"/>
    </row>
    <row r="24" spans="1:18" ht="33" customHeight="1" x14ac:dyDescent="0.25">
      <c r="A24" s="25">
        <v>17</v>
      </c>
      <c r="B24" s="120">
        <v>44493</v>
      </c>
      <c r="C24" s="10" t="s">
        <v>2370</v>
      </c>
      <c r="D24" s="25" t="s">
        <v>2385</v>
      </c>
      <c r="E24" s="10" t="s">
        <v>2397</v>
      </c>
      <c r="F24" s="8"/>
      <c r="G24" s="25"/>
      <c r="H24" s="13">
        <f t="shared" si="3"/>
        <v>0</v>
      </c>
      <c r="I24" s="8"/>
      <c r="J24" s="50">
        <v>0</v>
      </c>
      <c r="K24" s="28"/>
      <c r="L24" s="29"/>
      <c r="M24" s="13"/>
      <c r="N24" s="13"/>
      <c r="O24" s="53">
        <f t="shared" si="1"/>
        <v>0</v>
      </c>
      <c r="P24" s="13">
        <v>1327273</v>
      </c>
      <c r="Q24" s="54">
        <f t="shared" si="2"/>
        <v>1327273</v>
      </c>
      <c r="R24" s="5"/>
    </row>
    <row r="25" spans="1:18" ht="33" customHeight="1" x14ac:dyDescent="0.25">
      <c r="A25" s="25">
        <v>18</v>
      </c>
      <c r="B25" s="120">
        <v>44494</v>
      </c>
      <c r="C25" s="10" t="s">
        <v>220</v>
      </c>
      <c r="D25" s="25" t="s">
        <v>2386</v>
      </c>
      <c r="E25" s="10" t="s">
        <v>2398</v>
      </c>
      <c r="F25" s="8"/>
      <c r="G25" s="25">
        <v>124</v>
      </c>
      <c r="H25" s="13">
        <f>G25*18710</f>
        <v>2320040</v>
      </c>
      <c r="I25" s="8"/>
      <c r="J25" s="50">
        <v>1100000</v>
      </c>
      <c r="K25" s="28"/>
      <c r="L25" s="29"/>
      <c r="M25" s="13"/>
      <c r="N25" s="13"/>
      <c r="O25" s="53">
        <f t="shared" si="1"/>
        <v>3420040</v>
      </c>
      <c r="P25" s="13">
        <v>4900000</v>
      </c>
      <c r="Q25" s="54">
        <f t="shared" si="2"/>
        <v>1479960</v>
      </c>
      <c r="R25" s="5"/>
    </row>
    <row r="26" spans="1:18" ht="33" customHeight="1" x14ac:dyDescent="0.25">
      <c r="A26" s="25">
        <v>19</v>
      </c>
      <c r="B26" s="120">
        <v>44494</v>
      </c>
      <c r="C26" s="10" t="s">
        <v>1627</v>
      </c>
      <c r="D26" s="25" t="s">
        <v>2387</v>
      </c>
      <c r="E26" s="10" t="s">
        <v>1043</v>
      </c>
      <c r="F26" s="8"/>
      <c r="G26" s="25">
        <v>114</v>
      </c>
      <c r="H26" s="13">
        <f t="shared" ref="H26:H29" si="4">G26*18710</f>
        <v>2132940</v>
      </c>
      <c r="I26" s="8"/>
      <c r="J26" s="50">
        <v>930000</v>
      </c>
      <c r="K26" s="28"/>
      <c r="L26" s="29"/>
      <c r="M26" s="13"/>
      <c r="N26" s="13"/>
      <c r="O26" s="53">
        <f t="shared" si="1"/>
        <v>3062940</v>
      </c>
      <c r="P26" s="13">
        <v>4772727</v>
      </c>
      <c r="Q26" s="54">
        <f t="shared" si="2"/>
        <v>1709787</v>
      </c>
      <c r="R26" s="5"/>
    </row>
    <row r="27" spans="1:18" ht="33" customHeight="1" x14ac:dyDescent="0.25">
      <c r="A27" s="25">
        <v>20</v>
      </c>
      <c r="B27" s="120">
        <v>44495</v>
      </c>
      <c r="C27" s="10" t="s">
        <v>1628</v>
      </c>
      <c r="D27" s="25" t="s">
        <v>2388</v>
      </c>
      <c r="E27" s="10" t="s">
        <v>1043</v>
      </c>
      <c r="F27" s="8"/>
      <c r="G27" s="25">
        <v>120</v>
      </c>
      <c r="H27" s="13">
        <f t="shared" si="4"/>
        <v>2245200</v>
      </c>
      <c r="I27" s="8"/>
      <c r="J27" s="50">
        <f>930000+200000</f>
        <v>1130000</v>
      </c>
      <c r="K27" s="28"/>
      <c r="L27" s="29"/>
      <c r="M27" s="13"/>
      <c r="N27" s="13"/>
      <c r="O27" s="53">
        <f t="shared" si="1"/>
        <v>3375200</v>
      </c>
      <c r="P27" s="13">
        <v>5363636</v>
      </c>
      <c r="Q27" s="54">
        <f t="shared" si="2"/>
        <v>1988436</v>
      </c>
      <c r="R27" s="5"/>
    </row>
    <row r="28" spans="1:18" ht="33" customHeight="1" x14ac:dyDescent="0.25">
      <c r="A28" s="25">
        <v>21</v>
      </c>
      <c r="B28" s="120">
        <v>44496</v>
      </c>
      <c r="C28" s="10" t="s">
        <v>981</v>
      </c>
      <c r="D28" s="25" t="s">
        <v>2389</v>
      </c>
      <c r="E28" s="10" t="s">
        <v>2399</v>
      </c>
      <c r="F28" s="8"/>
      <c r="G28" s="25">
        <v>89</v>
      </c>
      <c r="H28" s="13">
        <f t="shared" si="4"/>
        <v>1665190</v>
      </c>
      <c r="I28" s="8"/>
      <c r="J28" s="50">
        <v>680000</v>
      </c>
      <c r="K28" s="28"/>
      <c r="L28" s="29"/>
      <c r="M28" s="13"/>
      <c r="N28" s="13"/>
      <c r="O28" s="53">
        <f t="shared" si="1"/>
        <v>2345190</v>
      </c>
      <c r="P28" s="13">
        <v>3800000</v>
      </c>
      <c r="Q28" s="54">
        <f t="shared" si="2"/>
        <v>1454810</v>
      </c>
      <c r="R28" s="5"/>
    </row>
    <row r="29" spans="1:18" ht="33" customHeight="1" x14ac:dyDescent="0.25">
      <c r="A29" s="25">
        <v>22</v>
      </c>
      <c r="B29" s="120">
        <v>44497</v>
      </c>
      <c r="C29" s="10" t="s">
        <v>1630</v>
      </c>
      <c r="D29" s="25" t="s">
        <v>2390</v>
      </c>
      <c r="E29" s="10" t="s">
        <v>2265</v>
      </c>
      <c r="F29" s="8"/>
      <c r="G29" s="25">
        <v>56</v>
      </c>
      <c r="H29" s="13">
        <f t="shared" si="4"/>
        <v>1047760</v>
      </c>
      <c r="I29" s="8"/>
      <c r="J29" s="50">
        <v>680000</v>
      </c>
      <c r="K29" s="28"/>
      <c r="L29" s="29"/>
      <c r="M29" s="13"/>
      <c r="N29" s="13"/>
      <c r="O29" s="53">
        <f t="shared" si="1"/>
        <v>1727760</v>
      </c>
      <c r="P29" s="13">
        <v>2472727</v>
      </c>
      <c r="Q29" s="54">
        <f t="shared" si="2"/>
        <v>744967</v>
      </c>
      <c r="R29" s="5"/>
    </row>
    <row r="30" spans="1:18" ht="18" customHeight="1" x14ac:dyDescent="0.25">
      <c r="A30" s="8"/>
      <c r="B30" s="8"/>
      <c r="C30" s="213"/>
      <c r="D30" s="214"/>
      <c r="E30" s="214"/>
      <c r="F30" s="215"/>
      <c r="G30" s="46"/>
      <c r="H30" s="18"/>
      <c r="I30" s="46"/>
      <c r="J30" s="18"/>
      <c r="K30" s="18"/>
      <c r="L30" s="18"/>
      <c r="M30" s="18"/>
      <c r="N30" s="28"/>
      <c r="O30" s="53"/>
      <c r="P30" s="28"/>
      <c r="Q30" s="54"/>
    </row>
    <row r="31" spans="1:18" ht="24" customHeight="1" x14ac:dyDescent="0.25">
      <c r="A31" s="8"/>
      <c r="B31" s="8"/>
      <c r="C31" s="17" t="s">
        <v>131</v>
      </c>
      <c r="D31" s="8"/>
      <c r="E31" s="10"/>
      <c r="F31" s="8"/>
      <c r="G31" s="8"/>
      <c r="H31" s="13"/>
      <c r="I31" s="8"/>
      <c r="J31" s="13"/>
      <c r="K31" s="28"/>
      <c r="L31" s="90">
        <v>1200000</v>
      </c>
      <c r="M31" s="28"/>
      <c r="N31" s="28"/>
      <c r="O31" s="53">
        <f t="shared" ref="O31:O47" si="5">H31+J31+K31+L31+M31+N31</f>
        <v>1200000</v>
      </c>
      <c r="P31" s="28"/>
      <c r="Q31" s="54"/>
    </row>
    <row r="32" spans="1:18" ht="24" customHeight="1" x14ac:dyDescent="0.25">
      <c r="A32" s="8"/>
      <c r="B32" s="8"/>
      <c r="C32" s="196" t="s">
        <v>2400</v>
      </c>
      <c r="D32" s="197"/>
      <c r="E32" s="197"/>
      <c r="F32" s="198"/>
      <c r="G32" s="30"/>
      <c r="H32" s="28"/>
      <c r="I32" s="30"/>
      <c r="J32" s="28"/>
      <c r="K32" s="28"/>
      <c r="L32" s="90">
        <v>120000</v>
      </c>
      <c r="M32" s="28"/>
      <c r="N32" s="28"/>
      <c r="O32" s="53">
        <f t="shared" si="5"/>
        <v>120000</v>
      </c>
      <c r="P32" s="28"/>
      <c r="Q32" s="54"/>
    </row>
    <row r="33" spans="1:17" ht="24" customHeight="1" x14ac:dyDescent="0.25">
      <c r="A33" s="8"/>
      <c r="B33" s="8"/>
      <c r="C33" s="196" t="s">
        <v>2401</v>
      </c>
      <c r="D33" s="197"/>
      <c r="E33" s="197"/>
      <c r="F33" s="198"/>
      <c r="G33" s="30"/>
      <c r="H33" s="28"/>
      <c r="I33" s="30"/>
      <c r="J33" s="28"/>
      <c r="K33" s="28"/>
      <c r="L33" s="90">
        <v>2200000</v>
      </c>
      <c r="M33" s="28"/>
      <c r="N33" s="28"/>
      <c r="O33" s="53">
        <f t="shared" si="5"/>
        <v>2200000</v>
      </c>
      <c r="P33" s="28"/>
      <c r="Q33" s="54"/>
    </row>
    <row r="34" spans="1:17" ht="24" customHeight="1" x14ac:dyDescent="0.25">
      <c r="A34" s="8"/>
      <c r="B34" s="8"/>
      <c r="C34" s="196" t="s">
        <v>2402</v>
      </c>
      <c r="D34" s="197"/>
      <c r="E34" s="197"/>
      <c r="F34" s="127"/>
      <c r="G34" s="30"/>
      <c r="H34" s="28"/>
      <c r="I34" s="30"/>
      <c r="J34" s="28"/>
      <c r="K34" s="28"/>
      <c r="L34" s="90">
        <v>180000</v>
      </c>
      <c r="M34" s="28"/>
      <c r="N34" s="28"/>
      <c r="O34" s="53">
        <f t="shared" si="5"/>
        <v>180000</v>
      </c>
      <c r="P34" s="28"/>
      <c r="Q34" s="54"/>
    </row>
    <row r="35" spans="1:17" ht="24" customHeight="1" x14ac:dyDescent="0.25">
      <c r="A35" s="8"/>
      <c r="B35" s="8"/>
      <c r="C35" s="199" t="s">
        <v>2403</v>
      </c>
      <c r="D35" s="200"/>
      <c r="E35" s="200"/>
      <c r="F35" s="201"/>
      <c r="G35" s="30"/>
      <c r="H35" s="28"/>
      <c r="I35" s="30"/>
      <c r="J35" s="28"/>
      <c r="K35" s="28"/>
      <c r="L35" s="48">
        <v>900000</v>
      </c>
      <c r="M35" s="28"/>
      <c r="N35" s="28"/>
      <c r="O35" s="53">
        <f t="shared" si="5"/>
        <v>900000</v>
      </c>
      <c r="P35" s="28"/>
      <c r="Q35" s="54"/>
    </row>
    <row r="36" spans="1:17" ht="24" customHeight="1" x14ac:dyDescent="0.25">
      <c r="A36" s="8"/>
      <c r="B36" s="8"/>
      <c r="C36" s="196" t="s">
        <v>2410</v>
      </c>
      <c r="D36" s="197"/>
      <c r="E36" s="197"/>
      <c r="F36" s="198"/>
      <c r="G36" s="30"/>
      <c r="H36" s="28"/>
      <c r="I36" s="30"/>
      <c r="J36" s="28"/>
      <c r="K36" s="28"/>
      <c r="L36" s="90">
        <v>370000</v>
      </c>
      <c r="M36" s="28"/>
      <c r="N36" s="28"/>
      <c r="O36" s="53">
        <f t="shared" si="5"/>
        <v>370000</v>
      </c>
      <c r="P36" s="28"/>
      <c r="Q36" s="54"/>
    </row>
    <row r="37" spans="1:17" ht="24" customHeight="1" x14ac:dyDescent="0.25">
      <c r="A37" s="8"/>
      <c r="B37" s="8"/>
      <c r="C37" s="196" t="s">
        <v>2411</v>
      </c>
      <c r="D37" s="197"/>
      <c r="E37" s="197"/>
      <c r="F37" s="198"/>
      <c r="G37" s="30"/>
      <c r="H37" s="28"/>
      <c r="I37" s="30"/>
      <c r="J37" s="28"/>
      <c r="K37" s="28"/>
      <c r="L37" s="90">
        <v>7075000</v>
      </c>
      <c r="M37" s="28"/>
      <c r="N37" s="28"/>
      <c r="O37" s="53">
        <f t="shared" si="5"/>
        <v>7075000</v>
      </c>
      <c r="P37" s="28"/>
      <c r="Q37" s="54"/>
    </row>
    <row r="38" spans="1:17" ht="24" customHeight="1" x14ac:dyDescent="0.25">
      <c r="A38" s="8"/>
      <c r="B38" s="8"/>
      <c r="C38" s="196" t="s">
        <v>2531</v>
      </c>
      <c r="D38" s="197"/>
      <c r="E38" s="197"/>
      <c r="F38" s="198"/>
      <c r="G38" s="30"/>
      <c r="H38" s="28"/>
      <c r="I38" s="30"/>
      <c r="J38" s="28"/>
      <c r="K38" s="28"/>
      <c r="L38" s="90">
        <v>800000</v>
      </c>
      <c r="M38" s="28"/>
      <c r="N38" s="28"/>
      <c r="O38" s="53">
        <f t="shared" si="5"/>
        <v>800000</v>
      </c>
      <c r="P38" s="28"/>
      <c r="Q38" s="54"/>
    </row>
    <row r="39" spans="1:17" ht="24" customHeight="1" x14ac:dyDescent="0.25">
      <c r="A39" s="8"/>
      <c r="B39" s="8"/>
      <c r="C39" s="199" t="s">
        <v>2530</v>
      </c>
      <c r="D39" s="200"/>
      <c r="E39" s="200"/>
      <c r="F39" s="201"/>
      <c r="G39" s="93"/>
      <c r="H39" s="48"/>
      <c r="I39" s="93"/>
      <c r="J39" s="48"/>
      <c r="K39" s="48"/>
      <c r="L39" s="48">
        <v>4345000</v>
      </c>
      <c r="M39" s="48"/>
      <c r="N39" s="48"/>
      <c r="O39" s="103">
        <f t="shared" si="5"/>
        <v>4345000</v>
      </c>
      <c r="P39" s="28"/>
      <c r="Q39" s="54"/>
    </row>
    <row r="40" spans="1:17" ht="24" customHeight="1" x14ac:dyDescent="0.25">
      <c r="A40" s="8"/>
      <c r="B40" s="8"/>
      <c r="C40" s="196" t="s">
        <v>2404</v>
      </c>
      <c r="D40" s="197"/>
      <c r="E40" s="197"/>
      <c r="F40" s="198"/>
      <c r="G40" s="30"/>
      <c r="H40" s="28"/>
      <c r="I40" s="30"/>
      <c r="J40" s="28"/>
      <c r="K40" s="90">
        <v>163000</v>
      </c>
      <c r="L40" s="18"/>
      <c r="M40" s="18"/>
      <c r="N40" s="28"/>
      <c r="O40" s="53">
        <f t="shared" si="5"/>
        <v>163000</v>
      </c>
      <c r="P40" s="28"/>
      <c r="Q40" s="54"/>
    </row>
    <row r="41" spans="1:17" ht="24" customHeight="1" x14ac:dyDescent="0.25">
      <c r="A41" s="8"/>
      <c r="B41" s="8"/>
      <c r="C41" s="196" t="s">
        <v>2405</v>
      </c>
      <c r="D41" s="197"/>
      <c r="E41" s="197"/>
      <c r="F41" s="127"/>
      <c r="G41" s="30"/>
      <c r="H41" s="28"/>
      <c r="I41" s="30"/>
      <c r="J41" s="28"/>
      <c r="K41" s="90">
        <v>163000</v>
      </c>
      <c r="L41" s="18"/>
      <c r="M41" s="18"/>
      <c r="N41" s="28"/>
      <c r="O41" s="53">
        <f t="shared" si="5"/>
        <v>163000</v>
      </c>
      <c r="P41" s="28"/>
      <c r="Q41" s="54"/>
    </row>
    <row r="42" spans="1:17" ht="24" customHeight="1" x14ac:dyDescent="0.25">
      <c r="A42" s="8"/>
      <c r="B42" s="8"/>
      <c r="C42" s="196" t="s">
        <v>2406</v>
      </c>
      <c r="D42" s="197"/>
      <c r="E42" s="197"/>
      <c r="F42" s="198"/>
      <c r="G42" s="30"/>
      <c r="H42" s="28"/>
      <c r="I42" s="30"/>
      <c r="J42" s="28"/>
      <c r="K42" s="90">
        <v>170000</v>
      </c>
      <c r="L42" s="18"/>
      <c r="M42" s="18"/>
      <c r="N42" s="28"/>
      <c r="O42" s="53">
        <f t="shared" si="5"/>
        <v>170000</v>
      </c>
      <c r="P42" s="28"/>
      <c r="Q42" s="54"/>
    </row>
    <row r="43" spans="1:17" ht="24" customHeight="1" x14ac:dyDescent="0.25">
      <c r="A43" s="8"/>
      <c r="B43" s="8"/>
      <c r="C43" s="196" t="s">
        <v>2407</v>
      </c>
      <c r="D43" s="197"/>
      <c r="E43" s="197"/>
      <c r="F43" s="198"/>
      <c r="G43" s="30"/>
      <c r="H43" s="28"/>
      <c r="I43" s="30"/>
      <c r="J43" s="28"/>
      <c r="K43" s="90">
        <v>163000</v>
      </c>
      <c r="L43" s="18"/>
      <c r="M43" s="18"/>
      <c r="N43" s="28"/>
      <c r="O43" s="53">
        <f t="shared" si="5"/>
        <v>163000</v>
      </c>
      <c r="P43" s="28"/>
      <c r="Q43" s="54"/>
    </row>
    <row r="44" spans="1:17" ht="24" customHeight="1" x14ac:dyDescent="0.25">
      <c r="A44" s="8"/>
      <c r="B44" s="8"/>
      <c r="C44" s="196" t="s">
        <v>2408</v>
      </c>
      <c r="D44" s="197"/>
      <c r="E44" s="197"/>
      <c r="F44" s="127"/>
      <c r="G44" s="30"/>
      <c r="H44" s="28"/>
      <c r="I44" s="30"/>
      <c r="J44" s="28"/>
      <c r="K44" s="90">
        <v>163000</v>
      </c>
      <c r="L44" s="18"/>
      <c r="M44" s="18"/>
      <c r="N44" s="28"/>
      <c r="O44" s="53">
        <f t="shared" si="5"/>
        <v>163000</v>
      </c>
      <c r="P44" s="28"/>
      <c r="Q44" s="54"/>
    </row>
    <row r="45" spans="1:17" ht="24" customHeight="1" x14ac:dyDescent="0.25">
      <c r="A45" s="8"/>
      <c r="B45" s="8"/>
      <c r="C45" s="196" t="s">
        <v>2409</v>
      </c>
      <c r="D45" s="197"/>
      <c r="E45" s="197"/>
      <c r="F45" s="127"/>
      <c r="G45" s="30"/>
      <c r="H45" s="28"/>
      <c r="I45" s="30"/>
      <c r="J45" s="28"/>
      <c r="K45" s="90">
        <v>160000</v>
      </c>
      <c r="L45" s="18"/>
      <c r="M45" s="18"/>
      <c r="N45" s="28"/>
      <c r="O45" s="53">
        <f t="shared" si="5"/>
        <v>160000</v>
      </c>
      <c r="P45" s="28"/>
      <c r="Q45" s="54"/>
    </row>
    <row r="46" spans="1:17" ht="24" customHeight="1" x14ac:dyDescent="0.25">
      <c r="A46" s="8"/>
      <c r="B46" s="8"/>
      <c r="C46" s="196" t="s">
        <v>2470</v>
      </c>
      <c r="D46" s="197"/>
      <c r="E46" s="197"/>
      <c r="F46" s="198"/>
      <c r="G46" s="30"/>
      <c r="H46" s="28"/>
      <c r="I46" s="30"/>
      <c r="J46" s="28"/>
      <c r="K46" s="90">
        <v>170000</v>
      </c>
      <c r="L46" s="18"/>
      <c r="M46" s="18"/>
      <c r="N46" s="28"/>
      <c r="O46" s="53">
        <f t="shared" si="5"/>
        <v>170000</v>
      </c>
      <c r="P46" s="28"/>
      <c r="Q46" s="54"/>
    </row>
    <row r="47" spans="1:17" ht="24" customHeight="1" x14ac:dyDescent="0.25">
      <c r="A47" s="8"/>
      <c r="B47" s="8"/>
      <c r="C47" s="196" t="s">
        <v>2534</v>
      </c>
      <c r="D47" s="197"/>
      <c r="E47" s="197"/>
      <c r="F47" s="198"/>
      <c r="G47" s="30"/>
      <c r="H47" s="28"/>
      <c r="I47" s="30"/>
      <c r="J47" s="28"/>
      <c r="K47" s="90">
        <v>170000</v>
      </c>
      <c r="L47" s="18"/>
      <c r="M47" s="18"/>
      <c r="N47" s="28"/>
      <c r="O47" s="53">
        <f t="shared" si="5"/>
        <v>170000</v>
      </c>
      <c r="P47" s="28"/>
      <c r="Q47" s="54"/>
    </row>
    <row r="48" spans="1:17" ht="25.5" customHeight="1" x14ac:dyDescent="0.25">
      <c r="A48" s="8"/>
      <c r="B48" s="8"/>
      <c r="C48" s="207" t="s">
        <v>2224</v>
      </c>
      <c r="D48" s="208"/>
      <c r="E48" s="208"/>
      <c r="F48" s="209"/>
      <c r="G48" s="46"/>
      <c r="H48" s="18"/>
      <c r="I48" s="46"/>
      <c r="J48" s="18"/>
      <c r="K48" s="90">
        <f>26/26*8000000+1000000</f>
        <v>9000000</v>
      </c>
      <c r="L48" s="18"/>
      <c r="M48" s="18"/>
      <c r="N48" s="28"/>
      <c r="O48" s="53">
        <f>H48+J48+K48+L48+M48+N48</f>
        <v>9000000</v>
      </c>
      <c r="P48" s="28"/>
      <c r="Q48" s="54"/>
    </row>
    <row r="49" spans="1:17" x14ac:dyDescent="0.25">
      <c r="A49" s="166" t="s">
        <v>19</v>
      </c>
      <c r="B49" s="167"/>
      <c r="C49" s="167"/>
      <c r="D49" s="167"/>
      <c r="E49" s="167"/>
      <c r="F49" s="168"/>
      <c r="G49" s="131">
        <f t="shared" ref="G49:N49" si="6">SUM(G7:G48)</f>
        <v>2205</v>
      </c>
      <c r="H49" s="4">
        <f t="shared" si="6"/>
        <v>38833170</v>
      </c>
      <c r="I49" s="4">
        <f t="shared" si="6"/>
        <v>0</v>
      </c>
      <c r="J49" s="4">
        <f t="shared" si="6"/>
        <v>23090000</v>
      </c>
      <c r="K49" s="4">
        <f t="shared" si="6"/>
        <v>10322000</v>
      </c>
      <c r="L49" s="4">
        <f t="shared" si="6"/>
        <v>17190000</v>
      </c>
      <c r="M49" s="4">
        <f t="shared" si="6"/>
        <v>0</v>
      </c>
      <c r="N49" s="4">
        <f t="shared" si="6"/>
        <v>0</v>
      </c>
      <c r="O49" s="4">
        <f>SUM(O7:O48)</f>
        <v>89435170</v>
      </c>
      <c r="P49" s="4">
        <f>SUM(P8:P48)</f>
        <v>92440908</v>
      </c>
      <c r="Q49" s="122">
        <f>P49-O49</f>
        <v>3005738</v>
      </c>
    </row>
    <row r="50" spans="1:17" x14ac:dyDescent="0.25">
      <c r="O50" s="20"/>
      <c r="P50" s="5" t="s">
        <v>1796</v>
      </c>
      <c r="Q50" s="26"/>
    </row>
    <row r="51" spans="1:17" x14ac:dyDescent="0.25">
      <c r="P51" s="21" t="s">
        <v>20</v>
      </c>
      <c r="Q51" s="26">
        <f>'09.2021'!Q55+'10.2021'!Q49</f>
        <v>221808156.84615386</v>
      </c>
    </row>
    <row r="52" spans="1:17" x14ac:dyDescent="0.25">
      <c r="C52" s="6" t="s">
        <v>993</v>
      </c>
    </row>
    <row r="53" spans="1:17" x14ac:dyDescent="0.25">
      <c r="C53" s="205"/>
      <c r="D53" s="205"/>
      <c r="E53" s="205"/>
      <c r="F53" s="205"/>
      <c r="H53" s="109"/>
    </row>
    <row r="54" spans="1:17" x14ac:dyDescent="0.25">
      <c r="C54" s="206"/>
      <c r="D54" s="206"/>
      <c r="E54" s="206"/>
      <c r="F54" s="206"/>
      <c r="H54" s="109"/>
    </row>
    <row r="55" spans="1:17" x14ac:dyDescent="0.25">
      <c r="B55" s="6"/>
      <c r="C55" s="110"/>
      <c r="D55" s="110"/>
      <c r="E55" s="110"/>
      <c r="F55" s="110"/>
      <c r="G55" s="133"/>
      <c r="H55" s="109"/>
    </row>
    <row r="56" spans="1:17" x14ac:dyDescent="0.25">
      <c r="B56" s="6"/>
      <c r="C56" s="206"/>
      <c r="D56" s="206"/>
      <c r="E56" s="206"/>
      <c r="F56" s="206"/>
      <c r="H56" s="109"/>
    </row>
    <row r="57" spans="1:17" x14ac:dyDescent="0.25">
      <c r="B57" s="6"/>
      <c r="C57" s="206"/>
      <c r="D57" s="206"/>
      <c r="E57" s="206"/>
      <c r="F57" s="206"/>
      <c r="H57" s="109"/>
    </row>
    <row r="58" spans="1:17" x14ac:dyDescent="0.25">
      <c r="B58" s="6"/>
      <c r="C58" s="206"/>
      <c r="D58" s="206"/>
      <c r="E58" s="206"/>
      <c r="F58" s="206"/>
      <c r="G58" s="133"/>
      <c r="H58" s="109"/>
      <c r="J58" s="6"/>
      <c r="K58" s="6"/>
      <c r="L58" s="6"/>
      <c r="M58" s="6"/>
      <c r="N58" s="6"/>
      <c r="O58" s="6"/>
      <c r="P58" s="6"/>
      <c r="Q58" s="6"/>
    </row>
    <row r="59" spans="1:17" x14ac:dyDescent="0.2">
      <c r="C59" s="107"/>
      <c r="D59" s="110"/>
      <c r="E59" s="110"/>
      <c r="F59" s="110"/>
      <c r="H59" s="109"/>
    </row>
    <row r="60" spans="1:17" x14ac:dyDescent="0.25">
      <c r="C60" s="205"/>
      <c r="D60" s="205"/>
      <c r="E60" s="205"/>
      <c r="F60" s="205"/>
    </row>
  </sheetData>
  <mergeCells count="38">
    <mergeCell ref="C46:F46"/>
    <mergeCell ref="C58:F58"/>
    <mergeCell ref="C60:F60"/>
    <mergeCell ref="C48:F48"/>
    <mergeCell ref="A49:F49"/>
    <mergeCell ref="C53:F53"/>
    <mergeCell ref="C54:F54"/>
    <mergeCell ref="C56:F56"/>
    <mergeCell ref="C57:F57"/>
    <mergeCell ref="C47:F47"/>
    <mergeCell ref="C34:E34"/>
    <mergeCell ref="C35:F35"/>
    <mergeCell ref="C40:F40"/>
    <mergeCell ref="C41:E41"/>
    <mergeCell ref="C42:F42"/>
    <mergeCell ref="C39:F39"/>
    <mergeCell ref="C38:F38"/>
    <mergeCell ref="P5:P6"/>
    <mergeCell ref="Q5:Q6"/>
    <mergeCell ref="C30:F30"/>
    <mergeCell ref="C32:F32"/>
    <mergeCell ref="C33:F33"/>
    <mergeCell ref="C44:E44"/>
    <mergeCell ref="C45:E45"/>
    <mergeCell ref="C36:F36"/>
    <mergeCell ref="C37:F3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43:F43"/>
    <mergeCell ref="O5:O6"/>
  </mergeCells>
  <pageMargins left="0.7" right="0.7" top="0.75" bottom="0.75" header="0.3" footer="0.3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2E55-9C4E-4BAC-8AFB-C38B0238E692}">
  <dimension ref="A1:R53"/>
  <sheetViews>
    <sheetView topLeftCell="A28" zoomScaleNormal="100" workbookViewId="0">
      <selection activeCell="Q45" sqref="Q4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2412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44499</v>
      </c>
      <c r="C8" s="10" t="s">
        <v>2414</v>
      </c>
      <c r="D8" s="25" t="s">
        <v>2431</v>
      </c>
      <c r="E8" s="10" t="s">
        <v>2455</v>
      </c>
      <c r="F8" s="8"/>
      <c r="G8" s="8">
        <v>94</v>
      </c>
      <c r="H8" s="13">
        <f>G8*18710</f>
        <v>1758740</v>
      </c>
      <c r="I8" s="8"/>
      <c r="J8" s="50">
        <v>880000</v>
      </c>
      <c r="K8" s="28"/>
      <c r="L8" s="29"/>
      <c r="M8" s="13"/>
      <c r="N8" s="13"/>
      <c r="O8" s="53">
        <f>H8+J8+K8+L8+M8+N8</f>
        <v>2638740</v>
      </c>
      <c r="P8" s="13">
        <v>4881818</v>
      </c>
      <c r="Q8" s="54">
        <f>P8-O8</f>
        <v>2243078</v>
      </c>
      <c r="R8" s="5"/>
    </row>
    <row r="9" spans="1:18" ht="17.25" customHeight="1" x14ac:dyDescent="0.25">
      <c r="A9" s="25">
        <v>2</v>
      </c>
      <c r="B9" s="120">
        <v>44501</v>
      </c>
      <c r="C9" s="10" t="s">
        <v>2415</v>
      </c>
      <c r="D9" s="129" t="s">
        <v>2432</v>
      </c>
      <c r="E9" s="9" t="s">
        <v>2456</v>
      </c>
      <c r="F9" s="117"/>
      <c r="G9" s="6">
        <v>111</v>
      </c>
      <c r="H9" s="13">
        <f t="shared" ref="H9:H13" si="0">G9*18710</f>
        <v>2076810</v>
      </c>
      <c r="I9" s="117"/>
      <c r="J9" s="134">
        <f>600000+500000</f>
        <v>1100000</v>
      </c>
      <c r="K9" s="28"/>
      <c r="L9" s="29"/>
      <c r="M9" s="13"/>
      <c r="N9" s="13"/>
      <c r="O9" s="53">
        <f t="shared" ref="O9:O31" si="1">H9+J9+K9+L9+M9+N9</f>
        <v>3176810</v>
      </c>
      <c r="P9" s="13">
        <v>4800000</v>
      </c>
      <c r="Q9" s="54">
        <f t="shared" ref="Q9:Q31" si="2">P9-O9</f>
        <v>1623190</v>
      </c>
      <c r="R9" s="5"/>
    </row>
    <row r="10" spans="1:18" ht="24.75" customHeight="1" x14ac:dyDescent="0.25">
      <c r="A10" s="25">
        <v>3</v>
      </c>
      <c r="B10" s="120">
        <v>44502</v>
      </c>
      <c r="C10" s="10" t="s">
        <v>272</v>
      </c>
      <c r="D10" s="25" t="s">
        <v>2433</v>
      </c>
      <c r="E10" s="10" t="s">
        <v>2457</v>
      </c>
      <c r="F10" s="8"/>
      <c r="G10" s="8">
        <v>117</v>
      </c>
      <c r="H10" s="13">
        <f t="shared" si="0"/>
        <v>2189070</v>
      </c>
      <c r="I10" s="8"/>
      <c r="J10" s="50">
        <f>990000+100000</f>
        <v>1090000</v>
      </c>
      <c r="K10" s="28"/>
      <c r="L10" s="29"/>
      <c r="M10" s="13"/>
      <c r="N10" s="13"/>
      <c r="O10" s="53">
        <f t="shared" si="1"/>
        <v>3279070</v>
      </c>
      <c r="P10" s="13">
        <v>4800000</v>
      </c>
      <c r="Q10" s="54">
        <f t="shared" si="2"/>
        <v>1520930</v>
      </c>
      <c r="R10" s="5"/>
    </row>
    <row r="11" spans="1:18" ht="27.75" customHeight="1" x14ac:dyDescent="0.25">
      <c r="A11" s="25">
        <v>4</v>
      </c>
      <c r="B11" s="120">
        <v>44503</v>
      </c>
      <c r="C11" s="10" t="s">
        <v>2416</v>
      </c>
      <c r="D11" s="25" t="s">
        <v>2434</v>
      </c>
      <c r="E11" s="10" t="s">
        <v>112</v>
      </c>
      <c r="F11" s="8"/>
      <c r="G11" s="8">
        <v>235</v>
      </c>
      <c r="H11" s="13">
        <f t="shared" si="0"/>
        <v>4396850</v>
      </c>
      <c r="I11" s="8"/>
      <c r="J11" s="50">
        <v>2470000</v>
      </c>
      <c r="K11" s="28"/>
      <c r="L11" s="29"/>
      <c r="M11" s="13"/>
      <c r="N11" s="13"/>
      <c r="O11" s="53">
        <f t="shared" si="1"/>
        <v>6866850</v>
      </c>
      <c r="P11" s="13">
        <v>13481818</v>
      </c>
      <c r="Q11" s="54">
        <f t="shared" si="2"/>
        <v>6614968</v>
      </c>
      <c r="R11" s="5"/>
    </row>
    <row r="12" spans="1:18" ht="27.75" customHeight="1" x14ac:dyDescent="0.25">
      <c r="A12" s="25">
        <v>5</v>
      </c>
      <c r="B12" s="120">
        <v>44504</v>
      </c>
      <c r="C12" s="10" t="s">
        <v>2417</v>
      </c>
      <c r="D12" s="25" t="s">
        <v>2435</v>
      </c>
      <c r="E12" s="10" t="s">
        <v>2458</v>
      </c>
      <c r="F12" s="8"/>
      <c r="G12" s="8">
        <v>47</v>
      </c>
      <c r="H12" s="13">
        <f t="shared" si="0"/>
        <v>879370</v>
      </c>
      <c r="I12" s="8"/>
      <c r="J12" s="50">
        <v>800000</v>
      </c>
      <c r="K12" s="28"/>
      <c r="L12" s="29"/>
      <c r="M12" s="13"/>
      <c r="N12" s="13"/>
      <c r="O12" s="53">
        <f t="shared" si="1"/>
        <v>1679370</v>
      </c>
      <c r="P12" s="13">
        <v>3500000</v>
      </c>
      <c r="Q12" s="54">
        <f t="shared" si="2"/>
        <v>1820630</v>
      </c>
      <c r="R12" s="5"/>
    </row>
    <row r="13" spans="1:18" ht="27.75" customHeight="1" x14ac:dyDescent="0.25">
      <c r="A13" s="25">
        <v>6</v>
      </c>
      <c r="B13" s="120">
        <v>44508</v>
      </c>
      <c r="C13" s="10" t="s">
        <v>2418</v>
      </c>
      <c r="D13" s="25" t="s">
        <v>2436</v>
      </c>
      <c r="E13" s="10" t="s">
        <v>1043</v>
      </c>
      <c r="F13" s="8"/>
      <c r="G13" s="8">
        <v>114</v>
      </c>
      <c r="H13" s="13">
        <f t="shared" si="0"/>
        <v>2132940</v>
      </c>
      <c r="I13" s="8"/>
      <c r="J13" s="50">
        <v>930000</v>
      </c>
      <c r="K13" s="28"/>
      <c r="L13" s="29"/>
      <c r="M13" s="13"/>
      <c r="N13" s="13"/>
      <c r="O13" s="53">
        <f t="shared" si="1"/>
        <v>3062940</v>
      </c>
      <c r="P13" s="13">
        <v>4909091</v>
      </c>
      <c r="Q13" s="54">
        <f t="shared" si="2"/>
        <v>1846151</v>
      </c>
      <c r="R13" s="5"/>
    </row>
    <row r="14" spans="1:18" ht="27.75" customHeight="1" x14ac:dyDescent="0.25">
      <c r="A14" s="25">
        <v>7</v>
      </c>
      <c r="B14" s="120">
        <v>44508</v>
      </c>
      <c r="C14" s="10" t="s">
        <v>1684</v>
      </c>
      <c r="D14" s="25" t="s">
        <v>2437</v>
      </c>
      <c r="E14" s="10" t="s">
        <v>2459</v>
      </c>
      <c r="F14" s="8"/>
      <c r="G14" s="8">
        <v>39</v>
      </c>
      <c r="H14" s="13">
        <f>G14*18710</f>
        <v>729690</v>
      </c>
      <c r="I14" s="8"/>
      <c r="J14" s="50">
        <v>600000</v>
      </c>
      <c r="K14" s="28"/>
      <c r="L14" s="29"/>
      <c r="M14" s="13"/>
      <c r="N14" s="13"/>
      <c r="O14" s="53">
        <f t="shared" si="1"/>
        <v>1329690</v>
      </c>
      <c r="P14" s="13">
        <v>2345455</v>
      </c>
      <c r="Q14" s="54">
        <f t="shared" si="2"/>
        <v>1015765</v>
      </c>
      <c r="R14" s="5"/>
    </row>
    <row r="15" spans="1:18" ht="27.75" customHeight="1" x14ac:dyDescent="0.25">
      <c r="A15" s="25">
        <v>8</v>
      </c>
      <c r="B15" s="120">
        <v>44509</v>
      </c>
      <c r="C15" s="10" t="s">
        <v>2419</v>
      </c>
      <c r="D15" s="25" t="s">
        <v>2438</v>
      </c>
      <c r="E15" s="10" t="s">
        <v>121</v>
      </c>
      <c r="F15" s="8"/>
      <c r="G15" s="8">
        <v>250</v>
      </c>
      <c r="H15" s="13">
        <f>G15*18710</f>
        <v>4677500</v>
      </c>
      <c r="I15" s="8"/>
      <c r="J15" s="134">
        <v>2470000</v>
      </c>
      <c r="K15" s="28"/>
      <c r="L15" s="29"/>
      <c r="M15" s="13"/>
      <c r="N15" s="13"/>
      <c r="O15" s="53">
        <f t="shared" si="1"/>
        <v>7147500</v>
      </c>
      <c r="P15" s="13">
        <v>13000000</v>
      </c>
      <c r="Q15" s="54">
        <f t="shared" si="2"/>
        <v>5852500</v>
      </c>
      <c r="R15" s="5"/>
    </row>
    <row r="16" spans="1:18" ht="27.75" customHeight="1" x14ac:dyDescent="0.25">
      <c r="A16" s="25">
        <v>9</v>
      </c>
      <c r="B16" s="120">
        <v>44510</v>
      </c>
      <c r="C16" s="10" t="s">
        <v>2420</v>
      </c>
      <c r="D16" s="25" t="s">
        <v>2439</v>
      </c>
      <c r="E16" s="10" t="s">
        <v>2460</v>
      </c>
      <c r="F16" s="8"/>
      <c r="G16" s="8">
        <v>142</v>
      </c>
      <c r="H16" s="13">
        <f t="shared" ref="H16:H23" si="3">G16*18710</f>
        <v>2656820</v>
      </c>
      <c r="I16" s="8"/>
      <c r="J16" s="50">
        <f>990000+50000</f>
        <v>1040000</v>
      </c>
      <c r="K16" s="28"/>
      <c r="L16" s="29"/>
      <c r="M16" s="13"/>
      <c r="N16" s="13"/>
      <c r="O16" s="53">
        <f t="shared" si="1"/>
        <v>3696820</v>
      </c>
      <c r="P16" s="13">
        <v>4900000</v>
      </c>
      <c r="Q16" s="54">
        <f t="shared" si="2"/>
        <v>1203180</v>
      </c>
      <c r="R16" s="5"/>
    </row>
    <row r="17" spans="1:18" ht="27.75" customHeight="1" x14ac:dyDescent="0.25">
      <c r="A17" s="25">
        <v>10</v>
      </c>
      <c r="B17" s="120">
        <v>44512</v>
      </c>
      <c r="C17" s="10" t="s">
        <v>2421</v>
      </c>
      <c r="D17" s="25" t="s">
        <v>2440</v>
      </c>
      <c r="E17" s="10" t="s">
        <v>2461</v>
      </c>
      <c r="F17" s="8"/>
      <c r="G17" s="8">
        <v>140</v>
      </c>
      <c r="H17" s="13">
        <f t="shared" si="3"/>
        <v>2619400</v>
      </c>
      <c r="I17" s="8"/>
      <c r="J17" s="50">
        <v>1040000</v>
      </c>
      <c r="K17" s="28"/>
      <c r="L17" s="29"/>
      <c r="M17" s="13"/>
      <c r="N17" s="13"/>
      <c r="O17" s="53">
        <f t="shared" si="1"/>
        <v>3659400</v>
      </c>
      <c r="P17" s="13">
        <v>4900000</v>
      </c>
      <c r="Q17" s="54">
        <f t="shared" si="2"/>
        <v>1240600</v>
      </c>
      <c r="R17" s="5"/>
    </row>
    <row r="18" spans="1:18" ht="22.5" customHeight="1" x14ac:dyDescent="0.25">
      <c r="A18" s="25">
        <v>11</v>
      </c>
      <c r="B18" s="120">
        <v>44512</v>
      </c>
      <c r="C18" s="10" t="s">
        <v>281</v>
      </c>
      <c r="D18" s="25" t="s">
        <v>2441</v>
      </c>
      <c r="E18" s="10" t="s">
        <v>2462</v>
      </c>
      <c r="F18" s="8"/>
      <c r="G18" s="8">
        <v>117</v>
      </c>
      <c r="H18" s="13">
        <f t="shared" si="3"/>
        <v>2189070</v>
      </c>
      <c r="I18" s="8"/>
      <c r="J18" s="50">
        <f>990000+50000</f>
        <v>1040000</v>
      </c>
      <c r="K18" s="28"/>
      <c r="L18" s="29"/>
      <c r="M18" s="13"/>
      <c r="N18" s="13"/>
      <c r="O18" s="53">
        <f t="shared" si="1"/>
        <v>3229070</v>
      </c>
      <c r="P18" s="13">
        <v>4900000</v>
      </c>
      <c r="Q18" s="54">
        <f t="shared" si="2"/>
        <v>1670930</v>
      </c>
      <c r="R18" s="5"/>
    </row>
    <row r="19" spans="1:18" ht="22.5" customHeight="1" x14ac:dyDescent="0.25">
      <c r="A19" s="25">
        <v>12</v>
      </c>
      <c r="B19" s="120">
        <v>44515</v>
      </c>
      <c r="C19" s="10" t="s">
        <v>2422</v>
      </c>
      <c r="D19" s="25" t="s">
        <v>2442</v>
      </c>
      <c r="E19" s="10" t="s">
        <v>1504</v>
      </c>
      <c r="F19" s="8"/>
      <c r="G19" s="8">
        <v>93</v>
      </c>
      <c r="H19" s="13">
        <f t="shared" si="3"/>
        <v>1740030</v>
      </c>
      <c r="I19" s="8"/>
      <c r="J19" s="50">
        <v>930000</v>
      </c>
      <c r="K19" s="28"/>
      <c r="L19" s="29"/>
      <c r="M19" s="13"/>
      <c r="N19" s="13"/>
      <c r="O19" s="53">
        <f t="shared" si="1"/>
        <v>2670030</v>
      </c>
      <c r="P19" s="13">
        <v>3500000</v>
      </c>
      <c r="Q19" s="54">
        <f t="shared" si="2"/>
        <v>829970</v>
      </c>
      <c r="R19" s="5"/>
    </row>
    <row r="20" spans="1:18" ht="22.5" customHeight="1" x14ac:dyDescent="0.25">
      <c r="A20" s="25">
        <v>13</v>
      </c>
      <c r="B20" s="120">
        <v>44515</v>
      </c>
      <c r="C20" s="10" t="s">
        <v>1002</v>
      </c>
      <c r="D20" s="25" t="s">
        <v>2443</v>
      </c>
      <c r="E20" s="10" t="s">
        <v>2463</v>
      </c>
      <c r="F20" s="8"/>
      <c r="G20" s="8">
        <v>96</v>
      </c>
      <c r="H20" s="13">
        <f t="shared" si="3"/>
        <v>1796160</v>
      </c>
      <c r="I20" s="8"/>
      <c r="J20" s="50">
        <v>930000</v>
      </c>
      <c r="K20" s="28"/>
      <c r="L20" s="29"/>
      <c r="M20" s="13"/>
      <c r="N20" s="13"/>
      <c r="O20" s="53">
        <f t="shared" si="1"/>
        <v>2726160</v>
      </c>
      <c r="P20" s="13">
        <v>3800000</v>
      </c>
      <c r="Q20" s="54">
        <f t="shared" si="2"/>
        <v>1073840</v>
      </c>
      <c r="R20" s="5"/>
    </row>
    <row r="21" spans="1:18" ht="22.5" customHeight="1" x14ac:dyDescent="0.25">
      <c r="A21" s="25">
        <v>14</v>
      </c>
      <c r="B21" s="120">
        <v>44516</v>
      </c>
      <c r="C21" s="10" t="s">
        <v>2423</v>
      </c>
      <c r="D21" s="25" t="s">
        <v>2444</v>
      </c>
      <c r="E21" s="10" t="s">
        <v>1395</v>
      </c>
      <c r="F21" s="8"/>
      <c r="G21" s="8">
        <v>90</v>
      </c>
      <c r="H21" s="13">
        <f t="shared" si="3"/>
        <v>1683900</v>
      </c>
      <c r="I21" s="8"/>
      <c r="J21" s="50">
        <f>930000+350000</f>
        <v>1280000</v>
      </c>
      <c r="K21" s="28"/>
      <c r="L21" s="29"/>
      <c r="M21" s="13"/>
      <c r="N21" s="13"/>
      <c r="O21" s="53">
        <f t="shared" si="1"/>
        <v>2963900</v>
      </c>
      <c r="P21" s="13">
        <v>4427273</v>
      </c>
      <c r="Q21" s="54">
        <f t="shared" si="2"/>
        <v>1463373</v>
      </c>
      <c r="R21" s="5"/>
    </row>
    <row r="22" spans="1:18" ht="27" customHeight="1" x14ac:dyDescent="0.25">
      <c r="A22" s="25">
        <v>15</v>
      </c>
      <c r="B22" s="120">
        <v>44518</v>
      </c>
      <c r="C22" s="10" t="s">
        <v>286</v>
      </c>
      <c r="D22" s="25" t="s">
        <v>2445</v>
      </c>
      <c r="E22" s="10" t="s">
        <v>2464</v>
      </c>
      <c r="F22" s="8"/>
      <c r="G22" s="8">
        <v>123</v>
      </c>
      <c r="H22" s="13">
        <f t="shared" si="3"/>
        <v>2301330</v>
      </c>
      <c r="I22" s="8"/>
      <c r="J22" s="50">
        <f>990000+50000+60000</f>
        <v>1100000</v>
      </c>
      <c r="K22" s="28"/>
      <c r="L22" s="29"/>
      <c r="M22" s="13"/>
      <c r="N22" s="13"/>
      <c r="O22" s="53">
        <f t="shared" si="1"/>
        <v>3401330</v>
      </c>
      <c r="P22" s="13">
        <v>5000000</v>
      </c>
      <c r="Q22" s="54">
        <f t="shared" si="2"/>
        <v>1598670</v>
      </c>
      <c r="R22" s="5"/>
    </row>
    <row r="23" spans="1:18" ht="28.5" customHeight="1" x14ac:dyDescent="0.25">
      <c r="A23" s="25">
        <v>16</v>
      </c>
      <c r="B23" s="120">
        <v>44520</v>
      </c>
      <c r="C23" s="10" t="s">
        <v>2424</v>
      </c>
      <c r="D23" s="25" t="s">
        <v>2446</v>
      </c>
      <c r="E23" s="10" t="s">
        <v>2465</v>
      </c>
      <c r="F23" s="8"/>
      <c r="G23" s="8">
        <v>98</v>
      </c>
      <c r="H23" s="13">
        <f t="shared" si="3"/>
        <v>1833580</v>
      </c>
      <c r="I23" s="8"/>
      <c r="J23" s="50">
        <v>930000</v>
      </c>
      <c r="K23" s="28"/>
      <c r="L23" s="29"/>
      <c r="M23" s="13"/>
      <c r="N23" s="13"/>
      <c r="O23" s="53">
        <f t="shared" si="1"/>
        <v>2763580</v>
      </c>
      <c r="P23" s="13">
        <v>3700000</v>
      </c>
      <c r="Q23" s="54">
        <f t="shared" si="2"/>
        <v>936420</v>
      </c>
      <c r="R23" s="5"/>
    </row>
    <row r="24" spans="1:18" ht="34.5" customHeight="1" x14ac:dyDescent="0.25">
      <c r="A24" s="25">
        <v>17</v>
      </c>
      <c r="B24" s="120">
        <v>44522</v>
      </c>
      <c r="C24" s="10" t="s">
        <v>2425</v>
      </c>
      <c r="D24" s="25" t="s">
        <v>2447</v>
      </c>
      <c r="E24" s="10" t="s">
        <v>736</v>
      </c>
      <c r="F24" s="8"/>
      <c r="G24" s="8">
        <v>75</v>
      </c>
      <c r="H24" s="13">
        <f>G24*18710</f>
        <v>1403250</v>
      </c>
      <c r="I24" s="8"/>
      <c r="J24" s="50">
        <v>930000</v>
      </c>
      <c r="K24" s="28"/>
      <c r="L24" s="29"/>
      <c r="M24" s="13"/>
      <c r="N24" s="13"/>
      <c r="O24" s="53">
        <f t="shared" si="1"/>
        <v>2333250</v>
      </c>
      <c r="P24" s="13">
        <v>3790909</v>
      </c>
      <c r="Q24" s="54">
        <f t="shared" si="2"/>
        <v>1457659</v>
      </c>
      <c r="R24" s="5"/>
    </row>
    <row r="25" spans="1:18" ht="30" customHeight="1" x14ac:dyDescent="0.25">
      <c r="A25" s="25">
        <v>18</v>
      </c>
      <c r="B25" s="120">
        <v>44523</v>
      </c>
      <c r="C25" s="10" t="s">
        <v>2426</v>
      </c>
      <c r="D25" s="25" t="s">
        <v>2448</v>
      </c>
      <c r="E25" s="10" t="s">
        <v>2466</v>
      </c>
      <c r="F25" s="8"/>
      <c r="G25" s="8">
        <v>92</v>
      </c>
      <c r="H25" s="13">
        <f>G25*18710</f>
        <v>1721320</v>
      </c>
      <c r="I25" s="8"/>
      <c r="J25" s="50">
        <v>930000</v>
      </c>
      <c r="K25" s="28"/>
      <c r="L25" s="29"/>
      <c r="M25" s="13"/>
      <c r="N25" s="13"/>
      <c r="O25" s="53">
        <f t="shared" si="1"/>
        <v>2651320</v>
      </c>
      <c r="P25" s="13">
        <v>3700000</v>
      </c>
      <c r="Q25" s="54">
        <f t="shared" si="2"/>
        <v>1048680</v>
      </c>
      <c r="R25" s="5"/>
    </row>
    <row r="26" spans="1:18" ht="21" customHeight="1" x14ac:dyDescent="0.25">
      <c r="A26" s="25">
        <v>19</v>
      </c>
      <c r="B26" s="120">
        <v>44523</v>
      </c>
      <c r="C26" s="10" t="s">
        <v>2427</v>
      </c>
      <c r="D26" s="25" t="s">
        <v>2449</v>
      </c>
      <c r="E26" s="10" t="s">
        <v>2467</v>
      </c>
      <c r="F26" s="8"/>
      <c r="G26" s="8">
        <v>67</v>
      </c>
      <c r="H26" s="13">
        <f>G26*18380</f>
        <v>1231460</v>
      </c>
      <c r="I26" s="8"/>
      <c r="J26" s="50">
        <v>680000</v>
      </c>
      <c r="K26" s="28"/>
      <c r="L26" s="29"/>
      <c r="M26" s="13"/>
      <c r="N26" s="13"/>
      <c r="O26" s="53">
        <f t="shared" si="1"/>
        <v>1911460</v>
      </c>
      <c r="P26" s="13">
        <v>3100000</v>
      </c>
      <c r="Q26" s="54">
        <f t="shared" si="2"/>
        <v>1188540</v>
      </c>
      <c r="R26" s="5"/>
    </row>
    <row r="27" spans="1:18" ht="17.25" customHeight="1" x14ac:dyDescent="0.25">
      <c r="A27" s="25">
        <v>20</v>
      </c>
      <c r="B27" s="120">
        <v>44524</v>
      </c>
      <c r="C27" s="10" t="s">
        <v>2428</v>
      </c>
      <c r="D27" s="25" t="s">
        <v>2450</v>
      </c>
      <c r="E27" s="10" t="s">
        <v>122</v>
      </c>
      <c r="F27" s="8"/>
      <c r="G27" s="8">
        <v>73</v>
      </c>
      <c r="H27" s="13">
        <f t="shared" ref="H27:H31" si="4">G27*18380</f>
        <v>1341740</v>
      </c>
      <c r="I27" s="8"/>
      <c r="J27" s="50">
        <v>930000</v>
      </c>
      <c r="K27" s="28"/>
      <c r="L27" s="29"/>
      <c r="M27" s="13"/>
      <c r="N27" s="13"/>
      <c r="O27" s="53">
        <f t="shared" si="1"/>
        <v>2271740</v>
      </c>
      <c r="P27" s="13">
        <v>3509091</v>
      </c>
      <c r="Q27" s="54">
        <f t="shared" si="2"/>
        <v>1237351</v>
      </c>
      <c r="R27" s="5"/>
    </row>
    <row r="28" spans="1:18" ht="31.5" customHeight="1" x14ac:dyDescent="0.25">
      <c r="A28" s="25">
        <v>21</v>
      </c>
      <c r="B28" s="120">
        <v>44525</v>
      </c>
      <c r="C28" s="10" t="s">
        <v>1698</v>
      </c>
      <c r="D28" s="25" t="s">
        <v>2451</v>
      </c>
      <c r="E28" s="10" t="s">
        <v>2468</v>
      </c>
      <c r="F28" s="8"/>
      <c r="G28" s="8">
        <v>104</v>
      </c>
      <c r="H28" s="13">
        <f t="shared" si="4"/>
        <v>1911520</v>
      </c>
      <c r="I28" s="8"/>
      <c r="J28" s="50">
        <v>680000</v>
      </c>
      <c r="K28" s="28"/>
      <c r="L28" s="29"/>
      <c r="M28" s="13"/>
      <c r="N28" s="13"/>
      <c r="O28" s="53">
        <f t="shared" si="1"/>
        <v>2591520</v>
      </c>
      <c r="P28" s="13">
        <v>3700000</v>
      </c>
      <c r="Q28" s="54">
        <f t="shared" si="2"/>
        <v>1108480</v>
      </c>
      <c r="R28" s="5"/>
    </row>
    <row r="29" spans="1:18" ht="31.5" customHeight="1" x14ac:dyDescent="0.25">
      <c r="A29" s="25">
        <v>22</v>
      </c>
      <c r="B29" s="120">
        <v>44526</v>
      </c>
      <c r="C29" s="10" t="s">
        <v>2429</v>
      </c>
      <c r="D29" s="25" t="s">
        <v>2452</v>
      </c>
      <c r="E29" s="10" t="s">
        <v>2469</v>
      </c>
      <c r="F29" s="8"/>
      <c r="G29" s="8">
        <v>134</v>
      </c>
      <c r="H29" s="13">
        <f>G29*18380</f>
        <v>2462920</v>
      </c>
      <c r="I29" s="8"/>
      <c r="J29" s="50">
        <f>1320000+50000</f>
        <v>1370000</v>
      </c>
      <c r="K29" s="28"/>
      <c r="L29" s="29"/>
      <c r="M29" s="13"/>
      <c r="N29" s="13"/>
      <c r="O29" s="53">
        <f t="shared" si="1"/>
        <v>3832920</v>
      </c>
      <c r="P29" s="13">
        <v>5300000</v>
      </c>
      <c r="Q29" s="54">
        <f t="shared" si="2"/>
        <v>1467080</v>
      </c>
      <c r="R29" s="5"/>
    </row>
    <row r="30" spans="1:18" ht="31.5" customHeight="1" x14ac:dyDescent="0.25">
      <c r="A30" s="25">
        <v>23</v>
      </c>
      <c r="B30" s="120">
        <v>44527</v>
      </c>
      <c r="C30" s="10" t="s">
        <v>2430</v>
      </c>
      <c r="D30" s="25" t="s">
        <v>2453</v>
      </c>
      <c r="E30" s="10" t="s">
        <v>2265</v>
      </c>
      <c r="F30" s="8"/>
      <c r="G30" s="8">
        <v>56</v>
      </c>
      <c r="H30" s="13">
        <f t="shared" si="4"/>
        <v>1029280</v>
      </c>
      <c r="I30" s="8"/>
      <c r="J30" s="50">
        <v>680000</v>
      </c>
      <c r="K30" s="28"/>
      <c r="L30" s="29"/>
      <c r="M30" s="13"/>
      <c r="N30" s="13"/>
      <c r="O30" s="53">
        <f t="shared" si="1"/>
        <v>1709280</v>
      </c>
      <c r="P30" s="13">
        <v>2572727</v>
      </c>
      <c r="Q30" s="54">
        <f t="shared" si="2"/>
        <v>863447</v>
      </c>
      <c r="R30" s="5"/>
    </row>
    <row r="31" spans="1:18" ht="31.5" customHeight="1" x14ac:dyDescent="0.25">
      <c r="A31" s="25">
        <v>24</v>
      </c>
      <c r="B31" s="120">
        <v>44529</v>
      </c>
      <c r="C31" s="10" t="s">
        <v>296</v>
      </c>
      <c r="D31" s="25" t="s">
        <v>2454</v>
      </c>
      <c r="E31" s="10" t="s">
        <v>736</v>
      </c>
      <c r="F31" s="8"/>
      <c r="G31" s="8">
        <v>81</v>
      </c>
      <c r="H31" s="13">
        <f t="shared" si="4"/>
        <v>1488780</v>
      </c>
      <c r="I31" s="8"/>
      <c r="J31" s="50">
        <v>930000</v>
      </c>
      <c r="K31" s="28"/>
      <c r="L31" s="29"/>
      <c r="M31" s="13"/>
      <c r="N31" s="13"/>
      <c r="O31" s="53">
        <f t="shared" si="1"/>
        <v>2418780</v>
      </c>
      <c r="P31" s="13">
        <v>3650000</v>
      </c>
      <c r="Q31" s="54">
        <f t="shared" si="2"/>
        <v>1231220</v>
      </c>
      <c r="R31" s="5"/>
    </row>
    <row r="32" spans="1:18" ht="18" customHeight="1" x14ac:dyDescent="0.25">
      <c r="A32" s="8"/>
      <c r="B32" s="8"/>
      <c r="C32" s="213"/>
      <c r="D32" s="214"/>
      <c r="E32" s="214"/>
      <c r="F32" s="215"/>
      <c r="G32" s="46"/>
      <c r="H32" s="28"/>
      <c r="I32" s="30"/>
      <c r="J32" s="28"/>
      <c r="K32" s="28"/>
      <c r="L32" s="28"/>
      <c r="M32" s="28"/>
      <c r="N32" s="28"/>
      <c r="O32" s="53"/>
      <c r="P32" s="28"/>
      <c r="Q32" s="54"/>
    </row>
    <row r="33" spans="1:17" ht="24" customHeight="1" x14ac:dyDescent="0.25">
      <c r="A33" s="8"/>
      <c r="B33" s="8"/>
      <c r="C33" s="17" t="s">
        <v>131</v>
      </c>
      <c r="D33" s="8"/>
      <c r="E33" s="10"/>
      <c r="F33" s="8"/>
      <c r="G33" s="12"/>
      <c r="H33" s="13"/>
      <c r="I33" s="8"/>
      <c r="J33" s="13"/>
      <c r="K33" s="28"/>
      <c r="L33" s="90">
        <v>1200000</v>
      </c>
      <c r="M33" s="28"/>
      <c r="N33" s="28"/>
      <c r="O33" s="53">
        <f t="shared" ref="O33:O40" si="5">H33+J33+K33+L33+M33+N33</f>
        <v>1200000</v>
      </c>
      <c r="P33" s="28"/>
      <c r="Q33" s="54"/>
    </row>
    <row r="34" spans="1:17" ht="24" customHeight="1" x14ac:dyDescent="0.25">
      <c r="A34" s="8"/>
      <c r="B34" s="8"/>
      <c r="C34" s="210" t="s">
        <v>2471</v>
      </c>
      <c r="D34" s="211"/>
      <c r="E34" s="211"/>
      <c r="F34" s="212"/>
      <c r="G34" s="46"/>
      <c r="H34" s="28"/>
      <c r="I34" s="30"/>
      <c r="J34" s="28"/>
      <c r="K34" s="28"/>
      <c r="L34" s="90">
        <v>200000</v>
      </c>
      <c r="M34" s="28"/>
      <c r="N34" s="28"/>
      <c r="O34" s="53">
        <f t="shared" si="5"/>
        <v>200000</v>
      </c>
      <c r="P34" s="28"/>
      <c r="Q34" s="54"/>
    </row>
    <row r="35" spans="1:17" ht="24" customHeight="1" x14ac:dyDescent="0.25">
      <c r="A35" s="8"/>
      <c r="B35" s="8"/>
      <c r="C35" s="210" t="s">
        <v>2473</v>
      </c>
      <c r="D35" s="211"/>
      <c r="E35" s="211"/>
      <c r="F35" s="212"/>
      <c r="G35" s="46"/>
      <c r="H35" s="28"/>
      <c r="I35" s="30"/>
      <c r="J35" s="28"/>
      <c r="K35" s="28"/>
      <c r="L35" s="90">
        <v>100000</v>
      </c>
      <c r="M35" s="28"/>
      <c r="N35" s="28"/>
      <c r="O35" s="53">
        <f t="shared" si="5"/>
        <v>100000</v>
      </c>
      <c r="P35" s="28"/>
      <c r="Q35" s="54"/>
    </row>
    <row r="36" spans="1:17" ht="24" customHeight="1" x14ac:dyDescent="0.25">
      <c r="A36" s="8"/>
      <c r="B36" s="8"/>
      <c r="C36" s="210" t="s">
        <v>2477</v>
      </c>
      <c r="D36" s="211"/>
      <c r="E36" s="211"/>
      <c r="F36" s="132"/>
      <c r="G36" s="46"/>
      <c r="H36" s="28"/>
      <c r="I36" s="30"/>
      <c r="J36" s="28"/>
      <c r="K36" s="28"/>
      <c r="L36" s="90">
        <v>850000</v>
      </c>
      <c r="M36" s="28"/>
      <c r="N36" s="28"/>
      <c r="O36" s="53">
        <f t="shared" si="5"/>
        <v>850000</v>
      </c>
      <c r="P36" s="28"/>
      <c r="Q36" s="54"/>
    </row>
    <row r="37" spans="1:17" ht="24" customHeight="1" x14ac:dyDescent="0.25">
      <c r="A37" s="8"/>
      <c r="B37" s="8"/>
      <c r="C37" s="210" t="s">
        <v>2472</v>
      </c>
      <c r="D37" s="211"/>
      <c r="E37" s="211"/>
      <c r="F37" s="212"/>
      <c r="G37" s="46"/>
      <c r="H37" s="28"/>
      <c r="I37" s="30"/>
      <c r="J37" s="28"/>
      <c r="K37" s="90">
        <v>130000</v>
      </c>
      <c r="L37" s="28"/>
      <c r="M37" s="28"/>
      <c r="N37" s="28"/>
      <c r="O37" s="53">
        <f t="shared" si="5"/>
        <v>130000</v>
      </c>
      <c r="P37" s="28"/>
      <c r="Q37" s="54"/>
    </row>
    <row r="38" spans="1:17" ht="24" customHeight="1" x14ac:dyDescent="0.25">
      <c r="A38" s="8"/>
      <c r="B38" s="8"/>
      <c r="C38" s="210" t="s">
        <v>2474</v>
      </c>
      <c r="D38" s="211"/>
      <c r="E38" s="211"/>
      <c r="F38" s="132"/>
      <c r="G38" s="46"/>
      <c r="H38" s="28"/>
      <c r="I38" s="30"/>
      <c r="J38" s="28"/>
      <c r="K38" s="90">
        <v>200000</v>
      </c>
      <c r="L38" s="28"/>
      <c r="M38" s="28"/>
      <c r="N38" s="28"/>
      <c r="O38" s="53">
        <f t="shared" si="5"/>
        <v>200000</v>
      </c>
      <c r="P38" s="28"/>
      <c r="Q38" s="54"/>
    </row>
    <row r="39" spans="1:17" ht="24" customHeight="1" x14ac:dyDescent="0.25">
      <c r="A39" s="8"/>
      <c r="B39" s="8"/>
      <c r="C39" s="210" t="s">
        <v>2475</v>
      </c>
      <c r="D39" s="211"/>
      <c r="E39" s="211"/>
      <c r="F39" s="212"/>
      <c r="G39" s="46"/>
      <c r="H39" s="28"/>
      <c r="I39" s="30"/>
      <c r="J39" s="28"/>
      <c r="K39" s="90">
        <v>120000</v>
      </c>
      <c r="L39" s="28"/>
      <c r="M39" s="28"/>
      <c r="N39" s="28"/>
      <c r="O39" s="53">
        <f t="shared" si="5"/>
        <v>120000</v>
      </c>
      <c r="P39" s="28"/>
      <c r="Q39" s="54"/>
    </row>
    <row r="40" spans="1:17" ht="24" customHeight="1" x14ac:dyDescent="0.25">
      <c r="A40" s="8"/>
      <c r="B40" s="8"/>
      <c r="C40" s="210" t="s">
        <v>2476</v>
      </c>
      <c r="D40" s="211"/>
      <c r="E40" s="211"/>
      <c r="F40" s="212"/>
      <c r="G40" s="46"/>
      <c r="H40" s="28"/>
      <c r="I40" s="30"/>
      <c r="J40" s="28"/>
      <c r="K40" s="90">
        <v>120000</v>
      </c>
      <c r="L40" s="28"/>
      <c r="M40" s="28"/>
      <c r="N40" s="28"/>
      <c r="O40" s="53">
        <f t="shared" si="5"/>
        <v>120000</v>
      </c>
      <c r="P40" s="28"/>
      <c r="Q40" s="54"/>
    </row>
    <row r="41" spans="1:17" ht="25.5" customHeight="1" x14ac:dyDescent="0.25">
      <c r="A41" s="8"/>
      <c r="B41" s="8"/>
      <c r="C41" s="191" t="s">
        <v>2224</v>
      </c>
      <c r="D41" s="192"/>
      <c r="E41" s="192"/>
      <c r="F41" s="195"/>
      <c r="G41" s="30"/>
      <c r="H41" s="28"/>
      <c r="I41" s="30"/>
      <c r="J41" s="28"/>
      <c r="K41" s="90">
        <f>26/26*8000000+1000000</f>
        <v>9000000</v>
      </c>
      <c r="L41" s="18"/>
      <c r="M41" s="18"/>
      <c r="N41" s="28"/>
      <c r="O41" s="53">
        <f>H41+J41+K41+L41+M41+N41</f>
        <v>9000000</v>
      </c>
      <c r="P41" s="28"/>
      <c r="Q41" s="54"/>
    </row>
    <row r="42" spans="1:17" x14ac:dyDescent="0.25">
      <c r="A42" s="166" t="s">
        <v>19</v>
      </c>
      <c r="B42" s="167"/>
      <c r="C42" s="167"/>
      <c r="D42" s="167"/>
      <c r="E42" s="167"/>
      <c r="F42" s="168"/>
      <c r="G42" s="131">
        <f t="shared" ref="G42:O42" si="6">SUM(G7:G41)</f>
        <v>2588</v>
      </c>
      <c r="H42" s="4">
        <f>SUM(H7:H41)</f>
        <v>48251530</v>
      </c>
      <c r="I42" s="4">
        <f t="shared" si="6"/>
        <v>0</v>
      </c>
      <c r="J42" s="4">
        <f t="shared" si="6"/>
        <v>25760000</v>
      </c>
      <c r="K42" s="4">
        <f t="shared" si="6"/>
        <v>9570000</v>
      </c>
      <c r="L42" s="4">
        <f t="shared" si="6"/>
        <v>2350000</v>
      </c>
      <c r="M42" s="4">
        <f t="shared" si="6"/>
        <v>0</v>
      </c>
      <c r="N42" s="4">
        <f t="shared" si="6"/>
        <v>0</v>
      </c>
      <c r="O42" s="4">
        <f t="shared" si="6"/>
        <v>85931530</v>
      </c>
      <c r="P42" s="4">
        <f>SUM(P8:P41)</f>
        <v>116168182</v>
      </c>
      <c r="Q42" s="122">
        <f>P42-O42</f>
        <v>30236652</v>
      </c>
    </row>
    <row r="43" spans="1:17" x14ac:dyDescent="0.25">
      <c r="O43" s="20"/>
      <c r="P43" s="5" t="s">
        <v>1796</v>
      </c>
      <c r="Q43" s="26"/>
    </row>
    <row r="44" spans="1:17" x14ac:dyDescent="0.25">
      <c r="P44" s="21" t="s">
        <v>20</v>
      </c>
      <c r="Q44" s="26">
        <f>'10.2021'!Q51+'11.2021'!Q42</f>
        <v>252044808.84615386</v>
      </c>
    </row>
    <row r="45" spans="1:17" x14ac:dyDescent="0.25">
      <c r="C45" s="6" t="s">
        <v>993</v>
      </c>
    </row>
    <row r="46" spans="1:17" x14ac:dyDescent="0.25">
      <c r="C46" s="205"/>
      <c r="D46" s="205"/>
      <c r="E46" s="205"/>
      <c r="F46" s="205"/>
      <c r="H46" s="109"/>
    </row>
    <row r="47" spans="1:17" x14ac:dyDescent="0.25">
      <c r="C47" s="206"/>
      <c r="D47" s="206"/>
      <c r="E47" s="206"/>
      <c r="F47" s="206"/>
      <c r="H47" s="109"/>
    </row>
    <row r="48" spans="1:17" x14ac:dyDescent="0.25">
      <c r="B48" s="6"/>
      <c r="C48" s="110"/>
      <c r="D48" s="110"/>
      <c r="E48" s="110"/>
      <c r="F48" s="110"/>
      <c r="G48" s="133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G51" s="133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29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38:E38"/>
    <mergeCell ref="O5:O6"/>
    <mergeCell ref="P5:P6"/>
    <mergeCell ref="Q5:Q6"/>
    <mergeCell ref="C32:F32"/>
    <mergeCell ref="C34:F34"/>
    <mergeCell ref="C35:F35"/>
    <mergeCell ref="C36:E36"/>
    <mergeCell ref="C37:F37"/>
    <mergeCell ref="C53:F53"/>
    <mergeCell ref="C39:F39"/>
    <mergeCell ref="C40:F40"/>
    <mergeCell ref="C41:F41"/>
    <mergeCell ref="A42:F42"/>
    <mergeCell ref="C46:F46"/>
    <mergeCell ref="C47:F47"/>
    <mergeCell ref="C49:F49"/>
    <mergeCell ref="C50:F50"/>
    <mergeCell ref="C51:F51"/>
  </mergeCells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6BB1-F830-4AAD-B0F8-9AFBEC32A78C}">
  <dimension ref="A1:R52"/>
  <sheetViews>
    <sheetView topLeftCell="A34" zoomScaleNormal="100" workbookViewId="0">
      <selection activeCell="J90" sqref="J9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2478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44530</v>
      </c>
      <c r="C8" s="10" t="s">
        <v>2479</v>
      </c>
      <c r="D8" s="25" t="s">
        <v>2498</v>
      </c>
      <c r="E8" s="10" t="s">
        <v>1043</v>
      </c>
      <c r="F8" s="8"/>
      <c r="G8" s="8">
        <v>120</v>
      </c>
      <c r="H8" s="13">
        <f>G8*18380</f>
        <v>2205600</v>
      </c>
      <c r="I8" s="8"/>
      <c r="J8" s="50">
        <v>930000</v>
      </c>
      <c r="K8" s="28"/>
      <c r="L8" s="29"/>
      <c r="M8" s="13"/>
      <c r="N8" s="13"/>
      <c r="O8" s="53">
        <f>H8+J8+K8+L8+M8+N8</f>
        <v>3135600</v>
      </c>
      <c r="P8" s="13">
        <v>5272727</v>
      </c>
      <c r="Q8" s="54">
        <f>P8-O8</f>
        <v>2137127</v>
      </c>
      <c r="R8" s="5"/>
    </row>
    <row r="9" spans="1:18" ht="17.25" customHeight="1" x14ac:dyDescent="0.25">
      <c r="A9" s="25">
        <v>2</v>
      </c>
      <c r="B9" s="120">
        <v>44531</v>
      </c>
      <c r="C9" s="10" t="s">
        <v>2480</v>
      </c>
      <c r="D9" s="129" t="s">
        <v>2499</v>
      </c>
      <c r="E9" s="9" t="s">
        <v>2520</v>
      </c>
      <c r="F9" s="117"/>
      <c r="G9" s="6">
        <v>96</v>
      </c>
      <c r="H9" s="13">
        <f t="shared" ref="H9:H11" si="0">G9*18380</f>
        <v>1764480</v>
      </c>
      <c r="I9" s="117"/>
      <c r="J9" s="134">
        <v>1230000</v>
      </c>
      <c r="K9" s="28"/>
      <c r="L9" s="29"/>
      <c r="M9" s="13"/>
      <c r="N9" s="13"/>
      <c r="O9" s="53">
        <f t="shared" ref="O9:O33" si="1">H9+J9+K9+L9+M9+N9</f>
        <v>2994480</v>
      </c>
      <c r="P9" s="13">
        <v>5000000</v>
      </c>
      <c r="Q9" s="54">
        <f t="shared" ref="Q9:Q33" si="2">P9-O9</f>
        <v>2005520</v>
      </c>
      <c r="R9" s="5"/>
    </row>
    <row r="10" spans="1:18" ht="24.75" customHeight="1" x14ac:dyDescent="0.25">
      <c r="A10" s="25">
        <v>3</v>
      </c>
      <c r="B10" s="120">
        <v>44531</v>
      </c>
      <c r="C10" s="10" t="s">
        <v>2481</v>
      </c>
      <c r="D10" s="25" t="s">
        <v>2499</v>
      </c>
      <c r="E10" s="10" t="s">
        <v>2521</v>
      </c>
      <c r="F10" s="8"/>
      <c r="G10" s="8">
        <v>0</v>
      </c>
      <c r="H10" s="13">
        <f t="shared" si="0"/>
        <v>0</v>
      </c>
      <c r="I10" s="8"/>
      <c r="J10" s="50">
        <v>0</v>
      </c>
      <c r="K10" s="28"/>
      <c r="L10" s="29"/>
      <c r="M10" s="13"/>
      <c r="N10" s="13"/>
      <c r="O10" s="53">
        <f t="shared" si="1"/>
        <v>0</v>
      </c>
      <c r="P10" s="13">
        <v>0</v>
      </c>
      <c r="Q10" s="54">
        <f t="shared" si="2"/>
        <v>0</v>
      </c>
      <c r="R10" s="5"/>
    </row>
    <row r="11" spans="1:18" ht="27.75" customHeight="1" x14ac:dyDescent="0.25">
      <c r="A11" s="25">
        <v>4</v>
      </c>
      <c r="B11" s="120">
        <v>44532</v>
      </c>
      <c r="C11" s="10" t="s">
        <v>2482</v>
      </c>
      <c r="D11" s="25" t="s">
        <v>2500</v>
      </c>
      <c r="E11" s="10" t="s">
        <v>33</v>
      </c>
      <c r="F11" s="8"/>
      <c r="G11" s="8">
        <v>160</v>
      </c>
      <c r="H11" s="13">
        <f t="shared" si="0"/>
        <v>2940800</v>
      </c>
      <c r="I11" s="8"/>
      <c r="J11" s="50">
        <v>1720000</v>
      </c>
      <c r="K11" s="28"/>
      <c r="L11" s="29"/>
      <c r="M11" s="13"/>
      <c r="N11" s="13"/>
      <c r="O11" s="53">
        <f t="shared" si="1"/>
        <v>4660800</v>
      </c>
      <c r="P11" s="13">
        <v>7754545</v>
      </c>
      <c r="Q11" s="54">
        <f t="shared" si="2"/>
        <v>3093745</v>
      </c>
      <c r="R11" s="5"/>
    </row>
    <row r="12" spans="1:18" ht="27.75" customHeight="1" x14ac:dyDescent="0.25">
      <c r="A12" s="25">
        <v>5</v>
      </c>
      <c r="B12" s="120">
        <v>44537</v>
      </c>
      <c r="C12" s="10" t="s">
        <v>2483</v>
      </c>
      <c r="D12" s="25" t="s">
        <v>2501</v>
      </c>
      <c r="E12" s="10" t="s">
        <v>2522</v>
      </c>
      <c r="F12" s="8"/>
      <c r="G12" s="8">
        <v>102</v>
      </c>
      <c r="H12" s="13">
        <f>G12*17330</f>
        <v>1767660</v>
      </c>
      <c r="I12" s="8"/>
      <c r="J12" s="50">
        <v>930000</v>
      </c>
      <c r="K12" s="28"/>
      <c r="L12" s="29"/>
      <c r="M12" s="13"/>
      <c r="N12" s="13"/>
      <c r="O12" s="53">
        <f t="shared" si="1"/>
        <v>2697660</v>
      </c>
      <c r="P12" s="13">
        <v>4400000</v>
      </c>
      <c r="Q12" s="54">
        <f t="shared" si="2"/>
        <v>1702340</v>
      </c>
      <c r="R12" s="5"/>
    </row>
    <row r="13" spans="1:18" ht="27.75" customHeight="1" x14ac:dyDescent="0.25">
      <c r="A13" s="25">
        <v>6</v>
      </c>
      <c r="B13" s="120">
        <v>44538</v>
      </c>
      <c r="C13" s="10" t="s">
        <v>2484</v>
      </c>
      <c r="D13" s="25" t="s">
        <v>2502</v>
      </c>
      <c r="E13" s="10" t="s">
        <v>2523</v>
      </c>
      <c r="F13" s="8"/>
      <c r="G13" s="8">
        <v>64</v>
      </c>
      <c r="H13" s="13">
        <f t="shared" ref="H13:H25" si="3">G13*17330</f>
        <v>1109120</v>
      </c>
      <c r="I13" s="8"/>
      <c r="J13" s="50">
        <v>900000</v>
      </c>
      <c r="K13" s="28"/>
      <c r="L13" s="29"/>
      <c r="M13" s="13"/>
      <c r="N13" s="13"/>
      <c r="O13" s="53">
        <f t="shared" si="1"/>
        <v>2009120</v>
      </c>
      <c r="P13" s="13">
        <v>2345455</v>
      </c>
      <c r="Q13" s="54">
        <f t="shared" si="2"/>
        <v>336335</v>
      </c>
      <c r="R13" s="5"/>
    </row>
    <row r="14" spans="1:18" ht="27.75" customHeight="1" x14ac:dyDescent="0.25">
      <c r="A14" s="25">
        <v>7</v>
      </c>
      <c r="B14" s="120">
        <v>44539</v>
      </c>
      <c r="C14" s="10" t="s">
        <v>2485</v>
      </c>
      <c r="D14" s="25" t="s">
        <v>2502</v>
      </c>
      <c r="E14" s="10" t="s">
        <v>1178</v>
      </c>
      <c r="F14" s="8"/>
      <c r="G14" s="8">
        <v>0</v>
      </c>
      <c r="H14" s="13">
        <f t="shared" si="3"/>
        <v>0</v>
      </c>
      <c r="I14" s="8"/>
      <c r="J14" s="50">
        <v>0</v>
      </c>
      <c r="K14" s="28"/>
      <c r="L14" s="29"/>
      <c r="M14" s="13"/>
      <c r="N14" s="13"/>
      <c r="O14" s="53">
        <f t="shared" si="1"/>
        <v>0</v>
      </c>
      <c r="P14" s="13">
        <v>1858182</v>
      </c>
      <c r="Q14" s="54">
        <f t="shared" si="2"/>
        <v>1858182</v>
      </c>
      <c r="R14" s="5"/>
    </row>
    <row r="15" spans="1:18" ht="27.75" customHeight="1" x14ac:dyDescent="0.25">
      <c r="A15" s="25">
        <v>8</v>
      </c>
      <c r="B15" s="120">
        <v>44539</v>
      </c>
      <c r="C15" s="10" t="s">
        <v>1053</v>
      </c>
      <c r="D15" s="25" t="s">
        <v>2503</v>
      </c>
      <c r="E15" s="10" t="s">
        <v>2524</v>
      </c>
      <c r="F15" s="8"/>
      <c r="G15" s="8">
        <v>91</v>
      </c>
      <c r="H15" s="13">
        <f t="shared" si="3"/>
        <v>1577030</v>
      </c>
      <c r="I15" s="8"/>
      <c r="J15" s="134">
        <v>930000</v>
      </c>
      <c r="K15" s="28"/>
      <c r="L15" s="29"/>
      <c r="M15" s="13"/>
      <c r="N15" s="13"/>
      <c r="O15" s="53">
        <f t="shared" si="1"/>
        <v>2507030</v>
      </c>
      <c r="P15" s="13">
        <v>4000000</v>
      </c>
      <c r="Q15" s="54">
        <f t="shared" si="2"/>
        <v>1492970</v>
      </c>
      <c r="R15" s="5"/>
    </row>
    <row r="16" spans="1:18" ht="27.75" customHeight="1" x14ac:dyDescent="0.25">
      <c r="A16" s="25">
        <v>9</v>
      </c>
      <c r="B16" s="120">
        <v>44540</v>
      </c>
      <c r="C16" s="10" t="s">
        <v>343</v>
      </c>
      <c r="D16" s="25" t="s">
        <v>2504</v>
      </c>
      <c r="E16" s="10" t="s">
        <v>2525</v>
      </c>
      <c r="F16" s="8"/>
      <c r="G16" s="8">
        <v>85</v>
      </c>
      <c r="H16" s="13">
        <f t="shared" si="3"/>
        <v>1473050</v>
      </c>
      <c r="I16" s="8"/>
      <c r="J16" s="50">
        <v>930000</v>
      </c>
      <c r="K16" s="28"/>
      <c r="L16" s="29"/>
      <c r="M16" s="13"/>
      <c r="N16" s="13"/>
      <c r="O16" s="53">
        <f t="shared" si="1"/>
        <v>2403050</v>
      </c>
      <c r="P16" s="13">
        <v>4000000</v>
      </c>
      <c r="Q16" s="54">
        <f t="shared" si="2"/>
        <v>1596950</v>
      </c>
      <c r="R16" s="5"/>
    </row>
    <row r="17" spans="1:18" ht="27.75" customHeight="1" x14ac:dyDescent="0.25">
      <c r="A17" s="25">
        <v>10</v>
      </c>
      <c r="B17" s="120">
        <v>44543</v>
      </c>
      <c r="C17" s="10" t="s">
        <v>2486</v>
      </c>
      <c r="D17" s="25" t="s">
        <v>1769</v>
      </c>
      <c r="E17" s="10" t="s">
        <v>122</v>
      </c>
      <c r="F17" s="8"/>
      <c r="G17" s="8">
        <v>74</v>
      </c>
      <c r="H17" s="13">
        <f t="shared" si="3"/>
        <v>1282420</v>
      </c>
      <c r="I17" s="8"/>
      <c r="J17" s="50">
        <v>930000</v>
      </c>
      <c r="K17" s="28"/>
      <c r="L17" s="29"/>
      <c r="M17" s="13"/>
      <c r="N17" s="13"/>
      <c r="O17" s="53">
        <f t="shared" si="1"/>
        <v>2212420</v>
      </c>
      <c r="P17" s="13">
        <v>3509091</v>
      </c>
      <c r="Q17" s="54">
        <f t="shared" si="2"/>
        <v>1296671</v>
      </c>
      <c r="R17" s="5"/>
    </row>
    <row r="18" spans="1:18" ht="22.5" customHeight="1" x14ac:dyDescent="0.25">
      <c r="A18" s="25">
        <v>11</v>
      </c>
      <c r="B18" s="120">
        <v>44543</v>
      </c>
      <c r="C18" s="10" t="s">
        <v>2487</v>
      </c>
      <c r="D18" s="25" t="s">
        <v>2505</v>
      </c>
      <c r="E18" s="10" t="s">
        <v>258</v>
      </c>
      <c r="F18" s="8"/>
      <c r="G18" s="8">
        <v>160</v>
      </c>
      <c r="H18" s="13">
        <f t="shared" si="3"/>
        <v>2772800</v>
      </c>
      <c r="I18" s="8"/>
      <c r="J18" s="50">
        <v>1720000</v>
      </c>
      <c r="K18" s="28"/>
      <c r="L18" s="29"/>
      <c r="M18" s="13"/>
      <c r="N18" s="13"/>
      <c r="O18" s="53">
        <f t="shared" si="1"/>
        <v>4492800</v>
      </c>
      <c r="P18" s="13">
        <v>9727273</v>
      </c>
      <c r="Q18" s="54">
        <f t="shared" si="2"/>
        <v>5234473</v>
      </c>
      <c r="R18" s="5"/>
    </row>
    <row r="19" spans="1:18" ht="22.5" customHeight="1" x14ac:dyDescent="0.25">
      <c r="A19" s="25">
        <v>12</v>
      </c>
      <c r="B19" s="120">
        <v>44544</v>
      </c>
      <c r="C19" s="10" t="s">
        <v>1738</v>
      </c>
      <c r="D19" s="25" t="s">
        <v>947</v>
      </c>
      <c r="E19" s="10" t="s">
        <v>122</v>
      </c>
      <c r="F19" s="8"/>
      <c r="G19" s="8">
        <v>74</v>
      </c>
      <c r="H19" s="13">
        <f t="shared" si="3"/>
        <v>1282420</v>
      </c>
      <c r="I19" s="8"/>
      <c r="J19" s="50">
        <v>930000</v>
      </c>
      <c r="K19" s="28"/>
      <c r="L19" s="29"/>
      <c r="M19" s="13"/>
      <c r="N19" s="13"/>
      <c r="O19" s="53">
        <f t="shared" si="1"/>
        <v>2212420</v>
      </c>
      <c r="P19" s="13">
        <v>3790909</v>
      </c>
      <c r="Q19" s="54">
        <f t="shared" si="2"/>
        <v>1578489</v>
      </c>
      <c r="R19" s="5"/>
    </row>
    <row r="20" spans="1:18" ht="22.5" customHeight="1" x14ac:dyDescent="0.25">
      <c r="A20" s="25">
        <v>13</v>
      </c>
      <c r="B20" s="120">
        <v>44545</v>
      </c>
      <c r="C20" s="10" t="s">
        <v>2488</v>
      </c>
      <c r="D20" s="25" t="s">
        <v>2506</v>
      </c>
      <c r="E20" s="10" t="s">
        <v>2399</v>
      </c>
      <c r="F20" s="8"/>
      <c r="G20" s="8">
        <v>89</v>
      </c>
      <c r="H20" s="13">
        <f t="shared" si="3"/>
        <v>1542370</v>
      </c>
      <c r="I20" s="8"/>
      <c r="J20" s="50">
        <v>680000</v>
      </c>
      <c r="K20" s="28"/>
      <c r="L20" s="29"/>
      <c r="M20" s="13"/>
      <c r="N20" s="13"/>
      <c r="O20" s="53">
        <f t="shared" si="1"/>
        <v>2222370</v>
      </c>
      <c r="P20" s="13">
        <v>3800000</v>
      </c>
      <c r="Q20" s="54">
        <f t="shared" si="2"/>
        <v>1577630</v>
      </c>
      <c r="R20" s="5"/>
    </row>
    <row r="21" spans="1:18" ht="22.5" customHeight="1" x14ac:dyDescent="0.25">
      <c r="A21" s="25">
        <v>14</v>
      </c>
      <c r="B21" s="120">
        <v>44546</v>
      </c>
      <c r="C21" s="10" t="s">
        <v>347</v>
      </c>
      <c r="D21" s="25" t="s">
        <v>2507</v>
      </c>
      <c r="E21" s="10" t="s">
        <v>1662</v>
      </c>
      <c r="F21" s="8"/>
      <c r="G21" s="8">
        <v>71</v>
      </c>
      <c r="H21" s="13">
        <f t="shared" si="3"/>
        <v>1230430</v>
      </c>
      <c r="I21" s="8"/>
      <c r="J21" s="50">
        <v>680000</v>
      </c>
      <c r="K21" s="28"/>
      <c r="L21" s="29"/>
      <c r="M21" s="13"/>
      <c r="N21" s="13"/>
      <c r="O21" s="53">
        <f t="shared" si="1"/>
        <v>1910430</v>
      </c>
      <c r="P21" s="13">
        <v>3100000</v>
      </c>
      <c r="Q21" s="54">
        <f t="shared" si="2"/>
        <v>1189570</v>
      </c>
      <c r="R21" s="5"/>
    </row>
    <row r="22" spans="1:18" ht="27" customHeight="1" x14ac:dyDescent="0.25">
      <c r="A22" s="25">
        <v>15</v>
      </c>
      <c r="B22" s="120">
        <v>44548</v>
      </c>
      <c r="C22" s="10" t="s">
        <v>2489</v>
      </c>
      <c r="D22" s="25" t="s">
        <v>2508</v>
      </c>
      <c r="E22" s="10" t="s">
        <v>2526</v>
      </c>
      <c r="F22" s="8"/>
      <c r="G22" s="8">
        <v>97</v>
      </c>
      <c r="H22" s="13">
        <f t="shared" si="3"/>
        <v>1681010</v>
      </c>
      <c r="I22" s="8"/>
      <c r="J22" s="50">
        <v>930000</v>
      </c>
      <c r="K22" s="28"/>
      <c r="L22" s="29"/>
      <c r="M22" s="13"/>
      <c r="N22" s="13"/>
      <c r="O22" s="53">
        <f t="shared" si="1"/>
        <v>2611010</v>
      </c>
      <c r="P22" s="13">
        <v>3800000</v>
      </c>
      <c r="Q22" s="54">
        <f t="shared" si="2"/>
        <v>1188990</v>
      </c>
      <c r="R22" s="5"/>
    </row>
    <row r="23" spans="1:18" ht="28.5" customHeight="1" x14ac:dyDescent="0.25">
      <c r="A23" s="25">
        <v>16</v>
      </c>
      <c r="B23" s="120">
        <v>44550</v>
      </c>
      <c r="C23" s="10" t="s">
        <v>2490</v>
      </c>
      <c r="D23" s="25" t="s">
        <v>2509</v>
      </c>
      <c r="E23" s="10" t="s">
        <v>2527</v>
      </c>
      <c r="F23" s="8"/>
      <c r="G23" s="8">
        <v>77</v>
      </c>
      <c r="H23" s="13">
        <f t="shared" si="3"/>
        <v>1334410</v>
      </c>
      <c r="I23" s="8"/>
      <c r="J23" s="50">
        <f>800000+270000</f>
        <v>1070000</v>
      </c>
      <c r="K23" s="28"/>
      <c r="L23" s="29"/>
      <c r="M23" s="13"/>
      <c r="N23" s="13"/>
      <c r="O23" s="53">
        <f t="shared" si="1"/>
        <v>2404410</v>
      </c>
      <c r="P23" s="13">
        <v>3390909</v>
      </c>
      <c r="Q23" s="54">
        <f t="shared" si="2"/>
        <v>986499</v>
      </c>
      <c r="R23" s="5"/>
    </row>
    <row r="24" spans="1:18" ht="34.5" customHeight="1" x14ac:dyDescent="0.25">
      <c r="A24" s="25">
        <v>17</v>
      </c>
      <c r="B24" s="120">
        <v>44550</v>
      </c>
      <c r="C24" s="10" t="s">
        <v>1745</v>
      </c>
      <c r="D24" s="25" t="s">
        <v>2510</v>
      </c>
      <c r="E24" s="10" t="s">
        <v>2309</v>
      </c>
      <c r="F24" s="8"/>
      <c r="G24" s="8">
        <v>57</v>
      </c>
      <c r="H24" s="13">
        <f t="shared" si="3"/>
        <v>987810</v>
      </c>
      <c r="I24" s="8"/>
      <c r="J24" s="50">
        <v>680000</v>
      </c>
      <c r="K24" s="28"/>
      <c r="L24" s="29"/>
      <c r="M24" s="13"/>
      <c r="N24" s="13"/>
      <c r="O24" s="53">
        <f t="shared" si="1"/>
        <v>1667810</v>
      </c>
      <c r="P24" s="13">
        <v>2572727</v>
      </c>
      <c r="Q24" s="54">
        <f t="shared" si="2"/>
        <v>904917</v>
      </c>
      <c r="R24" s="5"/>
    </row>
    <row r="25" spans="1:18" ht="30" customHeight="1" x14ac:dyDescent="0.25">
      <c r="A25" s="25">
        <v>18</v>
      </c>
      <c r="B25" s="120">
        <v>44551</v>
      </c>
      <c r="C25" s="10" t="s">
        <v>2491</v>
      </c>
      <c r="D25" s="25" t="s">
        <v>2511</v>
      </c>
      <c r="E25" s="10" t="s">
        <v>33</v>
      </c>
      <c r="F25" s="8"/>
      <c r="G25" s="8">
        <v>193</v>
      </c>
      <c r="H25" s="13">
        <f t="shared" si="3"/>
        <v>3344690</v>
      </c>
      <c r="I25" s="8"/>
      <c r="J25" s="50">
        <v>1890000</v>
      </c>
      <c r="K25" s="28"/>
      <c r="L25" s="29"/>
      <c r="M25" s="13"/>
      <c r="N25" s="13"/>
      <c r="O25" s="53">
        <f t="shared" si="1"/>
        <v>5234690</v>
      </c>
      <c r="P25" s="13">
        <v>8390909</v>
      </c>
      <c r="Q25" s="54">
        <f t="shared" si="2"/>
        <v>3156219</v>
      </c>
      <c r="R25" s="5"/>
    </row>
    <row r="26" spans="1:18" ht="21" customHeight="1" x14ac:dyDescent="0.25">
      <c r="A26" s="25">
        <v>19</v>
      </c>
      <c r="B26" s="120">
        <v>44552</v>
      </c>
      <c r="C26" s="10" t="s">
        <v>1747</v>
      </c>
      <c r="D26" s="25" t="s">
        <v>2512</v>
      </c>
      <c r="E26" s="10" t="s">
        <v>383</v>
      </c>
      <c r="F26" s="8"/>
      <c r="G26" s="8">
        <v>69</v>
      </c>
      <c r="H26" s="13">
        <f>G26*17570</f>
        <v>1212330</v>
      </c>
      <c r="I26" s="8"/>
      <c r="J26" s="50">
        <v>930000</v>
      </c>
      <c r="K26" s="28"/>
      <c r="L26" s="29"/>
      <c r="M26" s="13"/>
      <c r="N26" s="13"/>
      <c r="O26" s="53">
        <f t="shared" si="1"/>
        <v>2142330</v>
      </c>
      <c r="P26" s="13">
        <v>2945455</v>
      </c>
      <c r="Q26" s="54">
        <f t="shared" si="2"/>
        <v>803125</v>
      </c>
      <c r="R26" s="5"/>
    </row>
    <row r="27" spans="1:18" ht="20.25" customHeight="1" x14ac:dyDescent="0.25">
      <c r="A27" s="25">
        <v>20</v>
      </c>
      <c r="B27" s="120">
        <v>44553</v>
      </c>
      <c r="C27" s="10" t="s">
        <v>2492</v>
      </c>
      <c r="D27" s="25" t="s">
        <v>2513</v>
      </c>
      <c r="E27" s="10" t="s">
        <v>2528</v>
      </c>
      <c r="F27" s="8"/>
      <c r="G27" s="8">
        <v>102</v>
      </c>
      <c r="H27" s="13">
        <f t="shared" ref="H27:H33" si="4">G27*17570</f>
        <v>1792140</v>
      </c>
      <c r="I27" s="8"/>
      <c r="J27" s="50">
        <v>930000</v>
      </c>
      <c r="K27" s="28"/>
      <c r="L27" s="29"/>
      <c r="M27" s="13"/>
      <c r="N27" s="13"/>
      <c r="O27" s="53">
        <f t="shared" si="1"/>
        <v>2722140</v>
      </c>
      <c r="P27" s="13">
        <v>4400000</v>
      </c>
      <c r="Q27" s="54">
        <f t="shared" si="2"/>
        <v>1677860</v>
      </c>
      <c r="R27" s="5"/>
    </row>
    <row r="28" spans="1:18" ht="31.5" customHeight="1" x14ac:dyDescent="0.25">
      <c r="A28" s="25">
        <v>21</v>
      </c>
      <c r="B28" s="120">
        <v>44555</v>
      </c>
      <c r="C28" s="10" t="s">
        <v>2493</v>
      </c>
      <c r="D28" s="25" t="s">
        <v>2514</v>
      </c>
      <c r="E28" s="10" t="s">
        <v>1395</v>
      </c>
      <c r="F28" s="8"/>
      <c r="G28" s="8">
        <v>88</v>
      </c>
      <c r="H28" s="13">
        <f t="shared" si="4"/>
        <v>1546160</v>
      </c>
      <c r="I28" s="8"/>
      <c r="J28" s="50">
        <v>930000</v>
      </c>
      <c r="K28" s="28"/>
      <c r="L28" s="29"/>
      <c r="M28" s="13"/>
      <c r="N28" s="13"/>
      <c r="O28" s="53">
        <f t="shared" si="1"/>
        <v>2476160</v>
      </c>
      <c r="P28" s="13">
        <v>3700000</v>
      </c>
      <c r="Q28" s="54">
        <f t="shared" si="2"/>
        <v>1223840</v>
      </c>
      <c r="R28" s="5"/>
    </row>
    <row r="29" spans="1:18" ht="31.5" customHeight="1" x14ac:dyDescent="0.25">
      <c r="A29" s="25">
        <v>22</v>
      </c>
      <c r="B29" s="120">
        <v>44557</v>
      </c>
      <c r="C29" s="10" t="s">
        <v>2494</v>
      </c>
      <c r="D29" s="25" t="s">
        <v>2515</v>
      </c>
      <c r="E29" s="10" t="s">
        <v>122</v>
      </c>
      <c r="F29" s="8"/>
      <c r="G29" s="8">
        <v>73</v>
      </c>
      <c r="H29" s="13">
        <f t="shared" si="4"/>
        <v>1282610</v>
      </c>
      <c r="I29" s="8"/>
      <c r="J29" s="50">
        <v>930000</v>
      </c>
      <c r="K29" s="28"/>
      <c r="L29" s="29"/>
      <c r="M29" s="13"/>
      <c r="N29" s="13"/>
      <c r="O29" s="53">
        <f t="shared" si="1"/>
        <v>2212610</v>
      </c>
      <c r="P29" s="13">
        <v>3700000</v>
      </c>
      <c r="Q29" s="54">
        <f t="shared" si="2"/>
        <v>1487390</v>
      </c>
      <c r="R29" s="5"/>
    </row>
    <row r="30" spans="1:18" ht="31.5" customHeight="1" x14ac:dyDescent="0.25">
      <c r="A30" s="25">
        <v>23</v>
      </c>
      <c r="B30" s="120">
        <v>44557</v>
      </c>
      <c r="C30" s="10" t="s">
        <v>1751</v>
      </c>
      <c r="D30" s="25" t="s">
        <v>2516</v>
      </c>
      <c r="E30" s="10" t="s">
        <v>1287</v>
      </c>
      <c r="F30" s="8"/>
      <c r="G30" s="8">
        <v>60</v>
      </c>
      <c r="H30" s="13">
        <f t="shared" si="4"/>
        <v>1054200</v>
      </c>
      <c r="I30" s="8"/>
      <c r="J30" s="50">
        <v>680000</v>
      </c>
      <c r="K30" s="28"/>
      <c r="L30" s="29"/>
      <c r="M30" s="13"/>
      <c r="N30" s="13"/>
      <c r="O30" s="53">
        <f t="shared" si="1"/>
        <v>1734200</v>
      </c>
      <c r="P30" s="13">
        <v>2763636</v>
      </c>
      <c r="Q30" s="54">
        <f t="shared" si="2"/>
        <v>1029436</v>
      </c>
      <c r="R30" s="5"/>
    </row>
    <row r="31" spans="1:18" ht="31.5" customHeight="1" x14ac:dyDescent="0.25">
      <c r="A31" s="25">
        <v>24</v>
      </c>
      <c r="B31" s="120">
        <v>44559</v>
      </c>
      <c r="C31" s="10" t="s">
        <v>2495</v>
      </c>
      <c r="D31" s="25" t="s">
        <v>2517</v>
      </c>
      <c r="E31" s="10" t="s">
        <v>2529</v>
      </c>
      <c r="F31" s="8"/>
      <c r="G31" s="8">
        <v>84</v>
      </c>
      <c r="H31" s="13">
        <f t="shared" si="4"/>
        <v>1475880</v>
      </c>
      <c r="I31" s="8"/>
      <c r="J31" s="50">
        <v>930000</v>
      </c>
      <c r="K31" s="28"/>
      <c r="L31" s="29"/>
      <c r="M31" s="13"/>
      <c r="N31" s="13"/>
      <c r="O31" s="53">
        <f t="shared" si="1"/>
        <v>2405880</v>
      </c>
      <c r="P31" s="13">
        <v>3800000</v>
      </c>
      <c r="Q31" s="54">
        <f t="shared" si="2"/>
        <v>1394120</v>
      </c>
      <c r="R31" s="5"/>
    </row>
    <row r="32" spans="1:18" ht="31.5" customHeight="1" x14ac:dyDescent="0.25">
      <c r="A32" s="25">
        <v>25</v>
      </c>
      <c r="B32" s="120">
        <v>44559</v>
      </c>
      <c r="C32" s="10" t="s">
        <v>2496</v>
      </c>
      <c r="D32" s="25" t="s">
        <v>2518</v>
      </c>
      <c r="E32" s="10" t="s">
        <v>254</v>
      </c>
      <c r="F32" s="8"/>
      <c r="G32" s="8">
        <v>94</v>
      </c>
      <c r="H32" s="13">
        <f t="shared" si="4"/>
        <v>1651580</v>
      </c>
      <c r="I32" s="8"/>
      <c r="J32" s="50">
        <v>930000</v>
      </c>
      <c r="K32" s="28"/>
      <c r="L32" s="29"/>
      <c r="M32" s="13"/>
      <c r="N32" s="13"/>
      <c r="O32" s="13">
        <f t="shared" si="1"/>
        <v>2581580</v>
      </c>
      <c r="P32" s="13">
        <v>3800000</v>
      </c>
      <c r="Q32" s="54">
        <f t="shared" si="2"/>
        <v>1218420</v>
      </c>
      <c r="R32" s="5"/>
    </row>
    <row r="33" spans="1:18" ht="31.5" customHeight="1" x14ac:dyDescent="0.25">
      <c r="A33" s="25">
        <v>26</v>
      </c>
      <c r="B33" s="120">
        <v>44560</v>
      </c>
      <c r="C33" s="10" t="s">
        <v>2497</v>
      </c>
      <c r="D33" s="25" t="s">
        <v>2519</v>
      </c>
      <c r="E33" s="10" t="s">
        <v>256</v>
      </c>
      <c r="F33" s="8"/>
      <c r="G33" s="8">
        <v>89</v>
      </c>
      <c r="H33" s="13">
        <f t="shared" si="4"/>
        <v>1563730</v>
      </c>
      <c r="I33" s="8"/>
      <c r="J33" s="50">
        <v>930000</v>
      </c>
      <c r="K33" s="28"/>
      <c r="L33" s="29"/>
      <c r="M33" s="13"/>
      <c r="N33" s="13"/>
      <c r="O33" s="13">
        <f t="shared" si="1"/>
        <v>2493730</v>
      </c>
      <c r="P33" s="13">
        <v>3800000</v>
      </c>
      <c r="Q33" s="54">
        <f t="shared" si="2"/>
        <v>1306270</v>
      </c>
      <c r="R33" s="5"/>
    </row>
    <row r="34" spans="1:18" ht="16.5" customHeight="1" x14ac:dyDescent="0.25">
      <c r="A34" s="25"/>
      <c r="B34" s="120"/>
      <c r="C34" s="75"/>
      <c r="D34" s="140"/>
      <c r="E34" s="76"/>
      <c r="F34" s="141"/>
      <c r="G34" s="8"/>
      <c r="H34" s="13"/>
      <c r="I34" s="8"/>
      <c r="J34" s="13"/>
      <c r="K34" s="28"/>
      <c r="L34" s="29"/>
      <c r="M34" s="13"/>
      <c r="N34" s="13"/>
      <c r="O34" s="53"/>
      <c r="P34" s="13"/>
      <c r="Q34" s="54"/>
      <c r="R34" s="5"/>
    </row>
    <row r="35" spans="1:18" ht="24" customHeight="1" x14ac:dyDescent="0.25">
      <c r="A35" s="8"/>
      <c r="B35" s="8"/>
      <c r="C35" s="196" t="s">
        <v>131</v>
      </c>
      <c r="D35" s="197"/>
      <c r="E35" s="197"/>
      <c r="F35" s="198"/>
      <c r="G35" s="12"/>
      <c r="H35" s="3"/>
      <c r="I35" s="12"/>
      <c r="J35" s="13"/>
      <c r="K35" s="28"/>
      <c r="L35" s="90">
        <v>1200000</v>
      </c>
      <c r="M35" s="18"/>
      <c r="N35" s="28"/>
      <c r="O35" s="53">
        <f t="shared" ref="O35:O39" si="5">H35+J35+K35+L35+M35+N35</f>
        <v>1200000</v>
      </c>
      <c r="P35" s="28"/>
      <c r="Q35" s="54"/>
    </row>
    <row r="36" spans="1:18" ht="24" customHeight="1" x14ac:dyDescent="0.25">
      <c r="A36" s="8"/>
      <c r="B36" s="8"/>
      <c r="C36" s="196" t="s">
        <v>2532</v>
      </c>
      <c r="D36" s="197"/>
      <c r="E36" s="197"/>
      <c r="F36" s="198"/>
      <c r="G36" s="30"/>
      <c r="H36" s="28"/>
      <c r="I36" s="30"/>
      <c r="J36" s="28"/>
      <c r="K36" s="90">
        <v>120000</v>
      </c>
      <c r="L36" s="18"/>
      <c r="M36" s="18"/>
      <c r="N36" s="28"/>
      <c r="O36" s="53">
        <f t="shared" si="5"/>
        <v>120000</v>
      </c>
      <c r="P36" s="28"/>
      <c r="Q36" s="54"/>
    </row>
    <row r="37" spans="1:18" ht="24" customHeight="1" x14ac:dyDescent="0.25">
      <c r="A37" s="8"/>
      <c r="B37" s="8"/>
      <c r="C37" s="196" t="s">
        <v>2535</v>
      </c>
      <c r="D37" s="197"/>
      <c r="E37" s="197"/>
      <c r="F37" s="198"/>
      <c r="G37" s="30"/>
      <c r="H37" s="28"/>
      <c r="I37" s="30"/>
      <c r="J37" s="28"/>
      <c r="K37" s="90">
        <v>120000</v>
      </c>
      <c r="L37" s="18"/>
      <c r="M37" s="18"/>
      <c r="N37" s="28"/>
      <c r="O37" s="53">
        <f t="shared" si="5"/>
        <v>120000</v>
      </c>
      <c r="P37" s="28"/>
      <c r="Q37" s="54"/>
    </row>
    <row r="38" spans="1:18" ht="24" customHeight="1" x14ac:dyDescent="0.25">
      <c r="A38" s="8"/>
      <c r="B38" s="8"/>
      <c r="C38" s="196" t="s">
        <v>2533</v>
      </c>
      <c r="D38" s="197"/>
      <c r="E38" s="197"/>
      <c r="F38" s="127"/>
      <c r="G38" s="30"/>
      <c r="H38" s="28"/>
      <c r="I38" s="30"/>
      <c r="J38" s="28"/>
      <c r="K38" s="90">
        <v>300000</v>
      </c>
      <c r="L38" s="18"/>
      <c r="M38" s="18"/>
      <c r="N38" s="28"/>
      <c r="O38" s="53">
        <f t="shared" si="5"/>
        <v>300000</v>
      </c>
      <c r="P38" s="28"/>
      <c r="Q38" s="54"/>
    </row>
    <row r="39" spans="1:18" ht="24" customHeight="1" x14ac:dyDescent="0.25">
      <c r="A39" s="8"/>
      <c r="B39" s="8"/>
      <c r="C39" s="199" t="s">
        <v>2539</v>
      </c>
      <c r="D39" s="200"/>
      <c r="E39" s="200"/>
      <c r="F39" s="201"/>
      <c r="G39" s="93"/>
      <c r="H39" s="48"/>
      <c r="I39" s="93"/>
      <c r="J39" s="48"/>
      <c r="K39" s="48"/>
      <c r="L39" s="48">
        <v>10650000</v>
      </c>
      <c r="M39" s="18"/>
      <c r="N39" s="28"/>
      <c r="O39" s="53">
        <f t="shared" si="5"/>
        <v>10650000</v>
      </c>
      <c r="P39" s="28"/>
      <c r="Q39" s="54"/>
    </row>
    <row r="40" spans="1:18" ht="25.5" customHeight="1" x14ac:dyDescent="0.25">
      <c r="A40" s="8"/>
      <c r="B40" s="8"/>
      <c r="C40" s="191" t="s">
        <v>2224</v>
      </c>
      <c r="D40" s="192"/>
      <c r="E40" s="192"/>
      <c r="F40" s="195"/>
      <c r="G40" s="30"/>
      <c r="H40" s="28"/>
      <c r="I40" s="30"/>
      <c r="J40" s="28"/>
      <c r="K40" s="28">
        <v>8846154</v>
      </c>
      <c r="L40" s="18"/>
      <c r="M40" s="18"/>
      <c r="N40" s="28"/>
      <c r="O40" s="53">
        <f>H40+J40+K40+L40+M40+N40</f>
        <v>8846154</v>
      </c>
      <c r="P40" s="28"/>
      <c r="Q40" s="54"/>
    </row>
    <row r="41" spans="1:18" ht="15" customHeight="1" x14ac:dyDescent="0.25">
      <c r="A41" s="166" t="s">
        <v>19</v>
      </c>
      <c r="B41" s="167"/>
      <c r="C41" s="167"/>
      <c r="D41" s="167"/>
      <c r="E41" s="167"/>
      <c r="F41" s="168"/>
      <c r="G41" s="131">
        <f t="shared" ref="G41:O41" si="6">SUM(G7:G40)</f>
        <v>2269</v>
      </c>
      <c r="H41" s="4">
        <f t="shared" si="6"/>
        <v>39874730</v>
      </c>
      <c r="I41" s="4">
        <f t="shared" si="6"/>
        <v>0</v>
      </c>
      <c r="J41" s="4">
        <f t="shared" si="6"/>
        <v>24270000</v>
      </c>
      <c r="K41" s="4">
        <f t="shared" si="6"/>
        <v>9386154</v>
      </c>
      <c r="L41" s="4">
        <f t="shared" si="6"/>
        <v>11850000</v>
      </c>
      <c r="M41" s="4">
        <f t="shared" si="6"/>
        <v>0</v>
      </c>
      <c r="N41" s="4">
        <f t="shared" si="6"/>
        <v>0</v>
      </c>
      <c r="O41" s="4">
        <f t="shared" si="6"/>
        <v>85380884</v>
      </c>
      <c r="P41" s="4">
        <f>SUM(P8:P40)</f>
        <v>105621818</v>
      </c>
      <c r="Q41" s="122">
        <f>P41-O41</f>
        <v>20240934</v>
      </c>
    </row>
    <row r="42" spans="1:18" x14ac:dyDescent="0.25">
      <c r="O42" s="20"/>
      <c r="P42" s="5" t="s">
        <v>1796</v>
      </c>
      <c r="Q42" s="26"/>
    </row>
    <row r="43" spans="1:18" x14ac:dyDescent="0.25">
      <c r="P43" s="21" t="s">
        <v>20</v>
      </c>
      <c r="Q43" s="26">
        <f>'11.2021'!Q44+'12.2021'!Q41</f>
        <v>272285742.84615386</v>
      </c>
    </row>
    <row r="44" spans="1:18" x14ac:dyDescent="0.25">
      <c r="C44" s="6" t="s">
        <v>993</v>
      </c>
    </row>
    <row r="45" spans="1:18" x14ac:dyDescent="0.25">
      <c r="C45" s="205"/>
      <c r="D45" s="205"/>
      <c r="E45" s="205"/>
      <c r="F45" s="205"/>
      <c r="H45" s="109"/>
    </row>
    <row r="46" spans="1:18" x14ac:dyDescent="0.25">
      <c r="C46" s="206"/>
      <c r="D46" s="206"/>
      <c r="E46" s="206"/>
      <c r="F46" s="206"/>
      <c r="H46" s="109"/>
    </row>
    <row r="47" spans="1:18" x14ac:dyDescent="0.25">
      <c r="B47" s="6"/>
      <c r="C47" s="110"/>
      <c r="D47" s="110"/>
      <c r="E47" s="110"/>
      <c r="F47" s="110"/>
      <c r="G47" s="133"/>
      <c r="H47" s="109"/>
    </row>
    <row r="48" spans="1:18" x14ac:dyDescent="0.25">
      <c r="B48" s="6"/>
      <c r="C48" s="206"/>
      <c r="D48" s="206"/>
      <c r="E48" s="206"/>
      <c r="F48" s="206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G50" s="133"/>
      <c r="H50" s="109"/>
      <c r="J50" s="6"/>
      <c r="K50" s="6"/>
      <c r="L50" s="6"/>
      <c r="M50" s="6"/>
      <c r="N50" s="6"/>
      <c r="O50" s="6"/>
      <c r="P50" s="6"/>
      <c r="Q50" s="6"/>
    </row>
    <row r="51" spans="2:17" x14ac:dyDescent="0.2">
      <c r="C51" s="107"/>
      <c r="D51" s="110"/>
      <c r="E51" s="110"/>
      <c r="F51" s="110"/>
      <c r="H51" s="109"/>
    </row>
    <row r="52" spans="2:17" x14ac:dyDescent="0.25">
      <c r="C52" s="205"/>
      <c r="D52" s="205"/>
      <c r="E52" s="205"/>
      <c r="F52" s="205"/>
    </row>
  </sheetData>
  <mergeCells count="26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52:F52"/>
    <mergeCell ref="C35:F35"/>
    <mergeCell ref="A41:F41"/>
    <mergeCell ref="C45:F45"/>
    <mergeCell ref="C46:F46"/>
    <mergeCell ref="C48:F48"/>
    <mergeCell ref="C49:F49"/>
    <mergeCell ref="C50:F50"/>
    <mergeCell ref="C36:F36"/>
    <mergeCell ref="C38:E38"/>
    <mergeCell ref="C40:F40"/>
    <mergeCell ref="C37:F37"/>
    <mergeCell ref="C39:F39"/>
  </mergeCells>
  <pageMargins left="0.7" right="0.7" top="0.75" bottom="0.75" header="0.3" footer="0.3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9E94-481D-4BF5-B03D-358A4BAE911A}">
  <dimension ref="A1:R54"/>
  <sheetViews>
    <sheetView topLeftCell="A31" zoomScale="98" zoomScaleNormal="98" workbookViewId="0">
      <selection activeCell="K39" sqref="K39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2540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44564</v>
      </c>
      <c r="C8" s="10" t="s">
        <v>2541</v>
      </c>
      <c r="D8" s="25" t="s">
        <v>2564</v>
      </c>
      <c r="E8" s="10" t="s">
        <v>2248</v>
      </c>
      <c r="F8" s="8"/>
      <c r="G8" s="8">
        <v>110</v>
      </c>
      <c r="H8" s="13">
        <f>G8*17570</f>
        <v>1932700</v>
      </c>
      <c r="I8" s="8"/>
      <c r="J8" s="13">
        <v>930000</v>
      </c>
      <c r="K8" s="28"/>
      <c r="L8" s="29"/>
      <c r="M8" s="13"/>
      <c r="N8" s="13"/>
      <c r="O8" s="53">
        <f>H8+J8+K8+L8+M8+N8</f>
        <v>2862700</v>
      </c>
      <c r="P8" s="13">
        <v>4500000</v>
      </c>
      <c r="Q8" s="54">
        <f>P8-O8</f>
        <v>1637300</v>
      </c>
      <c r="R8" s="5"/>
    </row>
    <row r="9" spans="1:18" ht="17.25" customHeight="1" x14ac:dyDescent="0.25">
      <c r="A9" s="25">
        <v>2</v>
      </c>
      <c r="B9" s="120">
        <v>44564</v>
      </c>
      <c r="C9" s="10" t="s">
        <v>2542</v>
      </c>
      <c r="D9" s="129" t="s">
        <v>2565</v>
      </c>
      <c r="E9" s="9" t="s">
        <v>2586</v>
      </c>
      <c r="F9" s="117"/>
      <c r="G9" s="6">
        <v>62</v>
      </c>
      <c r="H9" s="13">
        <f t="shared" ref="H9:H13" si="0">G9*17570</f>
        <v>1089340</v>
      </c>
      <c r="I9" s="117"/>
      <c r="J9" s="119">
        <v>930000</v>
      </c>
      <c r="K9" s="28"/>
      <c r="L9" s="29"/>
      <c r="M9" s="13"/>
      <c r="N9" s="13"/>
      <c r="O9" s="53">
        <f t="shared" ref="O9:O35" si="1">H9+J9+K9+L9+M9+N9</f>
        <v>2019340</v>
      </c>
      <c r="P9" s="13">
        <v>3054545</v>
      </c>
      <c r="Q9" s="54">
        <f t="shared" ref="Q9:Q35" si="2">P9-O9</f>
        <v>1035205</v>
      </c>
      <c r="R9" s="5"/>
    </row>
    <row r="10" spans="1:18" ht="24.75" customHeight="1" x14ac:dyDescent="0.25">
      <c r="A10" s="25">
        <v>3</v>
      </c>
      <c r="B10" s="120">
        <v>44566</v>
      </c>
      <c r="C10" s="10" t="s">
        <v>2543</v>
      </c>
      <c r="D10" s="25" t="s">
        <v>2566</v>
      </c>
      <c r="E10" s="10" t="s">
        <v>2587</v>
      </c>
      <c r="F10" s="8"/>
      <c r="G10" s="8">
        <v>27</v>
      </c>
      <c r="H10" s="13">
        <f t="shared" si="0"/>
        <v>474390</v>
      </c>
      <c r="I10" s="8"/>
      <c r="J10" s="13">
        <v>300000</v>
      </c>
      <c r="K10" s="28"/>
      <c r="L10" s="29"/>
      <c r="M10" s="13"/>
      <c r="N10" s="13"/>
      <c r="O10" s="53">
        <f t="shared" si="1"/>
        <v>774390</v>
      </c>
      <c r="P10" s="13">
        <v>1600000</v>
      </c>
      <c r="Q10" s="54">
        <f t="shared" si="2"/>
        <v>825610</v>
      </c>
      <c r="R10" s="5"/>
    </row>
    <row r="11" spans="1:18" ht="27.75" customHeight="1" x14ac:dyDescent="0.25">
      <c r="A11" s="25">
        <v>4</v>
      </c>
      <c r="B11" s="120">
        <v>44566</v>
      </c>
      <c r="C11" s="10" t="s">
        <v>2544</v>
      </c>
      <c r="D11" s="25" t="s">
        <v>2567</v>
      </c>
      <c r="E11" s="10" t="s">
        <v>2588</v>
      </c>
      <c r="F11" s="8"/>
      <c r="G11" s="8">
        <v>117</v>
      </c>
      <c r="H11" s="13">
        <f t="shared" si="0"/>
        <v>2055690</v>
      </c>
      <c r="I11" s="8"/>
      <c r="J11" s="13">
        <v>930000</v>
      </c>
      <c r="K11" s="28"/>
      <c r="L11" s="29"/>
      <c r="M11" s="13"/>
      <c r="N11" s="13"/>
      <c r="O11" s="53">
        <f t="shared" si="1"/>
        <v>2985690</v>
      </c>
      <c r="P11" s="13">
        <v>3881818</v>
      </c>
      <c r="Q11" s="54">
        <f t="shared" si="2"/>
        <v>896128</v>
      </c>
      <c r="R11" s="5"/>
    </row>
    <row r="12" spans="1:18" ht="27.75" customHeight="1" x14ac:dyDescent="0.25">
      <c r="A12" s="25">
        <v>5</v>
      </c>
      <c r="B12" s="120">
        <v>44567</v>
      </c>
      <c r="C12" s="10" t="s">
        <v>2545</v>
      </c>
      <c r="D12" s="25" t="s">
        <v>2567</v>
      </c>
      <c r="E12" s="10" t="s">
        <v>2589</v>
      </c>
      <c r="F12" s="8"/>
      <c r="G12" s="8">
        <v>0</v>
      </c>
      <c r="H12" s="13">
        <f>G12*17570</f>
        <v>0</v>
      </c>
      <c r="I12" s="8"/>
      <c r="J12" s="13">
        <v>350000</v>
      </c>
      <c r="K12" s="28"/>
      <c r="L12" s="29"/>
      <c r="M12" s="13"/>
      <c r="N12" s="13"/>
      <c r="O12" s="53">
        <f t="shared" si="1"/>
        <v>350000</v>
      </c>
      <c r="P12" s="13">
        <v>2772727</v>
      </c>
      <c r="Q12" s="54">
        <f t="shared" si="2"/>
        <v>2422727</v>
      </c>
      <c r="R12" s="5"/>
    </row>
    <row r="13" spans="1:18" ht="27.75" customHeight="1" x14ac:dyDescent="0.25">
      <c r="A13" s="25">
        <v>6</v>
      </c>
      <c r="B13" s="120">
        <v>44568</v>
      </c>
      <c r="C13" s="10" t="s">
        <v>2546</v>
      </c>
      <c r="D13" s="25" t="s">
        <v>2568</v>
      </c>
      <c r="E13" s="10" t="s">
        <v>1043</v>
      </c>
      <c r="F13" s="8"/>
      <c r="G13" s="8">
        <v>114</v>
      </c>
      <c r="H13" s="13">
        <f t="shared" si="0"/>
        <v>2002980</v>
      </c>
      <c r="I13" s="8"/>
      <c r="J13" s="13">
        <v>930000</v>
      </c>
      <c r="K13" s="28"/>
      <c r="L13" s="29"/>
      <c r="M13" s="13"/>
      <c r="N13" s="13"/>
      <c r="O13" s="53">
        <f t="shared" si="1"/>
        <v>2932980</v>
      </c>
      <c r="P13" s="13">
        <v>4909091</v>
      </c>
      <c r="Q13" s="54">
        <f t="shared" si="2"/>
        <v>1976111</v>
      </c>
      <c r="R13" s="5"/>
    </row>
    <row r="14" spans="1:18" ht="27.75" customHeight="1" x14ac:dyDescent="0.25">
      <c r="A14" s="25">
        <v>7</v>
      </c>
      <c r="B14" s="120">
        <v>44568</v>
      </c>
      <c r="C14" s="10" t="s">
        <v>1803</v>
      </c>
      <c r="D14" s="25" t="s">
        <v>2569</v>
      </c>
      <c r="E14" s="10" t="s">
        <v>122</v>
      </c>
      <c r="F14" s="8"/>
      <c r="G14" s="8">
        <v>73</v>
      </c>
      <c r="H14" s="13">
        <f>G14*18230</f>
        <v>1330790</v>
      </c>
      <c r="I14" s="8"/>
      <c r="J14" s="13">
        <v>930000</v>
      </c>
      <c r="K14" s="28"/>
      <c r="L14" s="29"/>
      <c r="M14" s="13"/>
      <c r="N14" s="13"/>
      <c r="O14" s="53">
        <f t="shared" si="1"/>
        <v>2260790</v>
      </c>
      <c r="P14" s="13">
        <v>3509091</v>
      </c>
      <c r="Q14" s="54">
        <f t="shared" si="2"/>
        <v>1248301</v>
      </c>
      <c r="R14" s="5"/>
    </row>
    <row r="15" spans="1:18" ht="27.75" customHeight="1" x14ac:dyDescent="0.25">
      <c r="A15" s="25">
        <v>8</v>
      </c>
      <c r="B15" s="120">
        <v>44571</v>
      </c>
      <c r="C15" s="10" t="s">
        <v>2547</v>
      </c>
      <c r="D15" s="25" t="s">
        <v>2570</v>
      </c>
      <c r="E15" s="10" t="s">
        <v>2590</v>
      </c>
      <c r="F15" s="8"/>
      <c r="G15" s="8">
        <v>98</v>
      </c>
      <c r="H15" s="13">
        <f>G15*18230</f>
        <v>1786540</v>
      </c>
      <c r="I15" s="8"/>
      <c r="J15" s="119">
        <v>930000</v>
      </c>
      <c r="K15" s="28"/>
      <c r="L15" s="29"/>
      <c r="M15" s="13"/>
      <c r="N15" s="13"/>
      <c r="O15" s="53">
        <f t="shared" si="1"/>
        <v>2716540</v>
      </c>
      <c r="P15" s="13">
        <v>2945455</v>
      </c>
      <c r="Q15" s="54">
        <f t="shared" si="2"/>
        <v>228915</v>
      </c>
      <c r="R15" s="5"/>
    </row>
    <row r="16" spans="1:18" ht="27.75" customHeight="1" x14ac:dyDescent="0.25">
      <c r="A16" s="25">
        <v>9</v>
      </c>
      <c r="B16" s="120">
        <v>44571</v>
      </c>
      <c r="C16" s="10" t="s">
        <v>2548</v>
      </c>
      <c r="D16" s="25" t="s">
        <v>2570</v>
      </c>
      <c r="E16" s="10" t="s">
        <v>253</v>
      </c>
      <c r="F16" s="8"/>
      <c r="G16" s="8">
        <v>0</v>
      </c>
      <c r="H16" s="13">
        <f t="shared" ref="H16:H26" si="3">G16*18230</f>
        <v>0</v>
      </c>
      <c r="I16" s="8"/>
      <c r="J16" s="13">
        <v>300000</v>
      </c>
      <c r="K16" s="28"/>
      <c r="L16" s="29"/>
      <c r="M16" s="13"/>
      <c r="N16" s="13"/>
      <c r="O16" s="53">
        <f t="shared" si="1"/>
        <v>300000</v>
      </c>
      <c r="P16" s="13">
        <v>1954545</v>
      </c>
      <c r="Q16" s="54">
        <f t="shared" si="2"/>
        <v>1654545</v>
      </c>
      <c r="R16" s="5"/>
    </row>
    <row r="17" spans="1:18" ht="27.75" customHeight="1" x14ac:dyDescent="0.25">
      <c r="A17" s="25">
        <v>10</v>
      </c>
      <c r="B17" s="120">
        <v>44571</v>
      </c>
      <c r="C17" s="10" t="s">
        <v>2549</v>
      </c>
      <c r="D17" s="25" t="s">
        <v>2571</v>
      </c>
      <c r="E17" s="10" t="s">
        <v>2265</v>
      </c>
      <c r="F17" s="8"/>
      <c r="G17" s="8">
        <v>81</v>
      </c>
      <c r="H17" s="13">
        <f t="shared" si="3"/>
        <v>1476630</v>
      </c>
      <c r="I17" s="8"/>
      <c r="J17" s="13">
        <v>680000</v>
      </c>
      <c r="K17" s="28"/>
      <c r="L17" s="29"/>
      <c r="M17" s="13"/>
      <c r="N17" s="13"/>
      <c r="O17" s="53">
        <f t="shared" si="1"/>
        <v>2156630</v>
      </c>
      <c r="P17" s="13">
        <v>2572727</v>
      </c>
      <c r="Q17" s="54">
        <f t="shared" si="2"/>
        <v>416097</v>
      </c>
      <c r="R17" s="5"/>
    </row>
    <row r="18" spans="1:18" ht="22.5" customHeight="1" x14ac:dyDescent="0.25">
      <c r="A18" s="25">
        <v>11</v>
      </c>
      <c r="B18" s="120">
        <v>44572</v>
      </c>
      <c r="C18" s="10" t="s">
        <v>2550</v>
      </c>
      <c r="D18" s="25" t="s">
        <v>2571</v>
      </c>
      <c r="E18" s="10" t="s">
        <v>2591</v>
      </c>
      <c r="F18" s="8"/>
      <c r="G18" s="8">
        <v>0</v>
      </c>
      <c r="H18" s="13">
        <f t="shared" si="3"/>
        <v>0</v>
      </c>
      <c r="I18" s="8"/>
      <c r="J18" s="13">
        <v>550000</v>
      </c>
      <c r="K18" s="28"/>
      <c r="L18" s="29"/>
      <c r="M18" s="13"/>
      <c r="N18" s="13"/>
      <c r="O18" s="53">
        <f t="shared" si="1"/>
        <v>550000</v>
      </c>
      <c r="P18" s="13">
        <v>1934545</v>
      </c>
      <c r="Q18" s="54">
        <f t="shared" si="2"/>
        <v>1384545</v>
      </c>
      <c r="R18" s="5"/>
    </row>
    <row r="19" spans="1:18" ht="22.5" customHeight="1" x14ac:dyDescent="0.25">
      <c r="A19" s="25">
        <v>12</v>
      </c>
      <c r="B19" s="120">
        <v>44572</v>
      </c>
      <c r="C19" s="10" t="s">
        <v>411</v>
      </c>
      <c r="D19" s="25" t="s">
        <v>2572</v>
      </c>
      <c r="E19" s="10" t="s">
        <v>1662</v>
      </c>
      <c r="F19" s="8"/>
      <c r="G19" s="8">
        <v>81</v>
      </c>
      <c r="H19" s="13">
        <f t="shared" si="3"/>
        <v>1476630</v>
      </c>
      <c r="I19" s="8"/>
      <c r="J19" s="13">
        <v>680000</v>
      </c>
      <c r="K19" s="28"/>
      <c r="L19" s="29"/>
      <c r="M19" s="13"/>
      <c r="N19" s="13"/>
      <c r="O19" s="53">
        <f t="shared" si="1"/>
        <v>2156630</v>
      </c>
      <c r="P19" s="13">
        <v>3200000</v>
      </c>
      <c r="Q19" s="54">
        <f t="shared" si="2"/>
        <v>1043370</v>
      </c>
      <c r="R19" s="5"/>
    </row>
    <row r="20" spans="1:18" ht="22.5" customHeight="1" x14ac:dyDescent="0.25">
      <c r="A20" s="25">
        <v>13</v>
      </c>
      <c r="B20" s="120">
        <v>44573</v>
      </c>
      <c r="C20" s="10" t="s">
        <v>2551</v>
      </c>
      <c r="D20" s="25" t="s">
        <v>2573</v>
      </c>
      <c r="E20" s="10" t="s">
        <v>2592</v>
      </c>
      <c r="F20" s="8"/>
      <c r="G20" s="8">
        <v>121</v>
      </c>
      <c r="H20" s="13">
        <f t="shared" si="3"/>
        <v>2205830</v>
      </c>
      <c r="I20" s="8"/>
      <c r="J20" s="13">
        <v>1130000</v>
      </c>
      <c r="K20" s="28"/>
      <c r="L20" s="29"/>
      <c r="M20" s="13"/>
      <c r="N20" s="13"/>
      <c r="O20" s="53">
        <f t="shared" si="1"/>
        <v>3335830</v>
      </c>
      <c r="P20" s="13">
        <v>4381818</v>
      </c>
      <c r="Q20" s="54">
        <f t="shared" si="2"/>
        <v>1045988</v>
      </c>
      <c r="R20" s="5"/>
    </row>
    <row r="21" spans="1:18" ht="22.5" customHeight="1" x14ac:dyDescent="0.25">
      <c r="A21" s="25">
        <v>14</v>
      </c>
      <c r="B21" s="120">
        <v>44574</v>
      </c>
      <c r="C21" s="10" t="s">
        <v>2552</v>
      </c>
      <c r="D21" s="25" t="s">
        <v>2573</v>
      </c>
      <c r="E21" s="10" t="s">
        <v>2593</v>
      </c>
      <c r="F21" s="8"/>
      <c r="G21" s="8">
        <v>0</v>
      </c>
      <c r="H21" s="13">
        <f t="shared" si="3"/>
        <v>0</v>
      </c>
      <c r="I21" s="8"/>
      <c r="J21" s="13">
        <v>300000</v>
      </c>
      <c r="K21" s="28"/>
      <c r="L21" s="29"/>
      <c r="M21" s="13"/>
      <c r="N21" s="13"/>
      <c r="O21" s="53">
        <f t="shared" si="1"/>
        <v>300000</v>
      </c>
      <c r="P21" s="13">
        <v>2686364</v>
      </c>
      <c r="Q21" s="54">
        <f t="shared" si="2"/>
        <v>2386364</v>
      </c>
      <c r="R21" s="5"/>
    </row>
    <row r="22" spans="1:18" ht="27" customHeight="1" x14ac:dyDescent="0.25">
      <c r="A22" s="25">
        <v>15</v>
      </c>
      <c r="B22" s="120">
        <v>44574</v>
      </c>
      <c r="C22" s="10" t="s">
        <v>2553</v>
      </c>
      <c r="D22" s="25" t="s">
        <v>2574</v>
      </c>
      <c r="E22" s="10" t="s">
        <v>2594</v>
      </c>
      <c r="F22" s="8"/>
      <c r="G22" s="8">
        <v>78</v>
      </c>
      <c r="H22" s="13">
        <f t="shared" si="3"/>
        <v>1421940</v>
      </c>
      <c r="I22" s="8"/>
      <c r="J22" s="13">
        <v>930000</v>
      </c>
      <c r="K22" s="28"/>
      <c r="L22" s="29"/>
      <c r="M22" s="13"/>
      <c r="N22" s="13"/>
      <c r="O22" s="53">
        <f t="shared" si="1"/>
        <v>2351940</v>
      </c>
      <c r="P22" s="13">
        <v>4100000</v>
      </c>
      <c r="Q22" s="54">
        <f t="shared" si="2"/>
        <v>1748060</v>
      </c>
      <c r="R22" s="5"/>
    </row>
    <row r="23" spans="1:18" ht="28.5" customHeight="1" x14ac:dyDescent="0.25">
      <c r="A23" s="25">
        <v>16</v>
      </c>
      <c r="B23" s="120">
        <v>44575</v>
      </c>
      <c r="C23" s="10" t="s">
        <v>413</v>
      </c>
      <c r="D23" s="25" t="s">
        <v>2575</v>
      </c>
      <c r="E23" s="10" t="s">
        <v>2586</v>
      </c>
      <c r="F23" s="8"/>
      <c r="G23" s="8">
        <v>66</v>
      </c>
      <c r="H23" s="13">
        <f t="shared" si="3"/>
        <v>1203180</v>
      </c>
      <c r="I23" s="8"/>
      <c r="J23" s="13">
        <v>930000</v>
      </c>
      <c r="K23" s="28"/>
      <c r="L23" s="29"/>
      <c r="M23" s="13"/>
      <c r="N23" s="13"/>
      <c r="O23" s="53">
        <f t="shared" si="1"/>
        <v>2133180</v>
      </c>
      <c r="P23" s="13">
        <v>3800000</v>
      </c>
      <c r="Q23" s="54">
        <f t="shared" si="2"/>
        <v>1666820</v>
      </c>
      <c r="R23" s="5"/>
    </row>
    <row r="24" spans="1:18" ht="34.5" customHeight="1" x14ac:dyDescent="0.25">
      <c r="A24" s="25">
        <v>17</v>
      </c>
      <c r="B24" s="120">
        <v>44578</v>
      </c>
      <c r="C24" s="10" t="s">
        <v>2554</v>
      </c>
      <c r="D24" s="25" t="s">
        <v>2576</v>
      </c>
      <c r="E24" s="10" t="s">
        <v>2595</v>
      </c>
      <c r="F24" s="8"/>
      <c r="G24" s="8">
        <v>70</v>
      </c>
      <c r="H24" s="13">
        <f t="shared" si="3"/>
        <v>1276100</v>
      </c>
      <c r="I24" s="8"/>
      <c r="J24" s="13">
        <v>780000</v>
      </c>
      <c r="K24" s="28"/>
      <c r="L24" s="29"/>
      <c r="M24" s="13"/>
      <c r="N24" s="13"/>
      <c r="O24" s="53">
        <f t="shared" si="1"/>
        <v>2056100</v>
      </c>
      <c r="P24" s="13">
        <v>3472727</v>
      </c>
      <c r="Q24" s="54">
        <f t="shared" si="2"/>
        <v>1416627</v>
      </c>
      <c r="R24" s="5"/>
    </row>
    <row r="25" spans="1:18" ht="30" customHeight="1" x14ac:dyDescent="0.25">
      <c r="A25" s="25">
        <v>18</v>
      </c>
      <c r="B25" s="120">
        <v>44578</v>
      </c>
      <c r="C25" s="10" t="s">
        <v>2555</v>
      </c>
      <c r="D25" s="25" t="s">
        <v>2577</v>
      </c>
      <c r="E25" s="10" t="s">
        <v>2596</v>
      </c>
      <c r="F25" s="8"/>
      <c r="G25" s="8">
        <v>96</v>
      </c>
      <c r="H25" s="13">
        <f t="shared" si="3"/>
        <v>1750080</v>
      </c>
      <c r="I25" s="8"/>
      <c r="J25" s="13">
        <v>930000</v>
      </c>
      <c r="K25" s="28"/>
      <c r="L25" s="29"/>
      <c r="M25" s="13"/>
      <c r="N25" s="13"/>
      <c r="O25" s="53">
        <f t="shared" si="1"/>
        <v>2680080</v>
      </c>
      <c r="P25" s="13">
        <v>3800000</v>
      </c>
      <c r="Q25" s="54">
        <f t="shared" si="2"/>
        <v>1119920</v>
      </c>
      <c r="R25" s="5"/>
    </row>
    <row r="26" spans="1:18" ht="21" customHeight="1" x14ac:dyDescent="0.25">
      <c r="A26" s="25">
        <v>19</v>
      </c>
      <c r="B26" s="120">
        <v>44579</v>
      </c>
      <c r="C26" s="10" t="s">
        <v>2556</v>
      </c>
      <c r="D26" s="25" t="s">
        <v>2578</v>
      </c>
      <c r="E26" s="10" t="s">
        <v>2597</v>
      </c>
      <c r="F26" s="8"/>
      <c r="G26" s="8">
        <v>96</v>
      </c>
      <c r="H26" s="13">
        <f t="shared" si="3"/>
        <v>1750080</v>
      </c>
      <c r="I26" s="8"/>
      <c r="J26" s="13">
        <v>930000</v>
      </c>
      <c r="K26" s="28"/>
      <c r="L26" s="29"/>
      <c r="M26" s="13"/>
      <c r="N26" s="13"/>
      <c r="O26" s="53">
        <f t="shared" si="1"/>
        <v>2680080</v>
      </c>
      <c r="P26" s="13">
        <v>4200000</v>
      </c>
      <c r="Q26" s="54">
        <f t="shared" si="2"/>
        <v>1519920</v>
      </c>
      <c r="R26" s="5"/>
    </row>
    <row r="27" spans="1:18" ht="20.25" customHeight="1" x14ac:dyDescent="0.25">
      <c r="A27" s="25">
        <v>20</v>
      </c>
      <c r="B27" s="120">
        <v>44580</v>
      </c>
      <c r="C27" s="10" t="s">
        <v>1815</v>
      </c>
      <c r="D27" s="25" t="s">
        <v>2579</v>
      </c>
      <c r="E27" s="10" t="s">
        <v>254</v>
      </c>
      <c r="F27" s="8"/>
      <c r="G27" s="8">
        <v>97</v>
      </c>
      <c r="H27" s="13">
        <f>G27*18900</f>
        <v>1833300</v>
      </c>
      <c r="I27" s="8"/>
      <c r="J27" s="13">
        <v>930000</v>
      </c>
      <c r="K27" s="28"/>
      <c r="L27" s="29"/>
      <c r="M27" s="13"/>
      <c r="N27" s="13"/>
      <c r="O27" s="53">
        <f t="shared" si="1"/>
        <v>2763300</v>
      </c>
      <c r="P27" s="13">
        <v>3800000</v>
      </c>
      <c r="Q27" s="54">
        <f t="shared" si="2"/>
        <v>1036700</v>
      </c>
      <c r="R27" s="5"/>
    </row>
    <row r="28" spans="1:18" ht="31.5" customHeight="1" x14ac:dyDescent="0.25">
      <c r="A28" s="25">
        <v>21</v>
      </c>
      <c r="B28" s="120">
        <v>44581</v>
      </c>
      <c r="C28" s="10" t="s">
        <v>2557</v>
      </c>
      <c r="D28" s="25" t="s">
        <v>2580</v>
      </c>
      <c r="E28" s="10" t="s">
        <v>2598</v>
      </c>
      <c r="F28" s="8"/>
      <c r="G28" s="8">
        <v>136</v>
      </c>
      <c r="H28" s="13">
        <f t="shared" ref="H28:H35" si="4">G28*18900</f>
        <v>2570400</v>
      </c>
      <c r="I28" s="8"/>
      <c r="J28" s="13">
        <v>930000</v>
      </c>
      <c r="K28" s="28"/>
      <c r="L28" s="29"/>
      <c r="M28" s="13"/>
      <c r="N28" s="13"/>
      <c r="O28" s="53">
        <f t="shared" si="1"/>
        <v>3500400</v>
      </c>
      <c r="P28" s="13">
        <v>4200000</v>
      </c>
      <c r="Q28" s="54">
        <f t="shared" si="2"/>
        <v>699600</v>
      </c>
      <c r="R28" s="5"/>
    </row>
    <row r="29" spans="1:18" ht="31.5" customHeight="1" x14ac:dyDescent="0.25">
      <c r="A29" s="25">
        <v>22</v>
      </c>
      <c r="B29" s="120">
        <v>44582</v>
      </c>
      <c r="C29" s="10" t="s">
        <v>2558</v>
      </c>
      <c r="D29" s="25" t="s">
        <v>2580</v>
      </c>
      <c r="E29" s="10" t="s">
        <v>1043</v>
      </c>
      <c r="F29" s="8"/>
      <c r="G29" s="8">
        <v>0</v>
      </c>
      <c r="H29" s="13">
        <f t="shared" si="4"/>
        <v>0</v>
      </c>
      <c r="I29" s="8"/>
      <c r="J29" s="13">
        <v>500000</v>
      </c>
      <c r="K29" s="28"/>
      <c r="L29" s="29"/>
      <c r="M29" s="13"/>
      <c r="N29" s="13"/>
      <c r="O29" s="53">
        <f t="shared" si="1"/>
        <v>500000</v>
      </c>
      <c r="P29" s="13">
        <v>3000000</v>
      </c>
      <c r="Q29" s="54">
        <f t="shared" si="2"/>
        <v>2500000</v>
      </c>
      <c r="R29" s="5"/>
    </row>
    <row r="30" spans="1:18" ht="31.5" customHeight="1" x14ac:dyDescent="0.25">
      <c r="A30" s="25">
        <v>23</v>
      </c>
      <c r="B30" s="120">
        <v>44585</v>
      </c>
      <c r="C30" s="10" t="s">
        <v>2559</v>
      </c>
      <c r="D30" s="25" t="s">
        <v>2581</v>
      </c>
      <c r="E30" s="10" t="s">
        <v>122</v>
      </c>
      <c r="F30" s="8"/>
      <c r="G30" s="8">
        <v>93</v>
      </c>
      <c r="H30" s="13">
        <f t="shared" si="4"/>
        <v>1757700</v>
      </c>
      <c r="I30" s="8"/>
      <c r="J30" s="13">
        <v>930000</v>
      </c>
      <c r="K30" s="28"/>
      <c r="L30" s="29"/>
      <c r="M30" s="13"/>
      <c r="N30" s="13"/>
      <c r="O30" s="53">
        <f t="shared" si="1"/>
        <v>2687700</v>
      </c>
      <c r="P30" s="13">
        <v>3790909</v>
      </c>
      <c r="Q30" s="54">
        <f t="shared" si="2"/>
        <v>1103209</v>
      </c>
      <c r="R30" s="5"/>
    </row>
    <row r="31" spans="1:18" ht="31.5" customHeight="1" x14ac:dyDescent="0.25">
      <c r="A31" s="25">
        <v>24</v>
      </c>
      <c r="B31" s="120">
        <v>44585</v>
      </c>
      <c r="C31" s="10" t="s">
        <v>2560</v>
      </c>
      <c r="D31" s="25" t="s">
        <v>2581</v>
      </c>
      <c r="E31" s="10" t="s">
        <v>253</v>
      </c>
      <c r="F31" s="8"/>
      <c r="G31" s="8">
        <v>0</v>
      </c>
      <c r="H31" s="13">
        <f t="shared" si="4"/>
        <v>0</v>
      </c>
      <c r="I31" s="8"/>
      <c r="J31" s="13">
        <v>300000</v>
      </c>
      <c r="K31" s="28"/>
      <c r="L31" s="29"/>
      <c r="M31" s="13"/>
      <c r="N31" s="13"/>
      <c r="O31" s="53">
        <f t="shared" si="1"/>
        <v>300000</v>
      </c>
      <c r="P31" s="13">
        <v>1954545</v>
      </c>
      <c r="Q31" s="54">
        <f t="shared" si="2"/>
        <v>1654545</v>
      </c>
      <c r="R31" s="5"/>
    </row>
    <row r="32" spans="1:18" ht="31.5" customHeight="1" x14ac:dyDescent="0.25">
      <c r="A32" s="25">
        <v>25</v>
      </c>
      <c r="B32" s="120">
        <v>44585</v>
      </c>
      <c r="C32" s="10" t="s">
        <v>1821</v>
      </c>
      <c r="D32" s="25" t="s">
        <v>2582</v>
      </c>
      <c r="E32" s="10" t="s">
        <v>122</v>
      </c>
      <c r="F32" s="8"/>
      <c r="G32" s="8">
        <v>74</v>
      </c>
      <c r="H32" s="13">
        <f t="shared" si="4"/>
        <v>1398600</v>
      </c>
      <c r="I32" s="8"/>
      <c r="J32" s="13">
        <v>930000</v>
      </c>
      <c r="K32" s="28"/>
      <c r="L32" s="29"/>
      <c r="M32" s="13"/>
      <c r="N32" s="13"/>
      <c r="O32" s="13">
        <f t="shared" si="1"/>
        <v>2328600</v>
      </c>
      <c r="P32" s="13">
        <v>3790909</v>
      </c>
      <c r="Q32" s="54">
        <f t="shared" si="2"/>
        <v>1462309</v>
      </c>
      <c r="R32" s="5"/>
    </row>
    <row r="33" spans="1:18" ht="31.5" customHeight="1" x14ac:dyDescent="0.25">
      <c r="A33" s="25">
        <v>26</v>
      </c>
      <c r="B33" s="120">
        <v>44586</v>
      </c>
      <c r="C33" s="10" t="s">
        <v>2561</v>
      </c>
      <c r="D33" s="25" t="s">
        <v>2583</v>
      </c>
      <c r="E33" s="10" t="s">
        <v>2599</v>
      </c>
      <c r="F33" s="8"/>
      <c r="G33" s="8">
        <v>92</v>
      </c>
      <c r="H33" s="13">
        <f t="shared" si="4"/>
        <v>1738800</v>
      </c>
      <c r="I33" s="8"/>
      <c r="J33" s="13">
        <v>930000</v>
      </c>
      <c r="K33" s="28"/>
      <c r="L33" s="29"/>
      <c r="M33" s="13"/>
      <c r="N33" s="13"/>
      <c r="O33" s="13">
        <f t="shared" si="1"/>
        <v>2668800</v>
      </c>
      <c r="P33" s="13">
        <v>4500000</v>
      </c>
      <c r="Q33" s="54">
        <f t="shared" si="2"/>
        <v>1831200</v>
      </c>
      <c r="R33" s="5"/>
    </row>
    <row r="34" spans="1:18" ht="31.5" customHeight="1" x14ac:dyDescent="0.25">
      <c r="A34" s="25">
        <v>27</v>
      </c>
      <c r="B34" s="120">
        <v>44587</v>
      </c>
      <c r="C34" s="10" t="s">
        <v>2562</v>
      </c>
      <c r="D34" s="25" t="s">
        <v>2584</v>
      </c>
      <c r="E34" s="10" t="s">
        <v>1043</v>
      </c>
      <c r="F34" s="8"/>
      <c r="G34" s="8">
        <v>116</v>
      </c>
      <c r="H34" s="13">
        <f t="shared" si="4"/>
        <v>2192400</v>
      </c>
      <c r="I34" s="8"/>
      <c r="J34" s="13">
        <v>930000</v>
      </c>
      <c r="K34" s="28"/>
      <c r="L34" s="29"/>
      <c r="M34" s="13"/>
      <c r="N34" s="13"/>
      <c r="O34" s="53">
        <f t="shared" si="1"/>
        <v>3122400</v>
      </c>
      <c r="P34" s="13">
        <v>4909091</v>
      </c>
      <c r="Q34" s="54">
        <f t="shared" si="2"/>
        <v>1786691</v>
      </c>
      <c r="R34" s="5"/>
    </row>
    <row r="35" spans="1:18" ht="31.5" customHeight="1" x14ac:dyDescent="0.25">
      <c r="A35" s="25">
        <v>28</v>
      </c>
      <c r="B35" s="120">
        <v>44588</v>
      </c>
      <c r="C35" s="10" t="s">
        <v>2563</v>
      </c>
      <c r="D35" s="25" t="s">
        <v>2585</v>
      </c>
      <c r="E35" s="10" t="s">
        <v>2600</v>
      </c>
      <c r="F35" s="8"/>
      <c r="G35" s="8">
        <v>107</v>
      </c>
      <c r="H35" s="13">
        <f t="shared" si="4"/>
        <v>2022300</v>
      </c>
      <c r="I35" s="8"/>
      <c r="J35" s="13">
        <v>1130000</v>
      </c>
      <c r="K35" s="28"/>
      <c r="L35" s="29"/>
      <c r="M35" s="13"/>
      <c r="N35" s="13"/>
      <c r="O35" s="13">
        <f t="shared" si="1"/>
        <v>3152300</v>
      </c>
      <c r="P35" s="13">
        <v>6000000</v>
      </c>
      <c r="Q35" s="54">
        <f t="shared" si="2"/>
        <v>2847700</v>
      </c>
      <c r="R35" s="5"/>
    </row>
    <row r="36" spans="1:18" ht="16.5" customHeight="1" x14ac:dyDescent="0.25">
      <c r="A36" s="25"/>
      <c r="B36" s="120"/>
      <c r="C36" s="75"/>
      <c r="D36" s="140"/>
      <c r="E36" s="76"/>
      <c r="F36" s="141"/>
      <c r="G36" s="8"/>
      <c r="H36" s="13"/>
      <c r="I36" s="8"/>
      <c r="J36" s="13"/>
      <c r="K36" s="28"/>
      <c r="L36" s="29"/>
      <c r="M36" s="13"/>
      <c r="N36" s="13"/>
      <c r="O36" s="53"/>
      <c r="P36" s="13"/>
      <c r="Q36" s="54"/>
      <c r="R36" s="5"/>
    </row>
    <row r="37" spans="1:18" ht="24" customHeight="1" x14ac:dyDescent="0.25">
      <c r="A37" s="8"/>
      <c r="B37" s="8"/>
      <c r="C37" s="196" t="s">
        <v>131</v>
      </c>
      <c r="D37" s="197"/>
      <c r="E37" s="197"/>
      <c r="F37" s="198"/>
      <c r="G37" s="8"/>
      <c r="H37" s="13"/>
      <c r="I37" s="8"/>
      <c r="J37" s="13"/>
      <c r="K37" s="28"/>
      <c r="L37" s="90">
        <v>1200000</v>
      </c>
      <c r="M37" s="28"/>
      <c r="N37" s="28"/>
      <c r="O37" s="53">
        <f t="shared" ref="O37:O41" si="5">H37+J37+K37+L37+M37+N37</f>
        <v>1200000</v>
      </c>
      <c r="P37" s="28"/>
      <c r="Q37" s="54"/>
    </row>
    <row r="38" spans="1:18" ht="24" customHeight="1" x14ac:dyDescent="0.25">
      <c r="A38" s="8"/>
      <c r="B38" s="8"/>
      <c r="C38" s="196" t="s">
        <v>2601</v>
      </c>
      <c r="D38" s="197"/>
      <c r="E38" s="197"/>
      <c r="F38" s="198"/>
      <c r="G38" s="30"/>
      <c r="H38" s="28"/>
      <c r="I38" s="30"/>
      <c r="J38" s="28"/>
      <c r="K38" s="28"/>
      <c r="L38" s="28"/>
      <c r="M38" s="90">
        <v>450000</v>
      </c>
      <c r="N38" s="28"/>
      <c r="O38" s="53">
        <f t="shared" si="5"/>
        <v>450000</v>
      </c>
      <c r="P38" s="28"/>
      <c r="Q38" s="54"/>
    </row>
    <row r="39" spans="1:18" ht="24" customHeight="1" x14ac:dyDescent="0.25">
      <c r="A39" s="8"/>
      <c r="B39" s="8"/>
      <c r="C39" s="196" t="s">
        <v>2602</v>
      </c>
      <c r="D39" s="197"/>
      <c r="E39" s="197"/>
      <c r="F39" s="198"/>
      <c r="G39" s="30"/>
      <c r="H39" s="28"/>
      <c r="I39" s="30"/>
      <c r="J39" s="28"/>
      <c r="K39" s="48">
        <f>130000-80000</f>
        <v>50000</v>
      </c>
      <c r="L39" s="28"/>
      <c r="M39" s="28"/>
      <c r="N39" s="28"/>
      <c r="O39" s="53">
        <f t="shared" si="5"/>
        <v>50000</v>
      </c>
      <c r="P39" s="28"/>
      <c r="Q39" s="54"/>
    </row>
    <row r="40" spans="1:18" ht="24" customHeight="1" x14ac:dyDescent="0.25">
      <c r="A40" s="8"/>
      <c r="B40" s="8"/>
      <c r="C40" s="196" t="s">
        <v>2603</v>
      </c>
      <c r="D40" s="197"/>
      <c r="E40" s="197"/>
      <c r="F40" s="127"/>
      <c r="G40" s="30"/>
      <c r="H40" s="28"/>
      <c r="I40" s="30"/>
      <c r="J40" s="28"/>
      <c r="K40" s="28"/>
      <c r="L40" s="28"/>
      <c r="M40" s="28"/>
      <c r="N40" s="90">
        <v>200000</v>
      </c>
      <c r="O40" s="53">
        <f t="shared" si="5"/>
        <v>200000</v>
      </c>
      <c r="P40" s="28"/>
      <c r="Q40" s="54"/>
    </row>
    <row r="41" spans="1:18" ht="24" customHeight="1" x14ac:dyDescent="0.25">
      <c r="A41" s="8"/>
      <c r="B41" s="8"/>
      <c r="C41" s="128" t="s">
        <v>2645</v>
      </c>
      <c r="D41" s="126"/>
      <c r="E41" s="126"/>
      <c r="F41" s="127"/>
      <c r="G41" s="30"/>
      <c r="H41" s="28"/>
      <c r="I41" s="30"/>
      <c r="J41" s="28"/>
      <c r="K41" s="90">
        <v>2000000</v>
      </c>
      <c r="L41" s="28"/>
      <c r="M41" s="28"/>
      <c r="N41" s="28"/>
      <c r="O41" s="53">
        <f t="shared" si="5"/>
        <v>2000000</v>
      </c>
      <c r="P41" s="28"/>
      <c r="Q41" s="54"/>
    </row>
    <row r="42" spans="1:18" ht="25.5" customHeight="1" x14ac:dyDescent="0.25">
      <c r="A42" s="8"/>
      <c r="B42" s="8"/>
      <c r="C42" s="191" t="s">
        <v>2647</v>
      </c>
      <c r="D42" s="192"/>
      <c r="E42" s="192"/>
      <c r="F42" s="195"/>
      <c r="G42" s="30"/>
      <c r="H42" s="28"/>
      <c r="I42" s="30"/>
      <c r="J42" s="28"/>
      <c r="K42" s="90">
        <v>9000000</v>
      </c>
      <c r="L42" s="18"/>
      <c r="M42" s="18"/>
      <c r="N42" s="28"/>
      <c r="O42" s="53">
        <f>H42+J42+K42+L42+M42+N42</f>
        <v>9000000</v>
      </c>
      <c r="P42" s="28"/>
      <c r="Q42" s="54"/>
    </row>
    <row r="43" spans="1:18" ht="15" customHeight="1" x14ac:dyDescent="0.25">
      <c r="A43" s="166" t="s">
        <v>19</v>
      </c>
      <c r="B43" s="167"/>
      <c r="C43" s="167"/>
      <c r="D43" s="167"/>
      <c r="E43" s="167"/>
      <c r="F43" s="168"/>
      <c r="G43" s="131">
        <f t="shared" ref="G43:O43" si="6">SUM(G7:G42)</f>
        <v>2005</v>
      </c>
      <c r="H43" s="4">
        <f t="shared" si="6"/>
        <v>36746400</v>
      </c>
      <c r="I43" s="4">
        <f t="shared" si="6"/>
        <v>0</v>
      </c>
      <c r="J43" s="4">
        <f t="shared" si="6"/>
        <v>21880000</v>
      </c>
      <c r="K43" s="4">
        <f t="shared" si="6"/>
        <v>11050000</v>
      </c>
      <c r="L43" s="4">
        <f t="shared" si="6"/>
        <v>1200000</v>
      </c>
      <c r="M43" s="4">
        <f t="shared" si="6"/>
        <v>450000</v>
      </c>
      <c r="N43" s="4">
        <f t="shared" si="6"/>
        <v>200000</v>
      </c>
      <c r="O43" s="4">
        <f t="shared" si="6"/>
        <v>71526400</v>
      </c>
      <c r="P43" s="51">
        <f>SUM(P8:P42)</f>
        <v>99220907</v>
      </c>
      <c r="Q43" s="4">
        <f>P43-O43</f>
        <v>27694507</v>
      </c>
    </row>
    <row r="44" spans="1:18" x14ac:dyDescent="0.25">
      <c r="O44" s="20"/>
      <c r="P44" s="5" t="s">
        <v>1796</v>
      </c>
      <c r="Q44" s="26"/>
    </row>
    <row r="45" spans="1:18" x14ac:dyDescent="0.25">
      <c r="P45" s="21" t="s">
        <v>20</v>
      </c>
      <c r="Q45" s="26">
        <f>Q43</f>
        <v>27694507</v>
      </c>
    </row>
    <row r="46" spans="1:18" x14ac:dyDescent="0.25">
      <c r="C46" s="6" t="s">
        <v>993</v>
      </c>
    </row>
    <row r="47" spans="1:18" x14ac:dyDescent="0.25">
      <c r="C47" s="205"/>
      <c r="D47" s="205"/>
      <c r="E47" s="205"/>
      <c r="F47" s="205"/>
      <c r="H47" s="109"/>
    </row>
    <row r="48" spans="1:18" x14ac:dyDescent="0.25">
      <c r="C48" s="206"/>
      <c r="D48" s="206"/>
      <c r="E48" s="206"/>
      <c r="F48" s="206"/>
      <c r="H48" s="109"/>
    </row>
    <row r="49" spans="2:17" x14ac:dyDescent="0.25">
      <c r="B49" s="6"/>
      <c r="C49" s="110"/>
      <c r="D49" s="110"/>
      <c r="E49" s="110"/>
      <c r="F49" s="110"/>
      <c r="G49" s="133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H51" s="109"/>
    </row>
    <row r="52" spans="2:17" x14ac:dyDescent="0.25">
      <c r="B52" s="6"/>
      <c r="C52" s="206"/>
      <c r="D52" s="206"/>
      <c r="E52" s="206"/>
      <c r="F52" s="206"/>
      <c r="G52" s="133"/>
      <c r="H52" s="109"/>
      <c r="J52" s="6"/>
      <c r="K52" s="6"/>
      <c r="L52" s="6"/>
      <c r="M52" s="6"/>
      <c r="N52" s="6"/>
      <c r="O52" s="6"/>
      <c r="P52" s="6"/>
      <c r="Q52" s="6"/>
    </row>
    <row r="53" spans="2:17" x14ac:dyDescent="0.2">
      <c r="C53" s="107"/>
      <c r="D53" s="110"/>
      <c r="E53" s="110"/>
      <c r="F53" s="110"/>
      <c r="H53" s="109"/>
    </row>
    <row r="54" spans="2:17" x14ac:dyDescent="0.25">
      <c r="C54" s="205"/>
      <c r="D54" s="205"/>
      <c r="E54" s="205"/>
      <c r="F54" s="205"/>
    </row>
  </sheetData>
  <mergeCells count="25">
    <mergeCell ref="C50:F50"/>
    <mergeCell ref="C51:F51"/>
    <mergeCell ref="C52:F52"/>
    <mergeCell ref="C54:F54"/>
    <mergeCell ref="C40:E40"/>
    <mergeCell ref="C42:F42"/>
    <mergeCell ref="A43:F43"/>
    <mergeCell ref="C47:F47"/>
    <mergeCell ref="C48:F48"/>
    <mergeCell ref="C39:F39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7:F37"/>
    <mergeCell ref="C38:F38"/>
  </mergeCells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F665-061F-4864-B24D-2FA651EF1764}">
  <dimension ref="A1:T45"/>
  <sheetViews>
    <sheetView topLeftCell="C16" zoomScale="98" zoomScaleNormal="98" workbookViewId="0">
      <selection activeCell="Q36" sqref="Q36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8" width="9.140625" style="6"/>
    <col min="19" max="19" width="10.140625" style="6" bestFit="1" customWidth="1"/>
    <col min="20" max="16384" width="9.140625" style="6"/>
  </cols>
  <sheetData>
    <row r="1" spans="1:20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0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20" ht="15.75" x14ac:dyDescent="0.25">
      <c r="A3" s="7"/>
      <c r="B3" s="170" t="s">
        <v>2604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20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20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20" s="16" customFormat="1" ht="13.5" thickBot="1" x14ac:dyDescent="0.3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20" ht="27.75" customHeight="1" thickBot="1" x14ac:dyDescent="0.25">
      <c r="A8" s="25">
        <v>1</v>
      </c>
      <c r="B8" s="120">
        <v>44599</v>
      </c>
      <c r="C8" s="10" t="s">
        <v>2605</v>
      </c>
      <c r="D8" s="25" t="s">
        <v>2615</v>
      </c>
      <c r="E8" s="10" t="s">
        <v>1177</v>
      </c>
      <c r="F8" s="8"/>
      <c r="G8" s="8">
        <v>82</v>
      </c>
      <c r="H8" s="13">
        <f>G8*18900</f>
        <v>1549800</v>
      </c>
      <c r="I8" s="8"/>
      <c r="J8" s="13">
        <v>930000</v>
      </c>
      <c r="K8" s="28"/>
      <c r="L8" s="29"/>
      <c r="M8" s="13"/>
      <c r="N8" s="13"/>
      <c r="O8" s="53">
        <f>H8+J8+K8+L8+M8+N8</f>
        <v>2479800</v>
      </c>
      <c r="P8" s="13">
        <v>3800000</v>
      </c>
      <c r="Q8" s="54">
        <f>P8-O8</f>
        <v>1320200</v>
      </c>
      <c r="R8" s="5"/>
      <c r="S8" s="143">
        <v>3800000</v>
      </c>
      <c r="T8" s="5">
        <f>S8-P8</f>
        <v>0</v>
      </c>
    </row>
    <row r="9" spans="1:20" ht="17.25" customHeight="1" thickBot="1" x14ac:dyDescent="0.25">
      <c r="A9" s="25">
        <v>2</v>
      </c>
      <c r="B9" s="120">
        <v>44600</v>
      </c>
      <c r="C9" s="10" t="s">
        <v>2606</v>
      </c>
      <c r="D9" s="129" t="s">
        <v>2616</v>
      </c>
      <c r="E9" s="9" t="s">
        <v>799</v>
      </c>
      <c r="F9" s="117"/>
      <c r="G9" s="6">
        <v>62</v>
      </c>
      <c r="H9" s="13">
        <f t="shared" ref="H9:H10" si="0">G9*18900</f>
        <v>1171800</v>
      </c>
      <c r="I9" s="117"/>
      <c r="J9" s="119">
        <v>680000</v>
      </c>
      <c r="K9" s="28"/>
      <c r="L9" s="29"/>
      <c r="M9" s="13"/>
      <c r="N9" s="13"/>
      <c r="O9" s="53">
        <f t="shared" ref="O9:O23" si="1">H9+J9+K9+L9+M9+N9</f>
        <v>1851800</v>
      </c>
      <c r="P9" s="13">
        <v>2572727</v>
      </c>
      <c r="Q9" s="54">
        <f t="shared" ref="Q9:Q23" si="2">P9-O9</f>
        <v>720927</v>
      </c>
      <c r="R9" s="5"/>
      <c r="S9" s="143">
        <v>2572727</v>
      </c>
      <c r="T9" s="5">
        <f t="shared" ref="T9:T23" si="3">S9-P9</f>
        <v>0</v>
      </c>
    </row>
    <row r="10" spans="1:20" ht="24.75" customHeight="1" thickBot="1" x14ac:dyDescent="0.25">
      <c r="A10" s="25">
        <v>3</v>
      </c>
      <c r="B10" s="120">
        <v>44601</v>
      </c>
      <c r="C10" s="10" t="s">
        <v>1143</v>
      </c>
      <c r="D10" s="25" t="s">
        <v>2617</v>
      </c>
      <c r="E10" s="10" t="s">
        <v>1177</v>
      </c>
      <c r="F10" s="8"/>
      <c r="G10" s="8">
        <v>83</v>
      </c>
      <c r="H10" s="13">
        <f t="shared" si="0"/>
        <v>1568700</v>
      </c>
      <c r="I10" s="8"/>
      <c r="J10" s="13">
        <v>930000</v>
      </c>
      <c r="K10" s="28"/>
      <c r="L10" s="29"/>
      <c r="M10" s="13"/>
      <c r="N10" s="13"/>
      <c r="O10" s="53">
        <f t="shared" si="1"/>
        <v>2498700</v>
      </c>
      <c r="P10" s="13">
        <v>3600000</v>
      </c>
      <c r="Q10" s="54">
        <f t="shared" si="2"/>
        <v>1101300</v>
      </c>
      <c r="R10" s="5"/>
      <c r="S10" s="143">
        <v>3600000</v>
      </c>
      <c r="T10" s="5">
        <f t="shared" si="3"/>
        <v>0</v>
      </c>
    </row>
    <row r="11" spans="1:20" ht="27.75" customHeight="1" thickBot="1" x14ac:dyDescent="0.25">
      <c r="A11" s="25">
        <v>4</v>
      </c>
      <c r="B11" s="120">
        <v>44602</v>
      </c>
      <c r="C11" s="10" t="s">
        <v>2607</v>
      </c>
      <c r="D11" s="25" t="s">
        <v>2618</v>
      </c>
      <c r="E11" s="10" t="s">
        <v>2630</v>
      </c>
      <c r="F11" s="8"/>
      <c r="G11" s="8">
        <v>115</v>
      </c>
      <c r="H11" s="13">
        <f>G11*19860</f>
        <v>2283900</v>
      </c>
      <c r="I11" s="8"/>
      <c r="J11" s="13">
        <v>930000</v>
      </c>
      <c r="K11" s="28"/>
      <c r="L11" s="29"/>
      <c r="M11" s="13"/>
      <c r="N11" s="13"/>
      <c r="O11" s="53">
        <f t="shared" si="1"/>
        <v>3213900</v>
      </c>
      <c r="P11" s="13">
        <v>5000000</v>
      </c>
      <c r="Q11" s="54">
        <f t="shared" si="2"/>
        <v>1786100</v>
      </c>
      <c r="R11" s="5"/>
      <c r="S11" s="143">
        <v>5000000</v>
      </c>
      <c r="T11" s="5">
        <f t="shared" si="3"/>
        <v>0</v>
      </c>
    </row>
    <row r="12" spans="1:20" ht="27.75" customHeight="1" thickBot="1" x14ac:dyDescent="0.25">
      <c r="A12" s="25">
        <v>5</v>
      </c>
      <c r="B12" s="120">
        <v>44605</v>
      </c>
      <c r="C12" s="10" t="s">
        <v>2608</v>
      </c>
      <c r="D12" s="25" t="s">
        <v>2619</v>
      </c>
      <c r="E12" s="10" t="s">
        <v>2631</v>
      </c>
      <c r="F12" s="8"/>
      <c r="G12" s="8">
        <v>77</v>
      </c>
      <c r="H12" s="13">
        <f t="shared" ref="H12:H15" si="4">G12*19860</f>
        <v>1529220</v>
      </c>
      <c r="I12" s="8"/>
      <c r="J12" s="13">
        <v>930000</v>
      </c>
      <c r="K12" s="28"/>
      <c r="L12" s="29"/>
      <c r="M12" s="13"/>
      <c r="N12" s="13"/>
      <c r="O12" s="53">
        <f t="shared" si="1"/>
        <v>2459220</v>
      </c>
      <c r="P12" s="13">
        <v>4000000</v>
      </c>
      <c r="Q12" s="54">
        <f t="shared" si="2"/>
        <v>1540780</v>
      </c>
      <c r="R12" s="5"/>
      <c r="S12" s="143">
        <v>4000000</v>
      </c>
      <c r="T12" s="5">
        <f t="shared" si="3"/>
        <v>0</v>
      </c>
    </row>
    <row r="13" spans="1:20" ht="27.75" customHeight="1" thickBot="1" x14ac:dyDescent="0.25">
      <c r="A13" s="25">
        <v>6</v>
      </c>
      <c r="B13" s="120">
        <v>44606</v>
      </c>
      <c r="C13" s="10" t="s">
        <v>2609</v>
      </c>
      <c r="D13" s="25" t="s">
        <v>2620</v>
      </c>
      <c r="E13" s="10" t="s">
        <v>2045</v>
      </c>
      <c r="F13" s="8"/>
      <c r="G13" s="8">
        <v>320</v>
      </c>
      <c r="H13" s="13">
        <f t="shared" si="4"/>
        <v>6355200</v>
      </c>
      <c r="I13" s="8"/>
      <c r="J13" s="13">
        <v>3550000</v>
      </c>
      <c r="K13" s="28"/>
      <c r="L13" s="29"/>
      <c r="M13" s="13"/>
      <c r="N13" s="13"/>
      <c r="O13" s="53">
        <f t="shared" si="1"/>
        <v>9905200</v>
      </c>
      <c r="P13" s="13">
        <v>17727273</v>
      </c>
      <c r="Q13" s="54">
        <f t="shared" si="2"/>
        <v>7822073</v>
      </c>
      <c r="R13" s="5"/>
      <c r="S13" s="143">
        <v>17727273</v>
      </c>
      <c r="T13" s="5">
        <f t="shared" si="3"/>
        <v>0</v>
      </c>
    </row>
    <row r="14" spans="1:20" ht="27.75" customHeight="1" thickBot="1" x14ac:dyDescent="0.25">
      <c r="A14" s="25">
        <v>7</v>
      </c>
      <c r="B14" s="120">
        <v>44608</v>
      </c>
      <c r="C14" s="10" t="s">
        <v>1879</v>
      </c>
      <c r="D14" s="25" t="s">
        <v>2621</v>
      </c>
      <c r="E14" s="10" t="s">
        <v>1287</v>
      </c>
      <c r="F14" s="8"/>
      <c r="G14" s="8">
        <v>64</v>
      </c>
      <c r="H14" s="13">
        <f t="shared" si="4"/>
        <v>1271040</v>
      </c>
      <c r="I14" s="8"/>
      <c r="J14" s="13">
        <f>680000</f>
        <v>680000</v>
      </c>
      <c r="K14" s="28"/>
      <c r="L14" s="29"/>
      <c r="M14" s="13"/>
      <c r="N14" s="13"/>
      <c r="O14" s="53">
        <f t="shared" si="1"/>
        <v>1951040</v>
      </c>
      <c r="P14" s="13">
        <v>2854545</v>
      </c>
      <c r="Q14" s="54">
        <f t="shared" si="2"/>
        <v>903505</v>
      </c>
      <c r="R14" s="5"/>
      <c r="S14" s="143">
        <v>2854545</v>
      </c>
      <c r="T14" s="5">
        <f t="shared" si="3"/>
        <v>0</v>
      </c>
    </row>
    <row r="15" spans="1:20" ht="27.75" customHeight="1" thickBot="1" x14ac:dyDescent="0.25">
      <c r="A15" s="25">
        <v>8</v>
      </c>
      <c r="B15" s="120">
        <v>44609</v>
      </c>
      <c r="C15" s="10" t="s">
        <v>2610</v>
      </c>
      <c r="D15" s="25" t="s">
        <v>2622</v>
      </c>
      <c r="E15" s="10" t="s">
        <v>2632</v>
      </c>
      <c r="F15" s="8"/>
      <c r="G15" s="8">
        <v>84</v>
      </c>
      <c r="H15" s="13">
        <f t="shared" si="4"/>
        <v>1668240</v>
      </c>
      <c r="I15" s="8"/>
      <c r="J15" s="119">
        <v>930000</v>
      </c>
      <c r="K15" s="28"/>
      <c r="L15" s="29"/>
      <c r="M15" s="13"/>
      <c r="N15" s="13"/>
      <c r="O15" s="53">
        <f t="shared" si="1"/>
        <v>2598240</v>
      </c>
      <c r="P15" s="13">
        <v>3800000</v>
      </c>
      <c r="Q15" s="54">
        <f t="shared" si="2"/>
        <v>1201760</v>
      </c>
      <c r="R15" s="5"/>
      <c r="S15" s="143">
        <v>3800000</v>
      </c>
      <c r="T15" s="5">
        <f t="shared" si="3"/>
        <v>0</v>
      </c>
    </row>
    <row r="16" spans="1:20" ht="27.75" customHeight="1" thickBot="1" x14ac:dyDescent="0.25">
      <c r="A16" s="25">
        <v>9</v>
      </c>
      <c r="B16" s="120">
        <v>44613</v>
      </c>
      <c r="C16" s="10" t="s">
        <v>2611</v>
      </c>
      <c r="D16" s="25" t="s">
        <v>2623</v>
      </c>
      <c r="E16" s="10" t="s">
        <v>1043</v>
      </c>
      <c r="F16" s="8"/>
      <c r="G16" s="8">
        <v>120</v>
      </c>
      <c r="H16" s="13">
        <f>G16*20800</f>
        <v>2496000</v>
      </c>
      <c r="I16" s="8"/>
      <c r="J16" s="13">
        <v>930000</v>
      </c>
      <c r="K16" s="28"/>
      <c r="L16" s="29"/>
      <c r="M16" s="13"/>
      <c r="N16" s="13"/>
      <c r="O16" s="53">
        <f t="shared" si="1"/>
        <v>3426000</v>
      </c>
      <c r="P16" s="13">
        <v>5272727</v>
      </c>
      <c r="Q16" s="54">
        <f t="shared" si="2"/>
        <v>1846727</v>
      </c>
      <c r="R16" s="5"/>
      <c r="S16" s="143">
        <v>5272727</v>
      </c>
      <c r="T16" s="5">
        <f t="shared" si="3"/>
        <v>0</v>
      </c>
    </row>
    <row r="17" spans="1:20" ht="27.75" customHeight="1" thickBot="1" x14ac:dyDescent="0.25">
      <c r="A17" s="25">
        <v>10</v>
      </c>
      <c r="B17" s="120">
        <v>44614</v>
      </c>
      <c r="C17" s="10" t="s">
        <v>2612</v>
      </c>
      <c r="D17" s="25" t="s">
        <v>2624</v>
      </c>
      <c r="E17" s="10" t="s">
        <v>2633</v>
      </c>
      <c r="F17" s="8"/>
      <c r="G17" s="8">
        <v>102</v>
      </c>
      <c r="H17" s="13">
        <f t="shared" ref="H17:H19" si="5">G17*20800</f>
        <v>2121600</v>
      </c>
      <c r="I17" s="8"/>
      <c r="J17" s="13">
        <v>1130000</v>
      </c>
      <c r="K17" s="28"/>
      <c r="L17" s="29"/>
      <c r="M17" s="13"/>
      <c r="N17" s="13"/>
      <c r="O17" s="53">
        <f t="shared" si="1"/>
        <v>3251600</v>
      </c>
      <c r="P17" s="13">
        <v>4963973</v>
      </c>
      <c r="Q17" s="54">
        <f t="shared" si="2"/>
        <v>1712373</v>
      </c>
      <c r="R17" s="5"/>
      <c r="S17" s="143">
        <v>4963973</v>
      </c>
      <c r="T17" s="5">
        <f t="shared" si="3"/>
        <v>0</v>
      </c>
    </row>
    <row r="18" spans="1:20" ht="22.5" customHeight="1" thickBot="1" x14ac:dyDescent="0.25">
      <c r="A18" s="25">
        <v>11</v>
      </c>
      <c r="B18" s="120">
        <v>44615</v>
      </c>
      <c r="C18" s="10" t="s">
        <v>1883</v>
      </c>
      <c r="D18" s="25" t="s">
        <v>2625</v>
      </c>
      <c r="E18" s="10" t="s">
        <v>2634</v>
      </c>
      <c r="F18" s="8"/>
      <c r="G18" s="8">
        <v>100</v>
      </c>
      <c r="H18" s="13">
        <f t="shared" si="5"/>
        <v>2080000</v>
      </c>
      <c r="I18" s="8"/>
      <c r="J18" s="13">
        <v>780000</v>
      </c>
      <c r="K18" s="28"/>
      <c r="L18" s="29"/>
      <c r="M18" s="13"/>
      <c r="N18" s="13"/>
      <c r="O18" s="53">
        <f t="shared" si="1"/>
        <v>2860000</v>
      </c>
      <c r="P18" s="13">
        <v>4390909</v>
      </c>
      <c r="Q18" s="54">
        <f t="shared" si="2"/>
        <v>1530909</v>
      </c>
      <c r="R18" s="5"/>
      <c r="S18" s="143">
        <v>4390909</v>
      </c>
      <c r="T18" s="5">
        <f t="shared" si="3"/>
        <v>0</v>
      </c>
    </row>
    <row r="19" spans="1:20" ht="22.5" customHeight="1" thickBot="1" x14ac:dyDescent="0.25">
      <c r="A19" s="25">
        <v>12</v>
      </c>
      <c r="B19" s="120">
        <v>44616</v>
      </c>
      <c r="C19" s="10" t="s">
        <v>1885</v>
      </c>
      <c r="D19" s="25" t="s">
        <v>2626</v>
      </c>
      <c r="E19" s="10" t="s">
        <v>2635</v>
      </c>
      <c r="F19" s="8"/>
      <c r="G19" s="8">
        <v>126</v>
      </c>
      <c r="H19" s="13">
        <f t="shared" si="5"/>
        <v>2620800</v>
      </c>
      <c r="I19" s="8"/>
      <c r="J19" s="13">
        <v>1280000</v>
      </c>
      <c r="K19" s="28"/>
      <c r="L19" s="29"/>
      <c r="M19" s="13"/>
      <c r="N19" s="13"/>
      <c r="O19" s="53">
        <f t="shared" si="1"/>
        <v>3900800</v>
      </c>
      <c r="P19" s="13">
        <v>6300000</v>
      </c>
      <c r="Q19" s="54">
        <f t="shared" si="2"/>
        <v>2399200</v>
      </c>
      <c r="R19" s="5"/>
      <c r="S19" s="143">
        <v>6300000</v>
      </c>
      <c r="T19" s="5">
        <f t="shared" si="3"/>
        <v>0</v>
      </c>
    </row>
    <row r="20" spans="1:20" ht="22.5" customHeight="1" thickBot="1" x14ac:dyDescent="0.25">
      <c r="A20" s="25">
        <v>13</v>
      </c>
      <c r="B20" s="120">
        <v>44616</v>
      </c>
      <c r="C20" s="10" t="s">
        <v>1886</v>
      </c>
      <c r="D20" s="25" t="s">
        <v>2627</v>
      </c>
      <c r="E20" s="10" t="s">
        <v>2636</v>
      </c>
      <c r="F20" s="8"/>
      <c r="G20" s="8">
        <v>95</v>
      </c>
      <c r="H20" s="13">
        <f>G20*20800</f>
        <v>1976000</v>
      </c>
      <c r="I20" s="8"/>
      <c r="J20" s="13">
        <v>680000</v>
      </c>
      <c r="K20" s="28"/>
      <c r="L20" s="29"/>
      <c r="M20" s="13"/>
      <c r="N20" s="13"/>
      <c r="O20" s="53">
        <f t="shared" si="1"/>
        <v>2656000</v>
      </c>
      <c r="P20" s="13">
        <v>4400000</v>
      </c>
      <c r="Q20" s="54">
        <f t="shared" si="2"/>
        <v>1744000</v>
      </c>
      <c r="R20" s="5"/>
      <c r="S20" s="143">
        <v>4400000</v>
      </c>
      <c r="T20" s="5">
        <f t="shared" si="3"/>
        <v>0</v>
      </c>
    </row>
    <row r="21" spans="1:20" ht="22.5" customHeight="1" thickBot="1" x14ac:dyDescent="0.25">
      <c r="A21" s="25">
        <v>14</v>
      </c>
      <c r="B21" s="120">
        <v>44617</v>
      </c>
      <c r="C21" s="10" t="s">
        <v>1887</v>
      </c>
      <c r="D21" s="25" t="s">
        <v>2628</v>
      </c>
      <c r="E21" s="10" t="s">
        <v>2265</v>
      </c>
      <c r="F21" s="8"/>
      <c r="G21" s="8">
        <v>56</v>
      </c>
      <c r="H21" s="13">
        <f>G21*20800</f>
        <v>1164800</v>
      </c>
      <c r="I21" s="8"/>
      <c r="J21" s="13">
        <v>680000</v>
      </c>
      <c r="K21" s="28"/>
      <c r="L21" s="29"/>
      <c r="M21" s="13"/>
      <c r="N21" s="13"/>
      <c r="O21" s="53">
        <f t="shared" si="1"/>
        <v>1844800</v>
      </c>
      <c r="P21" s="13">
        <v>2660000</v>
      </c>
      <c r="Q21" s="54">
        <f t="shared" si="2"/>
        <v>815200</v>
      </c>
      <c r="R21" s="5"/>
      <c r="S21" s="143">
        <v>2660000</v>
      </c>
      <c r="T21" s="5">
        <f t="shared" si="3"/>
        <v>0</v>
      </c>
    </row>
    <row r="22" spans="1:20" ht="27" customHeight="1" thickBot="1" x14ac:dyDescent="0.25">
      <c r="A22" s="25">
        <v>15</v>
      </c>
      <c r="B22" s="120">
        <v>44620</v>
      </c>
      <c r="C22" s="10" t="s">
        <v>2613</v>
      </c>
      <c r="D22" s="25" t="s">
        <v>2629</v>
      </c>
      <c r="E22" s="10" t="s">
        <v>2637</v>
      </c>
      <c r="F22" s="8"/>
      <c r="G22" s="8">
        <v>138</v>
      </c>
      <c r="H22" s="13">
        <f>G22*21310</f>
        <v>2940780</v>
      </c>
      <c r="I22" s="8"/>
      <c r="J22" s="13">
        <v>1600000</v>
      </c>
      <c r="K22" s="28"/>
      <c r="L22" s="29"/>
      <c r="M22" s="13"/>
      <c r="N22" s="13"/>
      <c r="O22" s="53">
        <f t="shared" si="1"/>
        <v>4540780</v>
      </c>
      <c r="P22" s="57">
        <v>3800000</v>
      </c>
      <c r="Q22" s="54">
        <f t="shared" si="2"/>
        <v>-740780</v>
      </c>
      <c r="R22" s="5"/>
      <c r="S22" s="143">
        <v>3800000</v>
      </c>
      <c r="T22" s="5">
        <f t="shared" si="3"/>
        <v>0</v>
      </c>
    </row>
    <row r="23" spans="1:20" ht="28.5" customHeight="1" thickBot="1" x14ac:dyDescent="0.25">
      <c r="A23" s="25">
        <v>16</v>
      </c>
      <c r="B23" s="120">
        <v>44620</v>
      </c>
      <c r="C23" s="10" t="s">
        <v>2614</v>
      </c>
      <c r="D23" s="25" t="s">
        <v>2629</v>
      </c>
      <c r="E23" s="10" t="s">
        <v>2638</v>
      </c>
      <c r="F23" s="8"/>
      <c r="G23" s="8">
        <v>0</v>
      </c>
      <c r="H23" s="13">
        <f>G23*21310</f>
        <v>0</v>
      </c>
      <c r="I23" s="8"/>
      <c r="J23" s="13"/>
      <c r="K23" s="28"/>
      <c r="L23" s="29"/>
      <c r="M23" s="13"/>
      <c r="N23" s="13"/>
      <c r="O23" s="53">
        <f t="shared" si="1"/>
        <v>0</v>
      </c>
      <c r="P23" s="57">
        <v>3140740</v>
      </c>
      <c r="Q23" s="54">
        <f t="shared" si="2"/>
        <v>3140740</v>
      </c>
      <c r="R23" s="5"/>
      <c r="S23" s="143">
        <v>3140740</v>
      </c>
      <c r="T23" s="5">
        <f t="shared" si="3"/>
        <v>0</v>
      </c>
    </row>
    <row r="24" spans="1:20" ht="16.5" customHeight="1" x14ac:dyDescent="0.25">
      <c r="A24" s="25"/>
      <c r="B24" s="120"/>
      <c r="C24" s="75"/>
      <c r="D24" s="140"/>
      <c r="E24" s="76"/>
      <c r="F24" s="141"/>
      <c r="G24" s="8"/>
      <c r="H24" s="13"/>
      <c r="I24" s="8"/>
      <c r="J24" s="13"/>
      <c r="K24" s="28"/>
      <c r="L24" s="29"/>
      <c r="M24" s="13"/>
      <c r="N24" s="13"/>
      <c r="O24" s="53"/>
      <c r="P24" s="13"/>
      <c r="Q24" s="54"/>
      <c r="R24" s="5"/>
    </row>
    <row r="25" spans="1:20" ht="24" customHeight="1" x14ac:dyDescent="0.25">
      <c r="A25" s="8"/>
      <c r="B25" s="8"/>
      <c r="C25" s="196" t="s">
        <v>131</v>
      </c>
      <c r="D25" s="197"/>
      <c r="E25" s="197"/>
      <c r="F25" s="198"/>
      <c r="G25" s="8"/>
      <c r="H25" s="13"/>
      <c r="I25" s="8"/>
      <c r="J25" s="13"/>
      <c r="K25" s="28"/>
      <c r="L25" s="90">
        <v>1200000</v>
      </c>
      <c r="M25" s="18"/>
      <c r="N25" s="28"/>
      <c r="O25" s="53">
        <f t="shared" ref="O25:O32" si="6">H25+J25+K25+L25+M25+N25</f>
        <v>1200000</v>
      </c>
      <c r="P25" s="28"/>
      <c r="Q25" s="54"/>
    </row>
    <row r="26" spans="1:20" ht="24" customHeight="1" x14ac:dyDescent="0.25">
      <c r="A26" s="8"/>
      <c r="B26" s="8"/>
      <c r="C26" s="196" t="s">
        <v>2639</v>
      </c>
      <c r="D26" s="197"/>
      <c r="E26" s="197"/>
      <c r="F26" s="198"/>
      <c r="G26" s="30"/>
      <c r="H26" s="28"/>
      <c r="I26" s="30"/>
      <c r="J26" s="28"/>
      <c r="K26" s="28"/>
      <c r="L26" s="28"/>
      <c r="M26" s="18"/>
      <c r="N26" s="90">
        <v>3250000</v>
      </c>
      <c r="O26" s="53">
        <f t="shared" si="6"/>
        <v>3250000</v>
      </c>
      <c r="P26" s="28"/>
      <c r="Q26" s="54"/>
    </row>
    <row r="27" spans="1:20" ht="24" customHeight="1" x14ac:dyDescent="0.25">
      <c r="A27" s="8"/>
      <c r="B27" s="8"/>
      <c r="C27" s="196" t="s">
        <v>2640</v>
      </c>
      <c r="D27" s="197"/>
      <c r="E27" s="197"/>
      <c r="F27" s="198"/>
      <c r="G27" s="30"/>
      <c r="H27" s="28"/>
      <c r="I27" s="30"/>
      <c r="J27" s="28"/>
      <c r="K27" s="28"/>
      <c r="L27" s="28"/>
      <c r="M27" s="90">
        <v>150000</v>
      </c>
      <c r="N27" s="28"/>
      <c r="O27" s="53">
        <f t="shared" si="6"/>
        <v>150000</v>
      </c>
      <c r="P27" s="28"/>
      <c r="Q27" s="54"/>
    </row>
    <row r="28" spans="1:20" ht="24" customHeight="1" x14ac:dyDescent="0.25">
      <c r="A28" s="8"/>
      <c r="B28" s="8"/>
      <c r="C28" s="196" t="s">
        <v>2641</v>
      </c>
      <c r="D28" s="197"/>
      <c r="E28" s="197"/>
      <c r="F28" s="127"/>
      <c r="G28" s="30"/>
      <c r="H28" s="28"/>
      <c r="I28" s="30"/>
      <c r="J28" s="28"/>
      <c r="K28" s="28"/>
      <c r="L28" s="90">
        <v>7388000</v>
      </c>
      <c r="M28" s="18"/>
      <c r="N28" s="28"/>
      <c r="O28" s="53">
        <f t="shared" si="6"/>
        <v>7388000</v>
      </c>
      <c r="P28" s="28"/>
      <c r="Q28" s="54"/>
    </row>
    <row r="29" spans="1:20" ht="24" customHeight="1" x14ac:dyDescent="0.25">
      <c r="A29" s="8"/>
      <c r="B29" s="8"/>
      <c r="C29" s="196" t="s">
        <v>2642</v>
      </c>
      <c r="D29" s="197"/>
      <c r="E29" s="197"/>
      <c r="F29" s="198"/>
      <c r="G29" s="30"/>
      <c r="H29" s="28"/>
      <c r="I29" s="30"/>
      <c r="J29" s="28"/>
      <c r="K29" s="28"/>
      <c r="L29" s="90">
        <v>575000</v>
      </c>
      <c r="M29" s="18"/>
      <c r="N29" s="28"/>
      <c r="O29" s="53">
        <f t="shared" si="6"/>
        <v>575000</v>
      </c>
      <c r="P29" s="28"/>
      <c r="Q29" s="54"/>
    </row>
    <row r="30" spans="1:20" ht="24" customHeight="1" x14ac:dyDescent="0.25">
      <c r="A30" s="8"/>
      <c r="B30" s="8"/>
      <c r="C30" s="196" t="s">
        <v>2643</v>
      </c>
      <c r="D30" s="197"/>
      <c r="E30" s="197"/>
      <c r="F30" s="198"/>
      <c r="G30" s="30"/>
      <c r="H30" s="28"/>
      <c r="I30" s="30"/>
      <c r="J30" s="28"/>
      <c r="K30" s="28"/>
      <c r="L30" s="90">
        <v>300000</v>
      </c>
      <c r="M30" s="18"/>
      <c r="N30" s="28"/>
      <c r="O30" s="53">
        <f t="shared" si="6"/>
        <v>300000</v>
      </c>
      <c r="P30" s="28"/>
      <c r="Q30" s="54"/>
    </row>
    <row r="31" spans="1:20" ht="24" customHeight="1" x14ac:dyDescent="0.25">
      <c r="A31" s="8"/>
      <c r="B31" s="8"/>
      <c r="C31" s="196" t="s">
        <v>2644</v>
      </c>
      <c r="D31" s="197"/>
      <c r="E31" s="197"/>
      <c r="F31" s="198"/>
      <c r="G31" s="30"/>
      <c r="H31" s="28"/>
      <c r="I31" s="30"/>
      <c r="J31" s="28"/>
      <c r="K31" s="28"/>
      <c r="L31" s="28"/>
      <c r="M31" s="18"/>
      <c r="N31" s="90">
        <v>11540000</v>
      </c>
      <c r="O31" s="53">
        <f t="shared" si="6"/>
        <v>11540000</v>
      </c>
      <c r="P31" s="28"/>
      <c r="Q31" s="54"/>
    </row>
    <row r="32" spans="1:20" ht="24" customHeight="1" x14ac:dyDescent="0.25">
      <c r="A32" s="8"/>
      <c r="B32" s="8"/>
      <c r="C32" s="128" t="s">
        <v>2646</v>
      </c>
      <c r="D32" s="126"/>
      <c r="E32" s="126"/>
      <c r="F32" s="127"/>
      <c r="G32" s="30"/>
      <c r="H32" s="28"/>
      <c r="I32" s="30"/>
      <c r="J32" s="28"/>
      <c r="K32" s="90">
        <v>300000</v>
      </c>
      <c r="L32" s="28"/>
      <c r="M32" s="18"/>
      <c r="N32" s="28"/>
      <c r="O32" s="53">
        <f t="shared" si="6"/>
        <v>300000</v>
      </c>
      <c r="P32" s="28"/>
      <c r="Q32" s="54"/>
    </row>
    <row r="33" spans="1:17" ht="25.5" customHeight="1" x14ac:dyDescent="0.25">
      <c r="A33" s="8"/>
      <c r="B33" s="8"/>
      <c r="C33" s="191" t="s">
        <v>2648</v>
      </c>
      <c r="D33" s="192"/>
      <c r="E33" s="192"/>
      <c r="F33" s="195"/>
      <c r="G33" s="30"/>
      <c r="H33" s="28"/>
      <c r="I33" s="30"/>
      <c r="J33" s="28"/>
      <c r="K33" s="90">
        <v>8700000</v>
      </c>
      <c r="L33" s="18"/>
      <c r="M33" s="18"/>
      <c r="N33" s="28"/>
      <c r="O33" s="53">
        <f>H33+J33+K33+L33+M33+N33</f>
        <v>8700000</v>
      </c>
      <c r="P33" s="28"/>
      <c r="Q33" s="54"/>
    </row>
    <row r="34" spans="1:17" ht="15" customHeight="1" x14ac:dyDescent="0.25">
      <c r="A34" s="166" t="s">
        <v>19</v>
      </c>
      <c r="B34" s="167"/>
      <c r="C34" s="167"/>
      <c r="D34" s="167"/>
      <c r="E34" s="167"/>
      <c r="F34" s="168"/>
      <c r="G34" s="131">
        <f>SUM(G7:G33)</f>
        <v>1624</v>
      </c>
      <c r="H34" s="4">
        <f>SUM(H7:H33)</f>
        <v>32797880</v>
      </c>
      <c r="I34" s="4">
        <f t="shared" ref="I34:N34" si="7">SUM(I7:I33)</f>
        <v>0</v>
      </c>
      <c r="J34" s="4">
        <f t="shared" si="7"/>
        <v>16640000</v>
      </c>
      <c r="K34" s="4">
        <f t="shared" si="7"/>
        <v>9000000</v>
      </c>
      <c r="L34" s="4">
        <f t="shared" si="7"/>
        <v>9463000</v>
      </c>
      <c r="M34" s="4">
        <f t="shared" si="7"/>
        <v>150000</v>
      </c>
      <c r="N34" s="4">
        <f t="shared" si="7"/>
        <v>14790000</v>
      </c>
      <c r="O34" s="4">
        <f>SUM(O7:O33)</f>
        <v>82840880</v>
      </c>
      <c r="P34" s="4">
        <f>SUM(P8:P33)</f>
        <v>78282894</v>
      </c>
      <c r="Q34" s="122">
        <f>P34-O34</f>
        <v>-4557986</v>
      </c>
    </row>
    <row r="35" spans="1:17" x14ac:dyDescent="0.25">
      <c r="O35" s="20"/>
      <c r="P35" s="5" t="s">
        <v>1796</v>
      </c>
      <c r="Q35" s="26"/>
    </row>
    <row r="36" spans="1:17" x14ac:dyDescent="0.25">
      <c r="P36" s="21" t="s">
        <v>20</v>
      </c>
      <c r="Q36" s="26">
        <f>Q34+'01.2022'!Q45</f>
        <v>23136521</v>
      </c>
    </row>
    <row r="37" spans="1:17" x14ac:dyDescent="0.25">
      <c r="C37" s="6" t="s">
        <v>993</v>
      </c>
    </row>
    <row r="38" spans="1:17" x14ac:dyDescent="0.25">
      <c r="C38" s="205"/>
      <c r="D38" s="205"/>
      <c r="E38" s="205"/>
      <c r="F38" s="205"/>
      <c r="H38" s="109"/>
    </row>
    <row r="39" spans="1:17" x14ac:dyDescent="0.25">
      <c r="C39" s="206"/>
      <c r="D39" s="206"/>
      <c r="E39" s="206"/>
      <c r="F39" s="206"/>
      <c r="H39" s="109"/>
    </row>
    <row r="40" spans="1:17" x14ac:dyDescent="0.25">
      <c r="B40" s="6"/>
      <c r="C40" s="110"/>
      <c r="D40" s="110"/>
      <c r="E40" s="110"/>
      <c r="F40" s="110"/>
      <c r="G40" s="133"/>
      <c r="H40" s="109"/>
    </row>
    <row r="41" spans="1:17" x14ac:dyDescent="0.25">
      <c r="B41" s="6"/>
      <c r="C41" s="206"/>
      <c r="D41" s="206"/>
      <c r="E41" s="206"/>
      <c r="F41" s="206"/>
      <c r="H41" s="109"/>
    </row>
    <row r="42" spans="1:17" x14ac:dyDescent="0.25">
      <c r="B42" s="6"/>
      <c r="C42" s="206"/>
      <c r="D42" s="206"/>
      <c r="E42" s="206"/>
      <c r="F42" s="206"/>
      <c r="H42" s="109"/>
    </row>
    <row r="43" spans="1:17" x14ac:dyDescent="0.25">
      <c r="B43" s="6"/>
      <c r="C43" s="206"/>
      <c r="D43" s="206"/>
      <c r="E43" s="206"/>
      <c r="F43" s="206"/>
      <c r="G43" s="133"/>
      <c r="H43" s="109"/>
      <c r="J43" s="6"/>
      <c r="K43" s="6"/>
      <c r="L43" s="6"/>
      <c r="M43" s="6"/>
      <c r="N43" s="6"/>
      <c r="O43" s="6"/>
      <c r="P43" s="6"/>
      <c r="Q43" s="6"/>
    </row>
    <row r="44" spans="1:17" x14ac:dyDescent="0.2">
      <c r="C44" s="107"/>
      <c r="D44" s="110"/>
      <c r="E44" s="110"/>
      <c r="F44" s="110"/>
      <c r="H44" s="109"/>
    </row>
    <row r="45" spans="1:17" x14ac:dyDescent="0.25">
      <c r="C45" s="205"/>
      <c r="D45" s="205"/>
      <c r="E45" s="205"/>
      <c r="F45" s="205"/>
    </row>
  </sheetData>
  <mergeCells count="28">
    <mergeCell ref="C41:F41"/>
    <mergeCell ref="C42:F42"/>
    <mergeCell ref="C43:F43"/>
    <mergeCell ref="C45:F45"/>
    <mergeCell ref="C30:F30"/>
    <mergeCell ref="C31:F31"/>
    <mergeCell ref="C39:F39"/>
    <mergeCell ref="C28:E28"/>
    <mergeCell ref="C29:F29"/>
    <mergeCell ref="C33:F33"/>
    <mergeCell ref="A34:F34"/>
    <mergeCell ref="C38:F38"/>
    <mergeCell ref="C27:F2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25:F25"/>
    <mergeCell ref="C26:F26"/>
  </mergeCells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1C4F-DFCA-454C-AA75-36131BEEF79D}">
  <dimension ref="A1:R60"/>
  <sheetViews>
    <sheetView topLeftCell="A31" workbookViewId="0">
      <selection activeCell="J14" sqref="J14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2649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44620</v>
      </c>
      <c r="C8" s="10" t="s">
        <v>2650</v>
      </c>
      <c r="D8" s="25" t="s">
        <v>2651</v>
      </c>
      <c r="E8" s="10" t="s">
        <v>2652</v>
      </c>
      <c r="F8" s="8"/>
      <c r="G8" s="8">
        <v>70</v>
      </c>
      <c r="H8" s="13">
        <f>G8*20800</f>
        <v>1456000</v>
      </c>
      <c r="I8" s="8"/>
      <c r="J8" s="13">
        <v>930000</v>
      </c>
      <c r="K8" s="28"/>
      <c r="L8" s="29"/>
      <c r="M8" s="13"/>
      <c r="N8" s="13"/>
      <c r="O8" s="53">
        <f>H8+J8+K8+L8+M8+N8</f>
        <v>2386000</v>
      </c>
      <c r="P8" s="13">
        <v>4000000</v>
      </c>
      <c r="Q8" s="54">
        <f>P8-O8</f>
        <v>1614000</v>
      </c>
      <c r="R8" s="5"/>
    </row>
    <row r="9" spans="1:18" ht="17.25" customHeight="1" x14ac:dyDescent="0.25">
      <c r="A9" s="25">
        <v>2</v>
      </c>
      <c r="B9" s="120">
        <v>44621</v>
      </c>
      <c r="C9" s="10" t="s">
        <v>2653</v>
      </c>
      <c r="D9" s="129" t="s">
        <v>2654</v>
      </c>
      <c r="E9" s="9" t="s">
        <v>108</v>
      </c>
      <c r="F9" s="117"/>
      <c r="G9" s="6">
        <v>95</v>
      </c>
      <c r="H9" s="13">
        <f>G9*20800</f>
        <v>1976000</v>
      </c>
      <c r="I9" s="117"/>
      <c r="J9" s="119">
        <f>680000+200000</f>
        <v>880000</v>
      </c>
      <c r="K9" s="28"/>
      <c r="L9" s="29"/>
      <c r="M9" s="13"/>
      <c r="N9" s="13"/>
      <c r="O9" s="53">
        <f t="shared" ref="O9:O36" si="0">H9+J9+K9+L9+M9+N9</f>
        <v>2856000</v>
      </c>
      <c r="P9" s="13">
        <v>4000000</v>
      </c>
      <c r="Q9" s="54">
        <f t="shared" ref="Q9:Q36" si="1">P9-O9</f>
        <v>1144000</v>
      </c>
      <c r="R9" s="5"/>
    </row>
    <row r="10" spans="1:18" ht="24.75" customHeight="1" x14ac:dyDescent="0.25">
      <c r="A10" s="25">
        <v>3</v>
      </c>
      <c r="B10" s="120">
        <v>44622</v>
      </c>
      <c r="C10" s="10" t="s">
        <v>1926</v>
      </c>
      <c r="D10" s="25" t="s">
        <v>2655</v>
      </c>
      <c r="E10" s="10" t="s">
        <v>2309</v>
      </c>
      <c r="F10" s="8"/>
      <c r="G10" s="8">
        <v>79</v>
      </c>
      <c r="H10" s="13">
        <f>G10*21310</f>
        <v>1683490</v>
      </c>
      <c r="I10" s="8"/>
      <c r="J10" s="13">
        <v>980000</v>
      </c>
      <c r="K10" s="28"/>
      <c r="L10" s="29"/>
      <c r="M10" s="13"/>
      <c r="N10" s="13"/>
      <c r="O10" s="53">
        <f>H10+J10+K10+L10+M10+N10</f>
        <v>2663490</v>
      </c>
      <c r="P10" s="13">
        <v>2660000</v>
      </c>
      <c r="Q10" s="54">
        <f t="shared" si="1"/>
        <v>-3490</v>
      </c>
      <c r="R10" s="5"/>
    </row>
    <row r="11" spans="1:18" ht="27.75" customHeight="1" x14ac:dyDescent="0.25">
      <c r="A11" s="25">
        <v>4</v>
      </c>
      <c r="B11" s="120">
        <v>44623</v>
      </c>
      <c r="C11" s="10" t="s">
        <v>2656</v>
      </c>
      <c r="D11" s="25" t="s">
        <v>2655</v>
      </c>
      <c r="E11" s="10" t="s">
        <v>253</v>
      </c>
      <c r="F11" s="8"/>
      <c r="G11" s="8"/>
      <c r="H11" s="13">
        <f t="shared" ref="H11:H14" si="2">G11*21310</f>
        <v>0</v>
      </c>
      <c r="I11" s="8"/>
      <c r="J11" s="13"/>
      <c r="K11" s="28"/>
      <c r="L11" s="29"/>
      <c r="M11" s="13"/>
      <c r="N11" s="13"/>
      <c r="O11" s="53">
        <f t="shared" si="0"/>
        <v>0</v>
      </c>
      <c r="P11" s="13">
        <v>2020000</v>
      </c>
      <c r="Q11" s="54">
        <f t="shared" si="1"/>
        <v>2020000</v>
      </c>
      <c r="R11" s="5"/>
    </row>
    <row r="12" spans="1:18" ht="27.75" customHeight="1" x14ac:dyDescent="0.25">
      <c r="A12" s="25">
        <v>5</v>
      </c>
      <c r="B12" s="120">
        <v>44623</v>
      </c>
      <c r="C12" s="10" t="s">
        <v>2657</v>
      </c>
      <c r="D12" s="25" t="s">
        <v>2658</v>
      </c>
      <c r="E12" s="10" t="s">
        <v>1984</v>
      </c>
      <c r="F12" s="8"/>
      <c r="G12" s="8">
        <v>89</v>
      </c>
      <c r="H12" s="13">
        <f t="shared" si="2"/>
        <v>1896590</v>
      </c>
      <c r="I12" s="8"/>
      <c r="J12" s="13">
        <v>680000</v>
      </c>
      <c r="K12" s="28"/>
      <c r="L12" s="29"/>
      <c r="M12" s="13"/>
      <c r="N12" s="13"/>
      <c r="O12" s="53">
        <f t="shared" si="0"/>
        <v>2576590</v>
      </c>
      <c r="P12" s="13">
        <v>4300000</v>
      </c>
      <c r="Q12" s="54">
        <f t="shared" si="1"/>
        <v>1723410</v>
      </c>
      <c r="R12" s="5"/>
    </row>
    <row r="13" spans="1:18" ht="27.75" customHeight="1" x14ac:dyDescent="0.25">
      <c r="A13" s="25">
        <v>6</v>
      </c>
      <c r="B13" s="120">
        <v>44625</v>
      </c>
      <c r="C13" s="10" t="s">
        <v>2659</v>
      </c>
      <c r="D13" s="25" t="s">
        <v>2660</v>
      </c>
      <c r="E13" s="10" t="s">
        <v>2661</v>
      </c>
      <c r="F13" s="8"/>
      <c r="G13" s="8">
        <v>101</v>
      </c>
      <c r="H13" s="13">
        <f t="shared" si="2"/>
        <v>2152310</v>
      </c>
      <c r="I13" s="8"/>
      <c r="J13" s="13">
        <v>930000</v>
      </c>
      <c r="K13" s="28"/>
      <c r="L13" s="29"/>
      <c r="M13" s="13"/>
      <c r="N13" s="13"/>
      <c r="O13" s="53">
        <f t="shared" si="0"/>
        <v>3082310</v>
      </c>
      <c r="P13" s="13">
        <v>4600000</v>
      </c>
      <c r="Q13" s="54">
        <f t="shared" si="1"/>
        <v>1517690</v>
      </c>
      <c r="R13" s="5"/>
    </row>
    <row r="14" spans="1:18" ht="27.75" customHeight="1" x14ac:dyDescent="0.25">
      <c r="A14" s="25">
        <v>7</v>
      </c>
      <c r="B14" s="120">
        <v>44628</v>
      </c>
      <c r="C14" s="10" t="s">
        <v>2662</v>
      </c>
      <c r="D14" s="25" t="s">
        <v>2663</v>
      </c>
      <c r="E14" s="10" t="s">
        <v>2248</v>
      </c>
      <c r="F14" s="8"/>
      <c r="G14" s="8">
        <v>107</v>
      </c>
      <c r="H14" s="13">
        <f t="shared" si="2"/>
        <v>2280170</v>
      </c>
      <c r="I14" s="8"/>
      <c r="J14" s="13">
        <v>930000</v>
      </c>
      <c r="K14" s="28"/>
      <c r="L14" s="29"/>
      <c r="M14" s="13"/>
      <c r="N14" s="13"/>
      <c r="O14" s="53">
        <f>H14+J14+K14+L14+M14+N14</f>
        <v>3210170</v>
      </c>
      <c r="P14" s="13">
        <v>5150000</v>
      </c>
      <c r="Q14" s="54">
        <f t="shared" si="1"/>
        <v>1939830</v>
      </c>
      <c r="R14" s="5"/>
    </row>
    <row r="15" spans="1:18" ht="27.75" customHeight="1" x14ac:dyDescent="0.25">
      <c r="A15" s="25">
        <v>8</v>
      </c>
      <c r="B15" s="120">
        <v>44630</v>
      </c>
      <c r="C15" s="10" t="s">
        <v>1191</v>
      </c>
      <c r="D15" s="25" t="s">
        <v>2664</v>
      </c>
      <c r="E15" s="10" t="s">
        <v>108</v>
      </c>
      <c r="F15" s="8"/>
      <c r="G15" s="8">
        <v>99</v>
      </c>
      <c r="H15" s="13">
        <f>G15*25260</f>
        <v>2500740</v>
      </c>
      <c r="I15" s="8"/>
      <c r="J15" s="119">
        <v>680000</v>
      </c>
      <c r="K15" s="28"/>
      <c r="L15" s="29"/>
      <c r="M15" s="13"/>
      <c r="N15" s="13"/>
      <c r="O15" s="53">
        <f t="shared" si="0"/>
        <v>3180740</v>
      </c>
      <c r="P15" s="13">
        <v>4000000</v>
      </c>
      <c r="Q15" s="54">
        <f t="shared" si="1"/>
        <v>819260</v>
      </c>
      <c r="R15" s="5"/>
    </row>
    <row r="16" spans="1:18" ht="27.75" customHeight="1" x14ac:dyDescent="0.25">
      <c r="A16" s="25">
        <v>9</v>
      </c>
      <c r="B16" s="120">
        <v>44630</v>
      </c>
      <c r="C16" s="10" t="s">
        <v>1934</v>
      </c>
      <c r="D16" s="25" t="s">
        <v>2665</v>
      </c>
      <c r="E16" s="10" t="s">
        <v>33</v>
      </c>
      <c r="F16" s="8"/>
      <c r="G16" s="8">
        <v>185</v>
      </c>
      <c r="H16" s="13">
        <f t="shared" ref="H16:H26" si="3">G16*25260</f>
        <v>4673100</v>
      </c>
      <c r="I16" s="8"/>
      <c r="J16" s="13">
        <v>1890000</v>
      </c>
      <c r="K16" s="28"/>
      <c r="L16" s="29"/>
      <c r="M16" s="13"/>
      <c r="N16" s="13"/>
      <c r="O16" s="53">
        <f t="shared" si="0"/>
        <v>6563100</v>
      </c>
      <c r="P16" s="13">
        <v>8744444</v>
      </c>
      <c r="Q16" s="54">
        <f t="shared" si="1"/>
        <v>2181344</v>
      </c>
      <c r="R16" s="5"/>
    </row>
    <row r="17" spans="1:18" ht="27.75" customHeight="1" x14ac:dyDescent="0.25">
      <c r="A17" s="25">
        <v>10</v>
      </c>
      <c r="B17" s="120">
        <v>44631</v>
      </c>
      <c r="C17" s="10" t="s">
        <v>2666</v>
      </c>
      <c r="D17" s="25" t="s">
        <v>2667</v>
      </c>
      <c r="E17" s="10" t="s">
        <v>2309</v>
      </c>
      <c r="F17" s="8"/>
      <c r="G17" s="8"/>
      <c r="H17" s="13"/>
      <c r="I17" s="8"/>
      <c r="J17" s="13">
        <v>680000</v>
      </c>
      <c r="K17" s="28"/>
      <c r="L17" s="29"/>
      <c r="M17" s="13"/>
      <c r="N17" s="13"/>
      <c r="O17" s="53">
        <f t="shared" si="0"/>
        <v>680000</v>
      </c>
      <c r="P17" s="13">
        <v>2660000</v>
      </c>
      <c r="Q17" s="54">
        <f t="shared" si="1"/>
        <v>1980000</v>
      </c>
      <c r="R17" s="5"/>
    </row>
    <row r="18" spans="1:18" ht="22.5" customHeight="1" x14ac:dyDescent="0.25">
      <c r="A18" s="25">
        <v>11</v>
      </c>
      <c r="B18" s="120">
        <v>44631</v>
      </c>
      <c r="C18" s="10" t="s">
        <v>2668</v>
      </c>
      <c r="D18" s="25" t="s">
        <v>2667</v>
      </c>
      <c r="E18" s="10" t="s">
        <v>1544</v>
      </c>
      <c r="F18" s="8"/>
      <c r="G18" s="8">
        <v>121</v>
      </c>
      <c r="H18" s="13">
        <f t="shared" si="3"/>
        <v>3056460</v>
      </c>
      <c r="I18" s="8"/>
      <c r="J18" s="13">
        <v>550000</v>
      </c>
      <c r="K18" s="28"/>
      <c r="L18" s="29"/>
      <c r="M18" s="13"/>
      <c r="N18" s="13"/>
      <c r="O18" s="53">
        <f t="shared" si="0"/>
        <v>3606460</v>
      </c>
      <c r="P18" s="13">
        <v>3453259</v>
      </c>
      <c r="Q18" s="54">
        <f t="shared" si="1"/>
        <v>-153201</v>
      </c>
      <c r="R18" s="5"/>
    </row>
    <row r="19" spans="1:18" ht="22.5" customHeight="1" x14ac:dyDescent="0.25">
      <c r="A19" s="25">
        <v>12</v>
      </c>
      <c r="B19" s="120">
        <v>44634</v>
      </c>
      <c r="C19" s="10" t="s">
        <v>2669</v>
      </c>
      <c r="D19" s="25" t="s">
        <v>2670</v>
      </c>
      <c r="E19" s="10" t="s">
        <v>2671</v>
      </c>
      <c r="F19" s="8"/>
      <c r="G19" s="8">
        <v>100</v>
      </c>
      <c r="H19" s="13">
        <f t="shared" si="3"/>
        <v>2526000</v>
      </c>
      <c r="I19" s="8"/>
      <c r="J19" s="13">
        <v>930000</v>
      </c>
      <c r="K19" s="28"/>
      <c r="L19" s="29"/>
      <c r="M19" s="13"/>
      <c r="N19" s="13"/>
      <c r="O19" s="53">
        <f t="shared" si="0"/>
        <v>3456000</v>
      </c>
      <c r="P19" s="13">
        <v>3909259</v>
      </c>
      <c r="Q19" s="54">
        <f t="shared" si="1"/>
        <v>453259</v>
      </c>
      <c r="R19" s="5"/>
    </row>
    <row r="20" spans="1:18" ht="22.5" customHeight="1" x14ac:dyDescent="0.25">
      <c r="A20" s="25">
        <v>13</v>
      </c>
      <c r="B20" s="120">
        <v>44634</v>
      </c>
      <c r="C20" s="10" t="s">
        <v>2672</v>
      </c>
      <c r="D20" s="25" t="s">
        <v>2670</v>
      </c>
      <c r="E20" s="10" t="s">
        <v>1979</v>
      </c>
      <c r="F20" s="8"/>
      <c r="G20" s="8"/>
      <c r="H20" s="13">
        <f t="shared" si="3"/>
        <v>0</v>
      </c>
      <c r="I20" s="8"/>
      <c r="J20" s="13">
        <v>300000</v>
      </c>
      <c r="K20" s="28"/>
      <c r="L20" s="29"/>
      <c r="M20" s="13"/>
      <c r="N20" s="13"/>
      <c r="O20" s="53">
        <f t="shared" si="0"/>
        <v>300000</v>
      </c>
      <c r="P20" s="13">
        <v>2020000</v>
      </c>
      <c r="Q20" s="54">
        <f t="shared" si="1"/>
        <v>1720000</v>
      </c>
      <c r="R20" s="5"/>
    </row>
    <row r="21" spans="1:18" ht="22.5" customHeight="1" x14ac:dyDescent="0.25">
      <c r="A21" s="25">
        <v>14</v>
      </c>
      <c r="B21" s="120">
        <v>44635</v>
      </c>
      <c r="C21" s="10" t="s">
        <v>2673</v>
      </c>
      <c r="D21" s="25" t="s">
        <v>2674</v>
      </c>
      <c r="E21" s="10" t="s">
        <v>2675</v>
      </c>
      <c r="F21" s="8"/>
      <c r="G21" s="8">
        <v>95</v>
      </c>
      <c r="H21" s="13">
        <f t="shared" si="3"/>
        <v>2399700</v>
      </c>
      <c r="I21" s="8"/>
      <c r="J21" s="13">
        <v>1130000</v>
      </c>
      <c r="K21" s="28"/>
      <c r="L21" s="29"/>
      <c r="M21" s="13"/>
      <c r="N21" s="13"/>
      <c r="O21" s="53">
        <f t="shared" si="0"/>
        <v>3529700</v>
      </c>
      <c r="P21" s="13">
        <v>4418519</v>
      </c>
      <c r="Q21" s="54">
        <f t="shared" si="1"/>
        <v>888819</v>
      </c>
      <c r="R21" s="5"/>
    </row>
    <row r="22" spans="1:18" ht="27" customHeight="1" x14ac:dyDescent="0.25">
      <c r="A22" s="25">
        <v>15</v>
      </c>
      <c r="B22" s="120">
        <v>44635</v>
      </c>
      <c r="C22" s="10" t="s">
        <v>2676</v>
      </c>
      <c r="D22" s="25" t="s">
        <v>2674</v>
      </c>
      <c r="E22" s="10" t="s">
        <v>1979</v>
      </c>
      <c r="F22" s="8"/>
      <c r="G22" s="8"/>
      <c r="H22" s="13">
        <f t="shared" si="3"/>
        <v>0</v>
      </c>
      <c r="I22" s="8"/>
      <c r="J22" s="13">
        <v>400000</v>
      </c>
      <c r="K22" s="28"/>
      <c r="L22" s="29"/>
      <c r="M22" s="13"/>
      <c r="N22" s="13"/>
      <c r="O22" s="53">
        <f t="shared" si="0"/>
        <v>400000</v>
      </c>
      <c r="P22" s="13">
        <v>2020000</v>
      </c>
      <c r="Q22" s="54">
        <f t="shared" si="1"/>
        <v>1620000</v>
      </c>
      <c r="R22" s="5"/>
    </row>
    <row r="23" spans="1:18" ht="28.5" customHeight="1" x14ac:dyDescent="0.25">
      <c r="A23" s="25">
        <v>16</v>
      </c>
      <c r="B23" s="120">
        <v>44636</v>
      </c>
      <c r="C23" s="10" t="s">
        <v>2677</v>
      </c>
      <c r="D23" s="25" t="s">
        <v>301</v>
      </c>
      <c r="E23" s="10" t="s">
        <v>2678</v>
      </c>
      <c r="F23" s="8"/>
      <c r="G23" s="8">
        <v>40</v>
      </c>
      <c r="H23" s="13">
        <f t="shared" si="3"/>
        <v>1010400</v>
      </c>
      <c r="I23" s="8"/>
      <c r="J23" s="13">
        <v>680000</v>
      </c>
      <c r="K23" s="28"/>
      <c r="L23" s="29"/>
      <c r="M23" s="13"/>
      <c r="N23" s="13"/>
      <c r="O23" s="53">
        <f t="shared" si="0"/>
        <v>1690400</v>
      </c>
      <c r="P23" s="13">
        <v>2570000</v>
      </c>
      <c r="Q23" s="54">
        <f t="shared" si="1"/>
        <v>879600</v>
      </c>
      <c r="R23" s="5"/>
    </row>
    <row r="24" spans="1:18" ht="28.5" customHeight="1" x14ac:dyDescent="0.25">
      <c r="A24" s="25">
        <v>17</v>
      </c>
      <c r="B24" s="120">
        <v>44636</v>
      </c>
      <c r="C24" s="10" t="s">
        <v>2679</v>
      </c>
      <c r="D24" s="25" t="s">
        <v>2680</v>
      </c>
      <c r="E24" s="10" t="s">
        <v>121</v>
      </c>
      <c r="F24" s="8"/>
      <c r="G24" s="8">
        <v>225</v>
      </c>
      <c r="H24" s="13">
        <f t="shared" si="3"/>
        <v>5683500</v>
      </c>
      <c r="I24" s="8"/>
      <c r="J24" s="13">
        <v>2740000</v>
      </c>
      <c r="K24" s="28"/>
      <c r="L24" s="29"/>
      <c r="M24" s="13"/>
      <c r="N24" s="13"/>
      <c r="O24" s="13">
        <f t="shared" si="0"/>
        <v>8423500</v>
      </c>
      <c r="P24" s="13">
        <v>14351852</v>
      </c>
      <c r="Q24" s="54">
        <f t="shared" si="1"/>
        <v>5928352</v>
      </c>
      <c r="R24" s="5"/>
    </row>
    <row r="25" spans="1:18" ht="28.5" customHeight="1" x14ac:dyDescent="0.25">
      <c r="A25" s="25">
        <v>18</v>
      </c>
      <c r="B25" s="120">
        <v>44638</v>
      </c>
      <c r="C25" s="10" t="s">
        <v>2681</v>
      </c>
      <c r="D25" s="25" t="s">
        <v>2682</v>
      </c>
      <c r="E25" s="10" t="s">
        <v>1394</v>
      </c>
      <c r="F25" s="8"/>
      <c r="G25" s="8">
        <v>53</v>
      </c>
      <c r="H25" s="13">
        <f t="shared" si="3"/>
        <v>1338780</v>
      </c>
      <c r="I25" s="8"/>
      <c r="J25" s="13">
        <v>800000</v>
      </c>
      <c r="K25" s="28"/>
      <c r="L25" s="29"/>
      <c r="M25" s="13"/>
      <c r="N25" s="13"/>
      <c r="O25" s="13">
        <f t="shared" si="0"/>
        <v>2138780</v>
      </c>
      <c r="P25" s="13">
        <v>3600000</v>
      </c>
      <c r="Q25" s="54">
        <f t="shared" si="1"/>
        <v>1461220</v>
      </c>
      <c r="R25" s="5"/>
    </row>
    <row r="26" spans="1:18" ht="28.5" customHeight="1" x14ac:dyDescent="0.25">
      <c r="A26" s="25">
        <v>19</v>
      </c>
      <c r="B26" s="120">
        <v>44639</v>
      </c>
      <c r="C26" s="10" t="s">
        <v>1941</v>
      </c>
      <c r="D26" s="25" t="s">
        <v>2683</v>
      </c>
      <c r="E26" s="10" t="s">
        <v>2684</v>
      </c>
      <c r="F26" s="8"/>
      <c r="G26" s="8">
        <v>62</v>
      </c>
      <c r="H26" s="13">
        <f t="shared" si="3"/>
        <v>1566120</v>
      </c>
      <c r="I26" s="8"/>
      <c r="J26" s="13">
        <v>680000</v>
      </c>
      <c r="K26" s="28"/>
      <c r="L26" s="29"/>
      <c r="M26" s="13"/>
      <c r="N26" s="13"/>
      <c r="O26" s="13">
        <f t="shared" si="0"/>
        <v>2246120</v>
      </c>
      <c r="P26" s="13">
        <v>3400000</v>
      </c>
      <c r="Q26" s="54">
        <f t="shared" si="1"/>
        <v>1153880</v>
      </c>
      <c r="R26" s="5"/>
    </row>
    <row r="27" spans="1:18" ht="28.5" customHeight="1" x14ac:dyDescent="0.25">
      <c r="A27" s="25">
        <v>20</v>
      </c>
      <c r="B27" s="144">
        <v>44641</v>
      </c>
      <c r="C27" s="106" t="s">
        <v>2685</v>
      </c>
      <c r="D27" s="145" t="s">
        <v>2686</v>
      </c>
      <c r="E27" s="106" t="s">
        <v>2687</v>
      </c>
      <c r="F27" s="98"/>
      <c r="G27" s="98"/>
      <c r="H27" s="57"/>
      <c r="I27" s="98"/>
      <c r="J27" s="57"/>
      <c r="K27" s="48"/>
      <c r="L27" s="60"/>
      <c r="M27" s="57"/>
      <c r="N27" s="57"/>
      <c r="O27" s="57"/>
      <c r="P27" s="57"/>
      <c r="Q27" s="54">
        <f t="shared" si="1"/>
        <v>0</v>
      </c>
      <c r="R27" s="5" t="s">
        <v>2688</v>
      </c>
    </row>
    <row r="28" spans="1:18" ht="28.5" customHeight="1" x14ac:dyDescent="0.25">
      <c r="A28" s="25">
        <v>21</v>
      </c>
      <c r="B28" s="120">
        <v>44641</v>
      </c>
      <c r="C28" s="10" t="s">
        <v>2689</v>
      </c>
      <c r="D28" s="25" t="s">
        <v>2690</v>
      </c>
      <c r="E28" s="10" t="s">
        <v>1286</v>
      </c>
      <c r="F28" s="8"/>
      <c r="G28" s="8">
        <v>109</v>
      </c>
      <c r="H28" s="13">
        <f>G28*23630</f>
        <v>2575670</v>
      </c>
      <c r="I28" s="8"/>
      <c r="J28" s="13">
        <v>680000</v>
      </c>
      <c r="K28" s="28"/>
      <c r="L28" s="29"/>
      <c r="M28" s="13"/>
      <c r="N28" s="13"/>
      <c r="O28" s="13">
        <f t="shared" si="0"/>
        <v>3255670</v>
      </c>
      <c r="P28" s="13">
        <v>4600000</v>
      </c>
      <c r="Q28" s="54">
        <f t="shared" si="1"/>
        <v>1344330</v>
      </c>
      <c r="R28" s="5"/>
    </row>
    <row r="29" spans="1:18" ht="28.5" customHeight="1" x14ac:dyDescent="0.25">
      <c r="A29" s="25">
        <v>22</v>
      </c>
      <c r="B29" s="120">
        <v>44642</v>
      </c>
      <c r="C29" s="10" t="s">
        <v>2691</v>
      </c>
      <c r="D29" s="25" t="s">
        <v>2692</v>
      </c>
      <c r="E29" s="10" t="s">
        <v>799</v>
      </c>
      <c r="F29" s="8"/>
      <c r="G29" s="8">
        <v>87</v>
      </c>
      <c r="H29" s="13">
        <f t="shared" ref="H29:H36" si="4">G29*23630</f>
        <v>2055810</v>
      </c>
      <c r="I29" s="8"/>
      <c r="J29" s="13">
        <v>680000</v>
      </c>
      <c r="K29" s="28"/>
      <c r="L29" s="29"/>
      <c r="M29" s="13"/>
      <c r="N29" s="13"/>
      <c r="O29" s="13">
        <f t="shared" si="0"/>
        <v>2735810</v>
      </c>
      <c r="P29" s="13">
        <v>4200000</v>
      </c>
      <c r="Q29" s="54">
        <f t="shared" si="1"/>
        <v>1464190</v>
      </c>
      <c r="R29" s="5"/>
    </row>
    <row r="30" spans="1:18" ht="28.5" customHeight="1" x14ac:dyDescent="0.25">
      <c r="A30" s="25">
        <v>23</v>
      </c>
      <c r="B30" s="120">
        <v>44644</v>
      </c>
      <c r="C30" s="10" t="s">
        <v>2693</v>
      </c>
      <c r="D30" s="25" t="s">
        <v>2694</v>
      </c>
      <c r="E30" s="10" t="s">
        <v>2695</v>
      </c>
      <c r="F30" s="8"/>
      <c r="G30" s="8">
        <v>104</v>
      </c>
      <c r="H30" s="13">
        <f t="shared" si="4"/>
        <v>2457520</v>
      </c>
      <c r="I30" s="8"/>
      <c r="J30" s="13">
        <v>680000</v>
      </c>
      <c r="K30" s="28"/>
      <c r="L30" s="29"/>
      <c r="M30" s="13"/>
      <c r="N30" s="13"/>
      <c r="O30" s="13">
        <f t="shared" si="0"/>
        <v>3137520</v>
      </c>
      <c r="P30" s="13">
        <v>4700000</v>
      </c>
      <c r="Q30" s="54">
        <f t="shared" si="1"/>
        <v>1562480</v>
      </c>
      <c r="R30" s="5"/>
    </row>
    <row r="31" spans="1:18" ht="28.5" customHeight="1" x14ac:dyDescent="0.25">
      <c r="A31" s="25">
        <v>24</v>
      </c>
      <c r="B31" s="120">
        <v>44644</v>
      </c>
      <c r="C31" s="10" t="s">
        <v>2696</v>
      </c>
      <c r="D31" s="25" t="s">
        <v>2697</v>
      </c>
      <c r="E31" s="10" t="s">
        <v>2661</v>
      </c>
      <c r="F31" s="8"/>
      <c r="G31" s="8">
        <v>96</v>
      </c>
      <c r="H31" s="13">
        <f t="shared" si="4"/>
        <v>2268480</v>
      </c>
      <c r="I31" s="8"/>
      <c r="J31" s="13">
        <v>930000</v>
      </c>
      <c r="K31" s="28"/>
      <c r="L31" s="29"/>
      <c r="M31" s="13"/>
      <c r="N31" s="13"/>
      <c r="O31" s="13">
        <f t="shared" si="0"/>
        <v>3198480</v>
      </c>
      <c r="P31" s="13">
        <v>4800000</v>
      </c>
      <c r="Q31" s="54">
        <f t="shared" si="1"/>
        <v>1601520</v>
      </c>
      <c r="R31" s="5"/>
    </row>
    <row r="32" spans="1:18" ht="28.5" customHeight="1" x14ac:dyDescent="0.25">
      <c r="A32" s="25">
        <v>25</v>
      </c>
      <c r="B32" s="120">
        <v>44645</v>
      </c>
      <c r="C32" s="10" t="s">
        <v>1202</v>
      </c>
      <c r="D32" s="25" t="s">
        <v>2698</v>
      </c>
      <c r="E32" s="10" t="s">
        <v>2699</v>
      </c>
      <c r="F32" s="8"/>
      <c r="G32" s="8">
        <v>82</v>
      </c>
      <c r="H32" s="13">
        <f t="shared" si="4"/>
        <v>1937660</v>
      </c>
      <c r="I32" s="8"/>
      <c r="J32" s="13">
        <v>930000</v>
      </c>
      <c r="K32" s="28"/>
      <c r="L32" s="29"/>
      <c r="M32" s="13"/>
      <c r="N32" s="13"/>
      <c r="O32" s="13">
        <f t="shared" si="0"/>
        <v>2867660</v>
      </c>
      <c r="P32" s="13">
        <v>4400000</v>
      </c>
      <c r="Q32" s="54">
        <f t="shared" si="1"/>
        <v>1532340</v>
      </c>
      <c r="R32" s="5"/>
    </row>
    <row r="33" spans="1:18" ht="28.5" customHeight="1" x14ac:dyDescent="0.25">
      <c r="A33" s="25">
        <v>26</v>
      </c>
      <c r="B33" s="120">
        <v>44648</v>
      </c>
      <c r="C33" s="10" t="s">
        <v>2700</v>
      </c>
      <c r="D33" s="25" t="s">
        <v>2701</v>
      </c>
      <c r="E33" s="10" t="s">
        <v>1478</v>
      </c>
      <c r="F33" s="8"/>
      <c r="G33" s="8">
        <v>82</v>
      </c>
      <c r="H33" s="13">
        <f t="shared" si="4"/>
        <v>1937660</v>
      </c>
      <c r="I33" s="8"/>
      <c r="J33" s="13">
        <v>930000</v>
      </c>
      <c r="K33" s="28"/>
      <c r="L33" s="29"/>
      <c r="M33" s="13"/>
      <c r="N33" s="13"/>
      <c r="O33" s="13">
        <f t="shared" si="0"/>
        <v>2867660</v>
      </c>
      <c r="P33" s="13">
        <v>4139259</v>
      </c>
      <c r="Q33" s="54">
        <f t="shared" si="1"/>
        <v>1271599</v>
      </c>
      <c r="R33" s="5"/>
    </row>
    <row r="34" spans="1:18" ht="28.5" customHeight="1" x14ac:dyDescent="0.25">
      <c r="A34" s="25">
        <v>27</v>
      </c>
      <c r="B34" s="120">
        <v>44648</v>
      </c>
      <c r="C34" s="10" t="s">
        <v>2702</v>
      </c>
      <c r="D34" s="25" t="s">
        <v>2703</v>
      </c>
      <c r="E34" s="10" t="s">
        <v>1043</v>
      </c>
      <c r="F34" s="8"/>
      <c r="G34" s="8">
        <v>115</v>
      </c>
      <c r="H34" s="13">
        <f t="shared" si="4"/>
        <v>2717450</v>
      </c>
      <c r="I34" s="8"/>
      <c r="J34" s="13">
        <v>930000</v>
      </c>
      <c r="K34" s="28"/>
      <c r="L34" s="29"/>
      <c r="M34" s="13"/>
      <c r="N34" s="13"/>
      <c r="O34" s="13">
        <f t="shared" si="0"/>
        <v>3647450</v>
      </c>
      <c r="P34" s="13">
        <v>5740741</v>
      </c>
      <c r="Q34" s="54">
        <f t="shared" si="1"/>
        <v>2093291</v>
      </c>
      <c r="R34" s="5"/>
    </row>
    <row r="35" spans="1:18" ht="28.5" customHeight="1" x14ac:dyDescent="0.25">
      <c r="A35" s="25">
        <v>28</v>
      </c>
      <c r="B35" s="120">
        <v>44649</v>
      </c>
      <c r="C35" s="10" t="s">
        <v>2704</v>
      </c>
      <c r="D35" s="25" t="s">
        <v>2705</v>
      </c>
      <c r="E35" s="10" t="s">
        <v>1043</v>
      </c>
      <c r="F35" s="8"/>
      <c r="G35" s="8">
        <v>115</v>
      </c>
      <c r="H35" s="13">
        <f t="shared" si="4"/>
        <v>2717450</v>
      </c>
      <c r="I35" s="8"/>
      <c r="J35" s="13">
        <v>930000</v>
      </c>
      <c r="K35" s="28"/>
      <c r="L35" s="29"/>
      <c r="M35" s="13"/>
      <c r="N35" s="13"/>
      <c r="O35" s="13">
        <f t="shared" si="0"/>
        <v>3647450</v>
      </c>
      <c r="P35" s="13">
        <v>5740741</v>
      </c>
      <c r="Q35" s="54">
        <f t="shared" si="1"/>
        <v>2093291</v>
      </c>
      <c r="R35" s="5"/>
    </row>
    <row r="36" spans="1:18" ht="28.5" customHeight="1" x14ac:dyDescent="0.25">
      <c r="A36" s="25">
        <v>29</v>
      </c>
      <c r="B36" s="120">
        <v>44650</v>
      </c>
      <c r="C36" s="10" t="s">
        <v>2706</v>
      </c>
      <c r="D36" s="25" t="s">
        <v>2707</v>
      </c>
      <c r="E36" s="10" t="s">
        <v>2045</v>
      </c>
      <c r="F36" s="8"/>
      <c r="G36" s="8">
        <v>320</v>
      </c>
      <c r="H36" s="13">
        <f t="shared" si="4"/>
        <v>7561600</v>
      </c>
      <c r="I36" s="8"/>
      <c r="J36" s="13">
        <v>3550000</v>
      </c>
      <c r="K36" s="28"/>
      <c r="L36" s="29"/>
      <c r="M36" s="13"/>
      <c r="N36" s="13"/>
      <c r="O36" s="13">
        <f t="shared" si="0"/>
        <v>11111600</v>
      </c>
      <c r="P36" s="13">
        <v>19444444</v>
      </c>
      <c r="Q36" s="54">
        <f t="shared" si="1"/>
        <v>8332844</v>
      </c>
      <c r="R36" s="5"/>
    </row>
    <row r="37" spans="1:18" ht="28.5" customHeight="1" x14ac:dyDescent="0.25">
      <c r="A37" s="25"/>
      <c r="B37" s="120"/>
      <c r="C37" s="75"/>
      <c r="D37" s="140"/>
      <c r="E37" s="76"/>
      <c r="F37" s="141"/>
      <c r="G37" s="8"/>
      <c r="H37" s="13"/>
      <c r="I37" s="8"/>
      <c r="J37" s="13"/>
      <c r="K37" s="28"/>
      <c r="L37" s="29"/>
      <c r="M37" s="13"/>
      <c r="N37" s="13"/>
      <c r="O37" s="53"/>
      <c r="P37" s="13"/>
      <c r="Q37" s="54"/>
      <c r="R37" s="5"/>
    </row>
    <row r="38" spans="1:18" ht="24" customHeight="1" x14ac:dyDescent="0.25">
      <c r="A38" s="8"/>
      <c r="B38" s="8"/>
      <c r="C38" s="196" t="s">
        <v>131</v>
      </c>
      <c r="D38" s="197"/>
      <c r="E38" s="197"/>
      <c r="F38" s="198"/>
      <c r="G38" s="8"/>
      <c r="H38" s="13"/>
      <c r="I38" s="8"/>
      <c r="J38" s="13"/>
      <c r="K38" s="28"/>
      <c r="L38" s="28">
        <v>1200000</v>
      </c>
      <c r="M38" s="18"/>
      <c r="N38" s="28"/>
      <c r="O38" s="53">
        <f t="shared" ref="O38:O47" si="5">H38+J38+K38+L38+M38+N38</f>
        <v>1200000</v>
      </c>
      <c r="P38" s="28"/>
      <c r="Q38" s="54"/>
    </row>
    <row r="39" spans="1:18" ht="24" customHeight="1" x14ac:dyDescent="0.25">
      <c r="A39" s="8"/>
      <c r="B39" s="8"/>
      <c r="C39" s="196" t="s">
        <v>2708</v>
      </c>
      <c r="D39" s="197"/>
      <c r="E39" s="197"/>
      <c r="F39" s="198"/>
      <c r="G39" s="30"/>
      <c r="H39" s="28"/>
      <c r="I39" s="30"/>
      <c r="J39" s="28"/>
      <c r="K39" s="28"/>
      <c r="L39" s="18">
        <v>4180000</v>
      </c>
      <c r="M39" s="18"/>
      <c r="N39" s="28"/>
      <c r="O39" s="53">
        <f t="shared" si="5"/>
        <v>4180000</v>
      </c>
      <c r="P39" s="28"/>
      <c r="Q39" s="54"/>
    </row>
    <row r="40" spans="1:18" ht="24" customHeight="1" x14ac:dyDescent="0.25">
      <c r="A40" s="8"/>
      <c r="B40" s="8"/>
      <c r="C40" s="196" t="s">
        <v>2764</v>
      </c>
      <c r="D40" s="197"/>
      <c r="E40" s="197"/>
      <c r="F40" s="198"/>
      <c r="G40" s="30"/>
      <c r="H40" s="28"/>
      <c r="I40" s="30"/>
      <c r="J40" s="28"/>
      <c r="K40" s="28"/>
      <c r="L40" s="28"/>
      <c r="M40" s="28">
        <v>580000</v>
      </c>
      <c r="N40" s="28"/>
      <c r="O40" s="53">
        <f t="shared" si="5"/>
        <v>580000</v>
      </c>
      <c r="P40" s="28"/>
      <c r="Q40" s="54"/>
    </row>
    <row r="41" spans="1:18" ht="24" customHeight="1" x14ac:dyDescent="0.25">
      <c r="A41" s="8"/>
      <c r="B41" s="8"/>
      <c r="C41" s="196" t="s">
        <v>2709</v>
      </c>
      <c r="D41" s="197"/>
      <c r="E41" s="197"/>
      <c r="F41" s="198"/>
      <c r="G41" s="30"/>
      <c r="H41" s="28"/>
      <c r="I41" s="30"/>
      <c r="J41" s="28"/>
      <c r="K41" s="28"/>
      <c r="L41" s="28"/>
      <c r="M41" s="28">
        <v>200000</v>
      </c>
      <c r="N41" s="28"/>
      <c r="O41" s="53">
        <f t="shared" si="5"/>
        <v>200000</v>
      </c>
      <c r="P41" s="28"/>
      <c r="Q41" s="54"/>
    </row>
    <row r="42" spans="1:18" ht="24" customHeight="1" x14ac:dyDescent="0.25">
      <c r="A42" s="8"/>
      <c r="B42" s="8"/>
      <c r="C42" s="196" t="s">
        <v>2710</v>
      </c>
      <c r="D42" s="197"/>
      <c r="E42" s="197"/>
      <c r="F42" s="127"/>
      <c r="G42" s="30"/>
      <c r="H42" s="28"/>
      <c r="I42" s="30"/>
      <c r="J42" s="28"/>
      <c r="K42" s="28"/>
      <c r="L42" s="28"/>
      <c r="M42" s="28">
        <v>200000</v>
      </c>
      <c r="N42" s="28"/>
      <c r="O42" s="53">
        <f t="shared" si="5"/>
        <v>200000</v>
      </c>
      <c r="P42" s="28"/>
      <c r="Q42" s="54"/>
    </row>
    <row r="43" spans="1:18" ht="24" customHeight="1" x14ac:dyDescent="0.25">
      <c r="A43" s="8"/>
      <c r="B43" s="8"/>
      <c r="C43" s="196" t="s">
        <v>2711</v>
      </c>
      <c r="D43" s="197"/>
      <c r="E43" s="197"/>
      <c r="F43" s="198"/>
      <c r="G43" s="30"/>
      <c r="H43" s="28"/>
      <c r="I43" s="30"/>
      <c r="J43" s="28"/>
      <c r="K43" s="28"/>
      <c r="L43" s="28"/>
      <c r="M43" s="28">
        <v>1200000</v>
      </c>
      <c r="N43" s="28"/>
      <c r="O43" s="53">
        <f t="shared" si="5"/>
        <v>1200000</v>
      </c>
      <c r="P43" s="28"/>
      <c r="Q43" s="54"/>
    </row>
    <row r="44" spans="1:18" ht="24" customHeight="1" x14ac:dyDescent="0.25">
      <c r="A44" s="8"/>
      <c r="B44" s="8"/>
      <c r="C44" s="196" t="s">
        <v>2712</v>
      </c>
      <c r="D44" s="197"/>
      <c r="E44" s="197"/>
      <c r="F44" s="198"/>
      <c r="G44" s="30"/>
      <c r="H44" s="28"/>
      <c r="I44" s="30"/>
      <c r="J44" s="28"/>
      <c r="K44" s="28"/>
      <c r="L44" s="28"/>
      <c r="M44" s="28">
        <v>1500000</v>
      </c>
      <c r="N44" s="28"/>
      <c r="O44" s="53">
        <f t="shared" si="5"/>
        <v>1500000</v>
      </c>
      <c r="P44" s="28"/>
      <c r="Q44" s="54"/>
    </row>
    <row r="45" spans="1:18" ht="24" customHeight="1" x14ac:dyDescent="0.25">
      <c r="A45" s="8"/>
      <c r="B45" s="8"/>
      <c r="C45" s="196" t="s">
        <v>2713</v>
      </c>
      <c r="D45" s="197"/>
      <c r="E45" s="197"/>
      <c r="F45" s="198"/>
      <c r="G45" s="30"/>
      <c r="H45" s="28"/>
      <c r="I45" s="30"/>
      <c r="J45" s="28"/>
      <c r="K45" s="28"/>
      <c r="L45" s="28"/>
      <c r="M45" s="28">
        <v>1100000</v>
      </c>
      <c r="N45" s="28"/>
      <c r="O45" s="53">
        <f t="shared" si="5"/>
        <v>1100000</v>
      </c>
      <c r="P45" s="28"/>
      <c r="Q45" s="54"/>
    </row>
    <row r="46" spans="1:18" ht="24" customHeight="1" x14ac:dyDescent="0.25">
      <c r="A46" s="8"/>
      <c r="B46" s="8"/>
      <c r="C46" s="196" t="s">
        <v>2714</v>
      </c>
      <c r="D46" s="197"/>
      <c r="E46" s="197"/>
      <c r="F46" s="198"/>
      <c r="G46" s="30"/>
      <c r="H46" s="28"/>
      <c r="I46" s="30"/>
      <c r="J46" s="28"/>
      <c r="K46" s="28"/>
      <c r="L46" s="28"/>
      <c r="M46" s="28">
        <v>1700000</v>
      </c>
      <c r="N46" s="28"/>
      <c r="O46" s="53">
        <f t="shared" si="5"/>
        <v>1700000</v>
      </c>
      <c r="P46" s="28"/>
      <c r="Q46" s="54"/>
    </row>
    <row r="47" spans="1:18" ht="24" customHeight="1" x14ac:dyDescent="0.25">
      <c r="A47" s="8"/>
      <c r="B47" s="8"/>
      <c r="C47" s="196" t="s">
        <v>2715</v>
      </c>
      <c r="D47" s="197"/>
      <c r="E47" s="197"/>
      <c r="F47" s="198"/>
      <c r="G47" s="30"/>
      <c r="H47" s="28"/>
      <c r="I47" s="30"/>
      <c r="J47" s="28"/>
      <c r="K47" s="28"/>
      <c r="L47" s="28"/>
      <c r="M47" s="28">
        <v>2440000</v>
      </c>
      <c r="N47" s="28"/>
      <c r="O47" s="53">
        <f t="shared" si="5"/>
        <v>2440000</v>
      </c>
      <c r="P47" s="28"/>
      <c r="Q47" s="54"/>
    </row>
    <row r="48" spans="1:18" ht="25.5" customHeight="1" x14ac:dyDescent="0.25">
      <c r="A48" s="8"/>
      <c r="B48" s="8"/>
      <c r="C48" s="191" t="s">
        <v>2716</v>
      </c>
      <c r="D48" s="192"/>
      <c r="E48" s="192"/>
      <c r="F48" s="195"/>
      <c r="G48" s="30"/>
      <c r="H48" s="28"/>
      <c r="I48" s="30"/>
      <c r="J48" s="28"/>
      <c r="K48" s="28">
        <v>9300000</v>
      </c>
      <c r="L48" s="18"/>
      <c r="M48" s="18"/>
      <c r="N48" s="28"/>
      <c r="O48" s="53">
        <f>H48+J48+K48+L48+M48+N48</f>
        <v>9300000</v>
      </c>
      <c r="P48" s="28"/>
      <c r="Q48" s="54"/>
    </row>
    <row r="49" spans="1:17" ht="15" customHeight="1" x14ac:dyDescent="0.25">
      <c r="A49" s="166" t="s">
        <v>19</v>
      </c>
      <c r="B49" s="167"/>
      <c r="C49" s="167"/>
      <c r="D49" s="167"/>
      <c r="E49" s="167"/>
      <c r="F49" s="168"/>
      <c r="G49" s="131">
        <f>SUM(G7:G48)</f>
        <v>2631</v>
      </c>
      <c r="H49" s="4">
        <f>SUM(H7:H48)</f>
        <v>62428660</v>
      </c>
      <c r="I49" s="4">
        <f t="shared" ref="I49:N49" si="6">SUM(I7:I48)</f>
        <v>0</v>
      </c>
      <c r="J49" s="4">
        <f t="shared" si="6"/>
        <v>27030000</v>
      </c>
      <c r="K49" s="4">
        <f t="shared" si="6"/>
        <v>9300000</v>
      </c>
      <c r="L49" s="4">
        <f t="shared" si="6"/>
        <v>5380000</v>
      </c>
      <c r="M49" s="4">
        <f t="shared" si="6"/>
        <v>8920000</v>
      </c>
      <c r="N49" s="4">
        <f t="shared" si="6"/>
        <v>0</v>
      </c>
      <c r="O49" s="4">
        <f>SUM(O7:O48)</f>
        <v>113058660</v>
      </c>
      <c r="P49" s="4">
        <f>SUM(P8:P48)</f>
        <v>139642518</v>
      </c>
      <c r="Q49" s="122">
        <f>P49-O49</f>
        <v>26583858</v>
      </c>
    </row>
    <row r="50" spans="1:17" x14ac:dyDescent="0.25">
      <c r="O50" s="20"/>
      <c r="P50" s="5" t="s">
        <v>1796</v>
      </c>
      <c r="Q50" s="26"/>
    </row>
    <row r="51" spans="1:17" x14ac:dyDescent="0.25">
      <c r="P51" s="21" t="s">
        <v>20</v>
      </c>
      <c r="Q51" s="26">
        <f>'02.2022'!Q36+'03.2022'!Q49</f>
        <v>49720379</v>
      </c>
    </row>
    <row r="52" spans="1:17" x14ac:dyDescent="0.25">
      <c r="C52" s="6" t="s">
        <v>993</v>
      </c>
    </row>
    <row r="53" spans="1:17" x14ac:dyDescent="0.25">
      <c r="C53" s="205"/>
      <c r="D53" s="205"/>
      <c r="E53" s="205"/>
      <c r="F53" s="205"/>
      <c r="H53" s="109"/>
    </row>
    <row r="54" spans="1:17" x14ac:dyDescent="0.25">
      <c r="C54" s="206"/>
      <c r="D54" s="206"/>
      <c r="E54" s="206"/>
      <c r="F54" s="206"/>
      <c r="H54" s="109"/>
    </row>
    <row r="55" spans="1:17" x14ac:dyDescent="0.25">
      <c r="B55" s="6"/>
      <c r="C55" s="110"/>
      <c r="D55" s="110"/>
      <c r="E55" s="110"/>
      <c r="F55" s="110"/>
      <c r="G55" s="133"/>
      <c r="H55" s="109"/>
    </row>
    <row r="56" spans="1:17" x14ac:dyDescent="0.25">
      <c r="B56" s="6"/>
      <c r="C56" s="206"/>
      <c r="D56" s="206"/>
      <c r="E56" s="206"/>
      <c r="F56" s="206"/>
      <c r="H56" s="109"/>
    </row>
    <row r="57" spans="1:17" x14ac:dyDescent="0.25">
      <c r="B57" s="6"/>
      <c r="C57" s="206"/>
      <c r="D57" s="206"/>
      <c r="E57" s="206"/>
      <c r="F57" s="206"/>
      <c r="H57" s="109"/>
    </row>
    <row r="58" spans="1:17" x14ac:dyDescent="0.25">
      <c r="B58" s="6"/>
      <c r="C58" s="206"/>
      <c r="D58" s="206"/>
      <c r="E58" s="206"/>
      <c r="F58" s="206"/>
      <c r="G58" s="133"/>
      <c r="H58" s="109"/>
      <c r="J58" s="6"/>
      <c r="K58" s="6"/>
      <c r="L58" s="6"/>
      <c r="M58" s="6"/>
      <c r="N58" s="6"/>
      <c r="O58" s="6"/>
      <c r="P58" s="6"/>
      <c r="Q58" s="6"/>
    </row>
    <row r="59" spans="1:17" x14ac:dyDescent="0.2">
      <c r="C59" s="107"/>
      <c r="D59" s="110"/>
      <c r="E59" s="110"/>
      <c r="F59" s="110"/>
      <c r="H59" s="109"/>
    </row>
    <row r="60" spans="1:17" x14ac:dyDescent="0.25">
      <c r="C60" s="205"/>
      <c r="D60" s="205"/>
      <c r="E60" s="205"/>
      <c r="F60" s="205"/>
    </row>
  </sheetData>
  <mergeCells count="31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47:F47"/>
    <mergeCell ref="O5:O6"/>
    <mergeCell ref="P5:P6"/>
    <mergeCell ref="Q5:Q6"/>
    <mergeCell ref="C38:F38"/>
    <mergeCell ref="C39:F39"/>
    <mergeCell ref="C41:F41"/>
    <mergeCell ref="C40:F40"/>
    <mergeCell ref="C42:E42"/>
    <mergeCell ref="C43:F43"/>
    <mergeCell ref="C44:F44"/>
    <mergeCell ref="C45:F45"/>
    <mergeCell ref="C46:F46"/>
    <mergeCell ref="C58:F58"/>
    <mergeCell ref="C60:F60"/>
    <mergeCell ref="C48:F48"/>
    <mergeCell ref="A49:F49"/>
    <mergeCell ref="C53:F53"/>
    <mergeCell ref="C54:F54"/>
    <mergeCell ref="C56:F56"/>
    <mergeCell ref="C57:F57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91D7-7913-4C81-8219-23DBD1B233AE}">
  <dimension ref="A1:R49"/>
  <sheetViews>
    <sheetView topLeftCell="A22" workbookViewId="0">
      <selection activeCell="H27" sqref="H2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2717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44652</v>
      </c>
      <c r="C8" s="10" t="s">
        <v>2718</v>
      </c>
      <c r="D8" s="25" t="s">
        <v>2719</v>
      </c>
      <c r="E8" s="10" t="s">
        <v>2661</v>
      </c>
      <c r="F8" s="8"/>
      <c r="G8" s="8">
        <v>101</v>
      </c>
      <c r="H8" s="13">
        <f>G8*25080</f>
        <v>2533080</v>
      </c>
      <c r="I8" s="8"/>
      <c r="J8" s="13">
        <v>930000</v>
      </c>
      <c r="K8" s="28"/>
      <c r="L8" s="29"/>
      <c r="M8" s="13"/>
      <c r="N8" s="13"/>
      <c r="O8" s="53">
        <f>H8+J8+K8+L8+M8+N8</f>
        <v>3463080</v>
      </c>
      <c r="P8" s="13">
        <v>4700000</v>
      </c>
      <c r="Q8" s="54">
        <f>P8-O8</f>
        <v>1236920</v>
      </c>
      <c r="R8" s="5"/>
    </row>
    <row r="9" spans="1:18" ht="17.25" customHeight="1" x14ac:dyDescent="0.25">
      <c r="A9" s="25">
        <v>2</v>
      </c>
      <c r="B9" s="120">
        <v>44655</v>
      </c>
      <c r="C9" s="10" t="s">
        <v>2720</v>
      </c>
      <c r="D9" s="129" t="s">
        <v>2721</v>
      </c>
      <c r="E9" s="9" t="s">
        <v>1287</v>
      </c>
      <c r="F9" s="117"/>
      <c r="G9" s="6">
        <v>81</v>
      </c>
      <c r="H9" s="13">
        <f t="shared" ref="H9:H13" si="0">G9*25080</f>
        <v>2031480</v>
      </c>
      <c r="I9" s="117"/>
      <c r="J9" s="119">
        <v>680000</v>
      </c>
      <c r="K9" s="28"/>
      <c r="L9" s="29"/>
      <c r="M9" s="13"/>
      <c r="N9" s="13"/>
      <c r="O9" s="53">
        <f t="shared" ref="O9:O27" si="1">H9+J9+K9+L9+M9+N9</f>
        <v>2711480</v>
      </c>
      <c r="P9" s="13">
        <v>3650000</v>
      </c>
      <c r="Q9" s="54">
        <f t="shared" ref="Q9:Q27" si="2">P9-O9</f>
        <v>938520</v>
      </c>
      <c r="R9" s="5"/>
    </row>
    <row r="10" spans="1:18" ht="24.75" customHeight="1" x14ac:dyDescent="0.25">
      <c r="A10" s="25">
        <v>3</v>
      </c>
      <c r="B10" s="120">
        <v>44656</v>
      </c>
      <c r="C10" s="10" t="s">
        <v>2722</v>
      </c>
      <c r="D10" s="25" t="s">
        <v>2723</v>
      </c>
      <c r="E10" s="10" t="s">
        <v>736</v>
      </c>
      <c r="F10" s="8"/>
      <c r="G10" s="8">
        <v>109</v>
      </c>
      <c r="H10" s="13">
        <f t="shared" si="0"/>
        <v>2733720</v>
      </c>
      <c r="I10" s="8"/>
      <c r="J10" s="13">
        <v>930000</v>
      </c>
      <c r="K10" s="28"/>
      <c r="L10" s="29"/>
      <c r="M10" s="13"/>
      <c r="N10" s="13"/>
      <c r="O10" s="53">
        <f>H10+J10+K10+L10+M10+N10</f>
        <v>3663720</v>
      </c>
      <c r="P10" s="13">
        <v>4030000</v>
      </c>
      <c r="Q10" s="54">
        <f t="shared" si="2"/>
        <v>366280</v>
      </c>
      <c r="R10" s="5"/>
    </row>
    <row r="11" spans="1:18" ht="27.75" customHeight="1" x14ac:dyDescent="0.25">
      <c r="A11" s="25">
        <v>4</v>
      </c>
      <c r="B11" s="120">
        <v>44657</v>
      </c>
      <c r="C11" s="10" t="s">
        <v>2724</v>
      </c>
      <c r="D11" s="25" t="s">
        <v>2723</v>
      </c>
      <c r="E11" s="10" t="s">
        <v>2725</v>
      </c>
      <c r="F11" s="8"/>
      <c r="G11" s="8"/>
      <c r="H11" s="13">
        <f t="shared" si="0"/>
        <v>0</v>
      </c>
      <c r="I11" s="8"/>
      <c r="J11" s="13">
        <v>300000</v>
      </c>
      <c r="K11" s="28"/>
      <c r="L11" s="29"/>
      <c r="M11" s="13"/>
      <c r="N11" s="13"/>
      <c r="O11" s="53">
        <f t="shared" si="1"/>
        <v>300000</v>
      </c>
      <c r="P11" s="13">
        <v>3461259</v>
      </c>
      <c r="Q11" s="54">
        <f t="shared" si="2"/>
        <v>3161259</v>
      </c>
      <c r="R11" s="5"/>
    </row>
    <row r="12" spans="1:18" ht="27.75" customHeight="1" x14ac:dyDescent="0.25">
      <c r="A12" s="25">
        <v>5</v>
      </c>
      <c r="B12" s="120">
        <v>44658</v>
      </c>
      <c r="C12" s="10" t="s">
        <v>2726</v>
      </c>
      <c r="D12" s="25" t="s">
        <v>2727</v>
      </c>
      <c r="E12" s="10" t="s">
        <v>1394</v>
      </c>
      <c r="F12" s="8"/>
      <c r="G12" s="8">
        <v>50</v>
      </c>
      <c r="H12" s="13">
        <f t="shared" si="0"/>
        <v>1254000</v>
      </c>
      <c r="I12" s="8"/>
      <c r="J12" s="13">
        <v>600000</v>
      </c>
      <c r="K12" s="28"/>
      <c r="L12" s="29"/>
      <c r="M12" s="13"/>
      <c r="N12" s="13"/>
      <c r="O12" s="53">
        <f t="shared" si="1"/>
        <v>1854000</v>
      </c>
      <c r="P12" s="13">
        <v>3400000</v>
      </c>
      <c r="Q12" s="54">
        <f t="shared" si="2"/>
        <v>1546000</v>
      </c>
      <c r="R12" s="5"/>
    </row>
    <row r="13" spans="1:18" ht="27.75" customHeight="1" x14ac:dyDescent="0.25">
      <c r="A13" s="25">
        <v>6</v>
      </c>
      <c r="B13" s="120">
        <v>44658</v>
      </c>
      <c r="C13" s="10" t="s">
        <v>578</v>
      </c>
      <c r="D13" s="25" t="s">
        <v>2728</v>
      </c>
      <c r="E13" s="10" t="s">
        <v>2729</v>
      </c>
      <c r="F13" s="8"/>
      <c r="G13" s="8">
        <v>124</v>
      </c>
      <c r="H13" s="13">
        <f t="shared" si="0"/>
        <v>3109920</v>
      </c>
      <c r="I13" s="8"/>
      <c r="J13" s="13">
        <v>980000</v>
      </c>
      <c r="K13" s="28"/>
      <c r="L13" s="29"/>
      <c r="M13" s="13"/>
      <c r="N13" s="13"/>
      <c r="O13" s="53">
        <f t="shared" si="1"/>
        <v>4089920</v>
      </c>
      <c r="P13" s="13">
        <v>5700000</v>
      </c>
      <c r="Q13" s="54">
        <f t="shared" si="2"/>
        <v>1610080</v>
      </c>
      <c r="R13" s="5"/>
    </row>
    <row r="14" spans="1:18" ht="27.75" customHeight="1" x14ac:dyDescent="0.25">
      <c r="A14" s="25">
        <v>7</v>
      </c>
      <c r="B14" s="120">
        <v>44659</v>
      </c>
      <c r="C14" s="10" t="s">
        <v>2730</v>
      </c>
      <c r="D14" s="25" t="s">
        <v>2731</v>
      </c>
      <c r="E14" s="10" t="s">
        <v>112</v>
      </c>
      <c r="F14" s="8"/>
      <c r="G14" s="8">
        <v>233</v>
      </c>
      <c r="H14" s="13">
        <f>G14*24380</f>
        <v>5680540</v>
      </c>
      <c r="I14" s="8"/>
      <c r="J14" s="13">
        <v>2470000</v>
      </c>
      <c r="K14" s="28"/>
      <c r="L14" s="29"/>
      <c r="M14" s="13"/>
      <c r="N14" s="13"/>
      <c r="O14" s="53">
        <f>H14+J14+K14+L14+M14+N14</f>
        <v>8150540</v>
      </c>
      <c r="P14" s="13">
        <v>13981481</v>
      </c>
      <c r="Q14" s="54">
        <f t="shared" si="2"/>
        <v>5830941</v>
      </c>
      <c r="R14" s="5"/>
    </row>
    <row r="15" spans="1:18" ht="27.75" customHeight="1" x14ac:dyDescent="0.25">
      <c r="A15" s="25">
        <v>8</v>
      </c>
      <c r="B15" s="144">
        <v>44663</v>
      </c>
      <c r="C15" s="106" t="s">
        <v>2732</v>
      </c>
      <c r="D15" s="145" t="s">
        <v>2733</v>
      </c>
      <c r="E15" s="106" t="s">
        <v>2734</v>
      </c>
      <c r="F15" s="98"/>
      <c r="G15" s="98">
        <v>133</v>
      </c>
      <c r="H15" s="57">
        <f t="shared" ref="H15:H19" si="3">G15*24380</f>
        <v>3242540</v>
      </c>
      <c r="I15" s="98"/>
      <c r="J15" s="146">
        <f>930000+200000+300000+250000</f>
        <v>1680000</v>
      </c>
      <c r="K15" s="48"/>
      <c r="L15" s="60"/>
      <c r="M15" s="57"/>
      <c r="N15" s="57"/>
      <c r="O15" s="103">
        <f t="shared" si="1"/>
        <v>4922540</v>
      </c>
      <c r="P15" s="57">
        <v>6208888</v>
      </c>
      <c r="Q15" s="104">
        <f t="shared" si="2"/>
        <v>1286348</v>
      </c>
      <c r="R15" s="5" t="s">
        <v>2765</v>
      </c>
    </row>
    <row r="16" spans="1:18" ht="27.75" customHeight="1" x14ac:dyDescent="0.25">
      <c r="A16" s="25">
        <v>9</v>
      </c>
      <c r="B16" s="120">
        <v>44664</v>
      </c>
      <c r="C16" s="10" t="s">
        <v>2735</v>
      </c>
      <c r="D16" s="25" t="s">
        <v>2736</v>
      </c>
      <c r="E16" s="10" t="s">
        <v>112</v>
      </c>
      <c r="F16" s="8"/>
      <c r="G16" s="8">
        <v>233</v>
      </c>
      <c r="H16" s="13">
        <f t="shared" si="3"/>
        <v>5680540</v>
      </c>
      <c r="I16" s="8"/>
      <c r="J16" s="13">
        <v>2470000</v>
      </c>
      <c r="K16" s="28"/>
      <c r="L16" s="29"/>
      <c r="M16" s="13"/>
      <c r="N16" s="13"/>
      <c r="O16" s="53">
        <f t="shared" si="1"/>
        <v>8150540</v>
      </c>
      <c r="P16" s="13">
        <v>13727273</v>
      </c>
      <c r="Q16" s="54">
        <f t="shared" si="2"/>
        <v>5576733</v>
      </c>
      <c r="R16" s="5"/>
    </row>
    <row r="17" spans="1:18" ht="27.75" customHeight="1" x14ac:dyDescent="0.25">
      <c r="A17" s="25">
        <v>10</v>
      </c>
      <c r="B17" s="120">
        <v>44665</v>
      </c>
      <c r="C17" s="10" t="s">
        <v>1254</v>
      </c>
      <c r="D17" s="25" t="s">
        <v>2737</v>
      </c>
      <c r="E17" s="10" t="s">
        <v>2695</v>
      </c>
      <c r="F17" s="8"/>
      <c r="G17" s="8">
        <v>97</v>
      </c>
      <c r="H17" s="13">
        <f t="shared" si="3"/>
        <v>2364860</v>
      </c>
      <c r="I17" s="8"/>
      <c r="J17" s="13">
        <v>680000</v>
      </c>
      <c r="K17" s="28"/>
      <c r="L17" s="29"/>
      <c r="M17" s="13"/>
      <c r="N17" s="13"/>
      <c r="O17" s="53">
        <f t="shared" si="1"/>
        <v>3044860</v>
      </c>
      <c r="P17" s="13">
        <v>4500000</v>
      </c>
      <c r="Q17" s="54">
        <f t="shared" si="2"/>
        <v>1455140</v>
      </c>
      <c r="R17" s="5"/>
    </row>
    <row r="18" spans="1:18" ht="22.5" customHeight="1" x14ac:dyDescent="0.25">
      <c r="A18" s="25">
        <v>11</v>
      </c>
      <c r="B18" s="120">
        <v>44667</v>
      </c>
      <c r="C18" s="10" t="s">
        <v>1255</v>
      </c>
      <c r="D18" s="25" t="s">
        <v>2738</v>
      </c>
      <c r="E18" s="10" t="s">
        <v>2739</v>
      </c>
      <c r="F18" s="8"/>
      <c r="G18" s="8">
        <v>99</v>
      </c>
      <c r="H18" s="13">
        <f t="shared" si="3"/>
        <v>2413620</v>
      </c>
      <c r="I18" s="8"/>
      <c r="J18" s="13">
        <v>930000</v>
      </c>
      <c r="K18" s="28"/>
      <c r="L18" s="29"/>
      <c r="M18" s="13"/>
      <c r="N18" s="13"/>
      <c r="O18" s="53">
        <f t="shared" si="1"/>
        <v>3343620</v>
      </c>
      <c r="P18" s="13">
        <v>4700000</v>
      </c>
      <c r="Q18" s="54">
        <f t="shared" si="2"/>
        <v>1356380</v>
      </c>
      <c r="R18" s="5"/>
    </row>
    <row r="19" spans="1:18" ht="22.5" customHeight="1" x14ac:dyDescent="0.25">
      <c r="A19" s="25">
        <v>12</v>
      </c>
      <c r="B19" s="120">
        <v>44670</v>
      </c>
      <c r="C19" s="10" t="s">
        <v>2740</v>
      </c>
      <c r="D19" s="25" t="s">
        <v>2741</v>
      </c>
      <c r="E19" s="10" t="s">
        <v>2742</v>
      </c>
      <c r="F19" s="8"/>
      <c r="G19" s="8">
        <v>54</v>
      </c>
      <c r="H19" s="13">
        <f t="shared" si="3"/>
        <v>1316520</v>
      </c>
      <c r="I19" s="8"/>
      <c r="J19" s="13">
        <v>600000</v>
      </c>
      <c r="K19" s="28"/>
      <c r="L19" s="29"/>
      <c r="M19" s="13"/>
      <c r="N19" s="13"/>
      <c r="O19" s="53">
        <f t="shared" si="1"/>
        <v>1916520</v>
      </c>
      <c r="P19" s="13">
        <v>3600000</v>
      </c>
      <c r="Q19" s="54">
        <f t="shared" si="2"/>
        <v>1683480</v>
      </c>
      <c r="R19" s="5"/>
    </row>
    <row r="20" spans="1:18" ht="22.5" customHeight="1" x14ac:dyDescent="0.25">
      <c r="A20" s="25">
        <v>13</v>
      </c>
      <c r="B20" s="120">
        <v>44670</v>
      </c>
      <c r="C20" s="10" t="s">
        <v>588</v>
      </c>
      <c r="D20" s="25" t="s">
        <v>2743</v>
      </c>
      <c r="E20" s="10" t="s">
        <v>331</v>
      </c>
      <c r="F20" s="8"/>
      <c r="G20" s="8">
        <v>84</v>
      </c>
      <c r="H20" s="13">
        <f>G20*25350</f>
        <v>2129400</v>
      </c>
      <c r="I20" s="8"/>
      <c r="J20" s="13">
        <v>930000</v>
      </c>
      <c r="K20" s="28"/>
      <c r="L20" s="29"/>
      <c r="M20" s="13"/>
      <c r="N20" s="13"/>
      <c r="O20" s="53">
        <f t="shared" si="1"/>
        <v>3059400</v>
      </c>
      <c r="P20" s="13">
        <v>4400000</v>
      </c>
      <c r="Q20" s="54">
        <f t="shared" si="2"/>
        <v>1340600</v>
      </c>
      <c r="R20" s="5"/>
    </row>
    <row r="21" spans="1:18" ht="22.5" customHeight="1" x14ac:dyDescent="0.25">
      <c r="A21" s="25">
        <v>14</v>
      </c>
      <c r="B21" s="120">
        <v>44671</v>
      </c>
      <c r="C21" s="10" t="s">
        <v>2744</v>
      </c>
      <c r="D21" s="25" t="s">
        <v>2745</v>
      </c>
      <c r="E21" s="10" t="s">
        <v>331</v>
      </c>
      <c r="F21" s="8"/>
      <c r="G21" s="8">
        <v>97</v>
      </c>
      <c r="H21" s="13">
        <f t="shared" ref="H21:H27" si="4">G21*25350</f>
        <v>2458950</v>
      </c>
      <c r="I21" s="8"/>
      <c r="J21" s="13">
        <v>930000</v>
      </c>
      <c r="K21" s="28"/>
      <c r="L21" s="29"/>
      <c r="M21" s="13"/>
      <c r="N21" s="13"/>
      <c r="O21" s="53">
        <f t="shared" si="1"/>
        <v>3388950</v>
      </c>
      <c r="P21" s="13">
        <v>6700000</v>
      </c>
      <c r="Q21" s="54">
        <f t="shared" si="2"/>
        <v>3311050</v>
      </c>
      <c r="R21" s="5"/>
    </row>
    <row r="22" spans="1:18" ht="27" customHeight="1" x14ac:dyDescent="0.25">
      <c r="A22" s="25">
        <v>15</v>
      </c>
      <c r="B22" s="120">
        <v>44671</v>
      </c>
      <c r="C22" s="10" t="s">
        <v>2746</v>
      </c>
      <c r="D22" s="25" t="s">
        <v>2745</v>
      </c>
      <c r="E22" s="10" t="s">
        <v>2047</v>
      </c>
      <c r="F22" s="8"/>
      <c r="G22" s="8"/>
      <c r="H22" s="13">
        <f t="shared" si="4"/>
        <v>0</v>
      </c>
      <c r="I22" s="8"/>
      <c r="J22" s="13">
        <v>500000</v>
      </c>
      <c r="K22" s="28"/>
      <c r="L22" s="29"/>
      <c r="M22" s="13"/>
      <c r="N22" s="13"/>
      <c r="O22" s="53">
        <f t="shared" si="1"/>
        <v>500000</v>
      </c>
      <c r="P22" s="13">
        <v>0</v>
      </c>
      <c r="Q22" s="54">
        <f t="shared" si="2"/>
        <v>-500000</v>
      </c>
      <c r="R22" s="5"/>
    </row>
    <row r="23" spans="1:18" ht="28.5" customHeight="1" x14ac:dyDescent="0.25">
      <c r="A23" s="25">
        <v>16</v>
      </c>
      <c r="B23" s="120">
        <v>44673</v>
      </c>
      <c r="C23" s="10" t="s">
        <v>2747</v>
      </c>
      <c r="D23" s="25" t="s">
        <v>2748</v>
      </c>
      <c r="E23" s="10" t="s">
        <v>549</v>
      </c>
      <c r="F23" s="8"/>
      <c r="G23" s="8">
        <v>108</v>
      </c>
      <c r="H23" s="13">
        <f t="shared" si="4"/>
        <v>2737800</v>
      </c>
      <c r="I23" s="8"/>
      <c r="J23" s="13">
        <v>930000</v>
      </c>
      <c r="K23" s="28"/>
      <c r="L23" s="29"/>
      <c r="M23" s="13"/>
      <c r="N23" s="13"/>
      <c r="O23" s="53">
        <f t="shared" si="1"/>
        <v>3667800</v>
      </c>
      <c r="P23" s="13">
        <v>5000000</v>
      </c>
      <c r="Q23" s="54">
        <f t="shared" si="2"/>
        <v>1332200</v>
      </c>
      <c r="R23" s="5"/>
    </row>
    <row r="24" spans="1:18" ht="28.5" customHeight="1" x14ac:dyDescent="0.25">
      <c r="A24" s="25">
        <v>17</v>
      </c>
      <c r="B24" s="120">
        <v>44676</v>
      </c>
      <c r="C24" s="10" t="s">
        <v>592</v>
      </c>
      <c r="D24" s="25" t="s">
        <v>2749</v>
      </c>
      <c r="E24" s="10" t="s">
        <v>2750</v>
      </c>
      <c r="F24" s="8"/>
      <c r="G24" s="8">
        <v>72</v>
      </c>
      <c r="H24" s="13">
        <f t="shared" si="4"/>
        <v>1825200</v>
      </c>
      <c r="I24" s="8"/>
      <c r="J24" s="13">
        <v>930000</v>
      </c>
      <c r="K24" s="28"/>
      <c r="L24" s="29"/>
      <c r="M24" s="13"/>
      <c r="N24" s="13"/>
      <c r="O24" s="13">
        <f t="shared" si="1"/>
        <v>2755200</v>
      </c>
      <c r="P24" s="13">
        <v>4500000</v>
      </c>
      <c r="Q24" s="54">
        <f t="shared" si="2"/>
        <v>1744800</v>
      </c>
      <c r="R24" s="5"/>
    </row>
    <row r="25" spans="1:18" ht="28.5" customHeight="1" x14ac:dyDescent="0.25">
      <c r="A25" s="25">
        <v>18</v>
      </c>
      <c r="B25" s="120">
        <v>44676</v>
      </c>
      <c r="C25" s="10" t="s">
        <v>2751</v>
      </c>
      <c r="D25" s="25" t="s">
        <v>2752</v>
      </c>
      <c r="E25" s="10" t="s">
        <v>1043</v>
      </c>
      <c r="F25" s="8"/>
      <c r="G25" s="8">
        <v>115</v>
      </c>
      <c r="H25" s="13">
        <f t="shared" si="4"/>
        <v>2915250</v>
      </c>
      <c r="I25" s="8"/>
      <c r="J25" s="13">
        <v>930000</v>
      </c>
      <c r="K25" s="28"/>
      <c r="L25" s="29"/>
      <c r="M25" s="13"/>
      <c r="N25" s="13"/>
      <c r="O25" s="13">
        <f t="shared" si="1"/>
        <v>3845250</v>
      </c>
      <c r="P25" s="13">
        <v>5833333</v>
      </c>
      <c r="Q25" s="54">
        <f t="shared" si="2"/>
        <v>1988083</v>
      </c>
      <c r="R25" s="5"/>
    </row>
    <row r="26" spans="1:18" ht="28.5" customHeight="1" x14ac:dyDescent="0.25">
      <c r="A26" s="25">
        <v>19</v>
      </c>
      <c r="B26" s="120">
        <v>44678</v>
      </c>
      <c r="C26" s="10" t="s">
        <v>2753</v>
      </c>
      <c r="D26" s="25" t="s">
        <v>2754</v>
      </c>
      <c r="E26" s="10" t="s">
        <v>1043</v>
      </c>
      <c r="F26" s="8"/>
      <c r="G26" s="8">
        <v>115</v>
      </c>
      <c r="H26" s="13">
        <f t="shared" si="4"/>
        <v>2915250</v>
      </c>
      <c r="I26" s="8"/>
      <c r="J26" s="13">
        <v>930000</v>
      </c>
      <c r="K26" s="28"/>
      <c r="L26" s="29"/>
      <c r="M26" s="13"/>
      <c r="N26" s="13"/>
      <c r="O26" s="13">
        <f t="shared" si="1"/>
        <v>3845250</v>
      </c>
      <c r="P26" s="13">
        <v>5833333</v>
      </c>
      <c r="Q26" s="54">
        <f t="shared" si="2"/>
        <v>1988083</v>
      </c>
      <c r="R26" s="5"/>
    </row>
    <row r="27" spans="1:18" ht="28.5" customHeight="1" x14ac:dyDescent="0.25">
      <c r="A27" s="25">
        <v>20</v>
      </c>
      <c r="B27" s="120">
        <v>44678</v>
      </c>
      <c r="C27" s="10" t="s">
        <v>2755</v>
      </c>
      <c r="D27" s="25" t="s">
        <v>2756</v>
      </c>
      <c r="E27" s="10" t="s">
        <v>2045</v>
      </c>
      <c r="F27" s="8"/>
      <c r="G27" s="8">
        <v>320</v>
      </c>
      <c r="H27" s="13">
        <f t="shared" si="4"/>
        <v>8112000</v>
      </c>
      <c r="I27" s="8"/>
      <c r="J27" s="13">
        <v>3550000</v>
      </c>
      <c r="K27" s="28"/>
      <c r="L27" s="29"/>
      <c r="M27" s="13"/>
      <c r="N27" s="13"/>
      <c r="O27" s="13">
        <f t="shared" si="1"/>
        <v>11662000</v>
      </c>
      <c r="P27" s="13">
        <v>19768519</v>
      </c>
      <c r="Q27" s="54">
        <f t="shared" si="2"/>
        <v>8106519</v>
      </c>
      <c r="R27" s="5"/>
    </row>
    <row r="28" spans="1:18" ht="16.5" customHeight="1" x14ac:dyDescent="0.25">
      <c r="A28" s="25"/>
      <c r="B28" s="120"/>
      <c r="C28" s="75"/>
      <c r="D28" s="140"/>
      <c r="E28" s="76"/>
      <c r="F28" s="141"/>
      <c r="G28" s="8"/>
      <c r="H28" s="13"/>
      <c r="I28" s="8"/>
      <c r="J28" s="13"/>
      <c r="K28" s="28"/>
      <c r="L28" s="29"/>
      <c r="M28" s="13"/>
      <c r="N28" s="13"/>
      <c r="O28" s="53"/>
      <c r="P28" s="13"/>
      <c r="Q28" s="54"/>
      <c r="R28" s="5"/>
    </row>
    <row r="29" spans="1:18" ht="24" customHeight="1" x14ac:dyDescent="0.25">
      <c r="A29" s="8"/>
      <c r="B29" s="8"/>
      <c r="C29" s="196" t="s">
        <v>131</v>
      </c>
      <c r="D29" s="197"/>
      <c r="E29" s="197"/>
      <c r="F29" s="198"/>
      <c r="G29" s="8"/>
      <c r="H29" s="13"/>
      <c r="I29" s="8"/>
      <c r="J29" s="13"/>
      <c r="K29" s="28">
        <v>1200000</v>
      </c>
      <c r="L29" s="28"/>
      <c r="M29" s="18"/>
      <c r="N29" s="28"/>
      <c r="O29" s="53">
        <f t="shared" ref="O29:O36" si="5">H29+J29+K29+L29+M29+N29</f>
        <v>1200000</v>
      </c>
      <c r="P29" s="28"/>
      <c r="Q29" s="54"/>
    </row>
    <row r="30" spans="1:18" ht="24" customHeight="1" x14ac:dyDescent="0.25">
      <c r="A30" s="8"/>
      <c r="B30" s="8"/>
      <c r="C30" s="196" t="s">
        <v>2757</v>
      </c>
      <c r="D30" s="197"/>
      <c r="E30" s="197"/>
      <c r="F30" s="198"/>
      <c r="G30" s="30"/>
      <c r="H30" s="28"/>
      <c r="I30" s="30"/>
      <c r="J30" s="28"/>
      <c r="K30" s="28"/>
      <c r="L30" s="18">
        <v>310000</v>
      </c>
      <c r="M30" s="18"/>
      <c r="N30" s="28"/>
      <c r="O30" s="53">
        <f t="shared" si="5"/>
        <v>310000</v>
      </c>
      <c r="P30" s="28"/>
      <c r="Q30" s="54"/>
    </row>
    <row r="31" spans="1:18" ht="24" customHeight="1" x14ac:dyDescent="0.25">
      <c r="A31" s="8"/>
      <c r="B31" s="8"/>
      <c r="C31" s="196" t="s">
        <v>2758</v>
      </c>
      <c r="D31" s="197"/>
      <c r="E31" s="197"/>
      <c r="F31" s="198"/>
      <c r="G31" s="30"/>
      <c r="H31" s="28"/>
      <c r="I31" s="30"/>
      <c r="J31" s="28"/>
      <c r="K31" s="28"/>
      <c r="L31" s="28">
        <v>400000</v>
      </c>
      <c r="M31" s="28"/>
      <c r="N31" s="28"/>
      <c r="O31" s="53">
        <f t="shared" si="5"/>
        <v>400000</v>
      </c>
      <c r="P31" s="28"/>
      <c r="Q31" s="54"/>
    </row>
    <row r="32" spans="1:18" ht="24" customHeight="1" x14ac:dyDescent="0.25">
      <c r="A32" s="8"/>
      <c r="B32" s="8"/>
      <c r="C32" s="196" t="s">
        <v>2759</v>
      </c>
      <c r="D32" s="197"/>
      <c r="E32" s="197"/>
      <c r="F32" s="127"/>
      <c r="G32" s="30"/>
      <c r="H32" s="28"/>
      <c r="I32" s="30"/>
      <c r="J32" s="28"/>
      <c r="K32" s="28"/>
      <c r="L32" s="18">
        <v>270000</v>
      </c>
      <c r="M32" s="18"/>
      <c r="N32" s="28"/>
      <c r="O32" s="53">
        <f t="shared" si="5"/>
        <v>270000</v>
      </c>
      <c r="P32" s="28"/>
      <c r="Q32" s="54"/>
    </row>
    <row r="33" spans="1:17" ht="24" customHeight="1" x14ac:dyDescent="0.25">
      <c r="A33" s="8"/>
      <c r="B33" s="8"/>
      <c r="C33" s="196" t="s">
        <v>2760</v>
      </c>
      <c r="D33" s="197"/>
      <c r="E33" s="197"/>
      <c r="F33" s="198"/>
      <c r="G33" s="30"/>
      <c r="H33" s="28"/>
      <c r="I33" s="30"/>
      <c r="J33" s="28"/>
      <c r="K33" s="28"/>
      <c r="L33" s="18">
        <v>150000</v>
      </c>
      <c r="M33" s="18"/>
      <c r="N33" s="28"/>
      <c r="O33" s="53">
        <f t="shared" si="5"/>
        <v>150000</v>
      </c>
      <c r="P33" s="28"/>
      <c r="Q33" s="54"/>
    </row>
    <row r="34" spans="1:17" ht="24" customHeight="1" x14ac:dyDescent="0.25">
      <c r="A34" s="8"/>
      <c r="B34" s="8"/>
      <c r="C34" s="196" t="s">
        <v>2761</v>
      </c>
      <c r="D34" s="197"/>
      <c r="E34" s="197"/>
      <c r="F34" s="198"/>
      <c r="G34" s="30"/>
      <c r="H34" s="28"/>
      <c r="I34" s="30"/>
      <c r="J34" s="28"/>
      <c r="K34" s="28"/>
      <c r="L34" s="18">
        <v>60000</v>
      </c>
      <c r="M34" s="18"/>
      <c r="N34" s="28"/>
      <c r="O34" s="53">
        <f t="shared" si="5"/>
        <v>60000</v>
      </c>
      <c r="P34" s="28"/>
      <c r="Q34" s="54"/>
    </row>
    <row r="35" spans="1:17" ht="24" customHeight="1" x14ac:dyDescent="0.25">
      <c r="A35" s="8"/>
      <c r="B35" s="8"/>
      <c r="C35" s="196" t="s">
        <v>2766</v>
      </c>
      <c r="D35" s="197"/>
      <c r="E35" s="197"/>
      <c r="F35" s="198"/>
      <c r="G35" s="30"/>
      <c r="H35" s="28"/>
      <c r="I35" s="30"/>
      <c r="J35" s="28"/>
      <c r="K35" s="28"/>
      <c r="L35" s="18">
        <v>50000</v>
      </c>
      <c r="M35" s="18"/>
      <c r="N35" s="28"/>
      <c r="O35" s="53">
        <f t="shared" si="5"/>
        <v>50000</v>
      </c>
      <c r="P35" s="28"/>
      <c r="Q35" s="54"/>
    </row>
    <row r="36" spans="1:17" ht="24" customHeight="1" x14ac:dyDescent="0.25">
      <c r="A36" s="8"/>
      <c r="B36" s="8"/>
      <c r="C36" s="196" t="s">
        <v>2762</v>
      </c>
      <c r="D36" s="197"/>
      <c r="E36" s="197"/>
      <c r="F36" s="198"/>
      <c r="G36" s="30"/>
      <c r="H36" s="28"/>
      <c r="I36" s="30"/>
      <c r="J36" s="28"/>
      <c r="K36" s="28"/>
      <c r="L36" s="18">
        <v>850000</v>
      </c>
      <c r="M36" s="18"/>
      <c r="N36" s="28"/>
      <c r="O36" s="53">
        <f t="shared" si="5"/>
        <v>850000</v>
      </c>
      <c r="P36" s="28"/>
      <c r="Q36" s="54"/>
    </row>
    <row r="37" spans="1:17" ht="25.5" customHeight="1" x14ac:dyDescent="0.25">
      <c r="A37" s="8"/>
      <c r="B37" s="8"/>
      <c r="C37" s="191" t="s">
        <v>2763</v>
      </c>
      <c r="D37" s="192"/>
      <c r="E37" s="192"/>
      <c r="F37" s="195"/>
      <c r="G37" s="30"/>
      <c r="H37" s="28"/>
      <c r="I37" s="30"/>
      <c r="J37" s="28"/>
      <c r="K37" s="28">
        <v>9000000</v>
      </c>
      <c r="L37" s="18"/>
      <c r="M37" s="18"/>
      <c r="N37" s="28"/>
      <c r="O37" s="53">
        <f>H37+J37+K37+L37+M37+N37</f>
        <v>9000000</v>
      </c>
      <c r="P37" s="28"/>
      <c r="Q37" s="54"/>
    </row>
    <row r="38" spans="1:17" ht="15" customHeight="1" x14ac:dyDescent="0.25">
      <c r="A38" s="166" t="s">
        <v>19</v>
      </c>
      <c r="B38" s="167"/>
      <c r="C38" s="167"/>
      <c r="D38" s="167"/>
      <c r="E38" s="167"/>
      <c r="F38" s="168"/>
      <c r="G38" s="131">
        <f t="shared" ref="G38:N38" si="6">SUM(G7:G37)</f>
        <v>2225</v>
      </c>
      <c r="H38" s="4">
        <f t="shared" si="6"/>
        <v>55454670</v>
      </c>
      <c r="I38" s="4">
        <f t="shared" si="6"/>
        <v>0</v>
      </c>
      <c r="J38" s="4">
        <f t="shared" si="6"/>
        <v>22880000</v>
      </c>
      <c r="K38" s="4">
        <f t="shared" si="6"/>
        <v>10200000</v>
      </c>
      <c r="L38" s="4">
        <f t="shared" si="6"/>
        <v>2090000</v>
      </c>
      <c r="M38" s="4">
        <f t="shared" si="6"/>
        <v>0</v>
      </c>
      <c r="N38" s="4">
        <f t="shared" si="6"/>
        <v>0</v>
      </c>
      <c r="O38" s="4">
        <f>SUM(O7:O37)</f>
        <v>90624670</v>
      </c>
      <c r="P38" s="4">
        <f>SUM(P8:P37)</f>
        <v>123694086</v>
      </c>
      <c r="Q38" s="122">
        <f>P38-O38</f>
        <v>33069416</v>
      </c>
    </row>
    <row r="39" spans="1:17" x14ac:dyDescent="0.25">
      <c r="O39" s="20"/>
      <c r="P39" s="5" t="s">
        <v>1796</v>
      </c>
      <c r="Q39" s="26"/>
    </row>
    <row r="40" spans="1:17" x14ac:dyDescent="0.25">
      <c r="P40" s="21" t="s">
        <v>20</v>
      </c>
      <c r="Q40" s="26">
        <f>'03.2022'!Q51+'04.2022'!Q38</f>
        <v>82789795</v>
      </c>
    </row>
    <row r="41" spans="1:17" x14ac:dyDescent="0.25">
      <c r="C41" s="6" t="s">
        <v>993</v>
      </c>
    </row>
    <row r="42" spans="1:17" x14ac:dyDescent="0.25">
      <c r="C42" s="205"/>
      <c r="D42" s="205"/>
      <c r="E42" s="205"/>
      <c r="F42" s="205"/>
      <c r="H42" s="109"/>
    </row>
    <row r="43" spans="1:17" x14ac:dyDescent="0.25">
      <c r="C43" s="206"/>
      <c r="D43" s="206"/>
      <c r="E43" s="206"/>
      <c r="F43" s="206"/>
      <c r="H43" s="109"/>
    </row>
    <row r="44" spans="1:17" x14ac:dyDescent="0.25">
      <c r="B44" s="6"/>
      <c r="C44" s="110"/>
      <c r="D44" s="110"/>
      <c r="E44" s="110"/>
      <c r="F44" s="110"/>
      <c r="G44" s="133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G47" s="133"/>
      <c r="H47" s="109"/>
      <c r="J47" s="6"/>
      <c r="K47" s="6"/>
      <c r="L47" s="6"/>
      <c r="M47" s="6"/>
      <c r="N47" s="6"/>
      <c r="O47" s="6"/>
      <c r="P47" s="6"/>
      <c r="Q47" s="6"/>
    </row>
    <row r="48" spans="1:17" x14ac:dyDescent="0.2">
      <c r="C48" s="107"/>
      <c r="D48" s="110"/>
      <c r="E48" s="110"/>
      <c r="F48" s="110"/>
      <c r="H48" s="109"/>
    </row>
    <row r="49" spans="3:6" x14ac:dyDescent="0.25">
      <c r="C49" s="205"/>
      <c r="D49" s="205"/>
      <c r="E49" s="205"/>
      <c r="F49" s="205"/>
    </row>
  </sheetData>
  <mergeCells count="29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37:F37"/>
    <mergeCell ref="O5:O6"/>
    <mergeCell ref="P5:P6"/>
    <mergeCell ref="Q5:Q6"/>
    <mergeCell ref="C29:F29"/>
    <mergeCell ref="C30:F30"/>
    <mergeCell ref="C31:F31"/>
    <mergeCell ref="C32:E32"/>
    <mergeCell ref="C33:F33"/>
    <mergeCell ref="C34:F34"/>
    <mergeCell ref="C35:F35"/>
    <mergeCell ref="C36:F36"/>
    <mergeCell ref="C49:F49"/>
    <mergeCell ref="A38:F38"/>
    <mergeCell ref="C42:F42"/>
    <mergeCell ref="C43:F43"/>
    <mergeCell ref="C45:F45"/>
    <mergeCell ref="C46:F46"/>
    <mergeCell ref="C47:F4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A7B4-28DE-4390-80CB-1E5BF8CEA65B}">
  <dimension ref="A1:R46"/>
  <sheetViews>
    <sheetView topLeftCell="A23" workbookViewId="0">
      <selection activeCell="O25" sqref="O2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2767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44684</v>
      </c>
      <c r="C8" s="10" t="s">
        <v>2768</v>
      </c>
      <c r="D8" s="25" t="s">
        <v>2785</v>
      </c>
      <c r="E8" s="10" t="s">
        <v>2806</v>
      </c>
      <c r="F8" s="8"/>
      <c r="G8" s="8">
        <v>44</v>
      </c>
      <c r="H8" s="13">
        <f>G8*25530</f>
        <v>1123320</v>
      </c>
      <c r="I8" s="8"/>
      <c r="J8" s="13">
        <v>680000</v>
      </c>
      <c r="K8" s="28"/>
      <c r="L8" s="29"/>
      <c r="M8" s="13"/>
      <c r="N8" s="13"/>
      <c r="O8" s="53">
        <f>H8+J8+K8+L8+M8+N8</f>
        <v>1803320</v>
      </c>
      <c r="P8" s="13">
        <v>3028519</v>
      </c>
      <c r="Q8" s="54">
        <f>P8-O8</f>
        <v>1225199</v>
      </c>
      <c r="R8" s="5"/>
    </row>
    <row r="9" spans="1:18" ht="17.25" customHeight="1" x14ac:dyDescent="0.25">
      <c r="A9" s="25">
        <v>2</v>
      </c>
      <c r="B9" s="120">
        <v>44685</v>
      </c>
      <c r="C9" s="10" t="s">
        <v>2769</v>
      </c>
      <c r="D9" s="129" t="s">
        <v>2786</v>
      </c>
      <c r="E9" s="9" t="s">
        <v>112</v>
      </c>
      <c r="F9" s="117"/>
      <c r="G9" s="6">
        <v>233</v>
      </c>
      <c r="H9" s="13">
        <f t="shared" ref="H9:H12" si="0">G9*25530</f>
        <v>5948490</v>
      </c>
      <c r="I9" s="117"/>
      <c r="J9" s="119">
        <v>2470000</v>
      </c>
      <c r="K9" s="28"/>
      <c r="L9" s="29"/>
      <c r="M9" s="13"/>
      <c r="N9" s="13"/>
      <c r="O9" s="53">
        <f t="shared" ref="O9:O21" si="1">H9+J9+K9+L9+M9+N9</f>
        <v>8418490</v>
      </c>
      <c r="P9" s="13">
        <v>14212963</v>
      </c>
      <c r="Q9" s="54">
        <f t="shared" ref="Q9:Q29" si="2">P9-O9</f>
        <v>5794473</v>
      </c>
      <c r="R9" s="5"/>
    </row>
    <row r="10" spans="1:18" ht="24.75" customHeight="1" x14ac:dyDescent="0.25">
      <c r="A10" s="25">
        <v>3</v>
      </c>
      <c r="B10" s="120">
        <v>44686</v>
      </c>
      <c r="C10" s="10" t="s">
        <v>635</v>
      </c>
      <c r="D10" s="25" t="s">
        <v>2787</v>
      </c>
      <c r="E10" s="10" t="s">
        <v>2661</v>
      </c>
      <c r="F10" s="8"/>
      <c r="G10" s="8">
        <v>101</v>
      </c>
      <c r="H10" s="13">
        <f t="shared" si="0"/>
        <v>2578530</v>
      </c>
      <c r="I10" s="8"/>
      <c r="J10" s="13">
        <v>930000</v>
      </c>
      <c r="K10" s="28"/>
      <c r="L10" s="29"/>
      <c r="M10" s="13"/>
      <c r="N10" s="13"/>
      <c r="O10" s="53">
        <f>H10+J10+K10+L10+M10+N10</f>
        <v>3508530</v>
      </c>
      <c r="P10" s="13">
        <v>5100000</v>
      </c>
      <c r="Q10" s="54">
        <f t="shared" si="2"/>
        <v>1591470</v>
      </c>
      <c r="R10" s="5"/>
    </row>
    <row r="11" spans="1:18" ht="27.75" customHeight="1" x14ac:dyDescent="0.25">
      <c r="A11" s="25">
        <v>4</v>
      </c>
      <c r="B11" s="120">
        <v>44688</v>
      </c>
      <c r="C11" s="10" t="s">
        <v>2770</v>
      </c>
      <c r="D11" s="25" t="s">
        <v>2788</v>
      </c>
      <c r="E11" s="10" t="s">
        <v>2807</v>
      </c>
      <c r="F11" s="8"/>
      <c r="G11" s="8">
        <v>78</v>
      </c>
      <c r="H11" s="13">
        <f t="shared" si="0"/>
        <v>1991340</v>
      </c>
      <c r="I11" s="8"/>
      <c r="J11" s="13">
        <v>1130000</v>
      </c>
      <c r="K11" s="28"/>
      <c r="L11" s="29"/>
      <c r="M11" s="13"/>
      <c r="N11" s="13"/>
      <c r="O11" s="53">
        <f t="shared" si="1"/>
        <v>3121340</v>
      </c>
      <c r="P11" s="13">
        <v>4600000</v>
      </c>
      <c r="Q11" s="54">
        <f t="shared" si="2"/>
        <v>1478660</v>
      </c>
      <c r="R11" s="5"/>
    </row>
    <row r="12" spans="1:18" ht="27.75" customHeight="1" x14ac:dyDescent="0.25">
      <c r="A12" s="25">
        <v>5</v>
      </c>
      <c r="B12" s="120">
        <v>44690</v>
      </c>
      <c r="C12" s="10" t="s">
        <v>2771</v>
      </c>
      <c r="D12" s="25" t="s">
        <v>2789</v>
      </c>
      <c r="E12" s="10" t="s">
        <v>2808</v>
      </c>
      <c r="F12" s="8"/>
      <c r="G12" s="8">
        <v>59</v>
      </c>
      <c r="H12" s="13">
        <f t="shared" si="0"/>
        <v>1506270</v>
      </c>
      <c r="I12" s="8"/>
      <c r="J12" s="13">
        <v>680000</v>
      </c>
      <c r="K12" s="28"/>
      <c r="L12" s="29"/>
      <c r="M12" s="13"/>
      <c r="N12" s="13"/>
      <c r="O12" s="53">
        <f t="shared" si="1"/>
        <v>2186270</v>
      </c>
      <c r="P12" s="13">
        <v>2830000</v>
      </c>
      <c r="Q12" s="54">
        <f t="shared" si="2"/>
        <v>643730</v>
      </c>
      <c r="R12" s="5"/>
    </row>
    <row r="13" spans="1:18" ht="27.75" customHeight="1" x14ac:dyDescent="0.25">
      <c r="A13" s="25">
        <v>6</v>
      </c>
      <c r="B13" s="120">
        <v>44690</v>
      </c>
      <c r="C13" s="10" t="s">
        <v>639</v>
      </c>
      <c r="D13" s="25" t="s">
        <v>2790</v>
      </c>
      <c r="E13" s="10" t="s">
        <v>2809</v>
      </c>
      <c r="F13" s="8"/>
      <c r="G13" s="8">
        <v>128</v>
      </c>
      <c r="H13" s="13">
        <f>G13*26650</f>
        <v>3411200</v>
      </c>
      <c r="I13" s="8"/>
      <c r="J13" s="13">
        <v>1130000</v>
      </c>
      <c r="K13" s="28"/>
      <c r="L13" s="29"/>
      <c r="M13" s="13"/>
      <c r="N13" s="13"/>
      <c r="O13" s="53">
        <f t="shared" si="1"/>
        <v>4541200</v>
      </c>
      <c r="P13" s="13">
        <v>6500000</v>
      </c>
      <c r="Q13" s="54">
        <f t="shared" si="2"/>
        <v>1958800</v>
      </c>
      <c r="R13" s="5"/>
    </row>
    <row r="14" spans="1:18" ht="27.75" customHeight="1" x14ac:dyDescent="0.25">
      <c r="A14" s="25">
        <v>7</v>
      </c>
      <c r="B14" s="120">
        <v>44691</v>
      </c>
      <c r="C14" s="10" t="s">
        <v>2772</v>
      </c>
      <c r="D14" s="25" t="s">
        <v>2791</v>
      </c>
      <c r="E14" s="10" t="s">
        <v>1043</v>
      </c>
      <c r="F14" s="8"/>
      <c r="G14" s="8">
        <v>115</v>
      </c>
      <c r="H14" s="13">
        <f t="shared" ref="H14:H19" si="3">G14*26650</f>
        <v>3064750</v>
      </c>
      <c r="I14" s="8"/>
      <c r="J14" s="13">
        <f>930000</f>
        <v>930000</v>
      </c>
      <c r="K14" s="28"/>
      <c r="L14" s="29"/>
      <c r="M14" s="13"/>
      <c r="N14" s="13"/>
      <c r="O14" s="53">
        <f>H14+J14+K14+L14+M14+N14</f>
        <v>3994750</v>
      </c>
      <c r="P14" s="13">
        <v>5462963</v>
      </c>
      <c r="Q14" s="54">
        <f t="shared" si="2"/>
        <v>1468213</v>
      </c>
      <c r="R14" s="5"/>
    </row>
    <row r="15" spans="1:18" ht="27.75" customHeight="1" x14ac:dyDescent="0.25">
      <c r="A15" s="25">
        <v>8</v>
      </c>
      <c r="B15" s="120">
        <v>44692</v>
      </c>
      <c r="C15" s="10" t="s">
        <v>2773</v>
      </c>
      <c r="D15" s="25" t="s">
        <v>2792</v>
      </c>
      <c r="E15" s="10" t="s">
        <v>112</v>
      </c>
      <c r="F15" s="8"/>
      <c r="G15" s="8">
        <v>233</v>
      </c>
      <c r="H15" s="13">
        <f t="shared" si="3"/>
        <v>6209450</v>
      </c>
      <c r="I15" s="8"/>
      <c r="J15" s="119">
        <v>2470000</v>
      </c>
      <c r="K15" s="28"/>
      <c r="L15" s="29"/>
      <c r="M15" s="13"/>
      <c r="N15" s="13"/>
      <c r="O15" s="53">
        <f t="shared" si="1"/>
        <v>8679450</v>
      </c>
      <c r="P15" s="13">
        <v>14212963</v>
      </c>
      <c r="Q15" s="54">
        <f t="shared" si="2"/>
        <v>5533513</v>
      </c>
      <c r="R15" s="5"/>
    </row>
    <row r="16" spans="1:18" ht="27.75" customHeight="1" x14ac:dyDescent="0.25">
      <c r="A16" s="25">
        <v>9</v>
      </c>
      <c r="B16" s="120">
        <v>44693</v>
      </c>
      <c r="C16" s="10" t="s">
        <v>2061</v>
      </c>
      <c r="D16" s="25" t="s">
        <v>2793</v>
      </c>
      <c r="E16" s="10" t="s">
        <v>2045</v>
      </c>
      <c r="F16" s="8"/>
      <c r="G16" s="8">
        <v>320</v>
      </c>
      <c r="H16" s="13">
        <f t="shared" si="3"/>
        <v>8528000</v>
      </c>
      <c r="I16" s="8"/>
      <c r="J16" s="13">
        <v>3550000</v>
      </c>
      <c r="K16" s="28"/>
      <c r="L16" s="29"/>
      <c r="M16" s="13"/>
      <c r="N16" s="13"/>
      <c r="O16" s="53">
        <f t="shared" si="1"/>
        <v>12078000</v>
      </c>
      <c r="P16" s="13">
        <v>20092593</v>
      </c>
      <c r="Q16" s="54">
        <f t="shared" si="2"/>
        <v>8014593</v>
      </c>
      <c r="R16" s="5"/>
    </row>
    <row r="17" spans="1:18" ht="27.75" customHeight="1" x14ac:dyDescent="0.25">
      <c r="A17" s="25">
        <v>10</v>
      </c>
      <c r="B17" s="120">
        <v>44698</v>
      </c>
      <c r="C17" s="10" t="s">
        <v>2774</v>
      </c>
      <c r="D17" s="25" t="s">
        <v>2794</v>
      </c>
      <c r="E17" s="10" t="s">
        <v>1043</v>
      </c>
      <c r="F17" s="8"/>
      <c r="G17" s="8">
        <v>107</v>
      </c>
      <c r="H17" s="13">
        <f t="shared" si="3"/>
        <v>2851550</v>
      </c>
      <c r="I17" s="8"/>
      <c r="J17" s="13">
        <v>930000</v>
      </c>
      <c r="K17" s="28"/>
      <c r="L17" s="29"/>
      <c r="M17" s="13"/>
      <c r="N17" s="13"/>
      <c r="O17" s="53">
        <f t="shared" si="1"/>
        <v>3781550</v>
      </c>
      <c r="P17" s="13">
        <v>5574074</v>
      </c>
      <c r="Q17" s="54">
        <f t="shared" si="2"/>
        <v>1792524</v>
      </c>
      <c r="R17" s="5"/>
    </row>
    <row r="18" spans="1:18" ht="22.5" customHeight="1" x14ac:dyDescent="0.25">
      <c r="A18" s="25">
        <v>11</v>
      </c>
      <c r="B18" s="120">
        <v>44698</v>
      </c>
      <c r="C18" s="10" t="s">
        <v>2775</v>
      </c>
      <c r="D18" s="25" t="s">
        <v>2795</v>
      </c>
      <c r="E18" s="10" t="s">
        <v>121</v>
      </c>
      <c r="F18" s="8"/>
      <c r="G18" s="8">
        <v>228</v>
      </c>
      <c r="H18" s="13">
        <f t="shared" si="3"/>
        <v>6076200</v>
      </c>
      <c r="I18" s="8"/>
      <c r="J18" s="13">
        <v>2470000</v>
      </c>
      <c r="K18" s="28"/>
      <c r="L18" s="29"/>
      <c r="M18" s="13"/>
      <c r="N18" s="13"/>
      <c r="O18" s="53">
        <f t="shared" si="1"/>
        <v>8546200</v>
      </c>
      <c r="P18" s="13">
        <v>14490741</v>
      </c>
      <c r="Q18" s="54">
        <f t="shared" si="2"/>
        <v>5944541</v>
      </c>
      <c r="R18" s="5"/>
    </row>
    <row r="19" spans="1:18" ht="22.5" customHeight="1" x14ac:dyDescent="0.25">
      <c r="A19" s="25">
        <v>12</v>
      </c>
      <c r="B19" s="120">
        <v>44700</v>
      </c>
      <c r="C19" s="10" t="s">
        <v>2776</v>
      </c>
      <c r="D19" s="25" t="s">
        <v>2796</v>
      </c>
      <c r="E19" s="10" t="s">
        <v>112</v>
      </c>
      <c r="F19" s="8"/>
      <c r="G19" s="8">
        <v>233</v>
      </c>
      <c r="H19" s="13">
        <f t="shared" si="3"/>
        <v>6209450</v>
      </c>
      <c r="I19" s="8"/>
      <c r="J19" s="13">
        <v>2470000</v>
      </c>
      <c r="K19" s="28"/>
      <c r="L19" s="29"/>
      <c r="M19" s="13"/>
      <c r="N19" s="13"/>
      <c r="O19" s="53">
        <f t="shared" si="1"/>
        <v>8679450</v>
      </c>
      <c r="P19" s="13">
        <v>14490741</v>
      </c>
      <c r="Q19" s="54">
        <f t="shared" si="2"/>
        <v>5811291</v>
      </c>
      <c r="R19" s="5"/>
    </row>
    <row r="20" spans="1:18" ht="22.5" customHeight="1" x14ac:dyDescent="0.25">
      <c r="A20" s="25">
        <v>13</v>
      </c>
      <c r="B20" s="120">
        <v>44700</v>
      </c>
      <c r="C20" s="10" t="s">
        <v>2064</v>
      </c>
      <c r="D20" s="25" t="s">
        <v>2797</v>
      </c>
      <c r="E20" s="10" t="s">
        <v>736</v>
      </c>
      <c r="F20" s="8"/>
      <c r="G20" s="8">
        <v>82</v>
      </c>
      <c r="H20" s="13">
        <f>G20*25550</f>
        <v>2095100</v>
      </c>
      <c r="I20" s="8"/>
      <c r="J20" s="13">
        <v>930000</v>
      </c>
      <c r="K20" s="28"/>
      <c r="L20" s="29"/>
      <c r="M20" s="13"/>
      <c r="N20" s="13"/>
      <c r="O20" s="53">
        <f t="shared" si="1"/>
        <v>3025100</v>
      </c>
      <c r="P20" s="13">
        <v>4300000</v>
      </c>
      <c r="Q20" s="54">
        <f t="shared" si="2"/>
        <v>1274900</v>
      </c>
      <c r="R20" s="5"/>
    </row>
    <row r="21" spans="1:18" ht="22.5" customHeight="1" x14ac:dyDescent="0.25">
      <c r="A21" s="25">
        <v>14</v>
      </c>
      <c r="B21" s="120">
        <v>44701</v>
      </c>
      <c r="C21" s="10" t="s">
        <v>2777</v>
      </c>
      <c r="D21" s="25" t="s">
        <v>2791</v>
      </c>
      <c r="E21" s="10" t="s">
        <v>1043</v>
      </c>
      <c r="F21" s="8"/>
      <c r="G21" s="8">
        <v>155</v>
      </c>
      <c r="H21" s="13">
        <f t="shared" ref="H21" si="4">G21*25550</f>
        <v>3960250</v>
      </c>
      <c r="I21" s="8"/>
      <c r="J21" s="13">
        <f>930000+300000</f>
        <v>1230000</v>
      </c>
      <c r="K21" s="28"/>
      <c r="L21" s="29"/>
      <c r="M21" s="13"/>
      <c r="N21" s="13"/>
      <c r="O21" s="53">
        <f t="shared" si="1"/>
        <v>5190250</v>
      </c>
      <c r="P21" s="13">
        <v>9101852</v>
      </c>
      <c r="Q21" s="54">
        <f t="shared" si="2"/>
        <v>3911602</v>
      </c>
      <c r="R21" s="5"/>
    </row>
    <row r="22" spans="1:18" ht="27" customHeight="1" x14ac:dyDescent="0.25">
      <c r="A22" s="25">
        <v>15</v>
      </c>
      <c r="B22" s="120">
        <v>44704</v>
      </c>
      <c r="C22" s="10" t="s">
        <v>2778</v>
      </c>
      <c r="D22" s="25" t="s">
        <v>2798</v>
      </c>
      <c r="E22" s="10" t="s">
        <v>2810</v>
      </c>
      <c r="F22" s="8"/>
      <c r="G22" s="8">
        <v>74</v>
      </c>
      <c r="H22" s="13">
        <f>G22*26390</f>
        <v>1952860</v>
      </c>
      <c r="I22" s="8"/>
      <c r="J22" s="13">
        <v>680000</v>
      </c>
      <c r="K22" s="28"/>
      <c r="L22" s="29"/>
      <c r="M22" s="13"/>
      <c r="N22" s="13"/>
      <c r="O22" s="53">
        <f t="shared" ref="O22:O29" si="5">H22+J22+K22+L22+M22+N22</f>
        <v>2632860</v>
      </c>
      <c r="P22" s="13">
        <v>4454445</v>
      </c>
      <c r="Q22" s="54">
        <f t="shared" si="2"/>
        <v>1821585</v>
      </c>
      <c r="R22" s="5"/>
    </row>
    <row r="23" spans="1:18" ht="28.5" customHeight="1" x14ac:dyDescent="0.25">
      <c r="A23" s="25">
        <v>16</v>
      </c>
      <c r="B23" s="120">
        <v>44704</v>
      </c>
      <c r="C23" s="10" t="s">
        <v>2779</v>
      </c>
      <c r="D23" s="25" t="s">
        <v>2799</v>
      </c>
      <c r="E23" s="10" t="s">
        <v>2253</v>
      </c>
      <c r="F23" s="8"/>
      <c r="G23" s="8">
        <v>38</v>
      </c>
      <c r="H23" s="13">
        <f t="shared" ref="H23:H28" si="6">G23*25550</f>
        <v>970900</v>
      </c>
      <c r="I23" s="8"/>
      <c r="J23" s="13">
        <v>300000</v>
      </c>
      <c r="K23" s="28"/>
      <c r="L23" s="29"/>
      <c r="M23" s="13"/>
      <c r="N23" s="13"/>
      <c r="O23" s="53">
        <f t="shared" si="5"/>
        <v>1270900</v>
      </c>
      <c r="P23" s="13">
        <v>2100000</v>
      </c>
      <c r="Q23" s="54">
        <f t="shared" si="2"/>
        <v>829100</v>
      </c>
      <c r="R23" s="5"/>
    </row>
    <row r="24" spans="1:18" ht="28.5" customHeight="1" x14ac:dyDescent="0.25">
      <c r="A24" s="25">
        <v>17</v>
      </c>
      <c r="B24" s="120">
        <v>44706</v>
      </c>
      <c r="C24" s="10" t="s">
        <v>2780</v>
      </c>
      <c r="D24" s="25" t="s">
        <v>2800</v>
      </c>
      <c r="E24" s="10" t="s">
        <v>2811</v>
      </c>
      <c r="F24" s="8"/>
      <c r="G24" s="8">
        <v>124</v>
      </c>
      <c r="H24" s="13">
        <f t="shared" si="6"/>
        <v>3168200</v>
      </c>
      <c r="I24" s="8"/>
      <c r="J24" s="57">
        <v>1230000</v>
      </c>
      <c r="K24" s="28"/>
      <c r="L24" s="29"/>
      <c r="M24" s="13"/>
      <c r="N24" s="13"/>
      <c r="O24" s="13">
        <f t="shared" si="5"/>
        <v>4398200</v>
      </c>
      <c r="P24" s="13">
        <v>6200000</v>
      </c>
      <c r="Q24" s="54">
        <f t="shared" si="2"/>
        <v>1801800</v>
      </c>
      <c r="R24" s="5"/>
    </row>
    <row r="25" spans="1:18" ht="28.5" customHeight="1" x14ac:dyDescent="0.25">
      <c r="A25" s="25">
        <v>18</v>
      </c>
      <c r="B25" s="120">
        <v>44706</v>
      </c>
      <c r="C25" s="10" t="s">
        <v>2781</v>
      </c>
      <c r="D25" s="25" t="s">
        <v>2801</v>
      </c>
      <c r="E25" s="10" t="s">
        <v>736</v>
      </c>
      <c r="F25" s="8"/>
      <c r="G25" s="8">
        <v>82</v>
      </c>
      <c r="H25" s="13">
        <f t="shared" si="6"/>
        <v>2095100</v>
      </c>
      <c r="I25" s="8"/>
      <c r="J25" s="13">
        <v>930000</v>
      </c>
      <c r="K25" s="28"/>
      <c r="L25" s="29"/>
      <c r="M25" s="13"/>
      <c r="N25" s="13"/>
      <c r="O25" s="13">
        <f t="shared" si="5"/>
        <v>3025100</v>
      </c>
      <c r="P25" s="13">
        <v>4300000</v>
      </c>
      <c r="Q25" s="54">
        <f t="shared" si="2"/>
        <v>1274900</v>
      </c>
      <c r="R25" s="5"/>
    </row>
    <row r="26" spans="1:18" ht="28.5" customHeight="1" x14ac:dyDescent="0.25">
      <c r="A26" s="25">
        <v>19</v>
      </c>
      <c r="B26" s="120">
        <v>44707</v>
      </c>
      <c r="C26" s="10" t="s">
        <v>2782</v>
      </c>
      <c r="D26" s="25" t="s">
        <v>2802</v>
      </c>
      <c r="E26" s="10" t="s">
        <v>2812</v>
      </c>
      <c r="F26" s="8"/>
      <c r="G26" s="8">
        <v>219</v>
      </c>
      <c r="H26" s="13">
        <f t="shared" si="6"/>
        <v>5595450</v>
      </c>
      <c r="I26" s="8"/>
      <c r="J26" s="13">
        <v>1610000</v>
      </c>
      <c r="K26" s="28"/>
      <c r="L26" s="29"/>
      <c r="M26" s="13"/>
      <c r="N26" s="13"/>
      <c r="O26" s="13">
        <f t="shared" si="5"/>
        <v>7205450</v>
      </c>
      <c r="P26" s="13">
        <v>9500000</v>
      </c>
      <c r="Q26" s="54">
        <f t="shared" si="2"/>
        <v>2294550</v>
      </c>
      <c r="R26" s="5"/>
    </row>
    <row r="27" spans="1:18" ht="28.5" customHeight="1" x14ac:dyDescent="0.25">
      <c r="A27" s="25">
        <v>20</v>
      </c>
      <c r="B27" s="120">
        <v>44708</v>
      </c>
      <c r="C27" s="10" t="s">
        <v>647</v>
      </c>
      <c r="D27" s="25" t="s">
        <v>2803</v>
      </c>
      <c r="E27" s="10" t="s">
        <v>2813</v>
      </c>
      <c r="F27" s="8"/>
      <c r="G27" s="8">
        <v>99</v>
      </c>
      <c r="H27" s="13">
        <f t="shared" si="6"/>
        <v>2529450</v>
      </c>
      <c r="I27" s="8"/>
      <c r="J27" s="13">
        <f>930000+300000</f>
        <v>1230000</v>
      </c>
      <c r="K27" s="28"/>
      <c r="L27" s="29"/>
      <c r="M27" s="13"/>
      <c r="N27" s="13"/>
      <c r="O27" s="13">
        <f t="shared" si="5"/>
        <v>3759450</v>
      </c>
      <c r="P27" s="13">
        <v>5100000</v>
      </c>
      <c r="Q27" s="54">
        <f t="shared" si="2"/>
        <v>1340550</v>
      </c>
      <c r="R27" s="5"/>
    </row>
    <row r="28" spans="1:18" ht="28.5" customHeight="1" x14ac:dyDescent="0.25">
      <c r="A28" s="25">
        <v>21</v>
      </c>
      <c r="B28" s="120">
        <v>44711</v>
      </c>
      <c r="C28" s="10" t="s">
        <v>2783</v>
      </c>
      <c r="D28" s="25" t="s">
        <v>2804</v>
      </c>
      <c r="E28" s="10" t="s">
        <v>1043</v>
      </c>
      <c r="F28" s="8"/>
      <c r="G28" s="8">
        <v>109</v>
      </c>
      <c r="H28" s="13">
        <f t="shared" si="6"/>
        <v>2784950</v>
      </c>
      <c r="I28" s="8"/>
      <c r="J28" s="57">
        <v>1230000</v>
      </c>
      <c r="K28" s="28"/>
      <c r="L28" s="29"/>
      <c r="M28" s="13"/>
      <c r="N28" s="13"/>
      <c r="O28" s="13">
        <f t="shared" si="5"/>
        <v>4014950</v>
      </c>
      <c r="P28" s="13">
        <v>5851852</v>
      </c>
      <c r="Q28" s="54">
        <f t="shared" si="2"/>
        <v>1836902</v>
      </c>
      <c r="R28" s="5"/>
    </row>
    <row r="29" spans="1:18" ht="28.5" customHeight="1" x14ac:dyDescent="0.25">
      <c r="A29" s="25">
        <v>22</v>
      </c>
      <c r="B29" s="120">
        <v>44711</v>
      </c>
      <c r="C29" s="10" t="s">
        <v>2784</v>
      </c>
      <c r="D29" s="25" t="s">
        <v>2805</v>
      </c>
      <c r="E29" s="10" t="s">
        <v>1043</v>
      </c>
      <c r="F29" s="8"/>
      <c r="G29" s="8">
        <v>109</v>
      </c>
      <c r="H29" s="13">
        <f>G29*26390</f>
        <v>2876510</v>
      </c>
      <c r="I29" s="8"/>
      <c r="J29" s="13">
        <f>930000-250000</f>
        <v>680000</v>
      </c>
      <c r="K29" s="28"/>
      <c r="L29" s="29"/>
      <c r="M29" s="13"/>
      <c r="N29" s="13"/>
      <c r="O29" s="13">
        <f t="shared" si="5"/>
        <v>3556510</v>
      </c>
      <c r="P29" s="13">
        <v>5574074</v>
      </c>
      <c r="Q29" s="54">
        <f t="shared" si="2"/>
        <v>2017564</v>
      </c>
      <c r="R29" s="5"/>
    </row>
    <row r="30" spans="1:18" ht="24" customHeight="1" x14ac:dyDescent="0.25">
      <c r="A30" s="8"/>
      <c r="B30" s="8"/>
      <c r="C30" s="196" t="s">
        <v>131</v>
      </c>
      <c r="D30" s="197"/>
      <c r="E30" s="197"/>
      <c r="F30" s="198"/>
      <c r="G30" s="8"/>
      <c r="H30" s="13"/>
      <c r="I30" s="8"/>
      <c r="J30" s="13"/>
      <c r="K30" s="28">
        <v>1200000</v>
      </c>
      <c r="L30" s="28"/>
      <c r="M30" s="18"/>
      <c r="N30" s="28"/>
      <c r="O30" s="53">
        <f t="shared" ref="O30:O33" si="7">H30+J30+K30+L30+M30+N30</f>
        <v>1200000</v>
      </c>
      <c r="P30" s="28"/>
      <c r="Q30" s="54"/>
    </row>
    <row r="31" spans="1:18" ht="24" customHeight="1" x14ac:dyDescent="0.25">
      <c r="A31" s="8"/>
      <c r="B31" s="8"/>
      <c r="C31" s="196" t="s">
        <v>2859</v>
      </c>
      <c r="D31" s="197"/>
      <c r="E31" s="197"/>
      <c r="F31" s="125"/>
      <c r="G31" s="8"/>
      <c r="H31" s="13"/>
      <c r="I31" s="8"/>
      <c r="J31" s="13"/>
      <c r="K31" s="28"/>
      <c r="L31" s="28">
        <v>654000</v>
      </c>
      <c r="M31" s="18"/>
      <c r="N31" s="28"/>
      <c r="O31" s="53">
        <f t="shared" si="7"/>
        <v>654000</v>
      </c>
      <c r="P31" s="28"/>
      <c r="Q31" s="54"/>
    </row>
    <row r="32" spans="1:18" ht="24" customHeight="1" x14ac:dyDescent="0.25">
      <c r="A32" s="8"/>
      <c r="B32" s="8"/>
      <c r="C32" s="196" t="s">
        <v>2814</v>
      </c>
      <c r="D32" s="197"/>
      <c r="E32" s="197"/>
      <c r="F32" s="198"/>
      <c r="G32" s="30"/>
      <c r="H32" s="28"/>
      <c r="I32" s="30"/>
      <c r="J32" s="28"/>
      <c r="K32" s="28"/>
      <c r="L32" s="18">
        <v>800000</v>
      </c>
      <c r="M32" s="18"/>
      <c r="N32" s="28"/>
      <c r="O32" s="53">
        <f t="shared" si="7"/>
        <v>800000</v>
      </c>
      <c r="P32" s="28"/>
      <c r="Q32" s="54"/>
    </row>
    <row r="33" spans="1:17" ht="24" customHeight="1" x14ac:dyDescent="0.25">
      <c r="A33" s="8"/>
      <c r="B33" s="8"/>
      <c r="C33" s="196" t="s">
        <v>2815</v>
      </c>
      <c r="D33" s="197"/>
      <c r="E33" s="197"/>
      <c r="F33" s="198"/>
      <c r="G33" s="30"/>
      <c r="H33" s="28"/>
      <c r="I33" s="30"/>
      <c r="J33" s="28"/>
      <c r="K33" s="28"/>
      <c r="L33" s="28">
        <v>450000</v>
      </c>
      <c r="M33" s="28"/>
      <c r="N33" s="28"/>
      <c r="O33" s="53">
        <f t="shared" si="7"/>
        <v>450000</v>
      </c>
      <c r="P33" s="28"/>
      <c r="Q33" s="54"/>
    </row>
    <row r="34" spans="1:17" ht="25.5" customHeight="1" x14ac:dyDescent="0.25">
      <c r="A34" s="8"/>
      <c r="B34" s="8"/>
      <c r="C34" s="191" t="s">
        <v>2763</v>
      </c>
      <c r="D34" s="192"/>
      <c r="E34" s="192"/>
      <c r="F34" s="195"/>
      <c r="G34" s="30"/>
      <c r="H34" s="28"/>
      <c r="I34" s="30"/>
      <c r="J34" s="28"/>
      <c r="K34" s="28">
        <v>9000000</v>
      </c>
      <c r="L34" s="18"/>
      <c r="M34" s="18"/>
      <c r="N34" s="28"/>
      <c r="O34" s="53">
        <f>H34+J34+K34+L34+M34+N34</f>
        <v>9000000</v>
      </c>
      <c r="P34" s="28"/>
      <c r="Q34" s="54"/>
    </row>
    <row r="35" spans="1:17" ht="15" customHeight="1" x14ac:dyDescent="0.25">
      <c r="A35" s="166" t="s">
        <v>19</v>
      </c>
      <c r="B35" s="167"/>
      <c r="C35" s="167"/>
      <c r="D35" s="167"/>
      <c r="E35" s="167"/>
      <c r="F35" s="168"/>
      <c r="G35" s="131">
        <f t="shared" ref="G35:O35" si="8">SUM(G7:G34)</f>
        <v>2970</v>
      </c>
      <c r="H35" s="4">
        <f t="shared" si="8"/>
        <v>77527320</v>
      </c>
      <c r="I35" s="4">
        <f t="shared" si="8"/>
        <v>0</v>
      </c>
      <c r="J35" s="4">
        <f>SUM(J7:J34)</f>
        <v>29890000</v>
      </c>
      <c r="K35" s="4">
        <f t="shared" si="8"/>
        <v>10200000</v>
      </c>
      <c r="L35" s="4">
        <f t="shared" si="8"/>
        <v>1904000</v>
      </c>
      <c r="M35" s="4">
        <f t="shared" si="8"/>
        <v>0</v>
      </c>
      <c r="N35" s="4">
        <f t="shared" si="8"/>
        <v>0</v>
      </c>
      <c r="O35" s="4">
        <f t="shared" si="8"/>
        <v>119521320</v>
      </c>
      <c r="P35" s="4">
        <f>SUM(P8:P34)</f>
        <v>167077780</v>
      </c>
      <c r="Q35" s="122">
        <f>P35-O35</f>
        <v>47556460</v>
      </c>
    </row>
    <row r="36" spans="1:17" x14ac:dyDescent="0.25">
      <c r="O36" s="20"/>
      <c r="P36" s="5" t="s">
        <v>1796</v>
      </c>
      <c r="Q36" s="26"/>
    </row>
    <row r="37" spans="1:17" x14ac:dyDescent="0.25">
      <c r="P37" s="21" t="s">
        <v>20</v>
      </c>
      <c r="Q37" s="26">
        <f>'04.2022'!Q40+'05.2022'!Q35</f>
        <v>130346255</v>
      </c>
    </row>
    <row r="38" spans="1:17" x14ac:dyDescent="0.25">
      <c r="C38" s="6" t="s">
        <v>993</v>
      </c>
    </row>
    <row r="39" spans="1:17" x14ac:dyDescent="0.25">
      <c r="C39" s="205"/>
      <c r="D39" s="205"/>
      <c r="E39" s="205"/>
      <c r="F39" s="205"/>
      <c r="H39" s="109"/>
    </row>
    <row r="40" spans="1:17" x14ac:dyDescent="0.25">
      <c r="C40" s="206"/>
      <c r="D40" s="206"/>
      <c r="E40" s="206"/>
      <c r="F40" s="206"/>
      <c r="H40" s="109"/>
    </row>
    <row r="41" spans="1:17" x14ac:dyDescent="0.25">
      <c r="B41" s="6"/>
      <c r="C41" s="110"/>
      <c r="D41" s="110"/>
      <c r="E41" s="110"/>
      <c r="F41" s="110"/>
      <c r="G41" s="133"/>
      <c r="H41" s="109"/>
    </row>
    <row r="42" spans="1:17" x14ac:dyDescent="0.25">
      <c r="B42" s="6"/>
      <c r="C42" s="206"/>
      <c r="D42" s="206"/>
      <c r="E42" s="206"/>
      <c r="F42" s="206"/>
      <c r="H42" s="109"/>
    </row>
    <row r="43" spans="1:17" x14ac:dyDescent="0.25">
      <c r="B43" s="6"/>
      <c r="C43" s="206"/>
      <c r="D43" s="206"/>
      <c r="E43" s="206"/>
      <c r="F43" s="206"/>
      <c r="H43" s="109"/>
    </row>
    <row r="44" spans="1:17" x14ac:dyDescent="0.25">
      <c r="B44" s="6"/>
      <c r="C44" s="206"/>
      <c r="D44" s="206"/>
      <c r="E44" s="206"/>
      <c r="F44" s="206"/>
      <c r="G44" s="133"/>
      <c r="H44" s="109"/>
      <c r="J44" s="6"/>
      <c r="K44" s="6"/>
      <c r="L44" s="6"/>
      <c r="M44" s="6"/>
      <c r="N44" s="6"/>
      <c r="O44" s="6"/>
      <c r="P44" s="6"/>
      <c r="Q44" s="6"/>
    </row>
    <row r="45" spans="1:17" x14ac:dyDescent="0.2">
      <c r="C45" s="107"/>
      <c r="D45" s="110"/>
      <c r="E45" s="110"/>
      <c r="F45" s="110"/>
      <c r="H45" s="109"/>
    </row>
    <row r="46" spans="1:17" x14ac:dyDescent="0.25">
      <c r="C46" s="205"/>
      <c r="D46" s="205"/>
      <c r="E46" s="205"/>
      <c r="F46" s="205"/>
    </row>
  </sheetData>
  <mergeCells count="25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34:F34"/>
    <mergeCell ref="O5:O6"/>
    <mergeCell ref="P5:P6"/>
    <mergeCell ref="Q5:Q6"/>
    <mergeCell ref="C30:F30"/>
    <mergeCell ref="C32:F32"/>
    <mergeCell ref="C33:F33"/>
    <mergeCell ref="C31:E31"/>
    <mergeCell ref="C46:F46"/>
    <mergeCell ref="A35:F35"/>
    <mergeCell ref="C39:F39"/>
    <mergeCell ref="C40:F40"/>
    <mergeCell ref="C42:F42"/>
    <mergeCell ref="C43:F43"/>
    <mergeCell ref="C44:F4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F1B7-B774-46E4-90D0-2C27F651E1ED}">
  <dimension ref="A1:R48"/>
  <sheetViews>
    <sheetView topLeftCell="A22" workbookViewId="0">
      <selection activeCell="J13" sqref="J1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2816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44712</v>
      </c>
      <c r="C8" s="10" t="s">
        <v>1345</v>
      </c>
      <c r="D8" s="25" t="s">
        <v>2832</v>
      </c>
      <c r="E8" s="10" t="s">
        <v>799</v>
      </c>
      <c r="F8" s="8"/>
      <c r="G8" s="8">
        <v>83</v>
      </c>
      <c r="H8" s="13">
        <f>G8*26390</f>
        <v>2190370</v>
      </c>
      <c r="I8" s="8"/>
      <c r="J8" s="13">
        <v>680000</v>
      </c>
      <c r="K8" s="28"/>
      <c r="L8" s="29"/>
      <c r="M8" s="13"/>
      <c r="N8" s="13"/>
      <c r="O8" s="53">
        <f>H8+J8+K8+L8+M8+N8</f>
        <v>2870370</v>
      </c>
      <c r="P8" s="13">
        <v>4400000</v>
      </c>
      <c r="Q8" s="54">
        <f>P8-O8</f>
        <v>1529630</v>
      </c>
      <c r="R8" s="5"/>
    </row>
    <row r="9" spans="1:18" ht="17.25" customHeight="1" x14ac:dyDescent="0.25">
      <c r="A9" s="25">
        <v>2</v>
      </c>
      <c r="B9" s="120">
        <v>44713</v>
      </c>
      <c r="C9" s="10" t="s">
        <v>2818</v>
      </c>
      <c r="D9" s="129" t="s">
        <v>2833</v>
      </c>
      <c r="E9" s="9" t="s">
        <v>33</v>
      </c>
      <c r="F9" s="117"/>
      <c r="G9" s="6">
        <v>124</v>
      </c>
      <c r="H9" s="13">
        <f>G9*26390</f>
        <v>3272360</v>
      </c>
      <c r="I9" s="117"/>
      <c r="J9" s="119">
        <v>1420000</v>
      </c>
      <c r="K9" s="28"/>
      <c r="L9" s="29"/>
      <c r="M9" s="13"/>
      <c r="N9" s="13"/>
      <c r="O9" s="53">
        <f t="shared" ref="O9:O21" si="0">H9+J9+K9+L9+M9+N9</f>
        <v>4692360</v>
      </c>
      <c r="P9" s="13">
        <v>0</v>
      </c>
      <c r="Q9" s="54">
        <f t="shared" ref="Q9:Q27" si="1">P9-O9</f>
        <v>-4692360</v>
      </c>
      <c r="R9" s="5"/>
    </row>
    <row r="10" spans="1:18" ht="24.75" customHeight="1" x14ac:dyDescent="0.25">
      <c r="A10" s="25">
        <v>3</v>
      </c>
      <c r="B10" s="120">
        <v>44714</v>
      </c>
      <c r="C10" s="10" t="s">
        <v>1347</v>
      </c>
      <c r="D10" s="25" t="s">
        <v>2834</v>
      </c>
      <c r="E10" s="10" t="s">
        <v>33</v>
      </c>
      <c r="F10" s="8"/>
      <c r="G10" s="8">
        <v>160</v>
      </c>
      <c r="H10" s="13">
        <f t="shared" ref="H10:H13" si="2">G10*26390</f>
        <v>4222400</v>
      </c>
      <c r="I10" s="8"/>
      <c r="J10" s="13">
        <v>1720000</v>
      </c>
      <c r="K10" s="28"/>
      <c r="L10" s="29"/>
      <c r="M10" s="13"/>
      <c r="N10" s="13"/>
      <c r="O10" s="53">
        <f>H10+J10+K10+L10+M10+N10</f>
        <v>5942400</v>
      </c>
      <c r="P10" s="13">
        <v>9346296</v>
      </c>
      <c r="Q10" s="54">
        <f t="shared" si="1"/>
        <v>3403896</v>
      </c>
      <c r="R10" s="5"/>
    </row>
    <row r="11" spans="1:18" ht="27.75" customHeight="1" x14ac:dyDescent="0.25">
      <c r="A11" s="25">
        <v>4</v>
      </c>
      <c r="B11" s="120">
        <v>44716</v>
      </c>
      <c r="C11" s="10" t="s">
        <v>1348</v>
      </c>
      <c r="D11" s="25" t="s">
        <v>2835</v>
      </c>
      <c r="E11" s="10" t="s">
        <v>799</v>
      </c>
      <c r="F11" s="8"/>
      <c r="G11" s="8">
        <v>78</v>
      </c>
      <c r="H11" s="13">
        <f t="shared" si="2"/>
        <v>2058420</v>
      </c>
      <c r="I11" s="8"/>
      <c r="J11" s="13">
        <v>680000</v>
      </c>
      <c r="K11" s="28"/>
      <c r="L11" s="29"/>
      <c r="M11" s="13"/>
      <c r="N11" s="13"/>
      <c r="O11" s="53">
        <f t="shared" si="0"/>
        <v>2738420</v>
      </c>
      <c r="P11" s="13">
        <v>3700000</v>
      </c>
      <c r="Q11" s="54">
        <f t="shared" si="1"/>
        <v>961580</v>
      </c>
      <c r="R11" s="5"/>
    </row>
    <row r="12" spans="1:18" ht="27.75" customHeight="1" x14ac:dyDescent="0.25">
      <c r="A12" s="25">
        <v>5</v>
      </c>
      <c r="B12" s="120">
        <v>44719</v>
      </c>
      <c r="C12" s="10" t="s">
        <v>2819</v>
      </c>
      <c r="D12" s="25" t="s">
        <v>2836</v>
      </c>
      <c r="E12" s="10" t="s">
        <v>112</v>
      </c>
      <c r="F12" s="8"/>
      <c r="G12" s="8">
        <v>233</v>
      </c>
      <c r="H12" s="13">
        <f t="shared" si="2"/>
        <v>6148870</v>
      </c>
      <c r="I12" s="8"/>
      <c r="J12" s="13">
        <v>2110000</v>
      </c>
      <c r="K12" s="28"/>
      <c r="L12" s="29"/>
      <c r="M12" s="13"/>
      <c r="N12" s="13"/>
      <c r="O12" s="53">
        <f t="shared" si="0"/>
        <v>8258870</v>
      </c>
      <c r="P12" s="13">
        <v>14490741</v>
      </c>
      <c r="Q12" s="54">
        <f t="shared" si="1"/>
        <v>6231871</v>
      </c>
      <c r="R12" s="5"/>
    </row>
    <row r="13" spans="1:18" ht="27.75" customHeight="1" x14ac:dyDescent="0.25">
      <c r="A13" s="25">
        <v>6</v>
      </c>
      <c r="B13" s="120">
        <v>44720</v>
      </c>
      <c r="C13" s="10" t="s">
        <v>2820</v>
      </c>
      <c r="D13" s="25" t="s">
        <v>2837</v>
      </c>
      <c r="E13" s="10" t="s">
        <v>2852</v>
      </c>
      <c r="F13" s="8"/>
      <c r="G13" s="8">
        <v>58</v>
      </c>
      <c r="H13" s="13">
        <f t="shared" si="2"/>
        <v>1530620</v>
      </c>
      <c r="I13" s="8"/>
      <c r="J13" s="13">
        <v>350000</v>
      </c>
      <c r="K13" s="28"/>
      <c r="L13" s="29"/>
      <c r="M13" s="13"/>
      <c r="N13" s="13"/>
      <c r="O13" s="53">
        <f t="shared" si="0"/>
        <v>1880620</v>
      </c>
      <c r="P13" s="13">
        <v>3700000</v>
      </c>
      <c r="Q13" s="54">
        <f t="shared" si="1"/>
        <v>1819380</v>
      </c>
      <c r="R13" s="5"/>
    </row>
    <row r="14" spans="1:18" ht="27.75" customHeight="1" x14ac:dyDescent="0.25">
      <c r="A14" s="25">
        <v>7</v>
      </c>
      <c r="B14" s="120">
        <v>44722</v>
      </c>
      <c r="C14" s="10" t="s">
        <v>2821</v>
      </c>
      <c r="D14" s="25" t="s">
        <v>2838</v>
      </c>
      <c r="E14" s="10" t="s">
        <v>2852</v>
      </c>
      <c r="F14" s="8"/>
      <c r="G14" s="8">
        <v>58</v>
      </c>
      <c r="H14" s="13">
        <f>G14*29020</f>
        <v>1683160</v>
      </c>
      <c r="I14" s="8"/>
      <c r="J14" s="13">
        <v>350000</v>
      </c>
      <c r="K14" s="28"/>
      <c r="L14" s="29"/>
      <c r="M14" s="13"/>
      <c r="N14" s="13"/>
      <c r="O14" s="53">
        <f>H14+J14+K14+L14+M14+N14</f>
        <v>2033160</v>
      </c>
      <c r="P14" s="13">
        <v>3700000</v>
      </c>
      <c r="Q14" s="54">
        <f t="shared" si="1"/>
        <v>1666840</v>
      </c>
      <c r="R14" s="5"/>
    </row>
    <row r="15" spans="1:18" ht="27.75" customHeight="1" x14ac:dyDescent="0.25">
      <c r="A15" s="25">
        <v>8</v>
      </c>
      <c r="B15" s="120">
        <v>44722</v>
      </c>
      <c r="C15" s="10" t="s">
        <v>2822</v>
      </c>
      <c r="D15" s="25" t="s">
        <v>2839</v>
      </c>
      <c r="E15" s="10" t="s">
        <v>2853</v>
      </c>
      <c r="F15" s="8"/>
      <c r="G15" s="8">
        <v>54</v>
      </c>
      <c r="H15" s="13">
        <f t="shared" ref="H15:H17" si="3">G15*29020</f>
        <v>1567080</v>
      </c>
      <c r="I15" s="8"/>
      <c r="J15" s="119">
        <v>600000</v>
      </c>
      <c r="K15" s="28"/>
      <c r="L15" s="29"/>
      <c r="M15" s="13"/>
      <c r="N15" s="13"/>
      <c r="O15" s="53">
        <f t="shared" si="0"/>
        <v>2167080</v>
      </c>
      <c r="P15" s="13">
        <v>3200000</v>
      </c>
      <c r="Q15" s="54">
        <f t="shared" si="1"/>
        <v>1032920</v>
      </c>
      <c r="R15" s="5"/>
    </row>
    <row r="16" spans="1:18" ht="27.75" customHeight="1" x14ac:dyDescent="0.25">
      <c r="A16" s="25">
        <v>9</v>
      </c>
      <c r="B16" s="120">
        <v>44725</v>
      </c>
      <c r="C16" s="10" t="s">
        <v>2823</v>
      </c>
      <c r="D16" s="25" t="s">
        <v>2840</v>
      </c>
      <c r="E16" s="10" t="s">
        <v>2854</v>
      </c>
      <c r="F16" s="8"/>
      <c r="G16" s="8">
        <v>114</v>
      </c>
      <c r="H16" s="13">
        <f t="shared" si="3"/>
        <v>3308280</v>
      </c>
      <c r="I16" s="8"/>
      <c r="J16" s="13">
        <v>870000</v>
      </c>
      <c r="K16" s="28"/>
      <c r="L16" s="29"/>
      <c r="M16" s="13"/>
      <c r="N16" s="13"/>
      <c r="O16" s="53">
        <f t="shared" si="0"/>
        <v>4178280</v>
      </c>
      <c r="P16" s="13">
        <v>5900000</v>
      </c>
      <c r="Q16" s="54">
        <f t="shared" si="1"/>
        <v>1721720</v>
      </c>
      <c r="R16" s="5"/>
    </row>
    <row r="17" spans="1:18" ht="27.75" customHeight="1" x14ac:dyDescent="0.25">
      <c r="A17" s="25">
        <v>10</v>
      </c>
      <c r="B17" s="120">
        <v>44726</v>
      </c>
      <c r="C17" s="10" t="s">
        <v>2824</v>
      </c>
      <c r="D17" s="25" t="s">
        <v>2841</v>
      </c>
      <c r="E17" s="10" t="s">
        <v>2855</v>
      </c>
      <c r="F17" s="8"/>
      <c r="G17" s="8">
        <v>60</v>
      </c>
      <c r="H17" s="13">
        <f t="shared" si="3"/>
        <v>1741200</v>
      </c>
      <c r="I17" s="8"/>
      <c r="J17" s="13">
        <v>680000</v>
      </c>
      <c r="K17" s="28"/>
      <c r="L17" s="29"/>
      <c r="M17" s="13"/>
      <c r="N17" s="13"/>
      <c r="O17" s="53">
        <f t="shared" si="0"/>
        <v>2421200</v>
      </c>
      <c r="P17" s="13">
        <v>3389260</v>
      </c>
      <c r="Q17" s="54">
        <f t="shared" si="1"/>
        <v>968060</v>
      </c>
      <c r="R17" s="5"/>
    </row>
    <row r="18" spans="1:18" ht="22.5" customHeight="1" x14ac:dyDescent="0.25">
      <c r="A18" s="25">
        <v>11</v>
      </c>
      <c r="B18" s="120">
        <v>44727</v>
      </c>
      <c r="C18" s="10" t="s">
        <v>2825</v>
      </c>
      <c r="D18" s="25" t="s">
        <v>2842</v>
      </c>
      <c r="E18" s="10" t="s">
        <v>112</v>
      </c>
      <c r="F18" s="8"/>
      <c r="G18" s="8">
        <v>233</v>
      </c>
      <c r="H18" s="13">
        <f>G18*30010</f>
        <v>6992330</v>
      </c>
      <c r="I18" s="8"/>
      <c r="J18" s="13">
        <v>2110000</v>
      </c>
      <c r="K18" s="28"/>
      <c r="L18" s="29"/>
      <c r="M18" s="13"/>
      <c r="N18" s="13"/>
      <c r="O18" s="53">
        <f t="shared" si="0"/>
        <v>9102330</v>
      </c>
      <c r="P18" s="13">
        <v>15046296</v>
      </c>
      <c r="Q18" s="54">
        <f t="shared" si="1"/>
        <v>5943966</v>
      </c>
      <c r="R18" s="5"/>
    </row>
    <row r="19" spans="1:18" ht="22.5" customHeight="1" x14ac:dyDescent="0.25">
      <c r="A19" s="25">
        <v>12</v>
      </c>
      <c r="B19" s="120">
        <v>44729</v>
      </c>
      <c r="C19" s="10" t="s">
        <v>2826</v>
      </c>
      <c r="D19" s="25" t="s">
        <v>2843</v>
      </c>
      <c r="E19" s="10" t="s">
        <v>2856</v>
      </c>
      <c r="F19" s="8"/>
      <c r="G19" s="8">
        <v>67</v>
      </c>
      <c r="H19" s="13">
        <f t="shared" ref="H19:H26" si="4">G19*30010</f>
        <v>2010670</v>
      </c>
      <c r="I19" s="8"/>
      <c r="J19" s="13">
        <v>680000</v>
      </c>
      <c r="K19" s="28"/>
      <c r="L19" s="29"/>
      <c r="M19" s="13"/>
      <c r="N19" s="13"/>
      <c r="O19" s="53">
        <f t="shared" si="0"/>
        <v>2690670</v>
      </c>
      <c r="P19" s="13">
        <v>4000000</v>
      </c>
      <c r="Q19" s="54">
        <f t="shared" si="1"/>
        <v>1309330</v>
      </c>
      <c r="R19" s="5"/>
    </row>
    <row r="20" spans="1:18" ht="22.5" customHeight="1" x14ac:dyDescent="0.25">
      <c r="A20" s="25">
        <v>13</v>
      </c>
      <c r="B20" s="120">
        <v>44732</v>
      </c>
      <c r="C20" s="10" t="s">
        <v>2827</v>
      </c>
      <c r="D20" s="25" t="s">
        <v>2844</v>
      </c>
      <c r="E20" s="10" t="s">
        <v>2857</v>
      </c>
      <c r="F20" s="8"/>
      <c r="G20" s="8">
        <v>121</v>
      </c>
      <c r="H20" s="13">
        <f>G20*29020</f>
        <v>3511420</v>
      </c>
      <c r="I20" s="8"/>
      <c r="J20" s="13">
        <v>730000</v>
      </c>
      <c r="K20" s="28"/>
      <c r="L20" s="29"/>
      <c r="M20" s="13"/>
      <c r="N20" s="13"/>
      <c r="O20" s="53">
        <f t="shared" si="0"/>
        <v>4241420</v>
      </c>
      <c r="P20" s="13">
        <v>5800000</v>
      </c>
      <c r="Q20" s="54">
        <f t="shared" si="1"/>
        <v>1558580</v>
      </c>
      <c r="R20" s="5"/>
    </row>
    <row r="21" spans="1:18" ht="22.5" customHeight="1" x14ac:dyDescent="0.25">
      <c r="A21" s="25">
        <v>14</v>
      </c>
      <c r="B21" s="120">
        <v>44732</v>
      </c>
      <c r="C21" s="10" t="s">
        <v>2828</v>
      </c>
      <c r="D21" s="25" t="s">
        <v>2845</v>
      </c>
      <c r="E21" s="10" t="s">
        <v>112</v>
      </c>
      <c r="F21" s="8"/>
      <c r="G21" s="8">
        <v>233</v>
      </c>
      <c r="H21" s="13">
        <f t="shared" si="4"/>
        <v>6992330</v>
      </c>
      <c r="I21" s="8"/>
      <c r="J21" s="13">
        <v>2110000</v>
      </c>
      <c r="K21" s="28"/>
      <c r="L21" s="29"/>
      <c r="M21" s="13"/>
      <c r="N21" s="13"/>
      <c r="O21" s="53">
        <f t="shared" si="0"/>
        <v>9102330</v>
      </c>
      <c r="P21" s="13">
        <v>15046296</v>
      </c>
      <c r="Q21" s="54">
        <f t="shared" si="1"/>
        <v>5943966</v>
      </c>
      <c r="R21" s="5"/>
    </row>
    <row r="22" spans="1:18" ht="27" customHeight="1" x14ac:dyDescent="0.25">
      <c r="A22" s="25">
        <v>15</v>
      </c>
      <c r="B22" s="120">
        <v>44733</v>
      </c>
      <c r="C22" s="10" t="s">
        <v>1363</v>
      </c>
      <c r="D22" s="25" t="s">
        <v>2846</v>
      </c>
      <c r="E22" s="10" t="s">
        <v>2858</v>
      </c>
      <c r="F22" s="8"/>
      <c r="G22" s="8">
        <v>89</v>
      </c>
      <c r="H22" s="13">
        <f t="shared" si="4"/>
        <v>2670890</v>
      </c>
      <c r="I22" s="8"/>
      <c r="J22" s="13">
        <v>930000</v>
      </c>
      <c r="K22" s="28"/>
      <c r="L22" s="29"/>
      <c r="M22" s="13"/>
      <c r="N22" s="13"/>
      <c r="O22" s="53">
        <f t="shared" ref="O22:O27" si="5">H22+J22+K22+L22+M22+N22</f>
        <v>3600890</v>
      </c>
      <c r="P22" s="13">
        <v>5000000</v>
      </c>
      <c r="Q22" s="54">
        <f t="shared" si="1"/>
        <v>1399110</v>
      </c>
      <c r="R22" s="5"/>
    </row>
    <row r="23" spans="1:18" ht="28.5" customHeight="1" x14ac:dyDescent="0.25">
      <c r="A23" s="25">
        <v>16</v>
      </c>
      <c r="B23" s="120">
        <v>44734</v>
      </c>
      <c r="C23" s="10" t="s">
        <v>2829</v>
      </c>
      <c r="D23" s="25" t="s">
        <v>2847</v>
      </c>
      <c r="E23" s="10" t="s">
        <v>799</v>
      </c>
      <c r="F23" s="8"/>
      <c r="G23" s="8">
        <v>75</v>
      </c>
      <c r="H23" s="13">
        <f t="shared" si="4"/>
        <v>2250750</v>
      </c>
      <c r="I23" s="8"/>
      <c r="J23" s="13">
        <v>560000</v>
      </c>
      <c r="K23" s="28"/>
      <c r="L23" s="29"/>
      <c r="M23" s="13"/>
      <c r="N23" s="13"/>
      <c r="O23" s="53">
        <f t="shared" si="5"/>
        <v>2810750</v>
      </c>
      <c r="P23" s="13">
        <v>4250000</v>
      </c>
      <c r="Q23" s="54">
        <f t="shared" si="1"/>
        <v>1439250</v>
      </c>
      <c r="R23" s="5"/>
    </row>
    <row r="24" spans="1:18" ht="28.5" customHeight="1" x14ac:dyDescent="0.25">
      <c r="A24" s="25">
        <v>17</v>
      </c>
      <c r="B24" s="120">
        <v>44735</v>
      </c>
      <c r="C24" s="10" t="s">
        <v>1365</v>
      </c>
      <c r="D24" s="25" t="s">
        <v>2848</v>
      </c>
      <c r="E24" s="10" t="s">
        <v>2856</v>
      </c>
      <c r="F24" s="8"/>
      <c r="G24" s="8">
        <v>66</v>
      </c>
      <c r="H24" s="13">
        <f t="shared" si="4"/>
        <v>1980660</v>
      </c>
      <c r="I24" s="8"/>
      <c r="J24" s="13">
        <v>680000</v>
      </c>
      <c r="K24" s="28"/>
      <c r="L24" s="29"/>
      <c r="M24" s="13"/>
      <c r="N24" s="13"/>
      <c r="O24" s="13">
        <f t="shared" si="5"/>
        <v>2660660</v>
      </c>
      <c r="P24" s="13">
        <v>4000000</v>
      </c>
      <c r="Q24" s="54">
        <f t="shared" si="1"/>
        <v>1339340</v>
      </c>
      <c r="R24" s="5"/>
    </row>
    <row r="25" spans="1:18" ht="28.5" customHeight="1" x14ac:dyDescent="0.25">
      <c r="A25" s="25">
        <v>18</v>
      </c>
      <c r="B25" s="120">
        <v>44736</v>
      </c>
      <c r="C25" s="10" t="s">
        <v>2830</v>
      </c>
      <c r="D25" s="25" t="s">
        <v>2849</v>
      </c>
      <c r="E25" s="10" t="s">
        <v>2661</v>
      </c>
      <c r="F25" s="8"/>
      <c r="G25" s="8">
        <v>104</v>
      </c>
      <c r="H25" s="13">
        <f t="shared" si="4"/>
        <v>3121040</v>
      </c>
      <c r="I25" s="8"/>
      <c r="J25" s="13">
        <v>905000</v>
      </c>
      <c r="K25" s="28"/>
      <c r="L25" s="29"/>
      <c r="M25" s="13"/>
      <c r="N25" s="13"/>
      <c r="O25" s="13">
        <f t="shared" si="5"/>
        <v>4026040</v>
      </c>
      <c r="P25" s="13">
        <v>5600000</v>
      </c>
      <c r="Q25" s="54">
        <f t="shared" si="1"/>
        <v>1573960</v>
      </c>
      <c r="R25" s="5"/>
    </row>
    <row r="26" spans="1:18" ht="28.5" customHeight="1" x14ac:dyDescent="0.25">
      <c r="A26" s="25">
        <v>19</v>
      </c>
      <c r="B26" s="120">
        <v>44740</v>
      </c>
      <c r="C26" s="10" t="s">
        <v>2129</v>
      </c>
      <c r="D26" s="25" t="s">
        <v>2850</v>
      </c>
      <c r="E26" s="10" t="s">
        <v>1043</v>
      </c>
      <c r="F26" s="8"/>
      <c r="G26" s="8">
        <v>115</v>
      </c>
      <c r="H26" s="13">
        <f t="shared" si="4"/>
        <v>3451150</v>
      </c>
      <c r="I26" s="8"/>
      <c r="J26" s="13">
        <v>680000</v>
      </c>
      <c r="K26" s="28"/>
      <c r="L26" s="29"/>
      <c r="M26" s="13"/>
      <c r="N26" s="13"/>
      <c r="O26" s="13">
        <f t="shared" si="5"/>
        <v>4131150</v>
      </c>
      <c r="P26" s="13">
        <v>6314815</v>
      </c>
      <c r="Q26" s="54">
        <f t="shared" si="1"/>
        <v>2183665</v>
      </c>
      <c r="R26" s="5"/>
    </row>
    <row r="27" spans="1:18" ht="28.5" customHeight="1" x14ac:dyDescent="0.25">
      <c r="A27" s="25">
        <v>20</v>
      </c>
      <c r="B27" s="120">
        <v>44740</v>
      </c>
      <c r="C27" s="10" t="s">
        <v>2831</v>
      </c>
      <c r="D27" s="25" t="s">
        <v>2851</v>
      </c>
      <c r="E27" s="10" t="s">
        <v>258</v>
      </c>
      <c r="F27" s="8"/>
      <c r="G27" s="8">
        <v>160</v>
      </c>
      <c r="H27" s="13">
        <f>G27*29610</f>
        <v>4737600</v>
      </c>
      <c r="I27" s="8"/>
      <c r="J27" s="13">
        <v>1470000</v>
      </c>
      <c r="K27" s="28"/>
      <c r="L27" s="29"/>
      <c r="M27" s="13"/>
      <c r="N27" s="13"/>
      <c r="O27" s="13">
        <f t="shared" si="5"/>
        <v>6207600</v>
      </c>
      <c r="P27" s="13">
        <v>10925926</v>
      </c>
      <c r="Q27" s="54">
        <f t="shared" si="1"/>
        <v>4718326</v>
      </c>
      <c r="R27" s="5"/>
    </row>
    <row r="28" spans="1:18" ht="24" customHeight="1" x14ac:dyDescent="0.25">
      <c r="A28" s="8"/>
      <c r="B28" s="8"/>
      <c r="C28" s="196" t="s">
        <v>131</v>
      </c>
      <c r="D28" s="197"/>
      <c r="E28" s="197"/>
      <c r="F28" s="198"/>
      <c r="G28" s="8"/>
      <c r="H28" s="13"/>
      <c r="I28" s="8"/>
      <c r="J28" s="13"/>
      <c r="K28" s="28">
        <v>1200000</v>
      </c>
      <c r="L28" s="28"/>
      <c r="M28" s="18"/>
      <c r="N28" s="28"/>
      <c r="O28" s="53">
        <f t="shared" ref="O28:O35" si="6">H28+J28+K28+L28+M28+N28</f>
        <v>1200000</v>
      </c>
      <c r="P28" s="28"/>
      <c r="Q28" s="54"/>
    </row>
    <row r="29" spans="1:18" ht="24" customHeight="1" x14ac:dyDescent="0.25">
      <c r="A29" s="8"/>
      <c r="B29" s="8"/>
      <c r="C29" s="196" t="s">
        <v>2860</v>
      </c>
      <c r="D29" s="197"/>
      <c r="E29" s="197"/>
      <c r="F29" s="198"/>
      <c r="G29" s="8"/>
      <c r="H29" s="13"/>
      <c r="I29" s="8"/>
      <c r="J29" s="13"/>
      <c r="K29" s="28"/>
      <c r="L29" s="28">
        <v>2621000</v>
      </c>
      <c r="M29" s="18"/>
      <c r="N29" s="28"/>
      <c r="O29" s="53">
        <f t="shared" si="6"/>
        <v>2621000</v>
      </c>
      <c r="P29" s="28"/>
      <c r="Q29" s="54"/>
    </row>
    <row r="30" spans="1:18" ht="24" customHeight="1" x14ac:dyDescent="0.25">
      <c r="A30" s="8"/>
      <c r="B30" s="8"/>
      <c r="C30" s="196" t="s">
        <v>2861</v>
      </c>
      <c r="D30" s="197"/>
      <c r="E30" s="197"/>
      <c r="F30" s="198"/>
      <c r="G30" s="30"/>
      <c r="H30" s="28"/>
      <c r="I30" s="30"/>
      <c r="J30" s="28"/>
      <c r="K30" s="28"/>
      <c r="L30" s="18">
        <v>170000</v>
      </c>
      <c r="M30" s="18"/>
      <c r="N30" s="28"/>
      <c r="O30" s="53">
        <f t="shared" si="6"/>
        <v>170000</v>
      </c>
      <c r="P30" s="28"/>
      <c r="Q30" s="54"/>
    </row>
    <row r="31" spans="1:18" ht="24" customHeight="1" x14ac:dyDescent="0.25">
      <c r="A31" s="8"/>
      <c r="B31" s="8"/>
      <c r="C31" s="196" t="s">
        <v>2862</v>
      </c>
      <c r="D31" s="197"/>
      <c r="E31" s="197"/>
      <c r="F31" s="198"/>
      <c r="G31" s="30"/>
      <c r="H31" s="28"/>
      <c r="I31" s="30"/>
      <c r="J31" s="28"/>
      <c r="K31" s="28"/>
      <c r="L31" s="28">
        <v>4408000</v>
      </c>
      <c r="M31" s="28"/>
      <c r="N31" s="28"/>
      <c r="O31" s="53">
        <f t="shared" si="6"/>
        <v>4408000</v>
      </c>
      <c r="P31" s="28"/>
      <c r="Q31" s="54"/>
    </row>
    <row r="32" spans="1:18" ht="24" customHeight="1" x14ac:dyDescent="0.25">
      <c r="A32" s="8"/>
      <c r="B32" s="8"/>
      <c r="C32" s="196" t="s">
        <v>2863</v>
      </c>
      <c r="D32" s="197"/>
      <c r="E32" s="197"/>
      <c r="F32" s="198"/>
      <c r="G32" s="30"/>
      <c r="H32" s="28"/>
      <c r="I32" s="30"/>
      <c r="J32" s="28"/>
      <c r="K32" s="28"/>
      <c r="L32" s="28">
        <v>1570000</v>
      </c>
      <c r="M32" s="28"/>
      <c r="N32" s="28"/>
      <c r="O32" s="53">
        <f t="shared" si="6"/>
        <v>1570000</v>
      </c>
      <c r="P32" s="28"/>
      <c r="Q32" s="54"/>
    </row>
    <row r="33" spans="1:17" ht="24" customHeight="1" x14ac:dyDescent="0.25">
      <c r="A33" s="8"/>
      <c r="B33" s="8"/>
      <c r="C33" s="196" t="s">
        <v>2864</v>
      </c>
      <c r="D33" s="197"/>
      <c r="E33" s="197"/>
      <c r="F33" s="198"/>
      <c r="G33" s="30"/>
      <c r="H33" s="28"/>
      <c r="I33" s="30"/>
      <c r="J33" s="28"/>
      <c r="K33" s="28"/>
      <c r="L33" s="28">
        <v>300000</v>
      </c>
      <c r="M33" s="28"/>
      <c r="N33" s="28"/>
      <c r="O33" s="53">
        <f t="shared" si="6"/>
        <v>300000</v>
      </c>
      <c r="P33" s="28"/>
      <c r="Q33" s="54"/>
    </row>
    <row r="34" spans="1:17" ht="24" customHeight="1" x14ac:dyDescent="0.25">
      <c r="A34" s="8"/>
      <c r="B34" s="8"/>
      <c r="C34" s="196" t="s">
        <v>2865</v>
      </c>
      <c r="D34" s="197"/>
      <c r="E34" s="197"/>
      <c r="F34" s="198"/>
      <c r="G34" s="30"/>
      <c r="H34" s="28"/>
      <c r="I34" s="30"/>
      <c r="J34" s="28"/>
      <c r="K34" s="28"/>
      <c r="L34" s="28">
        <v>3250000</v>
      </c>
      <c r="M34" s="28"/>
      <c r="N34" s="28"/>
      <c r="O34" s="53">
        <f t="shared" si="6"/>
        <v>3250000</v>
      </c>
      <c r="P34" s="28"/>
      <c r="Q34" s="54"/>
    </row>
    <row r="35" spans="1:17" ht="24" customHeight="1" x14ac:dyDescent="0.25">
      <c r="A35" s="8"/>
      <c r="B35" s="8"/>
      <c r="C35" s="196" t="s">
        <v>2866</v>
      </c>
      <c r="D35" s="197"/>
      <c r="E35" s="197"/>
      <c r="F35" s="198"/>
      <c r="G35" s="30"/>
      <c r="H35" s="28"/>
      <c r="I35" s="30"/>
      <c r="J35" s="28"/>
      <c r="K35" s="28"/>
      <c r="L35" s="28">
        <v>5430000</v>
      </c>
      <c r="M35" s="28"/>
      <c r="N35" s="28"/>
      <c r="O35" s="53">
        <f t="shared" si="6"/>
        <v>5430000</v>
      </c>
      <c r="P35" s="28"/>
      <c r="Q35" s="54"/>
    </row>
    <row r="36" spans="1:17" ht="25.5" customHeight="1" x14ac:dyDescent="0.25">
      <c r="A36" s="8"/>
      <c r="B36" s="8"/>
      <c r="C36" s="191" t="s">
        <v>2817</v>
      </c>
      <c r="D36" s="192"/>
      <c r="E36" s="192"/>
      <c r="F36" s="195"/>
      <c r="G36" s="30"/>
      <c r="H36" s="28"/>
      <c r="I36" s="30"/>
      <c r="J36" s="28"/>
      <c r="K36" s="28">
        <v>8100000</v>
      </c>
      <c r="L36" s="18"/>
      <c r="M36" s="18"/>
      <c r="N36" s="28"/>
      <c r="O36" s="53">
        <f>H36+J36+K36+L36+M36+N36</f>
        <v>8100000</v>
      </c>
      <c r="P36" s="28"/>
      <c r="Q36" s="54"/>
    </row>
    <row r="37" spans="1:17" ht="15" customHeight="1" x14ac:dyDescent="0.25">
      <c r="A37" s="166" t="s">
        <v>19</v>
      </c>
      <c r="B37" s="167"/>
      <c r="C37" s="167"/>
      <c r="D37" s="167"/>
      <c r="E37" s="167"/>
      <c r="F37" s="168"/>
      <c r="G37" s="131">
        <f t="shared" ref="G37:O37" si="7">SUM(G7:G36)</f>
        <v>2285</v>
      </c>
      <c r="H37" s="4">
        <f t="shared" si="7"/>
        <v>65441600</v>
      </c>
      <c r="I37" s="4">
        <f t="shared" si="7"/>
        <v>0</v>
      </c>
      <c r="J37" s="4">
        <f t="shared" si="7"/>
        <v>20315000</v>
      </c>
      <c r="K37" s="4">
        <f t="shared" si="7"/>
        <v>9300000</v>
      </c>
      <c r="L37" s="4">
        <f t="shared" si="7"/>
        <v>17749000</v>
      </c>
      <c r="M37" s="4">
        <f t="shared" si="7"/>
        <v>0</v>
      </c>
      <c r="N37" s="4">
        <f t="shared" si="7"/>
        <v>0</v>
      </c>
      <c r="O37" s="4">
        <f t="shared" si="7"/>
        <v>112805600</v>
      </c>
      <c r="P37" s="4">
        <f>SUM(P8:P36)</f>
        <v>127809630</v>
      </c>
      <c r="Q37" s="122">
        <f>P37-O37</f>
        <v>15004030</v>
      </c>
    </row>
    <row r="38" spans="1:17" x14ac:dyDescent="0.25">
      <c r="O38" s="20"/>
      <c r="P38" s="5" t="s">
        <v>1796</v>
      </c>
      <c r="Q38" s="26"/>
    </row>
    <row r="39" spans="1:17" x14ac:dyDescent="0.25">
      <c r="P39" s="21" t="s">
        <v>20</v>
      </c>
      <c r="Q39" s="26">
        <f>'05.2022'!Q37+'06.2022'!Q37</f>
        <v>145350285</v>
      </c>
    </row>
    <row r="40" spans="1:17" x14ac:dyDescent="0.25">
      <c r="C40" s="6" t="s">
        <v>993</v>
      </c>
    </row>
    <row r="41" spans="1:17" x14ac:dyDescent="0.25">
      <c r="C41" s="205"/>
      <c r="D41" s="205"/>
      <c r="E41" s="205"/>
      <c r="F41" s="205"/>
      <c r="H41" s="109"/>
    </row>
    <row r="42" spans="1:17" x14ac:dyDescent="0.25">
      <c r="C42" s="206"/>
      <c r="D42" s="206"/>
      <c r="E42" s="206"/>
      <c r="F42" s="206"/>
      <c r="H42" s="109"/>
    </row>
    <row r="43" spans="1:17" x14ac:dyDescent="0.25">
      <c r="B43" s="6"/>
      <c r="C43" s="110"/>
      <c r="D43" s="110"/>
      <c r="E43" s="110"/>
      <c r="F43" s="110"/>
      <c r="G43" s="133"/>
      <c r="H43" s="109"/>
    </row>
    <row r="44" spans="1:17" x14ac:dyDescent="0.25">
      <c r="B44" s="6"/>
      <c r="C44" s="206"/>
      <c r="D44" s="206"/>
      <c r="E44" s="206"/>
      <c r="F44" s="206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G46" s="133"/>
      <c r="H46" s="109"/>
      <c r="J46" s="6"/>
      <c r="K46" s="6"/>
      <c r="L46" s="6"/>
      <c r="M46" s="6"/>
      <c r="N46" s="6"/>
      <c r="O46" s="6"/>
      <c r="P46" s="6"/>
      <c r="Q46" s="6"/>
    </row>
    <row r="47" spans="1:17" x14ac:dyDescent="0.2">
      <c r="C47" s="107"/>
      <c r="D47" s="110"/>
      <c r="E47" s="110"/>
      <c r="F47" s="110"/>
      <c r="H47" s="109"/>
    </row>
    <row r="48" spans="1:17" x14ac:dyDescent="0.25">
      <c r="C48" s="205"/>
      <c r="D48" s="205"/>
      <c r="E48" s="205"/>
      <c r="F48" s="205"/>
    </row>
  </sheetData>
  <mergeCells count="29">
    <mergeCell ref="C30:F30"/>
    <mergeCell ref="C46:F46"/>
    <mergeCell ref="C48:F48"/>
    <mergeCell ref="C36:F36"/>
    <mergeCell ref="A37:F37"/>
    <mergeCell ref="C41:F41"/>
    <mergeCell ref="C42:F42"/>
    <mergeCell ref="C44:F44"/>
    <mergeCell ref="C45:F45"/>
    <mergeCell ref="C32:F32"/>
    <mergeCell ref="C33:F33"/>
    <mergeCell ref="C34:F34"/>
    <mergeCell ref="C35:F35"/>
    <mergeCell ref="C31:F31"/>
    <mergeCell ref="C29:F29"/>
    <mergeCell ref="O5:O6"/>
    <mergeCell ref="P5:P6"/>
    <mergeCell ref="Q5:Q6"/>
    <mergeCell ref="C28:F28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A7D5-9CD7-4E3A-AF5A-5C47B10AB897}">
  <dimension ref="A1:R53"/>
  <sheetViews>
    <sheetView topLeftCell="A28" workbookViewId="0">
      <selection activeCell="G57" sqref="G5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2921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44748</v>
      </c>
      <c r="C8" s="10" t="s">
        <v>2867</v>
      </c>
      <c r="D8" s="25" t="s">
        <v>2881</v>
      </c>
      <c r="E8" s="10" t="s">
        <v>2906</v>
      </c>
      <c r="F8" s="8"/>
      <c r="G8" s="8">
        <v>127</v>
      </c>
      <c r="H8" s="13">
        <f>G8*29610</f>
        <v>3760470</v>
      </c>
      <c r="I8" s="8"/>
      <c r="J8" s="13">
        <f>980000+50000</f>
        <v>1030000</v>
      </c>
      <c r="K8" s="28"/>
      <c r="L8" s="29"/>
      <c r="M8" s="13"/>
      <c r="N8" s="13"/>
      <c r="O8" s="53">
        <f>H8+J8+K8+L8+M8+N8</f>
        <v>4790470</v>
      </c>
      <c r="P8" s="13">
        <v>6500000</v>
      </c>
      <c r="Q8" s="54">
        <f>P8-O8</f>
        <v>1709530</v>
      </c>
      <c r="R8" s="5"/>
    </row>
    <row r="9" spans="1:18" ht="17.25" customHeight="1" x14ac:dyDescent="0.25">
      <c r="A9" s="25">
        <v>2</v>
      </c>
      <c r="B9" s="120">
        <v>44748</v>
      </c>
      <c r="C9" s="10" t="s">
        <v>2868</v>
      </c>
      <c r="D9" s="129" t="s">
        <v>1783</v>
      </c>
      <c r="E9" s="9" t="s">
        <v>2907</v>
      </c>
      <c r="F9" s="117"/>
      <c r="G9" s="6">
        <v>74</v>
      </c>
      <c r="H9" s="13">
        <f t="shared" ref="H9:H12" si="0">G9*29610</f>
        <v>2191140</v>
      </c>
      <c r="I9" s="117"/>
      <c r="J9" s="119">
        <v>430000</v>
      </c>
      <c r="K9" s="28"/>
      <c r="L9" s="29"/>
      <c r="M9" s="13"/>
      <c r="N9" s="13"/>
      <c r="O9" s="53">
        <f t="shared" ref="O9:O34" si="1">H9+J9+K9+L9+M9+N9</f>
        <v>2621140</v>
      </c>
      <c r="P9" s="13">
        <v>4634444</v>
      </c>
      <c r="Q9" s="54">
        <f t="shared" ref="Q9:Q34" si="2">P9-O9</f>
        <v>2013304</v>
      </c>
      <c r="R9" s="5"/>
    </row>
    <row r="10" spans="1:18" ht="24.75" customHeight="1" x14ac:dyDescent="0.25">
      <c r="A10" s="25">
        <v>3</v>
      </c>
      <c r="B10" s="120">
        <v>44748</v>
      </c>
      <c r="C10" s="10" t="s">
        <v>754</v>
      </c>
      <c r="D10" s="25" t="s">
        <v>2882</v>
      </c>
      <c r="E10" s="10" t="s">
        <v>2908</v>
      </c>
      <c r="F10" s="8"/>
      <c r="G10" s="8">
        <v>129</v>
      </c>
      <c r="H10" s="13">
        <f t="shared" si="0"/>
        <v>3819690</v>
      </c>
      <c r="I10" s="8"/>
      <c r="J10" s="13">
        <v>1300000</v>
      </c>
      <c r="K10" s="28"/>
      <c r="L10" s="29"/>
      <c r="M10" s="13"/>
      <c r="N10" s="13"/>
      <c r="O10" s="53">
        <f>H10+J10+K10+L10+M10+N10</f>
        <v>5119690</v>
      </c>
      <c r="P10" s="13">
        <v>6400000</v>
      </c>
      <c r="Q10" s="54">
        <f t="shared" si="2"/>
        <v>1280310</v>
      </c>
      <c r="R10" s="5"/>
    </row>
    <row r="11" spans="1:18" ht="27.75" customHeight="1" x14ac:dyDescent="0.25">
      <c r="A11" s="25">
        <v>4</v>
      </c>
      <c r="B11" s="120">
        <v>44748</v>
      </c>
      <c r="C11" s="10" t="s">
        <v>2869</v>
      </c>
      <c r="D11" s="25" t="s">
        <v>2883</v>
      </c>
      <c r="E11" s="10" t="s">
        <v>331</v>
      </c>
      <c r="F11" s="8"/>
      <c r="G11" s="8">
        <v>97</v>
      </c>
      <c r="H11" s="13">
        <f t="shared" si="0"/>
        <v>2872170</v>
      </c>
      <c r="I11" s="8"/>
      <c r="J11" s="13">
        <v>680000</v>
      </c>
      <c r="K11" s="28"/>
      <c r="L11" s="29"/>
      <c r="M11" s="13"/>
      <c r="N11" s="13"/>
      <c r="O11" s="53">
        <f t="shared" si="1"/>
        <v>3552170</v>
      </c>
      <c r="P11" s="13">
        <v>5350000</v>
      </c>
      <c r="Q11" s="54">
        <f t="shared" si="2"/>
        <v>1797830</v>
      </c>
      <c r="R11" s="5"/>
    </row>
    <row r="12" spans="1:18" ht="27.75" customHeight="1" x14ac:dyDescent="0.25">
      <c r="A12" s="25">
        <v>5</v>
      </c>
      <c r="B12" s="120">
        <v>44748</v>
      </c>
      <c r="C12" s="10" t="s">
        <v>2870</v>
      </c>
      <c r="D12" s="25" t="s">
        <v>2884</v>
      </c>
      <c r="E12" s="10" t="s">
        <v>331</v>
      </c>
      <c r="F12" s="8"/>
      <c r="G12" s="8">
        <v>97</v>
      </c>
      <c r="H12" s="13">
        <f t="shared" si="0"/>
        <v>2872170</v>
      </c>
      <c r="I12" s="8"/>
      <c r="J12" s="13">
        <v>680000</v>
      </c>
      <c r="K12" s="28"/>
      <c r="L12" s="29"/>
      <c r="M12" s="13"/>
      <c r="N12" s="13"/>
      <c r="O12" s="53">
        <f t="shared" si="1"/>
        <v>3552170</v>
      </c>
      <c r="P12" s="13">
        <v>5350000</v>
      </c>
      <c r="Q12" s="54">
        <f t="shared" si="2"/>
        <v>1797830</v>
      </c>
      <c r="R12" s="5"/>
    </row>
    <row r="13" spans="1:18" ht="27.75" customHeight="1" x14ac:dyDescent="0.25">
      <c r="A13" s="25">
        <v>6</v>
      </c>
      <c r="B13" s="120">
        <v>44749</v>
      </c>
      <c r="C13" s="10" t="s">
        <v>1431</v>
      </c>
      <c r="D13" s="25" t="s">
        <v>2885</v>
      </c>
      <c r="E13" s="10" t="s">
        <v>331</v>
      </c>
      <c r="F13" s="8"/>
      <c r="G13" s="8">
        <v>87</v>
      </c>
      <c r="H13" s="13">
        <f>G13*29610</f>
        <v>2576070</v>
      </c>
      <c r="I13" s="8"/>
      <c r="J13" s="13">
        <v>430000</v>
      </c>
      <c r="K13" s="28"/>
      <c r="L13" s="29"/>
      <c r="M13" s="13"/>
      <c r="N13" s="13"/>
      <c r="O13" s="53">
        <f t="shared" si="1"/>
        <v>3006070</v>
      </c>
      <c r="P13" s="13">
        <v>4500000</v>
      </c>
      <c r="Q13" s="54">
        <f t="shared" si="2"/>
        <v>1493930</v>
      </c>
      <c r="R13" s="5"/>
    </row>
    <row r="14" spans="1:18" ht="27.75" customHeight="1" x14ac:dyDescent="0.25">
      <c r="A14" s="25">
        <v>7</v>
      </c>
      <c r="B14" s="120">
        <v>44750</v>
      </c>
      <c r="C14" s="10" t="s">
        <v>2186</v>
      </c>
      <c r="D14" s="25" t="s">
        <v>2886</v>
      </c>
      <c r="E14" s="10" t="s">
        <v>2909</v>
      </c>
      <c r="F14" s="8"/>
      <c r="G14" s="8">
        <v>33</v>
      </c>
      <c r="H14" s="13">
        <f>G14*26590</f>
        <v>877470</v>
      </c>
      <c r="I14" s="8"/>
      <c r="J14" s="13">
        <v>430000</v>
      </c>
      <c r="K14" s="28"/>
      <c r="L14" s="29"/>
      <c r="M14" s="13"/>
      <c r="N14" s="13"/>
      <c r="O14" s="53">
        <f>H14+J14+K14+L14+M14+N14</f>
        <v>1307470</v>
      </c>
      <c r="P14" s="13">
        <v>3700000</v>
      </c>
      <c r="Q14" s="54">
        <f t="shared" si="2"/>
        <v>2392530</v>
      </c>
      <c r="R14" s="5"/>
    </row>
    <row r="15" spans="1:18" ht="27.75" customHeight="1" x14ac:dyDescent="0.25">
      <c r="A15" s="25">
        <v>8</v>
      </c>
      <c r="B15" s="120">
        <v>44751</v>
      </c>
      <c r="C15" s="10" t="s">
        <v>2871</v>
      </c>
      <c r="D15" s="25" t="s">
        <v>2887</v>
      </c>
      <c r="E15" s="10" t="s">
        <v>2910</v>
      </c>
      <c r="F15" s="8"/>
      <c r="G15" s="8">
        <v>110</v>
      </c>
      <c r="H15" s="13">
        <f t="shared" ref="H15:H24" si="3">G15*26590</f>
        <v>2924900</v>
      </c>
      <c r="I15" s="8"/>
      <c r="J15" s="119">
        <v>680000</v>
      </c>
      <c r="K15" s="28"/>
      <c r="L15" s="29"/>
      <c r="M15" s="13"/>
      <c r="N15" s="13"/>
      <c r="O15" s="53">
        <f t="shared" si="1"/>
        <v>3604900</v>
      </c>
      <c r="P15" s="13">
        <v>5100000</v>
      </c>
      <c r="Q15" s="54">
        <f t="shared" si="2"/>
        <v>1495100</v>
      </c>
      <c r="R15" s="5"/>
    </row>
    <row r="16" spans="1:18" ht="27.75" customHeight="1" x14ac:dyDescent="0.25">
      <c r="A16" s="25">
        <v>9</v>
      </c>
      <c r="B16" s="120">
        <v>44753</v>
      </c>
      <c r="C16" s="10" t="s">
        <v>2872</v>
      </c>
      <c r="D16" s="25" t="s">
        <v>2888</v>
      </c>
      <c r="E16" s="10" t="s">
        <v>2911</v>
      </c>
      <c r="F16" s="8"/>
      <c r="G16" s="8">
        <v>98</v>
      </c>
      <c r="H16" s="13">
        <f t="shared" si="3"/>
        <v>2605820</v>
      </c>
      <c r="I16" s="8"/>
      <c r="J16" s="13">
        <v>680000</v>
      </c>
      <c r="K16" s="28"/>
      <c r="L16" s="29"/>
      <c r="M16" s="13"/>
      <c r="N16" s="13"/>
      <c r="O16" s="53">
        <f t="shared" si="1"/>
        <v>3285820</v>
      </c>
      <c r="P16" s="13">
        <v>4558519</v>
      </c>
      <c r="Q16" s="54">
        <f t="shared" si="2"/>
        <v>1272699</v>
      </c>
      <c r="R16" s="5"/>
    </row>
    <row r="17" spans="1:18" ht="27.75" customHeight="1" x14ac:dyDescent="0.25">
      <c r="A17" s="25">
        <v>10</v>
      </c>
      <c r="B17" s="120">
        <v>44754</v>
      </c>
      <c r="C17" s="10" t="s">
        <v>2873</v>
      </c>
      <c r="D17" s="25" t="s">
        <v>2888</v>
      </c>
      <c r="E17" s="10" t="s">
        <v>1979</v>
      </c>
      <c r="F17" s="8"/>
      <c r="G17" s="8"/>
      <c r="H17" s="13">
        <f t="shared" si="3"/>
        <v>0</v>
      </c>
      <c r="I17" s="8"/>
      <c r="J17" s="13">
        <v>300000</v>
      </c>
      <c r="K17" s="28"/>
      <c r="L17" s="29"/>
      <c r="M17" s="13"/>
      <c r="N17" s="13"/>
      <c r="O17" s="53">
        <f t="shared" si="1"/>
        <v>300000</v>
      </c>
      <c r="P17" s="13">
        <v>2342593</v>
      </c>
      <c r="Q17" s="54">
        <f t="shared" si="2"/>
        <v>2042593</v>
      </c>
      <c r="R17" s="5"/>
    </row>
    <row r="18" spans="1:18" ht="22.5" customHeight="1" x14ac:dyDescent="0.25">
      <c r="A18" s="25">
        <v>11</v>
      </c>
      <c r="B18" s="120">
        <v>44754</v>
      </c>
      <c r="C18" s="10" t="s">
        <v>2874</v>
      </c>
      <c r="D18" s="25" t="s">
        <v>2889</v>
      </c>
      <c r="E18" s="10" t="s">
        <v>2912</v>
      </c>
      <c r="F18" s="8"/>
      <c r="G18" s="8">
        <v>65</v>
      </c>
      <c r="H18" s="13">
        <f t="shared" si="3"/>
        <v>1728350</v>
      </c>
      <c r="I18" s="8"/>
      <c r="J18" s="13">
        <v>430000</v>
      </c>
      <c r="K18" s="28"/>
      <c r="L18" s="29"/>
      <c r="M18" s="13"/>
      <c r="N18" s="13"/>
      <c r="O18" s="53">
        <f t="shared" si="1"/>
        <v>2158350</v>
      </c>
      <c r="P18" s="13">
        <v>3700000</v>
      </c>
      <c r="Q18" s="54">
        <f t="shared" si="2"/>
        <v>1541650</v>
      </c>
      <c r="R18" s="5"/>
    </row>
    <row r="19" spans="1:18" ht="22.5" customHeight="1" x14ac:dyDescent="0.25">
      <c r="A19" s="25">
        <v>12</v>
      </c>
      <c r="B19" s="120">
        <v>44755</v>
      </c>
      <c r="C19" s="10" t="s">
        <v>1435</v>
      </c>
      <c r="D19" s="25" t="s">
        <v>2890</v>
      </c>
      <c r="E19" s="10" t="s">
        <v>2913</v>
      </c>
      <c r="F19" s="8"/>
      <c r="G19" s="8">
        <v>62</v>
      </c>
      <c r="H19" s="13">
        <f t="shared" si="3"/>
        <v>1648580</v>
      </c>
      <c r="I19" s="8"/>
      <c r="J19" s="13">
        <v>530000</v>
      </c>
      <c r="K19" s="28"/>
      <c r="L19" s="29"/>
      <c r="M19" s="13"/>
      <c r="N19" s="13"/>
      <c r="O19" s="53">
        <f t="shared" si="1"/>
        <v>2178580</v>
      </c>
      <c r="P19" s="13">
        <v>3510000</v>
      </c>
      <c r="Q19" s="54">
        <f t="shared" si="2"/>
        <v>1331420</v>
      </c>
      <c r="R19" s="5"/>
    </row>
    <row r="20" spans="1:18" ht="22.5" customHeight="1" x14ac:dyDescent="0.25">
      <c r="A20" s="25">
        <v>13</v>
      </c>
      <c r="B20" s="120">
        <v>44756</v>
      </c>
      <c r="C20" s="10" t="s">
        <v>1436</v>
      </c>
      <c r="D20" s="25" t="s">
        <v>2891</v>
      </c>
      <c r="E20" s="10" t="s">
        <v>799</v>
      </c>
      <c r="F20" s="8"/>
      <c r="G20" s="8">
        <v>75</v>
      </c>
      <c r="H20" s="13">
        <f t="shared" si="3"/>
        <v>1994250</v>
      </c>
      <c r="I20" s="8"/>
      <c r="J20" s="13">
        <v>430000</v>
      </c>
      <c r="K20" s="28"/>
      <c r="L20" s="29"/>
      <c r="M20" s="13"/>
      <c r="N20" s="13"/>
      <c r="O20" s="53">
        <f t="shared" si="1"/>
        <v>2424250</v>
      </c>
      <c r="P20" s="13">
        <v>4050000</v>
      </c>
      <c r="Q20" s="54">
        <f t="shared" si="2"/>
        <v>1625750</v>
      </c>
      <c r="R20" s="5"/>
    </row>
    <row r="21" spans="1:18" ht="22.5" customHeight="1" x14ac:dyDescent="0.25">
      <c r="A21" s="25">
        <v>14</v>
      </c>
      <c r="B21" s="120">
        <v>44757</v>
      </c>
      <c r="C21" s="10" t="s">
        <v>776</v>
      </c>
      <c r="D21" s="25" t="s">
        <v>2892</v>
      </c>
      <c r="E21" s="10" t="s">
        <v>799</v>
      </c>
      <c r="F21" s="8"/>
      <c r="G21" s="8">
        <v>75</v>
      </c>
      <c r="H21" s="13">
        <f t="shared" si="3"/>
        <v>1994250</v>
      </c>
      <c r="I21" s="8"/>
      <c r="J21" s="13">
        <v>430000</v>
      </c>
      <c r="K21" s="28"/>
      <c r="L21" s="29"/>
      <c r="M21" s="13"/>
      <c r="N21" s="13"/>
      <c r="O21" s="53">
        <f t="shared" si="1"/>
        <v>2424250</v>
      </c>
      <c r="P21" s="13">
        <v>4050000</v>
      </c>
      <c r="Q21" s="54">
        <f t="shared" si="2"/>
        <v>1625750</v>
      </c>
      <c r="R21" s="5"/>
    </row>
    <row r="22" spans="1:18" ht="27" customHeight="1" x14ac:dyDescent="0.25">
      <c r="A22" s="25">
        <v>15</v>
      </c>
      <c r="B22" s="120">
        <v>44760</v>
      </c>
      <c r="C22" s="10" t="s">
        <v>2875</v>
      </c>
      <c r="D22" s="25" t="s">
        <v>2893</v>
      </c>
      <c r="E22" s="10" t="s">
        <v>799</v>
      </c>
      <c r="F22" s="8"/>
      <c r="G22" s="8">
        <v>75</v>
      </c>
      <c r="H22" s="13">
        <f t="shared" si="3"/>
        <v>1994250</v>
      </c>
      <c r="I22" s="8"/>
      <c r="J22" s="13">
        <v>430000</v>
      </c>
      <c r="K22" s="28"/>
      <c r="L22" s="29"/>
      <c r="M22" s="13"/>
      <c r="N22" s="13"/>
      <c r="O22" s="53">
        <f t="shared" si="1"/>
        <v>2424250</v>
      </c>
      <c r="P22" s="13">
        <v>4050000</v>
      </c>
      <c r="Q22" s="54">
        <f t="shared" si="2"/>
        <v>1625750</v>
      </c>
      <c r="R22" s="5"/>
    </row>
    <row r="23" spans="1:18" ht="28.5" customHeight="1" x14ac:dyDescent="0.25">
      <c r="A23" s="25">
        <v>16</v>
      </c>
      <c r="B23" s="120">
        <v>44761</v>
      </c>
      <c r="C23" s="10" t="s">
        <v>783</v>
      </c>
      <c r="D23" s="25" t="s">
        <v>2894</v>
      </c>
      <c r="E23" s="10" t="s">
        <v>2253</v>
      </c>
      <c r="F23" s="8"/>
      <c r="G23" s="8">
        <v>14</v>
      </c>
      <c r="H23" s="13">
        <f t="shared" si="3"/>
        <v>372260</v>
      </c>
      <c r="I23" s="8"/>
      <c r="J23" s="13">
        <v>300000</v>
      </c>
      <c r="K23" s="28"/>
      <c r="L23" s="29"/>
      <c r="M23" s="13"/>
      <c r="N23" s="13"/>
      <c r="O23" s="53">
        <f t="shared" si="1"/>
        <v>672260</v>
      </c>
      <c r="P23" s="13">
        <v>1750000</v>
      </c>
      <c r="Q23" s="54">
        <f t="shared" si="2"/>
        <v>1077740</v>
      </c>
      <c r="R23" s="5"/>
    </row>
    <row r="24" spans="1:18" ht="28.5" customHeight="1" x14ac:dyDescent="0.25">
      <c r="A24" s="25">
        <v>17</v>
      </c>
      <c r="B24" s="120">
        <v>44762</v>
      </c>
      <c r="C24" s="10" t="s">
        <v>2876</v>
      </c>
      <c r="D24" s="25" t="s">
        <v>2895</v>
      </c>
      <c r="E24" s="10" t="s">
        <v>2521</v>
      </c>
      <c r="F24" s="8"/>
      <c r="G24" s="8">
        <v>86</v>
      </c>
      <c r="H24" s="13">
        <f t="shared" si="3"/>
        <v>2286740</v>
      </c>
      <c r="I24" s="8"/>
      <c r="J24" s="13">
        <v>680000</v>
      </c>
      <c r="K24" s="28"/>
      <c r="L24" s="29"/>
      <c r="M24" s="13"/>
      <c r="N24" s="13"/>
      <c r="O24" s="13">
        <f t="shared" si="1"/>
        <v>2966740</v>
      </c>
      <c r="P24" s="13">
        <v>4500000</v>
      </c>
      <c r="Q24" s="54">
        <f t="shared" si="2"/>
        <v>1533260</v>
      </c>
      <c r="R24" s="5"/>
    </row>
    <row r="25" spans="1:18" ht="28.5" customHeight="1" x14ac:dyDescent="0.25">
      <c r="A25" s="25">
        <v>18</v>
      </c>
      <c r="B25" s="120">
        <v>44762</v>
      </c>
      <c r="C25" s="10" t="s">
        <v>1440</v>
      </c>
      <c r="D25" s="25" t="s">
        <v>2896</v>
      </c>
      <c r="E25" s="10" t="s">
        <v>112</v>
      </c>
      <c r="F25" s="8"/>
      <c r="G25" s="8">
        <v>233</v>
      </c>
      <c r="H25" s="13">
        <f>G25*24850</f>
        <v>5790050</v>
      </c>
      <c r="I25" s="8"/>
      <c r="J25" s="13">
        <v>2220000</v>
      </c>
      <c r="K25" s="28"/>
      <c r="L25" s="29"/>
      <c r="M25" s="13"/>
      <c r="N25" s="13"/>
      <c r="O25" s="13">
        <f t="shared" si="1"/>
        <v>8010050</v>
      </c>
      <c r="P25" s="13">
        <v>14490741</v>
      </c>
      <c r="Q25" s="54">
        <f t="shared" si="2"/>
        <v>6480691</v>
      </c>
      <c r="R25" s="5"/>
    </row>
    <row r="26" spans="1:18" ht="28.5" customHeight="1" x14ac:dyDescent="0.25">
      <c r="A26" s="25">
        <v>19</v>
      </c>
      <c r="B26" s="120">
        <v>44764</v>
      </c>
      <c r="C26" s="10" t="s">
        <v>1441</v>
      </c>
      <c r="D26" s="25" t="s">
        <v>2897</v>
      </c>
      <c r="E26" s="10" t="s">
        <v>736</v>
      </c>
      <c r="F26" s="8"/>
      <c r="G26" s="8">
        <v>82</v>
      </c>
      <c r="H26" s="13">
        <f t="shared" ref="H26:H34" si="4">G26*24850</f>
        <v>2037700</v>
      </c>
      <c r="I26" s="8"/>
      <c r="J26" s="13">
        <v>430000</v>
      </c>
      <c r="K26" s="28"/>
      <c r="L26" s="29"/>
      <c r="M26" s="13"/>
      <c r="N26" s="13"/>
      <c r="O26" s="13">
        <f t="shared" si="1"/>
        <v>2467700</v>
      </c>
      <c r="P26" s="13">
        <v>4100000</v>
      </c>
      <c r="Q26" s="54">
        <f t="shared" si="2"/>
        <v>1632300</v>
      </c>
      <c r="R26" s="5"/>
    </row>
    <row r="27" spans="1:18" ht="28.5" customHeight="1" x14ac:dyDescent="0.25">
      <c r="A27" s="25">
        <v>20</v>
      </c>
      <c r="B27" s="120">
        <v>44764</v>
      </c>
      <c r="C27" s="10" t="s">
        <v>2206</v>
      </c>
      <c r="D27" s="25" t="s">
        <v>2898</v>
      </c>
      <c r="E27" s="10" t="s">
        <v>1043</v>
      </c>
      <c r="F27" s="8"/>
      <c r="G27" s="8">
        <v>107</v>
      </c>
      <c r="H27" s="13">
        <f t="shared" si="4"/>
        <v>2658950</v>
      </c>
      <c r="I27" s="8"/>
      <c r="J27" s="13">
        <v>680000</v>
      </c>
      <c r="K27" s="28"/>
      <c r="L27" s="29"/>
      <c r="M27" s="13"/>
      <c r="N27" s="13"/>
      <c r="O27" s="13">
        <f t="shared" si="1"/>
        <v>3338950</v>
      </c>
      <c r="P27" s="13">
        <v>5416667</v>
      </c>
      <c r="Q27" s="54">
        <f t="shared" si="2"/>
        <v>2077717</v>
      </c>
      <c r="R27" s="5"/>
    </row>
    <row r="28" spans="1:18" ht="28.5" customHeight="1" x14ac:dyDescent="0.25">
      <c r="A28" s="25">
        <v>21</v>
      </c>
      <c r="B28" s="120">
        <v>44766</v>
      </c>
      <c r="C28" s="10" t="s">
        <v>2877</v>
      </c>
      <c r="D28" s="25" t="s">
        <v>2899</v>
      </c>
      <c r="E28" s="10" t="s">
        <v>2914</v>
      </c>
      <c r="F28" s="8"/>
      <c r="G28" s="8">
        <v>95</v>
      </c>
      <c r="H28" s="13">
        <f t="shared" si="4"/>
        <v>2360750</v>
      </c>
      <c r="I28" s="8"/>
      <c r="J28" s="13">
        <v>430000</v>
      </c>
      <c r="K28" s="28"/>
      <c r="L28" s="29"/>
      <c r="M28" s="13"/>
      <c r="N28" s="13"/>
      <c r="O28" s="13">
        <f t="shared" si="1"/>
        <v>2790750</v>
      </c>
      <c r="P28" s="13">
        <v>4500000</v>
      </c>
      <c r="Q28" s="54">
        <f t="shared" si="2"/>
        <v>1709250</v>
      </c>
      <c r="R28" s="5"/>
    </row>
    <row r="29" spans="1:18" ht="28.5" customHeight="1" x14ac:dyDescent="0.25">
      <c r="A29" s="25">
        <v>22</v>
      </c>
      <c r="B29" s="120">
        <v>44767</v>
      </c>
      <c r="C29" s="10" t="s">
        <v>23</v>
      </c>
      <c r="D29" s="25" t="s">
        <v>2900</v>
      </c>
      <c r="E29" s="10" t="s">
        <v>2915</v>
      </c>
      <c r="F29" s="8"/>
      <c r="G29" s="8">
        <v>38</v>
      </c>
      <c r="H29" s="13">
        <f t="shared" si="4"/>
        <v>944300</v>
      </c>
      <c r="I29" s="8"/>
      <c r="J29" s="13">
        <v>350000</v>
      </c>
      <c r="K29" s="28"/>
      <c r="L29" s="29"/>
      <c r="M29" s="13"/>
      <c r="N29" s="13"/>
      <c r="O29" s="13">
        <f t="shared" si="1"/>
        <v>1294300</v>
      </c>
      <c r="P29" s="13">
        <v>2800000</v>
      </c>
      <c r="Q29" s="54">
        <f t="shared" si="2"/>
        <v>1505700</v>
      </c>
      <c r="R29" s="5"/>
    </row>
    <row r="30" spans="1:18" ht="28.5" customHeight="1" x14ac:dyDescent="0.25">
      <c r="A30" s="25">
        <v>23</v>
      </c>
      <c r="B30" s="120">
        <v>44768</v>
      </c>
      <c r="C30" s="10" t="s">
        <v>2878</v>
      </c>
      <c r="D30" s="25" t="s">
        <v>2901</v>
      </c>
      <c r="E30" s="10" t="s">
        <v>2915</v>
      </c>
      <c r="F30" s="8"/>
      <c r="G30" s="8">
        <v>38</v>
      </c>
      <c r="H30" s="13">
        <f t="shared" si="4"/>
        <v>944300</v>
      </c>
      <c r="I30" s="8"/>
      <c r="J30" s="13">
        <v>350000</v>
      </c>
      <c r="K30" s="28"/>
      <c r="L30" s="29"/>
      <c r="M30" s="13"/>
      <c r="N30" s="13"/>
      <c r="O30" s="13">
        <f t="shared" si="1"/>
        <v>1294300</v>
      </c>
      <c r="P30" s="13">
        <v>2800000</v>
      </c>
      <c r="Q30" s="54">
        <f t="shared" si="2"/>
        <v>1505700</v>
      </c>
      <c r="R30" s="5"/>
    </row>
    <row r="31" spans="1:18" ht="28.5" customHeight="1" x14ac:dyDescent="0.25">
      <c r="A31" s="25">
        <v>24</v>
      </c>
      <c r="B31" s="120">
        <v>44768</v>
      </c>
      <c r="C31" s="10" t="s">
        <v>24</v>
      </c>
      <c r="D31" s="25" t="s">
        <v>2902</v>
      </c>
      <c r="E31" s="10" t="s">
        <v>2916</v>
      </c>
      <c r="F31" s="8"/>
      <c r="G31" s="8">
        <v>84</v>
      </c>
      <c r="H31" s="13">
        <f t="shared" si="4"/>
        <v>2087400</v>
      </c>
      <c r="I31" s="8"/>
      <c r="J31" s="13">
        <v>680000</v>
      </c>
      <c r="K31" s="28"/>
      <c r="L31" s="29"/>
      <c r="M31" s="13"/>
      <c r="N31" s="13"/>
      <c r="O31" s="13">
        <f t="shared" si="1"/>
        <v>2767400</v>
      </c>
      <c r="P31" s="13">
        <v>4800000</v>
      </c>
      <c r="Q31" s="54">
        <f t="shared" si="2"/>
        <v>2032600</v>
      </c>
      <c r="R31" s="5"/>
    </row>
    <row r="32" spans="1:18" ht="28.5" customHeight="1" x14ac:dyDescent="0.25">
      <c r="A32" s="25">
        <v>25</v>
      </c>
      <c r="B32" s="120">
        <v>44770</v>
      </c>
      <c r="C32" s="10" t="s">
        <v>2879</v>
      </c>
      <c r="D32" s="25" t="s">
        <v>2903</v>
      </c>
      <c r="E32" s="10" t="s">
        <v>112</v>
      </c>
      <c r="F32" s="8"/>
      <c r="G32" s="8">
        <v>233</v>
      </c>
      <c r="H32" s="13">
        <f t="shared" si="4"/>
        <v>5790050</v>
      </c>
      <c r="I32" s="8"/>
      <c r="J32" s="13">
        <v>2220000</v>
      </c>
      <c r="K32" s="28"/>
      <c r="L32" s="29"/>
      <c r="M32" s="13"/>
      <c r="N32" s="13"/>
      <c r="O32" s="13">
        <f t="shared" si="1"/>
        <v>8010050</v>
      </c>
      <c r="P32" s="13">
        <v>14120370</v>
      </c>
      <c r="Q32" s="54">
        <f t="shared" si="2"/>
        <v>6110320</v>
      </c>
      <c r="R32" s="5"/>
    </row>
    <row r="33" spans="1:18" ht="28.5" customHeight="1" x14ac:dyDescent="0.25">
      <c r="A33" s="25">
        <v>26</v>
      </c>
      <c r="B33" s="120">
        <v>44770</v>
      </c>
      <c r="C33" s="10" t="s">
        <v>803</v>
      </c>
      <c r="D33" s="25" t="s">
        <v>2904</v>
      </c>
      <c r="E33" s="10" t="s">
        <v>1661</v>
      </c>
      <c r="F33" s="8"/>
      <c r="G33" s="8">
        <v>107</v>
      </c>
      <c r="H33" s="13">
        <f t="shared" si="4"/>
        <v>2658950</v>
      </c>
      <c r="I33" s="8"/>
      <c r="J33" s="13">
        <v>770000</v>
      </c>
      <c r="K33" s="28"/>
      <c r="L33" s="29"/>
      <c r="M33" s="13"/>
      <c r="N33" s="13"/>
      <c r="O33" s="13">
        <f t="shared" si="1"/>
        <v>3428950</v>
      </c>
      <c r="P33" s="13">
        <v>5400000</v>
      </c>
      <c r="Q33" s="54">
        <f t="shared" si="2"/>
        <v>1971050</v>
      </c>
      <c r="R33" s="5"/>
    </row>
    <row r="34" spans="1:18" ht="28.5" customHeight="1" x14ac:dyDescent="0.25">
      <c r="A34" s="25">
        <v>27</v>
      </c>
      <c r="B34" s="120">
        <v>44771</v>
      </c>
      <c r="C34" s="10" t="s">
        <v>2880</v>
      </c>
      <c r="D34" s="25" t="s">
        <v>2905</v>
      </c>
      <c r="E34" s="10" t="s">
        <v>2917</v>
      </c>
      <c r="F34" s="8"/>
      <c r="G34" s="8">
        <v>96</v>
      </c>
      <c r="H34" s="13">
        <f t="shared" si="4"/>
        <v>2385600</v>
      </c>
      <c r="I34" s="8"/>
      <c r="J34" s="13">
        <v>680000</v>
      </c>
      <c r="K34" s="28"/>
      <c r="L34" s="29"/>
      <c r="M34" s="13"/>
      <c r="N34" s="13"/>
      <c r="O34" s="13">
        <f t="shared" si="1"/>
        <v>3065600</v>
      </c>
      <c r="P34" s="13">
        <v>4950000</v>
      </c>
      <c r="Q34" s="54">
        <f t="shared" si="2"/>
        <v>1884400</v>
      </c>
      <c r="R34" s="5"/>
    </row>
    <row r="35" spans="1:18" ht="24" customHeight="1" x14ac:dyDescent="0.25">
      <c r="A35" s="8"/>
      <c r="B35" s="8"/>
      <c r="C35" s="196" t="s">
        <v>131</v>
      </c>
      <c r="D35" s="197"/>
      <c r="E35" s="197"/>
      <c r="F35" s="198"/>
      <c r="G35" s="8"/>
      <c r="H35" s="13"/>
      <c r="I35" s="8"/>
      <c r="J35" s="13"/>
      <c r="K35" s="28">
        <v>1200000</v>
      </c>
      <c r="L35" s="28"/>
      <c r="M35" s="18"/>
      <c r="N35" s="28"/>
      <c r="O35" s="53">
        <f t="shared" ref="O35:O40" si="5">H35+J35+K35+L35+M35+N35</f>
        <v>1200000</v>
      </c>
      <c r="P35" s="28"/>
      <c r="Q35" s="54"/>
    </row>
    <row r="36" spans="1:18" ht="24" customHeight="1" x14ac:dyDescent="0.25">
      <c r="A36" s="8"/>
      <c r="B36" s="8"/>
      <c r="C36" s="196" t="s">
        <v>2923</v>
      </c>
      <c r="D36" s="197"/>
      <c r="E36" s="197"/>
      <c r="F36" s="198"/>
      <c r="G36" s="8"/>
      <c r="H36" s="13"/>
      <c r="I36" s="8"/>
      <c r="J36" s="13"/>
      <c r="K36" s="28"/>
      <c r="L36" s="28">
        <v>6687000</v>
      </c>
      <c r="M36" s="18"/>
      <c r="N36" s="28"/>
      <c r="O36" s="53">
        <f t="shared" si="5"/>
        <v>6687000</v>
      </c>
      <c r="P36" s="28"/>
      <c r="Q36" s="54"/>
    </row>
    <row r="37" spans="1:18" ht="24" customHeight="1" x14ac:dyDescent="0.25">
      <c r="A37" s="8"/>
      <c r="B37" s="8"/>
      <c r="C37" s="196" t="s">
        <v>2918</v>
      </c>
      <c r="D37" s="197"/>
      <c r="E37" s="197"/>
      <c r="F37" s="198"/>
      <c r="G37" s="30"/>
      <c r="H37" s="28"/>
      <c r="I37" s="30"/>
      <c r="J37" s="28"/>
      <c r="K37" s="28"/>
      <c r="L37" s="18">
        <v>4300000</v>
      </c>
      <c r="M37" s="18"/>
      <c r="N37" s="28"/>
      <c r="O37" s="53">
        <f t="shared" si="5"/>
        <v>4300000</v>
      </c>
      <c r="P37" s="28"/>
      <c r="Q37" s="54"/>
    </row>
    <row r="38" spans="1:18" ht="24" customHeight="1" x14ac:dyDescent="0.25">
      <c r="A38" s="8"/>
      <c r="B38" s="8"/>
      <c r="C38" s="196" t="s">
        <v>2919</v>
      </c>
      <c r="D38" s="197"/>
      <c r="E38" s="197"/>
      <c r="F38" s="198"/>
      <c r="G38" s="30"/>
      <c r="H38" s="28"/>
      <c r="I38" s="30"/>
      <c r="J38" s="28"/>
      <c r="K38" s="28"/>
      <c r="L38" s="28">
        <v>100000</v>
      </c>
      <c r="M38" s="28"/>
      <c r="N38" s="28"/>
      <c r="O38" s="53">
        <f t="shared" si="5"/>
        <v>100000</v>
      </c>
      <c r="P38" s="28"/>
      <c r="Q38" s="54"/>
    </row>
    <row r="39" spans="1:18" ht="24" customHeight="1" x14ac:dyDescent="0.25">
      <c r="A39" s="8"/>
      <c r="B39" s="8"/>
      <c r="C39" s="196" t="s">
        <v>2920</v>
      </c>
      <c r="D39" s="197"/>
      <c r="E39" s="197"/>
      <c r="F39" s="198"/>
      <c r="G39" s="30"/>
      <c r="H39" s="28"/>
      <c r="I39" s="30"/>
      <c r="J39" s="28"/>
      <c r="K39" s="28"/>
      <c r="L39" s="28">
        <v>1300000</v>
      </c>
      <c r="M39" s="28"/>
      <c r="N39" s="28"/>
      <c r="O39" s="53">
        <f t="shared" si="5"/>
        <v>1300000</v>
      </c>
      <c r="P39" s="28"/>
      <c r="Q39" s="54"/>
    </row>
    <row r="40" spans="1:18" ht="24" customHeight="1" x14ac:dyDescent="0.25">
      <c r="A40" s="8"/>
      <c r="B40" s="8"/>
      <c r="C40" s="196" t="s">
        <v>2922</v>
      </c>
      <c r="D40" s="197"/>
      <c r="E40" s="197"/>
      <c r="F40" s="198"/>
      <c r="G40" s="30"/>
      <c r="H40" s="28"/>
      <c r="I40" s="30"/>
      <c r="J40" s="28"/>
      <c r="K40" s="28"/>
      <c r="L40" s="28">
        <v>11600000</v>
      </c>
      <c r="M40" s="28"/>
      <c r="N40" s="28"/>
      <c r="O40" s="53">
        <f t="shared" si="5"/>
        <v>11600000</v>
      </c>
      <c r="P40" s="28"/>
      <c r="Q40" s="54"/>
    </row>
    <row r="41" spans="1:18" ht="25.5" customHeight="1" x14ac:dyDescent="0.25">
      <c r="A41" s="8"/>
      <c r="B41" s="8"/>
      <c r="C41" s="191" t="s">
        <v>2763</v>
      </c>
      <c r="D41" s="192"/>
      <c r="E41" s="192"/>
      <c r="F41" s="195"/>
      <c r="G41" s="30"/>
      <c r="H41" s="28"/>
      <c r="I41" s="30"/>
      <c r="J41" s="28"/>
      <c r="K41" s="28">
        <v>9000000</v>
      </c>
      <c r="L41" s="18"/>
      <c r="M41" s="18"/>
      <c r="N41" s="28"/>
      <c r="O41" s="53">
        <f>H41+J41+K41+L41+M41+N41</f>
        <v>9000000</v>
      </c>
      <c r="P41" s="28"/>
      <c r="Q41" s="54"/>
    </row>
    <row r="42" spans="1:18" ht="15" customHeight="1" x14ac:dyDescent="0.25">
      <c r="A42" s="166" t="s">
        <v>19</v>
      </c>
      <c r="B42" s="167"/>
      <c r="C42" s="167"/>
      <c r="D42" s="167"/>
      <c r="E42" s="167"/>
      <c r="F42" s="168"/>
      <c r="G42" s="131">
        <f t="shared" ref="G42:O42" si="6">SUM(G7:G41)</f>
        <v>2417</v>
      </c>
      <c r="H42" s="4">
        <f t="shared" si="6"/>
        <v>64176630</v>
      </c>
      <c r="I42" s="4">
        <f t="shared" si="6"/>
        <v>0</v>
      </c>
      <c r="J42" s="4">
        <f t="shared" si="6"/>
        <v>18680000</v>
      </c>
      <c r="K42" s="4">
        <f t="shared" si="6"/>
        <v>10200000</v>
      </c>
      <c r="L42" s="4">
        <f t="shared" si="6"/>
        <v>23987000</v>
      </c>
      <c r="M42" s="4">
        <f t="shared" si="6"/>
        <v>0</v>
      </c>
      <c r="N42" s="4">
        <f t="shared" si="6"/>
        <v>0</v>
      </c>
      <c r="O42" s="4">
        <f t="shared" si="6"/>
        <v>117043630</v>
      </c>
      <c r="P42" s="4">
        <f>SUM(P8:P41)</f>
        <v>137423334</v>
      </c>
      <c r="Q42" s="122">
        <f>P42-O42</f>
        <v>20379704</v>
      </c>
    </row>
    <row r="43" spans="1:18" x14ac:dyDescent="0.25">
      <c r="O43" s="20"/>
      <c r="P43" s="5" t="s">
        <v>1796</v>
      </c>
      <c r="Q43" s="26"/>
    </row>
    <row r="44" spans="1:18" x14ac:dyDescent="0.25">
      <c r="P44" s="21" t="s">
        <v>20</v>
      </c>
      <c r="Q44" s="26">
        <f>'06.2022'!Q39+'07.2022'!Q42</f>
        <v>165729989</v>
      </c>
    </row>
    <row r="45" spans="1:18" x14ac:dyDescent="0.25">
      <c r="C45" s="6" t="s">
        <v>993</v>
      </c>
    </row>
    <row r="46" spans="1:18" x14ac:dyDescent="0.25">
      <c r="C46" s="205"/>
      <c r="D46" s="205"/>
      <c r="E46" s="205"/>
      <c r="F46" s="205"/>
      <c r="H46" s="109"/>
    </row>
    <row r="47" spans="1:18" x14ac:dyDescent="0.25">
      <c r="C47" s="206"/>
      <c r="D47" s="206"/>
      <c r="E47" s="206"/>
      <c r="F47" s="206"/>
      <c r="H47" s="109"/>
    </row>
    <row r="48" spans="1:18" x14ac:dyDescent="0.25">
      <c r="B48" s="6"/>
      <c r="C48" s="110"/>
      <c r="D48" s="110"/>
      <c r="E48" s="110"/>
      <c r="F48" s="110"/>
      <c r="G48" s="133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G51" s="133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27">
    <mergeCell ref="Q5:Q6"/>
    <mergeCell ref="C35:F35"/>
    <mergeCell ref="C36:F36"/>
    <mergeCell ref="C37:F3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38:F38"/>
    <mergeCell ref="C39:F39"/>
    <mergeCell ref="C41:F41"/>
    <mergeCell ref="O5:O6"/>
    <mergeCell ref="P5:P6"/>
    <mergeCell ref="C40:F40"/>
    <mergeCell ref="C53:F53"/>
    <mergeCell ref="A42:F42"/>
    <mergeCell ref="C46:F46"/>
    <mergeCell ref="C47:F47"/>
    <mergeCell ref="C49:F49"/>
    <mergeCell ref="C50:F50"/>
    <mergeCell ref="C51:F51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BC68-47B1-4930-8F1E-03D834B9AA7D}">
  <dimension ref="A1:R51"/>
  <sheetViews>
    <sheetView topLeftCell="D11" workbookViewId="0">
      <selection activeCell="P33" sqref="P3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2936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44846</v>
      </c>
      <c r="C8" s="10" t="s">
        <v>2924</v>
      </c>
      <c r="D8" s="25" t="s">
        <v>2937</v>
      </c>
      <c r="E8" s="10" t="s">
        <v>2952</v>
      </c>
      <c r="F8" s="8"/>
      <c r="G8" s="8">
        <v>22</v>
      </c>
      <c r="H8" s="13">
        <f>24180*G8</f>
        <v>531960</v>
      </c>
      <c r="I8" s="8"/>
      <c r="J8" s="13">
        <v>400000</v>
      </c>
      <c r="K8" s="28"/>
      <c r="L8" s="29"/>
      <c r="M8" s="13"/>
      <c r="N8" s="13"/>
      <c r="O8" s="53">
        <f>H8+J8+K8+L8+M8+N8</f>
        <v>931960</v>
      </c>
      <c r="P8" s="13">
        <v>1800000</v>
      </c>
      <c r="Q8" s="54">
        <f>P8-O8</f>
        <v>868040</v>
      </c>
      <c r="R8" s="5"/>
    </row>
    <row r="9" spans="1:18" ht="17.25" customHeight="1" x14ac:dyDescent="0.25">
      <c r="A9" s="25">
        <v>2</v>
      </c>
      <c r="B9" s="120">
        <v>44846</v>
      </c>
      <c r="C9" s="10" t="s">
        <v>1618</v>
      </c>
      <c r="D9" s="129" t="s">
        <v>2938</v>
      </c>
      <c r="E9" s="9" t="s">
        <v>112</v>
      </c>
      <c r="F9" s="117"/>
      <c r="G9" s="6">
        <v>233</v>
      </c>
      <c r="H9" s="13">
        <f t="shared" ref="H9:H13" si="0">24180*G9</f>
        <v>5633940</v>
      </c>
      <c r="I9" s="117"/>
      <c r="J9" s="119">
        <v>2095000</v>
      </c>
      <c r="K9" s="28"/>
      <c r="L9" s="29"/>
      <c r="M9" s="13"/>
      <c r="N9" s="13"/>
      <c r="O9" s="53">
        <f t="shared" ref="O9:O38" si="1">H9+J9+K9+L9+M9+N9</f>
        <v>7728940</v>
      </c>
      <c r="P9" s="13">
        <v>13981481</v>
      </c>
      <c r="Q9" s="54">
        <f t="shared" ref="Q9:Q22" si="2">P9-O9</f>
        <v>6252541</v>
      </c>
      <c r="R9" s="5"/>
    </row>
    <row r="10" spans="1:18" ht="24.75" customHeight="1" x14ac:dyDescent="0.25">
      <c r="A10" s="25">
        <v>3</v>
      </c>
      <c r="B10" s="120">
        <v>44848</v>
      </c>
      <c r="C10" s="10" t="s">
        <v>2925</v>
      </c>
      <c r="D10" s="25" t="s">
        <v>2939</v>
      </c>
      <c r="E10" s="10" t="s">
        <v>494</v>
      </c>
      <c r="F10" s="8"/>
      <c r="G10" s="8">
        <v>99</v>
      </c>
      <c r="H10" s="13">
        <f t="shared" si="0"/>
        <v>2393820</v>
      </c>
      <c r="I10" s="8"/>
      <c r="J10" s="13">
        <v>680000</v>
      </c>
      <c r="K10" s="28"/>
      <c r="L10" s="29"/>
      <c r="M10" s="13"/>
      <c r="N10" s="13"/>
      <c r="O10" s="53">
        <f>H10+J10+K10+L10+M10+N10</f>
        <v>3073820</v>
      </c>
      <c r="P10" s="13">
        <v>4600000</v>
      </c>
      <c r="Q10" s="54">
        <f t="shared" si="2"/>
        <v>1526180</v>
      </c>
      <c r="R10" s="5"/>
    </row>
    <row r="11" spans="1:18" ht="27.75" customHeight="1" x14ac:dyDescent="0.25">
      <c r="A11" s="25">
        <v>4</v>
      </c>
      <c r="B11" s="120">
        <v>44849</v>
      </c>
      <c r="C11" s="10" t="s">
        <v>2926</v>
      </c>
      <c r="D11" s="25" t="s">
        <v>2940</v>
      </c>
      <c r="E11" s="10" t="s">
        <v>1043</v>
      </c>
      <c r="F11" s="8"/>
      <c r="G11" s="8">
        <v>108</v>
      </c>
      <c r="H11" s="13">
        <f t="shared" si="0"/>
        <v>2611440</v>
      </c>
      <c r="I11" s="8"/>
      <c r="J11" s="13">
        <v>680000</v>
      </c>
      <c r="K11" s="28"/>
      <c r="L11" s="29"/>
      <c r="M11" s="13"/>
      <c r="N11" s="13"/>
      <c r="O11" s="53">
        <f t="shared" si="1"/>
        <v>3291440</v>
      </c>
      <c r="P11" s="13">
        <v>5509259</v>
      </c>
      <c r="Q11" s="54">
        <f t="shared" si="2"/>
        <v>2217819</v>
      </c>
      <c r="R11" s="5"/>
    </row>
    <row r="12" spans="1:18" ht="27.75" customHeight="1" x14ac:dyDescent="0.25">
      <c r="A12" s="25">
        <v>5</v>
      </c>
      <c r="B12" s="120">
        <v>44851</v>
      </c>
      <c r="C12" s="10" t="s">
        <v>2927</v>
      </c>
      <c r="D12" s="25" t="s">
        <v>2941</v>
      </c>
      <c r="E12" s="10" t="s">
        <v>1043</v>
      </c>
      <c r="F12" s="8"/>
      <c r="G12" s="8">
        <v>108</v>
      </c>
      <c r="H12" s="13">
        <f t="shared" si="0"/>
        <v>2611440</v>
      </c>
      <c r="I12" s="8"/>
      <c r="J12" s="13">
        <v>680000</v>
      </c>
      <c r="K12" s="28"/>
      <c r="L12" s="29"/>
      <c r="M12" s="13"/>
      <c r="N12" s="13"/>
      <c r="O12" s="53">
        <f t="shared" si="1"/>
        <v>3291440</v>
      </c>
      <c r="P12" s="13">
        <v>5509259</v>
      </c>
      <c r="Q12" s="54">
        <f t="shared" si="2"/>
        <v>2217819</v>
      </c>
      <c r="R12" s="5"/>
    </row>
    <row r="13" spans="1:18" ht="27.75" customHeight="1" x14ac:dyDescent="0.25">
      <c r="A13" s="25">
        <v>6</v>
      </c>
      <c r="B13" s="120">
        <v>44852</v>
      </c>
      <c r="C13" s="10" t="s">
        <v>1622</v>
      </c>
      <c r="D13" s="25" t="s">
        <v>2942</v>
      </c>
      <c r="E13" s="10" t="s">
        <v>2953</v>
      </c>
      <c r="F13" s="8"/>
      <c r="G13" s="8">
        <v>105</v>
      </c>
      <c r="H13" s="13">
        <f t="shared" si="0"/>
        <v>2538900</v>
      </c>
      <c r="I13" s="8"/>
      <c r="J13" s="13">
        <v>430000</v>
      </c>
      <c r="K13" s="28"/>
      <c r="L13" s="29"/>
      <c r="M13" s="13"/>
      <c r="N13" s="13"/>
      <c r="O13" s="53">
        <f t="shared" si="1"/>
        <v>2968900</v>
      </c>
      <c r="P13" s="13">
        <v>4600000</v>
      </c>
      <c r="Q13" s="54">
        <f t="shared" si="2"/>
        <v>1631100</v>
      </c>
      <c r="R13" s="5"/>
    </row>
    <row r="14" spans="1:18" ht="27.75" customHeight="1" x14ac:dyDescent="0.25">
      <c r="A14" s="25">
        <v>7</v>
      </c>
      <c r="B14" s="120">
        <v>44853</v>
      </c>
      <c r="C14" s="10" t="s">
        <v>2928</v>
      </c>
      <c r="D14" s="25" t="s">
        <v>2943</v>
      </c>
      <c r="E14" s="10" t="s">
        <v>2954</v>
      </c>
      <c r="F14" s="8"/>
      <c r="G14" s="8">
        <v>300</v>
      </c>
      <c r="H14" s="13">
        <f>G14*24780</f>
        <v>7434000</v>
      </c>
      <c r="I14" s="8"/>
      <c r="J14" s="13">
        <v>2300000</v>
      </c>
      <c r="K14" s="28"/>
      <c r="L14" s="29"/>
      <c r="M14" s="13"/>
      <c r="N14" s="13"/>
      <c r="O14" s="53">
        <f>H14+J14+K14+L14+M14+N14</f>
        <v>9734000</v>
      </c>
      <c r="P14" s="13">
        <v>21150000</v>
      </c>
      <c r="Q14" s="54">
        <f t="shared" si="2"/>
        <v>11416000</v>
      </c>
      <c r="R14" s="5"/>
    </row>
    <row r="15" spans="1:18" ht="27.75" customHeight="1" x14ac:dyDescent="0.25">
      <c r="A15" s="25">
        <v>8</v>
      </c>
      <c r="B15" s="120">
        <v>44856</v>
      </c>
      <c r="C15" s="10" t="s">
        <v>2929</v>
      </c>
      <c r="D15" s="25" t="s">
        <v>2944</v>
      </c>
      <c r="E15" s="10" t="s">
        <v>2248</v>
      </c>
      <c r="F15" s="8"/>
      <c r="G15" s="8">
        <v>107</v>
      </c>
      <c r="H15" s="13">
        <f t="shared" ref="H15:H22" si="3">G15*24780</f>
        <v>2651460</v>
      </c>
      <c r="I15" s="8"/>
      <c r="J15" s="119">
        <v>680000</v>
      </c>
      <c r="K15" s="28"/>
      <c r="L15" s="29"/>
      <c r="M15" s="13"/>
      <c r="N15" s="13"/>
      <c r="O15" s="53">
        <f t="shared" si="1"/>
        <v>3331460</v>
      </c>
      <c r="P15" s="13">
        <v>5400000</v>
      </c>
      <c r="Q15" s="54">
        <f t="shared" si="2"/>
        <v>2068540</v>
      </c>
      <c r="R15" s="5"/>
    </row>
    <row r="16" spans="1:18" ht="27.75" customHeight="1" x14ac:dyDescent="0.25">
      <c r="A16" s="25">
        <v>9</v>
      </c>
      <c r="B16" s="120">
        <v>44858</v>
      </c>
      <c r="C16" s="10" t="s">
        <v>2930</v>
      </c>
      <c r="D16" s="25" t="s">
        <v>2945</v>
      </c>
      <c r="E16" s="10" t="s">
        <v>2955</v>
      </c>
      <c r="F16" s="8"/>
      <c r="G16" s="8">
        <v>141</v>
      </c>
      <c r="H16" s="13">
        <f t="shared" si="3"/>
        <v>3493980</v>
      </c>
      <c r="I16" s="8"/>
      <c r="J16" s="13">
        <v>930000</v>
      </c>
      <c r="K16" s="28"/>
      <c r="L16" s="29"/>
      <c r="M16" s="13"/>
      <c r="N16" s="13"/>
      <c r="O16" s="53">
        <f t="shared" si="1"/>
        <v>4423980</v>
      </c>
      <c r="P16" s="13">
        <v>6400000</v>
      </c>
      <c r="Q16" s="54">
        <f t="shared" si="2"/>
        <v>1976020</v>
      </c>
      <c r="R16" s="5"/>
    </row>
    <row r="17" spans="1:18" ht="27.75" customHeight="1" x14ac:dyDescent="0.25">
      <c r="A17" s="25">
        <v>10</v>
      </c>
      <c r="B17" s="120">
        <v>44860</v>
      </c>
      <c r="C17" s="10" t="s">
        <v>221</v>
      </c>
      <c r="D17" s="25" t="s">
        <v>2946</v>
      </c>
      <c r="E17" s="10" t="s">
        <v>2858</v>
      </c>
      <c r="F17" s="8"/>
      <c r="G17" s="8">
        <v>100</v>
      </c>
      <c r="H17" s="13">
        <f t="shared" si="3"/>
        <v>2478000</v>
      </c>
      <c r="I17" s="8"/>
      <c r="J17" s="13">
        <v>680000</v>
      </c>
      <c r="K17" s="28"/>
      <c r="L17" s="29"/>
      <c r="M17" s="13"/>
      <c r="N17" s="13"/>
      <c r="O17" s="53">
        <f t="shared" si="1"/>
        <v>3158000</v>
      </c>
      <c r="P17" s="13">
        <v>4700000</v>
      </c>
      <c r="Q17" s="54">
        <f t="shared" si="2"/>
        <v>1542000</v>
      </c>
      <c r="R17" s="5"/>
    </row>
    <row r="18" spans="1:18" ht="22.5" customHeight="1" x14ac:dyDescent="0.25">
      <c r="A18" s="25">
        <v>11</v>
      </c>
      <c r="B18" s="120">
        <v>44860</v>
      </c>
      <c r="C18" s="10" t="s">
        <v>2931</v>
      </c>
      <c r="D18" s="25" t="s">
        <v>2947</v>
      </c>
      <c r="E18" s="10" t="s">
        <v>2956</v>
      </c>
      <c r="F18" s="8"/>
      <c r="G18" s="8">
        <v>54</v>
      </c>
      <c r="H18" s="13">
        <f t="shared" si="3"/>
        <v>1338120</v>
      </c>
      <c r="I18" s="8"/>
      <c r="J18" s="13">
        <v>430000</v>
      </c>
      <c r="K18" s="28"/>
      <c r="L18" s="29"/>
      <c r="M18" s="13"/>
      <c r="N18" s="13"/>
      <c r="O18" s="53">
        <f t="shared" si="1"/>
        <v>1768120</v>
      </c>
      <c r="P18" s="13">
        <v>2800000</v>
      </c>
      <c r="Q18" s="54">
        <f t="shared" si="2"/>
        <v>1031880</v>
      </c>
      <c r="R18" s="5"/>
    </row>
    <row r="19" spans="1:18" ht="22.5" customHeight="1" x14ac:dyDescent="0.25">
      <c r="A19" s="25">
        <v>12</v>
      </c>
      <c r="B19" s="120">
        <v>44860</v>
      </c>
      <c r="C19" s="10" t="s">
        <v>2932</v>
      </c>
      <c r="D19" s="25" t="s">
        <v>2948</v>
      </c>
      <c r="E19" s="10" t="s">
        <v>2957</v>
      </c>
      <c r="F19" s="8"/>
      <c r="G19" s="8">
        <v>61</v>
      </c>
      <c r="H19" s="13">
        <f t="shared" si="3"/>
        <v>1511580</v>
      </c>
      <c r="I19" s="8"/>
      <c r="J19" s="13">
        <v>430000</v>
      </c>
      <c r="K19" s="28"/>
      <c r="L19" s="29"/>
      <c r="M19" s="13"/>
      <c r="N19" s="13"/>
      <c r="O19" s="53">
        <f t="shared" si="1"/>
        <v>1941580</v>
      </c>
      <c r="P19" s="13">
        <v>3200000</v>
      </c>
      <c r="Q19" s="54">
        <f t="shared" si="2"/>
        <v>1258420</v>
      </c>
      <c r="R19" s="5"/>
    </row>
    <row r="20" spans="1:18" ht="22.5" customHeight="1" x14ac:dyDescent="0.25">
      <c r="A20" s="25">
        <v>13</v>
      </c>
      <c r="B20" s="120">
        <v>44861</v>
      </c>
      <c r="C20" s="10" t="s">
        <v>2933</v>
      </c>
      <c r="D20" s="25" t="s">
        <v>2949</v>
      </c>
      <c r="E20" s="10" t="s">
        <v>2958</v>
      </c>
      <c r="F20" s="8"/>
      <c r="G20" s="8">
        <v>91</v>
      </c>
      <c r="H20" s="13">
        <f t="shared" si="3"/>
        <v>2254980</v>
      </c>
      <c r="I20" s="8"/>
      <c r="J20" s="13">
        <f>730000+100000</f>
        <v>830000</v>
      </c>
      <c r="K20" s="28"/>
      <c r="L20" s="29"/>
      <c r="M20" s="13"/>
      <c r="N20" s="13"/>
      <c r="O20" s="53">
        <f t="shared" si="1"/>
        <v>3084980</v>
      </c>
      <c r="P20" s="13">
        <v>4800000</v>
      </c>
      <c r="Q20" s="54">
        <f t="shared" si="2"/>
        <v>1715020</v>
      </c>
      <c r="R20" s="5"/>
    </row>
    <row r="21" spans="1:18" ht="22.5" customHeight="1" x14ac:dyDescent="0.25">
      <c r="A21" s="25">
        <v>14</v>
      </c>
      <c r="B21" s="120">
        <v>44863</v>
      </c>
      <c r="C21" s="10" t="s">
        <v>2934</v>
      </c>
      <c r="D21" s="25" t="s">
        <v>2950</v>
      </c>
      <c r="E21" s="10" t="s">
        <v>1043</v>
      </c>
      <c r="F21" s="8"/>
      <c r="G21" s="8">
        <v>118</v>
      </c>
      <c r="H21" s="13">
        <f t="shared" si="3"/>
        <v>2924040</v>
      </c>
      <c r="I21" s="8"/>
      <c r="J21" s="13">
        <v>680000</v>
      </c>
      <c r="K21" s="28"/>
      <c r="L21" s="29"/>
      <c r="M21" s="13"/>
      <c r="N21" s="13"/>
      <c r="O21" s="53">
        <f t="shared" si="1"/>
        <v>3604040</v>
      </c>
      <c r="P21" s="13">
        <v>5879630</v>
      </c>
      <c r="Q21" s="54">
        <f t="shared" si="2"/>
        <v>2275590</v>
      </c>
      <c r="R21" s="5"/>
    </row>
    <row r="22" spans="1:18" ht="27" customHeight="1" x14ac:dyDescent="0.25">
      <c r="A22" s="25">
        <v>15</v>
      </c>
      <c r="B22" s="120">
        <v>44864</v>
      </c>
      <c r="C22" s="10" t="s">
        <v>2935</v>
      </c>
      <c r="D22" s="25" t="s">
        <v>2951</v>
      </c>
      <c r="E22" s="10" t="s">
        <v>1043</v>
      </c>
      <c r="F22" s="8"/>
      <c r="G22" s="8">
        <v>118</v>
      </c>
      <c r="H22" s="13">
        <f t="shared" si="3"/>
        <v>2924040</v>
      </c>
      <c r="I22" s="8"/>
      <c r="J22" s="13">
        <v>680000</v>
      </c>
      <c r="K22" s="28"/>
      <c r="L22" s="29"/>
      <c r="M22" s="13"/>
      <c r="N22" s="13"/>
      <c r="O22" s="53">
        <f t="shared" si="1"/>
        <v>3604040</v>
      </c>
      <c r="P22" s="13">
        <v>5879630</v>
      </c>
      <c r="Q22" s="54">
        <f t="shared" si="2"/>
        <v>2275590</v>
      </c>
      <c r="R22" s="5"/>
    </row>
    <row r="23" spans="1:18" ht="24" customHeight="1" x14ac:dyDescent="0.25">
      <c r="A23" s="8"/>
      <c r="B23" s="8"/>
      <c r="C23" s="196" t="s">
        <v>131</v>
      </c>
      <c r="D23" s="197"/>
      <c r="E23" s="197"/>
      <c r="F23" s="198"/>
      <c r="G23" s="8"/>
      <c r="H23" s="13"/>
      <c r="I23" s="8"/>
      <c r="J23" s="13"/>
      <c r="K23" s="90">
        <v>1200000</v>
      </c>
      <c r="L23" s="28"/>
      <c r="M23" s="18"/>
      <c r="N23" s="28"/>
      <c r="O23" s="53">
        <f t="shared" si="1"/>
        <v>1200000</v>
      </c>
      <c r="P23" s="28"/>
      <c r="Q23" s="54"/>
    </row>
    <row r="24" spans="1:18" ht="24" customHeight="1" x14ac:dyDescent="0.25">
      <c r="A24" s="8"/>
      <c r="B24" s="8"/>
      <c r="C24" s="196" t="s">
        <v>3019</v>
      </c>
      <c r="D24" s="197"/>
      <c r="E24" s="197"/>
      <c r="F24" s="198"/>
      <c r="G24" s="8"/>
      <c r="H24" s="13"/>
      <c r="I24" s="8"/>
      <c r="J24" s="13"/>
      <c r="K24" s="28"/>
      <c r="L24" s="28">
        <v>5392000</v>
      </c>
      <c r="M24" s="18"/>
      <c r="N24" s="28"/>
      <c r="O24" s="53">
        <f t="shared" si="1"/>
        <v>5392000</v>
      </c>
      <c r="P24" s="28"/>
      <c r="Q24" s="54"/>
    </row>
    <row r="25" spans="1:18" ht="24" customHeight="1" x14ac:dyDescent="0.25">
      <c r="A25" s="8"/>
      <c r="B25" s="8"/>
      <c r="C25" s="196" t="s">
        <v>2959</v>
      </c>
      <c r="D25" s="197"/>
      <c r="E25" s="197"/>
      <c r="F25" s="198"/>
      <c r="G25" s="30"/>
      <c r="H25" s="28"/>
      <c r="I25" s="30"/>
      <c r="J25" s="28"/>
      <c r="K25" s="28"/>
      <c r="L25" s="90">
        <v>220000</v>
      </c>
      <c r="M25" s="18"/>
      <c r="N25" s="28"/>
      <c r="O25" s="53">
        <f t="shared" si="1"/>
        <v>220000</v>
      </c>
      <c r="P25" s="28"/>
      <c r="Q25" s="54"/>
    </row>
    <row r="26" spans="1:18" ht="24" customHeight="1" x14ac:dyDescent="0.25">
      <c r="A26" s="8"/>
      <c r="B26" s="8"/>
      <c r="C26" s="196" t="s">
        <v>2960</v>
      </c>
      <c r="D26" s="197"/>
      <c r="E26" s="197"/>
      <c r="F26" s="198"/>
      <c r="G26" s="30"/>
      <c r="H26" s="28"/>
      <c r="I26" s="30"/>
      <c r="J26" s="28"/>
      <c r="K26" s="28"/>
      <c r="L26" s="90">
        <v>100000</v>
      </c>
      <c r="M26" s="28"/>
      <c r="N26" s="28"/>
      <c r="O26" s="53">
        <f t="shared" si="1"/>
        <v>100000</v>
      </c>
      <c r="P26" s="28"/>
      <c r="Q26" s="54"/>
    </row>
    <row r="27" spans="1:18" ht="24" customHeight="1" x14ac:dyDescent="0.25">
      <c r="A27" s="8"/>
      <c r="B27" s="8"/>
      <c r="C27" s="196" t="s">
        <v>2961</v>
      </c>
      <c r="D27" s="197"/>
      <c r="E27" s="197"/>
      <c r="F27" s="198"/>
      <c r="G27" s="30"/>
      <c r="H27" s="28"/>
      <c r="I27" s="30"/>
      <c r="J27" s="28"/>
      <c r="K27" s="28"/>
      <c r="L27" s="90">
        <v>500000</v>
      </c>
      <c r="M27" s="28"/>
      <c r="N27" s="28"/>
      <c r="O27" s="53">
        <f t="shared" si="1"/>
        <v>500000</v>
      </c>
      <c r="P27" s="28"/>
      <c r="Q27" s="54"/>
    </row>
    <row r="28" spans="1:18" ht="24" customHeight="1" x14ac:dyDescent="0.25">
      <c r="A28" s="8"/>
      <c r="B28" s="8"/>
      <c r="C28" s="196" t="s">
        <v>2962</v>
      </c>
      <c r="D28" s="197"/>
      <c r="E28" s="197"/>
      <c r="F28" s="198"/>
      <c r="G28" s="30"/>
      <c r="H28" s="28"/>
      <c r="I28" s="30"/>
      <c r="J28" s="28"/>
      <c r="K28" s="28"/>
      <c r="L28" s="90">
        <v>10600000</v>
      </c>
      <c r="M28" s="28"/>
      <c r="N28" s="28"/>
      <c r="O28" s="53">
        <f t="shared" si="1"/>
        <v>10600000</v>
      </c>
      <c r="P28" s="28"/>
      <c r="Q28" s="54"/>
    </row>
    <row r="29" spans="1:18" ht="24" customHeight="1" x14ac:dyDescent="0.25">
      <c r="A29" s="8"/>
      <c r="B29" s="8"/>
      <c r="C29" s="196" t="s">
        <v>2963</v>
      </c>
      <c r="D29" s="197"/>
      <c r="E29" s="197"/>
      <c r="F29" s="198"/>
      <c r="G29" s="30"/>
      <c r="H29" s="28"/>
      <c r="I29" s="30"/>
      <c r="J29" s="28"/>
      <c r="K29" s="28"/>
      <c r="L29" s="90">
        <v>200000</v>
      </c>
      <c r="M29" s="28"/>
      <c r="N29" s="28"/>
      <c r="O29" s="53">
        <f t="shared" si="1"/>
        <v>200000</v>
      </c>
      <c r="P29" s="28"/>
      <c r="Q29" s="54"/>
    </row>
    <row r="30" spans="1:18" ht="24" customHeight="1" x14ac:dyDescent="0.25">
      <c r="A30" s="8"/>
      <c r="B30" s="8"/>
      <c r="C30" s="196" t="s">
        <v>2964</v>
      </c>
      <c r="D30" s="197"/>
      <c r="E30" s="197"/>
      <c r="F30" s="198"/>
      <c r="G30" s="30"/>
      <c r="H30" s="28"/>
      <c r="I30" s="30"/>
      <c r="J30" s="28"/>
      <c r="K30" s="28"/>
      <c r="L30" s="90">
        <v>7420000</v>
      </c>
      <c r="M30" s="28"/>
      <c r="N30" s="28"/>
      <c r="O30" s="53">
        <f t="shared" si="1"/>
        <v>7420000</v>
      </c>
      <c r="P30" s="28"/>
      <c r="Q30" s="54"/>
    </row>
    <row r="31" spans="1:18" ht="24" customHeight="1" x14ac:dyDescent="0.25">
      <c r="A31" s="8"/>
      <c r="B31" s="8"/>
      <c r="C31" s="196" t="s">
        <v>3024</v>
      </c>
      <c r="D31" s="197"/>
      <c r="E31" s="197"/>
      <c r="F31" s="198"/>
      <c r="G31" s="30"/>
      <c r="H31" s="28"/>
      <c r="I31" s="30"/>
      <c r="J31" s="28"/>
      <c r="K31" s="28"/>
      <c r="L31" s="90">
        <v>120000</v>
      </c>
      <c r="M31" s="28"/>
      <c r="N31" s="28"/>
      <c r="O31" s="53">
        <f t="shared" si="1"/>
        <v>120000</v>
      </c>
      <c r="P31" s="28"/>
      <c r="Q31" s="54"/>
    </row>
    <row r="32" spans="1:18" ht="24" customHeight="1" x14ac:dyDescent="0.25">
      <c r="A32" s="8"/>
      <c r="B32" s="8"/>
      <c r="C32" s="196" t="s">
        <v>3025</v>
      </c>
      <c r="D32" s="197"/>
      <c r="E32" s="197"/>
      <c r="F32" s="198"/>
      <c r="G32" s="30"/>
      <c r="H32" s="28"/>
      <c r="I32" s="30"/>
      <c r="J32" s="28"/>
      <c r="K32" s="28"/>
      <c r="L32" s="28"/>
      <c r="M32" s="90">
        <v>220000</v>
      </c>
      <c r="N32" s="28"/>
      <c r="O32" s="53">
        <f t="shared" si="1"/>
        <v>220000</v>
      </c>
      <c r="P32" s="28"/>
      <c r="Q32" s="54"/>
    </row>
    <row r="33" spans="1:17" ht="24" customHeight="1" x14ac:dyDescent="0.25">
      <c r="A33" s="8"/>
      <c r="B33" s="8"/>
      <c r="C33" s="196" t="s">
        <v>2965</v>
      </c>
      <c r="D33" s="197"/>
      <c r="E33" s="197"/>
      <c r="F33" s="198"/>
      <c r="G33" s="30"/>
      <c r="H33" s="28"/>
      <c r="I33" s="30"/>
      <c r="J33" s="28"/>
      <c r="K33" s="28"/>
      <c r="L33" s="28"/>
      <c r="M33" s="90">
        <v>210000</v>
      </c>
      <c r="N33" s="28"/>
      <c r="O33" s="53">
        <f t="shared" si="1"/>
        <v>210000</v>
      </c>
      <c r="P33" s="28"/>
      <c r="Q33" s="54"/>
    </row>
    <row r="34" spans="1:17" ht="24" customHeight="1" x14ac:dyDescent="0.25">
      <c r="A34" s="8"/>
      <c r="B34" s="8"/>
      <c r="C34" s="196" t="s">
        <v>2966</v>
      </c>
      <c r="D34" s="197"/>
      <c r="E34" s="197"/>
      <c r="F34" s="198"/>
      <c r="G34" s="30"/>
      <c r="H34" s="28"/>
      <c r="I34" s="30"/>
      <c r="J34" s="28"/>
      <c r="K34" s="28"/>
      <c r="L34" s="90">
        <v>1200000</v>
      </c>
      <c r="M34" s="28"/>
      <c r="N34" s="28"/>
      <c r="O34" s="53">
        <f t="shared" si="1"/>
        <v>1200000</v>
      </c>
      <c r="P34" s="28"/>
      <c r="Q34" s="54"/>
    </row>
    <row r="35" spans="1:17" ht="24" customHeight="1" x14ac:dyDescent="0.25">
      <c r="A35" s="8"/>
      <c r="B35" s="8"/>
      <c r="C35" s="196" t="s">
        <v>2967</v>
      </c>
      <c r="D35" s="197"/>
      <c r="E35" s="197"/>
      <c r="F35" s="198"/>
      <c r="G35" s="30"/>
      <c r="H35" s="28"/>
      <c r="I35" s="30"/>
      <c r="J35" s="28"/>
      <c r="K35" s="28"/>
      <c r="L35" s="90">
        <v>50000</v>
      </c>
      <c r="M35" s="28"/>
      <c r="N35" s="28"/>
      <c r="O35" s="53">
        <f t="shared" si="1"/>
        <v>50000</v>
      </c>
      <c r="P35" s="28"/>
      <c r="Q35" s="54"/>
    </row>
    <row r="36" spans="1:17" ht="24" customHeight="1" x14ac:dyDescent="0.25">
      <c r="A36" s="8"/>
      <c r="B36" s="8"/>
      <c r="C36" s="196" t="s">
        <v>2968</v>
      </c>
      <c r="D36" s="197"/>
      <c r="E36" s="197"/>
      <c r="F36" s="198"/>
      <c r="G36" s="30"/>
      <c r="H36" s="28"/>
      <c r="I36" s="30"/>
      <c r="J36" s="28"/>
      <c r="K36" s="28"/>
      <c r="L36" s="28"/>
      <c r="M36" s="28"/>
      <c r="N36" s="90">
        <v>3375000</v>
      </c>
      <c r="O36" s="53">
        <f t="shared" si="1"/>
        <v>3375000</v>
      </c>
      <c r="P36" s="28"/>
      <c r="Q36" s="54"/>
    </row>
    <row r="37" spans="1:17" ht="24" customHeight="1" x14ac:dyDescent="0.25">
      <c r="A37" s="8"/>
      <c r="B37" s="8"/>
      <c r="C37" s="196" t="s">
        <v>3027</v>
      </c>
      <c r="D37" s="197"/>
      <c r="E37" s="197"/>
      <c r="F37" s="198"/>
      <c r="G37" s="30"/>
      <c r="H37" s="28"/>
      <c r="I37" s="30"/>
      <c r="J37" s="28"/>
      <c r="K37" s="28"/>
      <c r="L37" s="28"/>
      <c r="M37" s="90">
        <v>500000</v>
      </c>
      <c r="N37" s="28"/>
      <c r="O37" s="53">
        <f t="shared" si="1"/>
        <v>500000</v>
      </c>
      <c r="P37" s="28"/>
      <c r="Q37" s="54"/>
    </row>
    <row r="38" spans="1:17" ht="24" customHeight="1" x14ac:dyDescent="0.25">
      <c r="A38" s="8"/>
      <c r="B38" s="8"/>
      <c r="C38" s="196" t="s">
        <v>3028</v>
      </c>
      <c r="D38" s="197"/>
      <c r="E38" s="197"/>
      <c r="F38" s="198"/>
      <c r="G38" s="30"/>
      <c r="H38" s="28"/>
      <c r="I38" s="30"/>
      <c r="J38" s="28"/>
      <c r="K38" s="28"/>
      <c r="L38" s="28"/>
      <c r="M38" s="90">
        <v>11800000</v>
      </c>
      <c r="N38" s="28"/>
      <c r="O38" s="53">
        <f t="shared" si="1"/>
        <v>11800000</v>
      </c>
      <c r="P38" s="28"/>
      <c r="Q38" s="54"/>
    </row>
    <row r="39" spans="1:17" ht="25.5" customHeight="1" x14ac:dyDescent="0.25">
      <c r="A39" s="8"/>
      <c r="B39" s="8"/>
      <c r="C39" s="191" t="s">
        <v>2969</v>
      </c>
      <c r="D39" s="192"/>
      <c r="E39" s="192"/>
      <c r="F39" s="195"/>
      <c r="G39" s="30"/>
      <c r="H39" s="28"/>
      <c r="I39" s="30"/>
      <c r="J39" s="28"/>
      <c r="K39" s="28">
        <v>5884615</v>
      </c>
      <c r="L39" s="18"/>
      <c r="M39" s="18"/>
      <c r="N39" s="28"/>
      <c r="O39" s="53">
        <f>H39+J39+K39+L39+M39+N39</f>
        <v>5884615</v>
      </c>
      <c r="P39" s="28"/>
      <c r="Q39" s="54"/>
    </row>
    <row r="40" spans="1:17" ht="15" customHeight="1" x14ac:dyDescent="0.25">
      <c r="A40" s="166" t="s">
        <v>19</v>
      </c>
      <c r="B40" s="167"/>
      <c r="C40" s="167"/>
      <c r="D40" s="167"/>
      <c r="E40" s="167"/>
      <c r="F40" s="168"/>
      <c r="G40" s="131">
        <f t="shared" ref="G40:O40" si="4">SUM(G7:G39)</f>
        <v>1765</v>
      </c>
      <c r="H40" s="4">
        <f t="shared" si="4"/>
        <v>43331700</v>
      </c>
      <c r="I40" s="4">
        <f t="shared" si="4"/>
        <v>0</v>
      </c>
      <c r="J40" s="4">
        <f t="shared" si="4"/>
        <v>12605000</v>
      </c>
      <c r="K40" s="4">
        <f t="shared" si="4"/>
        <v>7084615</v>
      </c>
      <c r="L40" s="4">
        <f t="shared" si="4"/>
        <v>25802000</v>
      </c>
      <c r="M40" s="4">
        <f t="shared" si="4"/>
        <v>12730000</v>
      </c>
      <c r="N40" s="4">
        <f t="shared" si="4"/>
        <v>3375000</v>
      </c>
      <c r="O40" s="4">
        <f t="shared" si="4"/>
        <v>104928315</v>
      </c>
      <c r="P40" s="4">
        <f>SUM(P8:P39)</f>
        <v>96209259</v>
      </c>
      <c r="Q40" s="122">
        <f>P40-O40</f>
        <v>-8719056</v>
      </c>
    </row>
    <row r="41" spans="1:17" x14ac:dyDescent="0.25">
      <c r="O41" s="20"/>
      <c r="P41" s="5" t="s">
        <v>1796</v>
      </c>
      <c r="Q41" s="26"/>
    </row>
    <row r="42" spans="1:17" x14ac:dyDescent="0.25">
      <c r="P42" s="21" t="s">
        <v>20</v>
      </c>
      <c r="Q42" s="26">
        <f>'07.2022'!Q44+'10.2022'!Q40</f>
        <v>157010933</v>
      </c>
    </row>
    <row r="43" spans="1:17" x14ac:dyDescent="0.25">
      <c r="C43" s="6" t="s">
        <v>993</v>
      </c>
    </row>
    <row r="44" spans="1:17" x14ac:dyDescent="0.25">
      <c r="C44" s="205"/>
      <c r="D44" s="205"/>
      <c r="E44" s="205"/>
      <c r="F44" s="205"/>
      <c r="H44" s="109"/>
    </row>
    <row r="45" spans="1:17" x14ac:dyDescent="0.25">
      <c r="C45" s="206"/>
      <c r="D45" s="206"/>
      <c r="E45" s="206"/>
      <c r="F45" s="206"/>
      <c r="H45" s="109"/>
    </row>
    <row r="46" spans="1:17" x14ac:dyDescent="0.25">
      <c r="B46" s="6"/>
      <c r="C46" s="110"/>
      <c r="D46" s="110"/>
      <c r="E46" s="110"/>
      <c r="F46" s="110"/>
      <c r="G46" s="133"/>
      <c r="H46" s="109"/>
    </row>
    <row r="47" spans="1:17" x14ac:dyDescent="0.25">
      <c r="B47" s="6"/>
      <c r="C47" s="206"/>
      <c r="D47" s="206"/>
      <c r="E47" s="206"/>
      <c r="F47" s="206"/>
      <c r="H47" s="109"/>
    </row>
    <row r="48" spans="1:17" x14ac:dyDescent="0.25">
      <c r="B48" s="6"/>
      <c r="C48" s="206"/>
      <c r="D48" s="206"/>
      <c r="E48" s="206"/>
      <c r="F48" s="206"/>
      <c r="H48" s="109"/>
    </row>
    <row r="49" spans="2:17" x14ac:dyDescent="0.25">
      <c r="B49" s="6"/>
      <c r="C49" s="206"/>
      <c r="D49" s="206"/>
      <c r="E49" s="206"/>
      <c r="F49" s="206"/>
      <c r="G49" s="133"/>
      <c r="H49" s="109"/>
      <c r="J49" s="6"/>
      <c r="K49" s="6"/>
      <c r="L49" s="6"/>
      <c r="M49" s="6"/>
      <c r="N49" s="6"/>
      <c r="O49" s="6"/>
      <c r="P49" s="6"/>
      <c r="Q49" s="6"/>
    </row>
    <row r="50" spans="2:17" x14ac:dyDescent="0.2">
      <c r="C50" s="107"/>
      <c r="D50" s="110"/>
      <c r="E50" s="110"/>
      <c r="F50" s="110"/>
      <c r="H50" s="109"/>
    </row>
    <row r="51" spans="2:17" x14ac:dyDescent="0.25">
      <c r="C51" s="205"/>
      <c r="D51" s="205"/>
      <c r="E51" s="205"/>
      <c r="F51" s="205"/>
    </row>
  </sheetData>
  <mergeCells count="37">
    <mergeCell ref="C37:F37"/>
    <mergeCell ref="C38:F38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6:F36"/>
    <mergeCell ref="C26:F26"/>
    <mergeCell ref="C27:F27"/>
    <mergeCell ref="C28:F28"/>
    <mergeCell ref="C31:F31"/>
    <mergeCell ref="C32:F32"/>
    <mergeCell ref="C23:F23"/>
    <mergeCell ref="C24:F24"/>
    <mergeCell ref="C49:F49"/>
    <mergeCell ref="C51:F51"/>
    <mergeCell ref="C39:F39"/>
    <mergeCell ref="A40:F40"/>
    <mergeCell ref="C45:F45"/>
    <mergeCell ref="C47:F47"/>
    <mergeCell ref="C48:F48"/>
    <mergeCell ref="C44:F44"/>
    <mergeCell ref="C25:F25"/>
    <mergeCell ref="C29:F29"/>
    <mergeCell ref="C30:F30"/>
    <mergeCell ref="C33:F33"/>
    <mergeCell ref="C34:F34"/>
    <mergeCell ref="C35:F35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5764-F743-4F54-9FB3-A727FFC1BF39}">
  <dimension ref="A1:R53"/>
  <sheetViews>
    <sheetView topLeftCell="D28" workbookViewId="0">
      <selection activeCell="K41" sqref="K41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2970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44866</v>
      </c>
      <c r="C8" s="10" t="s">
        <v>2971</v>
      </c>
      <c r="D8" s="25" t="s">
        <v>2995</v>
      </c>
      <c r="E8" s="10" t="s">
        <v>2987</v>
      </c>
      <c r="F8" s="8"/>
      <c r="G8" s="8">
        <v>127</v>
      </c>
      <c r="H8" s="13">
        <f>G8*25070</f>
        <v>3183890</v>
      </c>
      <c r="I8" s="8"/>
      <c r="J8" s="13">
        <f>730000+500000</f>
        <v>1230000</v>
      </c>
      <c r="K8" s="28"/>
      <c r="L8" s="29"/>
      <c r="M8" s="13"/>
      <c r="N8" s="13"/>
      <c r="O8" s="13">
        <f>H8+J8+K8+L8+M8+N8</f>
        <v>4413890</v>
      </c>
      <c r="P8" s="13">
        <v>5800000</v>
      </c>
      <c r="Q8" s="13">
        <f>P8-O8</f>
        <v>1386110</v>
      </c>
      <c r="R8" s="5"/>
    </row>
    <row r="9" spans="1:18" ht="17.25" customHeight="1" x14ac:dyDescent="0.25">
      <c r="A9" s="25">
        <v>2</v>
      </c>
      <c r="B9" s="120">
        <v>44866</v>
      </c>
      <c r="C9" s="10" t="s">
        <v>2972</v>
      </c>
      <c r="D9" s="129" t="s">
        <v>2996</v>
      </c>
      <c r="E9" s="9" t="s">
        <v>2988</v>
      </c>
      <c r="F9" s="117"/>
      <c r="G9" s="8">
        <v>54</v>
      </c>
      <c r="H9" s="13">
        <f t="shared" ref="H9:H15" si="0">G9*25070</f>
        <v>1353780</v>
      </c>
      <c r="I9" s="117"/>
      <c r="J9" s="119">
        <v>350000</v>
      </c>
      <c r="K9" s="28"/>
      <c r="L9" s="29"/>
      <c r="M9" s="13"/>
      <c r="N9" s="13"/>
      <c r="O9" s="13">
        <f t="shared" ref="O9:O40" si="1">H9+J9+K9+L9+M9+N9</f>
        <v>1703780</v>
      </c>
      <c r="P9" s="13">
        <v>3100000</v>
      </c>
      <c r="Q9" s="13">
        <f t="shared" ref="Q9:Q32" si="2">P9-O9</f>
        <v>1396220</v>
      </c>
      <c r="R9" s="5"/>
    </row>
    <row r="10" spans="1:18" ht="24.75" customHeight="1" x14ac:dyDescent="0.25">
      <c r="A10" s="25">
        <v>3</v>
      </c>
      <c r="B10" s="120">
        <v>44868</v>
      </c>
      <c r="C10" s="10" t="s">
        <v>2973</v>
      </c>
      <c r="D10" s="25" t="s">
        <v>2997</v>
      </c>
      <c r="E10" s="10" t="s">
        <v>2989</v>
      </c>
      <c r="F10" s="8"/>
      <c r="G10" s="8">
        <v>62</v>
      </c>
      <c r="H10" s="13">
        <f t="shared" si="0"/>
        <v>1554340</v>
      </c>
      <c r="I10" s="8"/>
      <c r="J10" s="13">
        <v>430000</v>
      </c>
      <c r="K10" s="28"/>
      <c r="L10" s="29"/>
      <c r="M10" s="13"/>
      <c r="N10" s="13"/>
      <c r="O10" s="13">
        <f>H10+J10+K10+L10+M10+N10</f>
        <v>1984340</v>
      </c>
      <c r="P10" s="13">
        <v>3700000</v>
      </c>
      <c r="Q10" s="13">
        <f t="shared" si="2"/>
        <v>1715660</v>
      </c>
      <c r="R10" s="5"/>
    </row>
    <row r="11" spans="1:18" ht="27.75" customHeight="1" x14ac:dyDescent="0.25">
      <c r="A11" s="25">
        <v>4</v>
      </c>
      <c r="B11" s="120">
        <v>44868</v>
      </c>
      <c r="C11" s="10" t="s">
        <v>2974</v>
      </c>
      <c r="D11" s="25" t="s">
        <v>2998</v>
      </c>
      <c r="E11" s="10" t="s">
        <v>1287</v>
      </c>
      <c r="F11" s="8"/>
      <c r="G11" s="8">
        <v>75</v>
      </c>
      <c r="H11" s="13">
        <f t="shared" si="0"/>
        <v>1880250</v>
      </c>
      <c r="I11" s="8"/>
      <c r="J11" s="13">
        <v>430000</v>
      </c>
      <c r="K11" s="28"/>
      <c r="L11" s="29"/>
      <c r="M11" s="13"/>
      <c r="N11" s="13"/>
      <c r="O11" s="13">
        <f t="shared" si="1"/>
        <v>2310250</v>
      </c>
      <c r="P11" s="13">
        <v>3600000</v>
      </c>
      <c r="Q11" s="13">
        <f t="shared" si="2"/>
        <v>1289750</v>
      </c>
      <c r="R11" s="5"/>
    </row>
    <row r="12" spans="1:18" ht="27.75" customHeight="1" x14ac:dyDescent="0.25">
      <c r="A12" s="25">
        <v>5</v>
      </c>
      <c r="B12" s="120">
        <v>44869</v>
      </c>
      <c r="C12" s="10" t="s">
        <v>2417</v>
      </c>
      <c r="D12" s="25" t="s">
        <v>2999</v>
      </c>
      <c r="E12" s="10" t="s">
        <v>799</v>
      </c>
      <c r="F12" s="8"/>
      <c r="G12" s="8">
        <v>69</v>
      </c>
      <c r="H12" s="13">
        <f t="shared" si="0"/>
        <v>1729830</v>
      </c>
      <c r="I12" s="8"/>
      <c r="J12" s="13">
        <v>430000</v>
      </c>
      <c r="K12" s="28"/>
      <c r="L12" s="29"/>
      <c r="M12" s="13"/>
      <c r="N12" s="13"/>
      <c r="O12" s="13">
        <f t="shared" si="1"/>
        <v>2159830</v>
      </c>
      <c r="P12" s="13">
        <v>3300000</v>
      </c>
      <c r="Q12" s="13">
        <f t="shared" si="2"/>
        <v>1140170</v>
      </c>
      <c r="R12" s="5"/>
    </row>
    <row r="13" spans="1:18" ht="27.75" customHeight="1" x14ac:dyDescent="0.25">
      <c r="A13" s="25">
        <v>6</v>
      </c>
      <c r="B13" s="120">
        <v>44872</v>
      </c>
      <c r="C13" s="10" t="s">
        <v>276</v>
      </c>
      <c r="D13" s="25" t="s">
        <v>3000</v>
      </c>
      <c r="E13" s="10" t="s">
        <v>1394</v>
      </c>
      <c r="F13" s="8"/>
      <c r="G13" s="8">
        <v>47</v>
      </c>
      <c r="H13" s="13">
        <f t="shared" si="0"/>
        <v>1178290</v>
      </c>
      <c r="I13" s="8"/>
      <c r="J13" s="13">
        <v>350000</v>
      </c>
      <c r="K13" s="28"/>
      <c r="L13" s="29"/>
      <c r="M13" s="13"/>
      <c r="N13" s="13"/>
      <c r="O13" s="13">
        <f t="shared" si="1"/>
        <v>1528290</v>
      </c>
      <c r="P13" s="13">
        <v>2900000</v>
      </c>
      <c r="Q13" s="13">
        <f t="shared" si="2"/>
        <v>1371710</v>
      </c>
      <c r="R13" s="5"/>
    </row>
    <row r="14" spans="1:18" ht="27.75" customHeight="1" x14ac:dyDescent="0.25">
      <c r="A14" s="25">
        <v>7</v>
      </c>
      <c r="B14" s="120">
        <v>44873</v>
      </c>
      <c r="C14" s="10" t="s">
        <v>2975</v>
      </c>
      <c r="D14" s="25" t="s">
        <v>3001</v>
      </c>
      <c r="E14" s="10" t="s">
        <v>799</v>
      </c>
      <c r="F14" s="8"/>
      <c r="G14" s="8">
        <v>75</v>
      </c>
      <c r="H14" s="13">
        <f t="shared" si="0"/>
        <v>1880250</v>
      </c>
      <c r="I14" s="8"/>
      <c r="J14" s="13">
        <v>430000</v>
      </c>
      <c r="K14" s="28"/>
      <c r="L14" s="29"/>
      <c r="M14" s="13"/>
      <c r="N14" s="13"/>
      <c r="O14" s="13">
        <f>H14+J14+K14+L14+M14+N14</f>
        <v>2310250</v>
      </c>
      <c r="P14" s="13">
        <v>4050000</v>
      </c>
      <c r="Q14" s="13">
        <f t="shared" si="2"/>
        <v>1739750</v>
      </c>
      <c r="R14" s="5"/>
    </row>
    <row r="15" spans="1:18" ht="27.75" customHeight="1" x14ac:dyDescent="0.25">
      <c r="A15" s="25">
        <v>8</v>
      </c>
      <c r="B15" s="120">
        <v>44875</v>
      </c>
      <c r="C15" s="10" t="s">
        <v>1685</v>
      </c>
      <c r="D15" s="25" t="s">
        <v>3002</v>
      </c>
      <c r="E15" s="10" t="s">
        <v>121</v>
      </c>
      <c r="F15" s="8"/>
      <c r="G15" s="8">
        <v>220</v>
      </c>
      <c r="H15" s="13">
        <f t="shared" si="0"/>
        <v>5515400</v>
      </c>
      <c r="I15" s="8"/>
      <c r="J15" s="119">
        <v>2100000</v>
      </c>
      <c r="K15" s="28"/>
      <c r="L15" s="29"/>
      <c r="M15" s="13"/>
      <c r="N15" s="13"/>
      <c r="O15" s="13">
        <f t="shared" si="1"/>
        <v>7615400</v>
      </c>
      <c r="P15" s="13">
        <v>13935185</v>
      </c>
      <c r="Q15" s="13">
        <f t="shared" si="2"/>
        <v>6319785</v>
      </c>
      <c r="R15" s="5"/>
    </row>
    <row r="16" spans="1:18" ht="27.75" customHeight="1" x14ac:dyDescent="0.25">
      <c r="A16" s="25">
        <v>9</v>
      </c>
      <c r="B16" s="120">
        <v>44877</v>
      </c>
      <c r="C16" s="10" t="s">
        <v>1687</v>
      </c>
      <c r="D16" s="25" t="s">
        <v>3003</v>
      </c>
      <c r="E16" s="10" t="s">
        <v>2045</v>
      </c>
      <c r="F16" s="8"/>
      <c r="G16" s="8">
        <v>320</v>
      </c>
      <c r="H16" s="13">
        <f>G16*24980</f>
        <v>7993600</v>
      </c>
      <c r="I16" s="8"/>
      <c r="J16" s="13">
        <v>3300000</v>
      </c>
      <c r="K16" s="28"/>
      <c r="L16" s="29"/>
      <c r="M16" s="13"/>
      <c r="N16" s="13"/>
      <c r="O16" s="13">
        <f t="shared" si="1"/>
        <v>11293600</v>
      </c>
      <c r="P16" s="13">
        <v>18194444</v>
      </c>
      <c r="Q16" s="13">
        <f t="shared" si="2"/>
        <v>6900844</v>
      </c>
      <c r="R16" s="5"/>
    </row>
    <row r="17" spans="1:18" ht="27.75" customHeight="1" x14ac:dyDescent="0.25">
      <c r="A17" s="25">
        <v>10</v>
      </c>
      <c r="B17" s="120">
        <v>44879</v>
      </c>
      <c r="C17" s="10" t="s">
        <v>2976</v>
      </c>
      <c r="D17" s="25" t="s">
        <v>3004</v>
      </c>
      <c r="E17" s="10" t="s">
        <v>121</v>
      </c>
      <c r="F17" s="8"/>
      <c r="G17" s="8">
        <v>220</v>
      </c>
      <c r="H17" s="13">
        <f t="shared" ref="H17:H23" si="3">G17*24980</f>
        <v>5495600</v>
      </c>
      <c r="I17" s="8"/>
      <c r="J17" s="13">
        <v>2380000</v>
      </c>
      <c r="K17" s="28"/>
      <c r="L17" s="29"/>
      <c r="M17" s="13"/>
      <c r="N17" s="13"/>
      <c r="O17" s="13">
        <f t="shared" si="1"/>
        <v>7875600</v>
      </c>
      <c r="P17" s="13">
        <v>13935185</v>
      </c>
      <c r="Q17" s="13">
        <f t="shared" si="2"/>
        <v>6059585</v>
      </c>
      <c r="R17" s="5"/>
    </row>
    <row r="18" spans="1:18" ht="22.5" customHeight="1" x14ac:dyDescent="0.25">
      <c r="A18" s="25">
        <v>11</v>
      </c>
      <c r="B18" s="120">
        <v>44879</v>
      </c>
      <c r="C18" s="10" t="s">
        <v>1001</v>
      </c>
      <c r="D18" s="25" t="s">
        <v>3005</v>
      </c>
      <c r="E18" s="10" t="s">
        <v>2990</v>
      </c>
      <c r="F18" s="8"/>
      <c r="G18" s="8">
        <v>69</v>
      </c>
      <c r="H18" s="13">
        <f t="shared" si="3"/>
        <v>1723620</v>
      </c>
      <c r="I18" s="8"/>
      <c r="J18" s="13">
        <v>530000</v>
      </c>
      <c r="K18" s="28"/>
      <c r="L18" s="29"/>
      <c r="M18" s="13"/>
      <c r="N18" s="13"/>
      <c r="O18" s="13">
        <f t="shared" si="1"/>
        <v>2253620</v>
      </c>
      <c r="P18" s="13">
        <v>4000000</v>
      </c>
      <c r="Q18" s="13">
        <f t="shared" si="2"/>
        <v>1746380</v>
      </c>
      <c r="R18" s="5"/>
    </row>
    <row r="19" spans="1:18" ht="22.5" customHeight="1" x14ac:dyDescent="0.25">
      <c r="A19" s="25">
        <v>12</v>
      </c>
      <c r="B19" s="120">
        <v>44881</v>
      </c>
      <c r="C19" s="10" t="s">
        <v>2977</v>
      </c>
      <c r="D19" s="25" t="s">
        <v>3006</v>
      </c>
      <c r="E19" s="10" t="s">
        <v>2991</v>
      </c>
      <c r="F19" s="8"/>
      <c r="G19" s="8">
        <v>128</v>
      </c>
      <c r="H19" s="13">
        <f t="shared" si="3"/>
        <v>3197440</v>
      </c>
      <c r="J19" s="13">
        <v>996000</v>
      </c>
      <c r="K19" s="28"/>
      <c r="L19" s="29"/>
      <c r="M19" s="13"/>
      <c r="N19" s="13"/>
      <c r="O19" s="13">
        <f t="shared" si="1"/>
        <v>4193440</v>
      </c>
      <c r="P19" s="13">
        <v>4732001</v>
      </c>
      <c r="Q19" s="13">
        <f t="shared" si="2"/>
        <v>538561</v>
      </c>
      <c r="R19" s="5"/>
    </row>
    <row r="20" spans="1:18" ht="22.5" customHeight="1" x14ac:dyDescent="0.25">
      <c r="A20" s="25">
        <v>13</v>
      </c>
      <c r="B20" s="120">
        <v>44881</v>
      </c>
      <c r="C20" s="10" t="s">
        <v>2978</v>
      </c>
      <c r="D20" s="25" t="s">
        <v>3006</v>
      </c>
      <c r="E20" s="10" t="s">
        <v>2589</v>
      </c>
      <c r="F20" s="8"/>
      <c r="G20" s="8"/>
      <c r="H20" s="13">
        <f t="shared" si="3"/>
        <v>0</v>
      </c>
      <c r="I20" s="8"/>
      <c r="J20" s="13">
        <v>0</v>
      </c>
      <c r="K20" s="28"/>
      <c r="L20" s="29"/>
      <c r="M20" s="13"/>
      <c r="N20" s="13"/>
      <c r="O20" s="13">
        <f t="shared" si="1"/>
        <v>0</v>
      </c>
      <c r="P20" s="13">
        <v>2800000</v>
      </c>
      <c r="Q20" s="13">
        <f t="shared" si="2"/>
        <v>2800000</v>
      </c>
      <c r="R20" s="5"/>
    </row>
    <row r="21" spans="1:18" ht="22.5" customHeight="1" x14ac:dyDescent="0.25">
      <c r="A21" s="25">
        <v>14</v>
      </c>
      <c r="B21" s="120">
        <v>44881</v>
      </c>
      <c r="C21" s="10" t="s">
        <v>285</v>
      </c>
      <c r="D21" s="25" t="s">
        <v>3007</v>
      </c>
      <c r="E21" s="10" t="s">
        <v>2856</v>
      </c>
      <c r="F21" s="8"/>
      <c r="G21" s="8">
        <v>65</v>
      </c>
      <c r="H21" s="13">
        <f t="shared" si="3"/>
        <v>1623700</v>
      </c>
      <c r="I21" s="8"/>
      <c r="J21" s="13">
        <v>430000</v>
      </c>
      <c r="K21" s="28"/>
      <c r="L21" s="29"/>
      <c r="M21" s="13"/>
      <c r="N21" s="13"/>
      <c r="O21" s="13">
        <f t="shared" si="1"/>
        <v>2053700</v>
      </c>
      <c r="P21" s="13">
        <v>3750000</v>
      </c>
      <c r="Q21" s="13">
        <f t="shared" si="2"/>
        <v>1696300</v>
      </c>
      <c r="R21" s="5"/>
    </row>
    <row r="22" spans="1:18" ht="27" customHeight="1" x14ac:dyDescent="0.25">
      <c r="A22" s="25">
        <v>15</v>
      </c>
      <c r="B22" s="120">
        <v>44883</v>
      </c>
      <c r="C22" s="10" t="s">
        <v>2979</v>
      </c>
      <c r="D22" s="25" t="s">
        <v>3008</v>
      </c>
      <c r="E22" s="10" t="s">
        <v>2661</v>
      </c>
      <c r="F22" s="8"/>
      <c r="G22" s="8">
        <v>97</v>
      </c>
      <c r="H22" s="13">
        <f t="shared" si="3"/>
        <v>2423060</v>
      </c>
      <c r="I22" s="8"/>
      <c r="J22" s="13">
        <v>680000</v>
      </c>
      <c r="K22" s="28"/>
      <c r="L22" s="29"/>
      <c r="M22" s="13"/>
      <c r="N22" s="13"/>
      <c r="O22" s="13">
        <f t="shared" si="1"/>
        <v>3103060</v>
      </c>
      <c r="P22" s="13">
        <v>4800000</v>
      </c>
      <c r="Q22" s="13">
        <f t="shared" si="2"/>
        <v>1696940</v>
      </c>
      <c r="R22" s="5"/>
    </row>
    <row r="23" spans="1:18" ht="27" customHeight="1" x14ac:dyDescent="0.25">
      <c r="A23" s="25">
        <v>16</v>
      </c>
      <c r="B23" s="120">
        <v>44883</v>
      </c>
      <c r="C23" s="10" t="s">
        <v>2980</v>
      </c>
      <c r="D23" s="25" t="s">
        <v>3009</v>
      </c>
      <c r="E23" s="10" t="s">
        <v>2661</v>
      </c>
      <c r="F23" s="8"/>
      <c r="G23" s="8">
        <v>105</v>
      </c>
      <c r="H23" s="13">
        <f t="shared" si="3"/>
        <v>2622900</v>
      </c>
      <c r="I23" s="8"/>
      <c r="J23" s="13">
        <v>680000</v>
      </c>
      <c r="K23" s="28"/>
      <c r="L23" s="29"/>
      <c r="M23" s="13"/>
      <c r="N23" s="13"/>
      <c r="O23" s="13">
        <f t="shared" si="1"/>
        <v>3302900</v>
      </c>
      <c r="P23" s="13">
        <v>4900000</v>
      </c>
      <c r="Q23" s="13">
        <f t="shared" si="2"/>
        <v>1597100</v>
      </c>
      <c r="R23" s="5"/>
    </row>
    <row r="24" spans="1:18" ht="27" customHeight="1" x14ac:dyDescent="0.25">
      <c r="A24" s="25">
        <v>17</v>
      </c>
      <c r="B24" s="120">
        <v>44884</v>
      </c>
      <c r="C24" s="10" t="s">
        <v>2981</v>
      </c>
      <c r="D24" s="25" t="s">
        <v>3010</v>
      </c>
      <c r="E24" s="10" t="s">
        <v>1043</v>
      </c>
      <c r="F24" s="8"/>
      <c r="G24" s="8">
        <v>107</v>
      </c>
      <c r="H24" s="13">
        <f>G24*24800</f>
        <v>2653600</v>
      </c>
      <c r="I24" s="8"/>
      <c r="J24" s="13">
        <v>680000</v>
      </c>
      <c r="K24" s="28"/>
      <c r="L24" s="29"/>
      <c r="M24" s="13"/>
      <c r="N24" s="13"/>
      <c r="O24" s="13">
        <f t="shared" si="1"/>
        <v>3333600</v>
      </c>
      <c r="P24" s="13">
        <v>5509259</v>
      </c>
      <c r="Q24" s="13">
        <f t="shared" si="2"/>
        <v>2175659</v>
      </c>
      <c r="R24" s="5"/>
    </row>
    <row r="25" spans="1:18" ht="27" customHeight="1" x14ac:dyDescent="0.25">
      <c r="A25" s="25">
        <v>18</v>
      </c>
      <c r="B25" s="120">
        <v>44886</v>
      </c>
      <c r="C25" s="10" t="s">
        <v>289</v>
      </c>
      <c r="D25" s="25" t="s">
        <v>3011</v>
      </c>
      <c r="E25" s="10" t="s">
        <v>1287</v>
      </c>
      <c r="F25" s="8"/>
      <c r="G25" s="8">
        <v>74</v>
      </c>
      <c r="H25" s="13">
        <f t="shared" ref="H25:H31" si="4">G25*24800</f>
        <v>1835200</v>
      </c>
      <c r="I25" s="8"/>
      <c r="J25" s="13">
        <v>430000</v>
      </c>
      <c r="K25" s="28"/>
      <c r="L25" s="29"/>
      <c r="M25" s="13"/>
      <c r="N25" s="13"/>
      <c r="O25" s="13">
        <f t="shared" si="1"/>
        <v>2265200</v>
      </c>
      <c r="P25" s="57">
        <v>3800000</v>
      </c>
      <c r="Q25" s="13">
        <f t="shared" si="2"/>
        <v>1534800</v>
      </c>
      <c r="R25" s="5"/>
    </row>
    <row r="26" spans="1:18" ht="27" customHeight="1" x14ac:dyDescent="0.25">
      <c r="A26" s="25">
        <v>19</v>
      </c>
      <c r="B26" s="120">
        <v>44888</v>
      </c>
      <c r="C26" s="10" t="s">
        <v>2426</v>
      </c>
      <c r="D26" s="25" t="s">
        <v>3012</v>
      </c>
      <c r="E26" s="10" t="s">
        <v>2992</v>
      </c>
      <c r="F26" s="8"/>
      <c r="G26" s="8">
        <v>59</v>
      </c>
      <c r="H26" s="13">
        <f t="shared" si="4"/>
        <v>1463200</v>
      </c>
      <c r="I26" s="8"/>
      <c r="J26" s="13">
        <v>430000</v>
      </c>
      <c r="K26" s="28"/>
      <c r="L26" s="29"/>
      <c r="M26" s="13"/>
      <c r="N26" s="13"/>
      <c r="O26" s="13">
        <f t="shared" si="1"/>
        <v>1893200</v>
      </c>
      <c r="P26" s="13">
        <v>3500000</v>
      </c>
      <c r="Q26" s="13">
        <f t="shared" si="2"/>
        <v>1606800</v>
      </c>
      <c r="R26" s="5"/>
    </row>
    <row r="27" spans="1:18" ht="27" customHeight="1" x14ac:dyDescent="0.25">
      <c r="A27" s="25">
        <v>20</v>
      </c>
      <c r="B27" s="120">
        <v>44889</v>
      </c>
      <c r="C27" s="10" t="s">
        <v>2982</v>
      </c>
      <c r="D27" s="25" t="s">
        <v>3013</v>
      </c>
      <c r="E27" s="10" t="s">
        <v>2661</v>
      </c>
      <c r="F27" s="8"/>
      <c r="G27" s="8">
        <v>89</v>
      </c>
      <c r="H27" s="13">
        <f t="shared" si="4"/>
        <v>2207200</v>
      </c>
      <c r="I27" s="8"/>
      <c r="J27" s="13">
        <v>680000</v>
      </c>
      <c r="K27" s="28"/>
      <c r="L27" s="29"/>
      <c r="M27" s="13"/>
      <c r="N27" s="13"/>
      <c r="O27" s="13">
        <f t="shared" si="1"/>
        <v>2887200</v>
      </c>
      <c r="P27" s="13">
        <v>4800000</v>
      </c>
      <c r="Q27" s="13">
        <f t="shared" si="2"/>
        <v>1912800</v>
      </c>
      <c r="R27" s="5"/>
    </row>
    <row r="28" spans="1:18" ht="27" customHeight="1" x14ac:dyDescent="0.25">
      <c r="A28" s="25">
        <v>21</v>
      </c>
      <c r="B28" s="120">
        <v>44889</v>
      </c>
      <c r="C28" s="10" t="s">
        <v>2983</v>
      </c>
      <c r="D28" s="25" t="s">
        <v>3014</v>
      </c>
      <c r="E28" s="10" t="s">
        <v>2661</v>
      </c>
      <c r="F28" s="8"/>
      <c r="G28" s="8">
        <v>87</v>
      </c>
      <c r="H28" s="13">
        <f t="shared" si="4"/>
        <v>2157600</v>
      </c>
      <c r="I28" s="8"/>
      <c r="J28" s="13">
        <v>680000</v>
      </c>
      <c r="K28" s="28"/>
      <c r="L28" s="29"/>
      <c r="M28" s="13"/>
      <c r="N28" s="13"/>
      <c r="O28" s="13">
        <f t="shared" si="1"/>
        <v>2837600</v>
      </c>
      <c r="P28" s="13">
        <v>4800000</v>
      </c>
      <c r="Q28" s="13">
        <f t="shared" si="2"/>
        <v>1962400</v>
      </c>
      <c r="R28" s="5"/>
    </row>
    <row r="29" spans="1:18" ht="27" customHeight="1" x14ac:dyDescent="0.25">
      <c r="A29" s="25">
        <v>22</v>
      </c>
      <c r="B29" s="120">
        <v>44890</v>
      </c>
      <c r="C29" s="10" t="s">
        <v>2984</v>
      </c>
      <c r="D29" s="25" t="s">
        <v>3015</v>
      </c>
      <c r="E29" s="10" t="s">
        <v>2661</v>
      </c>
      <c r="F29" s="8"/>
      <c r="G29" s="8">
        <v>100</v>
      </c>
      <c r="H29" s="13">
        <f t="shared" si="4"/>
        <v>2480000</v>
      </c>
      <c r="I29" s="8"/>
      <c r="J29" s="13">
        <v>680000</v>
      </c>
      <c r="K29" s="28"/>
      <c r="L29" s="29"/>
      <c r="M29" s="13"/>
      <c r="N29" s="13"/>
      <c r="O29" s="13">
        <f t="shared" si="1"/>
        <v>3160000</v>
      </c>
      <c r="P29" s="13">
        <v>4900000</v>
      </c>
      <c r="Q29" s="13">
        <f t="shared" si="2"/>
        <v>1740000</v>
      </c>
      <c r="R29" s="5"/>
    </row>
    <row r="30" spans="1:18" ht="27" customHeight="1" x14ac:dyDescent="0.25">
      <c r="A30" s="25">
        <v>23</v>
      </c>
      <c r="B30" s="120">
        <v>44891</v>
      </c>
      <c r="C30" s="10" t="s">
        <v>2985</v>
      </c>
      <c r="D30" s="25" t="s">
        <v>3016</v>
      </c>
      <c r="E30" s="10" t="s">
        <v>1043</v>
      </c>
      <c r="F30" s="8"/>
      <c r="G30" s="8">
        <v>120</v>
      </c>
      <c r="H30" s="13">
        <f t="shared" si="4"/>
        <v>2976000</v>
      </c>
      <c r="I30" s="8"/>
      <c r="J30" s="13">
        <v>680000</v>
      </c>
      <c r="K30" s="28"/>
      <c r="L30" s="29"/>
      <c r="M30" s="13"/>
      <c r="N30" s="13"/>
      <c r="O30" s="13">
        <f t="shared" si="1"/>
        <v>3656000</v>
      </c>
      <c r="P30" s="13">
        <v>5879630</v>
      </c>
      <c r="Q30" s="13">
        <f t="shared" si="2"/>
        <v>2223630</v>
      </c>
      <c r="R30" s="5"/>
    </row>
    <row r="31" spans="1:18" ht="27" customHeight="1" x14ac:dyDescent="0.25">
      <c r="A31" s="25">
        <v>24</v>
      </c>
      <c r="B31" s="120">
        <v>44894</v>
      </c>
      <c r="C31" s="10" t="s">
        <v>2986</v>
      </c>
      <c r="D31" s="25" t="s">
        <v>3017</v>
      </c>
      <c r="E31" s="10" t="s">
        <v>2993</v>
      </c>
      <c r="F31" s="8"/>
      <c r="G31" s="8">
        <v>94</v>
      </c>
      <c r="H31" s="13">
        <f t="shared" si="4"/>
        <v>2331200</v>
      </c>
      <c r="I31" s="8"/>
      <c r="J31" s="13">
        <v>680000</v>
      </c>
      <c r="K31" s="28"/>
      <c r="L31" s="29"/>
      <c r="M31" s="13"/>
      <c r="N31" s="13"/>
      <c r="O31" s="13">
        <f t="shared" si="1"/>
        <v>3011200</v>
      </c>
      <c r="P31" s="13">
        <v>4800000</v>
      </c>
      <c r="Q31" s="13">
        <f t="shared" si="2"/>
        <v>1788800</v>
      </c>
      <c r="R31" s="5"/>
    </row>
    <row r="32" spans="1:18" ht="27" customHeight="1" x14ac:dyDescent="0.25">
      <c r="A32" s="25">
        <v>25</v>
      </c>
      <c r="B32" s="120">
        <v>44895</v>
      </c>
      <c r="C32" s="10" t="s">
        <v>296</v>
      </c>
      <c r="D32" s="25" t="s">
        <v>3018</v>
      </c>
      <c r="E32" s="10" t="s">
        <v>2994</v>
      </c>
      <c r="F32" s="8"/>
      <c r="G32" s="8">
        <v>107</v>
      </c>
      <c r="H32" s="13">
        <f>G32*23210</f>
        <v>2483470</v>
      </c>
      <c r="I32" s="8"/>
      <c r="J32" s="13">
        <v>680000</v>
      </c>
      <c r="K32" s="28"/>
      <c r="L32" s="29"/>
      <c r="M32" s="13"/>
      <c r="N32" s="13"/>
      <c r="O32" s="13">
        <f t="shared" si="1"/>
        <v>3163470</v>
      </c>
      <c r="P32" s="13">
        <v>5200000</v>
      </c>
      <c r="Q32" s="13">
        <f t="shared" si="2"/>
        <v>2036530</v>
      </c>
      <c r="R32" s="5"/>
    </row>
    <row r="33" spans="1:17" ht="24" customHeight="1" x14ac:dyDescent="0.25">
      <c r="A33" s="8"/>
      <c r="B33" s="8"/>
      <c r="C33" s="196" t="s">
        <v>131</v>
      </c>
      <c r="D33" s="197"/>
      <c r="E33" s="197"/>
      <c r="F33" s="198"/>
      <c r="G33" s="8"/>
      <c r="H33" s="13"/>
      <c r="I33" s="8"/>
      <c r="J33" s="13"/>
      <c r="K33" s="90">
        <v>1200000</v>
      </c>
      <c r="L33" s="28"/>
      <c r="M33" s="18"/>
      <c r="N33" s="28"/>
      <c r="O33" s="53">
        <f t="shared" si="1"/>
        <v>1200000</v>
      </c>
      <c r="P33" s="28"/>
      <c r="Q33" s="54"/>
    </row>
    <row r="34" spans="1:17" ht="24" customHeight="1" x14ac:dyDescent="0.25">
      <c r="A34" s="8"/>
      <c r="B34" s="8"/>
      <c r="C34" s="196" t="s">
        <v>3020</v>
      </c>
      <c r="D34" s="197"/>
      <c r="E34" s="197"/>
      <c r="F34" s="198"/>
      <c r="G34" s="8"/>
      <c r="H34" s="13"/>
      <c r="I34" s="8"/>
      <c r="J34" s="13"/>
      <c r="K34" s="28">
        <v>6199000</v>
      </c>
      <c r="L34" s="28"/>
      <c r="M34" s="18"/>
      <c r="N34" s="28"/>
      <c r="O34" s="53">
        <f t="shared" si="1"/>
        <v>6199000</v>
      </c>
      <c r="P34" s="28"/>
      <c r="Q34" s="54"/>
    </row>
    <row r="35" spans="1:17" ht="24" customHeight="1" x14ac:dyDescent="0.25">
      <c r="A35" s="8"/>
      <c r="B35" s="8"/>
      <c r="C35" s="196" t="s">
        <v>3021</v>
      </c>
      <c r="D35" s="197"/>
      <c r="E35" s="197"/>
      <c r="F35" s="198"/>
      <c r="G35" s="30"/>
      <c r="H35" s="28"/>
      <c r="I35" s="30"/>
      <c r="J35" s="28"/>
      <c r="K35" s="28"/>
      <c r="L35" s="90">
        <v>850000</v>
      </c>
      <c r="M35" s="18"/>
      <c r="N35" s="28"/>
      <c r="O35" s="53">
        <f t="shared" si="1"/>
        <v>850000</v>
      </c>
      <c r="P35" s="28"/>
      <c r="Q35" s="54"/>
    </row>
    <row r="36" spans="1:17" ht="24" customHeight="1" x14ac:dyDescent="0.25">
      <c r="A36" s="8"/>
      <c r="B36" s="8"/>
      <c r="C36" s="196" t="s">
        <v>3022</v>
      </c>
      <c r="D36" s="197"/>
      <c r="E36" s="197"/>
      <c r="F36" s="198"/>
      <c r="G36" s="30"/>
      <c r="H36" s="28"/>
      <c r="I36" s="30"/>
      <c r="J36" s="28"/>
      <c r="K36" s="28"/>
      <c r="L36" s="90">
        <v>1200000</v>
      </c>
      <c r="M36" s="28"/>
      <c r="N36" s="28"/>
      <c r="O36" s="53">
        <f t="shared" si="1"/>
        <v>1200000</v>
      </c>
      <c r="P36" s="28"/>
      <c r="Q36" s="54"/>
    </row>
    <row r="37" spans="1:17" ht="24" customHeight="1" x14ac:dyDescent="0.25">
      <c r="A37" s="8"/>
      <c r="B37" s="8"/>
      <c r="C37" s="196" t="s">
        <v>3023</v>
      </c>
      <c r="D37" s="197"/>
      <c r="E37" s="197"/>
      <c r="F37" s="198"/>
      <c r="G37" s="30"/>
      <c r="H37" s="28"/>
      <c r="I37" s="30"/>
      <c r="J37" s="28"/>
      <c r="K37" s="28"/>
      <c r="L37" s="90">
        <v>100000</v>
      </c>
      <c r="M37" s="28"/>
      <c r="N37" s="28"/>
      <c r="O37" s="53">
        <f t="shared" si="1"/>
        <v>100000</v>
      </c>
      <c r="P37" s="28"/>
      <c r="Q37" s="54"/>
    </row>
    <row r="38" spans="1:17" ht="24" customHeight="1" x14ac:dyDescent="0.25">
      <c r="A38" s="8"/>
      <c r="B38" s="8"/>
      <c r="C38" s="196" t="s">
        <v>3026</v>
      </c>
      <c r="D38" s="197"/>
      <c r="E38" s="197"/>
      <c r="F38" s="198"/>
      <c r="G38" s="30"/>
      <c r="H38" s="28"/>
      <c r="I38" s="30"/>
      <c r="J38" s="28"/>
      <c r="K38" s="28"/>
      <c r="L38" s="28"/>
      <c r="M38" s="90">
        <v>460000</v>
      </c>
      <c r="N38" s="28"/>
      <c r="O38" s="53">
        <f t="shared" si="1"/>
        <v>460000</v>
      </c>
      <c r="P38" s="28"/>
      <c r="Q38" s="54"/>
    </row>
    <row r="39" spans="1:17" ht="24" customHeight="1" x14ac:dyDescent="0.25">
      <c r="A39" s="8"/>
      <c r="B39" s="8"/>
      <c r="C39" s="196" t="s">
        <v>3069</v>
      </c>
      <c r="D39" s="197"/>
      <c r="E39" s="197"/>
      <c r="F39" s="198"/>
      <c r="G39" s="30"/>
      <c r="H39" s="28"/>
      <c r="I39" s="30"/>
      <c r="J39" s="28"/>
      <c r="K39" s="28"/>
      <c r="L39" s="28"/>
      <c r="M39" s="90">
        <v>300000</v>
      </c>
      <c r="N39" s="28"/>
      <c r="O39" s="53">
        <f t="shared" si="1"/>
        <v>300000</v>
      </c>
      <c r="P39" s="28"/>
      <c r="Q39" s="54"/>
    </row>
    <row r="40" spans="1:17" ht="24" customHeight="1" x14ac:dyDescent="0.25">
      <c r="A40" s="8"/>
      <c r="B40" s="8"/>
      <c r="C40" s="196" t="s">
        <v>3073</v>
      </c>
      <c r="D40" s="197"/>
      <c r="E40" s="197"/>
      <c r="F40" s="198"/>
      <c r="G40" s="30"/>
      <c r="H40" s="28"/>
      <c r="I40" s="30"/>
      <c r="J40" s="28"/>
      <c r="K40" s="28"/>
      <c r="L40" s="28"/>
      <c r="M40" s="28"/>
      <c r="N40" s="90">
        <v>3375000</v>
      </c>
      <c r="O40" s="53">
        <f t="shared" si="1"/>
        <v>3375000</v>
      </c>
      <c r="P40" s="28"/>
      <c r="Q40" s="54"/>
    </row>
    <row r="41" spans="1:17" ht="25.5" customHeight="1" x14ac:dyDescent="0.25">
      <c r="A41" s="8"/>
      <c r="B41" s="8"/>
      <c r="C41" s="191" t="s">
        <v>2763</v>
      </c>
      <c r="D41" s="192"/>
      <c r="E41" s="192"/>
      <c r="F41" s="195"/>
      <c r="G41" s="30"/>
      <c r="H41" s="28"/>
      <c r="I41" s="30"/>
      <c r="J41" s="28"/>
      <c r="K41" s="90">
        <v>9000000</v>
      </c>
      <c r="L41" s="18"/>
      <c r="M41" s="18"/>
      <c r="N41" s="28"/>
      <c r="O41" s="53">
        <f>H41+J41+K41+L41+M41+N41</f>
        <v>9000000</v>
      </c>
      <c r="P41" s="28"/>
      <c r="Q41" s="54"/>
    </row>
    <row r="42" spans="1:17" ht="15" customHeight="1" x14ac:dyDescent="0.25">
      <c r="A42" s="166" t="s">
        <v>19</v>
      </c>
      <c r="B42" s="167"/>
      <c r="C42" s="167"/>
      <c r="D42" s="167"/>
      <c r="E42" s="167"/>
      <c r="F42" s="168"/>
      <c r="G42" s="131">
        <f t="shared" ref="G42:O42" si="5">SUM(G7:G41)</f>
        <v>2570</v>
      </c>
      <c r="H42" s="4">
        <f t="shared" si="5"/>
        <v>63943420</v>
      </c>
      <c r="I42" s="4">
        <f t="shared" si="5"/>
        <v>0</v>
      </c>
      <c r="J42" s="4">
        <f t="shared" si="5"/>
        <v>20366000</v>
      </c>
      <c r="K42" s="4">
        <f t="shared" si="5"/>
        <v>16399000</v>
      </c>
      <c r="L42" s="4">
        <f t="shared" si="5"/>
        <v>2150000</v>
      </c>
      <c r="M42" s="4">
        <f t="shared" si="5"/>
        <v>760000</v>
      </c>
      <c r="N42" s="4">
        <f t="shared" si="5"/>
        <v>3375000</v>
      </c>
      <c r="O42" s="4">
        <f t="shared" si="5"/>
        <v>106993420</v>
      </c>
      <c r="P42" s="4">
        <f>SUM(P8:P41)</f>
        <v>140685704</v>
      </c>
      <c r="Q42" s="122">
        <f>P42-O42</f>
        <v>33692284</v>
      </c>
    </row>
    <row r="43" spans="1:17" x14ac:dyDescent="0.25">
      <c r="O43" s="20"/>
      <c r="P43" s="5" t="s">
        <v>1796</v>
      </c>
      <c r="Q43" s="26"/>
    </row>
    <row r="44" spans="1:17" x14ac:dyDescent="0.25">
      <c r="P44" s="21" t="s">
        <v>20</v>
      </c>
      <c r="Q44" s="26">
        <f>'10.2022'!Q42+'11.2022'!Q42</f>
        <v>190703217</v>
      </c>
    </row>
    <row r="45" spans="1:17" x14ac:dyDescent="0.25">
      <c r="C45" s="6" t="s">
        <v>993</v>
      </c>
    </row>
    <row r="46" spans="1:17" x14ac:dyDescent="0.25">
      <c r="C46" s="205"/>
      <c r="D46" s="205"/>
      <c r="E46" s="205"/>
      <c r="F46" s="205"/>
      <c r="H46" s="109"/>
    </row>
    <row r="47" spans="1:17" x14ac:dyDescent="0.25">
      <c r="C47" s="206"/>
      <c r="D47" s="206"/>
      <c r="E47" s="206"/>
      <c r="F47" s="206"/>
      <c r="H47" s="109"/>
    </row>
    <row r="48" spans="1:17" x14ac:dyDescent="0.25">
      <c r="B48" s="6"/>
      <c r="C48" s="110"/>
      <c r="D48" s="110"/>
      <c r="E48" s="110"/>
      <c r="F48" s="110"/>
      <c r="G48" s="133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G51" s="133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29">
    <mergeCell ref="C47:F47"/>
    <mergeCell ref="C49:F49"/>
    <mergeCell ref="C50:F50"/>
    <mergeCell ref="C51:F51"/>
    <mergeCell ref="C53:F53"/>
    <mergeCell ref="C46:F46"/>
    <mergeCell ref="C36:F36"/>
    <mergeCell ref="C37:F37"/>
    <mergeCell ref="C38:F38"/>
    <mergeCell ref="C41:F41"/>
    <mergeCell ref="A42:F42"/>
    <mergeCell ref="C39:F39"/>
    <mergeCell ref="C40:F40"/>
    <mergeCell ref="C35:F35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3:F33"/>
    <mergeCell ref="C34:F34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B200-609B-44CB-88C4-A625D31E7B50}">
  <dimension ref="A1:R46"/>
  <sheetViews>
    <sheetView workbookViewId="0">
      <selection activeCell="A27" sqref="A2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3029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44895</v>
      </c>
      <c r="C8" s="10" t="s">
        <v>3030</v>
      </c>
      <c r="D8" s="25" t="s">
        <v>3049</v>
      </c>
      <c r="E8" s="10" t="s">
        <v>1043</v>
      </c>
      <c r="F8" s="8"/>
      <c r="G8" s="8">
        <v>120</v>
      </c>
      <c r="H8" s="13">
        <f>G8*23210</f>
        <v>2785200</v>
      </c>
      <c r="I8" s="8"/>
      <c r="J8" s="13">
        <v>680000</v>
      </c>
      <c r="K8" s="28"/>
      <c r="L8" s="29"/>
      <c r="M8" s="13"/>
      <c r="N8" s="13"/>
      <c r="O8" s="13">
        <f>H8+J8+K8+L8+M8+N8</f>
        <v>3465200</v>
      </c>
      <c r="P8" s="13">
        <v>5879630</v>
      </c>
      <c r="Q8" s="13">
        <f>P8-O8</f>
        <v>2414430</v>
      </c>
      <c r="R8" s="5"/>
    </row>
    <row r="9" spans="1:18" ht="17.25" customHeight="1" x14ac:dyDescent="0.25">
      <c r="A9" s="25">
        <v>2</v>
      </c>
      <c r="B9" s="120">
        <v>44897</v>
      </c>
      <c r="C9" s="10" t="s">
        <v>2480</v>
      </c>
      <c r="D9" s="129" t="s">
        <v>3050</v>
      </c>
      <c r="E9" s="9" t="s">
        <v>1043</v>
      </c>
      <c r="F9" s="117"/>
      <c r="G9" s="8">
        <v>119</v>
      </c>
      <c r="H9" s="13">
        <f t="shared" ref="H9:H15" si="0">G9*23210</f>
        <v>2761990</v>
      </c>
      <c r="I9" s="117"/>
      <c r="J9" s="119">
        <v>680000</v>
      </c>
      <c r="K9" s="28"/>
      <c r="L9" s="29"/>
      <c r="M9" s="13"/>
      <c r="N9" s="13"/>
      <c r="O9" s="13">
        <f t="shared" ref="O9:O33" si="1">H9+J9+K9+L9+M9+N9</f>
        <v>3441990</v>
      </c>
      <c r="P9" s="13">
        <v>5200000</v>
      </c>
      <c r="Q9" s="13">
        <f t="shared" ref="Q9:Q27" si="2">P9-O9</f>
        <v>1758010</v>
      </c>
      <c r="R9" s="5"/>
    </row>
    <row r="10" spans="1:18" ht="24.75" customHeight="1" x14ac:dyDescent="0.25">
      <c r="A10" s="25">
        <v>3</v>
      </c>
      <c r="B10" s="120">
        <v>44897</v>
      </c>
      <c r="C10" s="10" t="s">
        <v>3031</v>
      </c>
      <c r="D10" s="25" t="s">
        <v>3051</v>
      </c>
      <c r="E10" s="10" t="s">
        <v>3043</v>
      </c>
      <c r="F10" s="8"/>
      <c r="G10" s="8">
        <v>92</v>
      </c>
      <c r="H10" s="13">
        <f t="shared" si="0"/>
        <v>2135320</v>
      </c>
      <c r="I10" s="8"/>
      <c r="J10" s="13">
        <v>430000</v>
      </c>
      <c r="K10" s="28"/>
      <c r="L10" s="29"/>
      <c r="M10" s="13"/>
      <c r="N10" s="13"/>
      <c r="O10" s="13">
        <f>H10+J10+K10+L10+M10+N10</f>
        <v>2565320</v>
      </c>
      <c r="P10" s="13">
        <v>4500000</v>
      </c>
      <c r="Q10" s="13">
        <f t="shared" si="2"/>
        <v>1934680</v>
      </c>
      <c r="R10" s="5"/>
    </row>
    <row r="11" spans="1:18" ht="27.75" customHeight="1" x14ac:dyDescent="0.25">
      <c r="A11" s="25">
        <v>4</v>
      </c>
      <c r="B11" s="120">
        <v>44899</v>
      </c>
      <c r="C11" s="10" t="s">
        <v>1049</v>
      </c>
      <c r="D11" s="25" t="s">
        <v>3052</v>
      </c>
      <c r="E11" s="10" t="s">
        <v>3044</v>
      </c>
      <c r="F11" s="8"/>
      <c r="G11" s="8">
        <v>139</v>
      </c>
      <c r="H11" s="13">
        <f t="shared" si="0"/>
        <v>3226190</v>
      </c>
      <c r="I11" s="8"/>
      <c r="J11" s="13">
        <f>995000+50000</f>
        <v>1045000</v>
      </c>
      <c r="K11" s="28"/>
      <c r="L11" s="29"/>
      <c r="M11" s="13"/>
      <c r="N11" s="13"/>
      <c r="O11" s="13">
        <f t="shared" si="1"/>
        <v>4271190</v>
      </c>
      <c r="P11" s="13">
        <v>6100000</v>
      </c>
      <c r="Q11" s="13">
        <f t="shared" si="2"/>
        <v>1828810</v>
      </c>
      <c r="R11" s="5"/>
    </row>
    <row r="12" spans="1:18" ht="27.75" customHeight="1" x14ac:dyDescent="0.25">
      <c r="A12" s="25">
        <v>5</v>
      </c>
      <c r="B12" s="120">
        <v>44900</v>
      </c>
      <c r="C12" s="10" t="s">
        <v>3032</v>
      </c>
      <c r="D12" s="145" t="s">
        <v>3075</v>
      </c>
      <c r="E12" s="10" t="s">
        <v>1661</v>
      </c>
      <c r="F12" s="8"/>
      <c r="G12" s="8">
        <v>114</v>
      </c>
      <c r="H12" s="13">
        <f t="shared" si="0"/>
        <v>2645940</v>
      </c>
      <c r="I12" s="8"/>
      <c r="J12" s="57">
        <v>770000</v>
      </c>
      <c r="K12" s="28"/>
      <c r="L12" s="29"/>
      <c r="M12" s="13"/>
      <c r="N12" s="13"/>
      <c r="O12" s="13">
        <f t="shared" si="1"/>
        <v>3415940</v>
      </c>
      <c r="P12" s="13">
        <v>5100000</v>
      </c>
      <c r="Q12" s="13">
        <f t="shared" si="2"/>
        <v>1684060</v>
      </c>
      <c r="R12" s="5"/>
    </row>
    <row r="13" spans="1:18" ht="27.75" customHeight="1" x14ac:dyDescent="0.25">
      <c r="A13" s="25">
        <v>6</v>
      </c>
      <c r="B13" s="120">
        <v>44902</v>
      </c>
      <c r="C13" s="10" t="s">
        <v>1733</v>
      </c>
      <c r="D13" s="25" t="s">
        <v>3053</v>
      </c>
      <c r="E13" s="10" t="s">
        <v>1043</v>
      </c>
      <c r="F13" s="8"/>
      <c r="G13" s="8">
        <v>124</v>
      </c>
      <c r="H13" s="13">
        <f t="shared" si="0"/>
        <v>2878040</v>
      </c>
      <c r="I13" s="8"/>
      <c r="J13" s="13">
        <v>680000</v>
      </c>
      <c r="K13" s="28"/>
      <c r="L13" s="29"/>
      <c r="M13" s="13"/>
      <c r="N13" s="13"/>
      <c r="O13" s="13">
        <f t="shared" si="1"/>
        <v>3558040</v>
      </c>
      <c r="P13" s="13">
        <v>5694444</v>
      </c>
      <c r="Q13" s="13">
        <f t="shared" si="2"/>
        <v>2136404</v>
      </c>
      <c r="R13" s="5"/>
    </row>
    <row r="14" spans="1:18" ht="27.75" customHeight="1" x14ac:dyDescent="0.25">
      <c r="A14" s="25">
        <v>7</v>
      </c>
      <c r="B14" s="120">
        <v>44902</v>
      </c>
      <c r="C14" s="10" t="s">
        <v>1734</v>
      </c>
      <c r="D14" s="25" t="s">
        <v>3054</v>
      </c>
      <c r="E14" s="10" t="s">
        <v>1043</v>
      </c>
      <c r="F14" s="8"/>
      <c r="G14" s="8">
        <v>120</v>
      </c>
      <c r="H14" s="13">
        <f t="shared" si="0"/>
        <v>2785200</v>
      </c>
      <c r="I14" s="8"/>
      <c r="J14" s="13">
        <v>680000</v>
      </c>
      <c r="K14" s="28"/>
      <c r="L14" s="29"/>
      <c r="M14" s="13"/>
      <c r="N14" s="13"/>
      <c r="O14" s="13">
        <f>H14+J14+K14+L14+M14+N14</f>
        <v>3465200</v>
      </c>
      <c r="P14" s="13">
        <v>5694444</v>
      </c>
      <c r="Q14" s="13">
        <f t="shared" si="2"/>
        <v>2229244</v>
      </c>
      <c r="R14" s="5"/>
    </row>
    <row r="15" spans="1:18" ht="27.75" customHeight="1" x14ac:dyDescent="0.25">
      <c r="A15" s="25">
        <v>8</v>
      </c>
      <c r="B15" s="120">
        <v>44903</v>
      </c>
      <c r="C15" s="10" t="s">
        <v>3033</v>
      </c>
      <c r="D15" s="25" t="s">
        <v>3055</v>
      </c>
      <c r="E15" s="10" t="s">
        <v>1043</v>
      </c>
      <c r="F15" s="8"/>
      <c r="G15" s="8">
        <v>120</v>
      </c>
      <c r="H15" s="13">
        <f t="shared" si="0"/>
        <v>2785200</v>
      </c>
      <c r="I15" s="8"/>
      <c r="J15" s="119">
        <v>680000</v>
      </c>
      <c r="K15" s="28"/>
      <c r="L15" s="29"/>
      <c r="M15" s="13"/>
      <c r="N15" s="13"/>
      <c r="O15" s="13">
        <f t="shared" si="1"/>
        <v>3465200</v>
      </c>
      <c r="P15" s="13">
        <v>5694444</v>
      </c>
      <c r="Q15" s="13">
        <f t="shared" si="2"/>
        <v>2229244</v>
      </c>
      <c r="R15" s="5"/>
    </row>
    <row r="16" spans="1:18" ht="27.75" customHeight="1" x14ac:dyDescent="0.25">
      <c r="A16" s="25">
        <v>9</v>
      </c>
      <c r="B16" s="120">
        <v>44904</v>
      </c>
      <c r="C16" s="10" t="s">
        <v>3034</v>
      </c>
      <c r="D16" s="25" t="s">
        <v>3056</v>
      </c>
      <c r="E16" s="10" t="s">
        <v>3045</v>
      </c>
      <c r="F16" s="8"/>
      <c r="G16" s="8">
        <v>35</v>
      </c>
      <c r="H16" s="13">
        <f>G16*21670</f>
        <v>758450</v>
      </c>
      <c r="I16" s="8"/>
      <c r="J16" s="13">
        <v>350000</v>
      </c>
      <c r="K16" s="28"/>
      <c r="L16" s="29"/>
      <c r="M16" s="13"/>
      <c r="N16" s="13"/>
      <c r="O16" s="13">
        <f t="shared" si="1"/>
        <v>1108450</v>
      </c>
      <c r="P16" s="13">
        <v>2900000</v>
      </c>
      <c r="Q16" s="13">
        <f t="shared" si="2"/>
        <v>1791550</v>
      </c>
      <c r="R16" s="5"/>
    </row>
    <row r="17" spans="1:18" ht="27.75" customHeight="1" x14ac:dyDescent="0.25">
      <c r="A17" s="25">
        <v>10</v>
      </c>
      <c r="B17" s="120">
        <v>44909</v>
      </c>
      <c r="C17" s="10" t="s">
        <v>3035</v>
      </c>
      <c r="D17" s="25" t="s">
        <v>3057</v>
      </c>
      <c r="E17" s="10" t="s">
        <v>1287</v>
      </c>
      <c r="F17" s="8"/>
      <c r="G17" s="8">
        <v>64</v>
      </c>
      <c r="H17" s="13">
        <f t="shared" ref="H17:H20" si="3">G17*21670</f>
        <v>1386880</v>
      </c>
      <c r="I17" s="8"/>
      <c r="J17" s="13">
        <v>430000</v>
      </c>
      <c r="K17" s="28"/>
      <c r="L17" s="29"/>
      <c r="M17" s="13"/>
      <c r="N17" s="13"/>
      <c r="O17" s="13">
        <f t="shared" si="1"/>
        <v>1816880</v>
      </c>
      <c r="P17" s="13">
        <v>3500000</v>
      </c>
      <c r="Q17" s="13">
        <f t="shared" si="2"/>
        <v>1683120</v>
      </c>
      <c r="R17" s="5"/>
    </row>
    <row r="18" spans="1:18" ht="22.5" customHeight="1" x14ac:dyDescent="0.25">
      <c r="A18" s="25">
        <v>11</v>
      </c>
      <c r="B18" s="120">
        <v>44910</v>
      </c>
      <c r="C18" s="10" t="s">
        <v>3036</v>
      </c>
      <c r="D18" s="145" t="s">
        <v>3058</v>
      </c>
      <c r="E18" s="10" t="s">
        <v>2597</v>
      </c>
      <c r="F18" s="8"/>
      <c r="G18" s="8">
        <v>91</v>
      </c>
      <c r="H18" s="13">
        <f t="shared" si="3"/>
        <v>1971970</v>
      </c>
      <c r="I18" s="8"/>
      <c r="J18" s="13">
        <v>680000</v>
      </c>
      <c r="K18" s="28"/>
      <c r="L18" s="29"/>
      <c r="M18" s="13"/>
      <c r="N18" s="13"/>
      <c r="O18" s="13">
        <f t="shared" si="1"/>
        <v>2651970</v>
      </c>
      <c r="P18" s="13">
        <v>4600000</v>
      </c>
      <c r="Q18" s="13">
        <f t="shared" si="2"/>
        <v>1948030</v>
      </c>
      <c r="R18" s="5"/>
    </row>
    <row r="19" spans="1:18" ht="22.5" customHeight="1" x14ac:dyDescent="0.25">
      <c r="A19" s="25">
        <v>12</v>
      </c>
      <c r="B19" s="120">
        <v>44910</v>
      </c>
      <c r="C19" s="10" t="s">
        <v>2488</v>
      </c>
      <c r="D19" s="25" t="s">
        <v>3059</v>
      </c>
      <c r="E19" s="10" t="s">
        <v>121</v>
      </c>
      <c r="F19" s="8"/>
      <c r="G19" s="8">
        <v>223</v>
      </c>
      <c r="H19" s="13">
        <f t="shared" si="3"/>
        <v>4832410</v>
      </c>
      <c r="J19" s="13">
        <f>2220000+200000</f>
        <v>2420000</v>
      </c>
      <c r="K19" s="28"/>
      <c r="L19" s="29"/>
      <c r="M19" s="13"/>
      <c r="N19" s="13"/>
      <c r="O19" s="13">
        <f t="shared" si="1"/>
        <v>7252410</v>
      </c>
      <c r="P19" s="13">
        <v>13000000</v>
      </c>
      <c r="Q19" s="13">
        <f t="shared" si="2"/>
        <v>5747590</v>
      </c>
      <c r="R19" s="5"/>
    </row>
    <row r="20" spans="1:18" ht="22.5" customHeight="1" x14ac:dyDescent="0.25">
      <c r="A20" s="25">
        <v>13</v>
      </c>
      <c r="B20" s="120">
        <v>44912</v>
      </c>
      <c r="C20" s="10" t="s">
        <v>3037</v>
      </c>
      <c r="D20" s="25" t="s">
        <v>3060</v>
      </c>
      <c r="E20" s="10" t="s">
        <v>3046</v>
      </c>
      <c r="F20" s="8"/>
      <c r="G20" s="8">
        <v>86</v>
      </c>
      <c r="H20" s="13">
        <f t="shared" si="3"/>
        <v>1863620</v>
      </c>
      <c r="I20" s="8"/>
      <c r="J20" s="13">
        <v>1180000</v>
      </c>
      <c r="K20" s="28"/>
      <c r="L20" s="29"/>
      <c r="M20" s="13"/>
      <c r="N20" s="13"/>
      <c r="O20" s="13">
        <f t="shared" si="1"/>
        <v>3043620</v>
      </c>
      <c r="P20" s="13">
        <v>5600000</v>
      </c>
      <c r="Q20" s="13">
        <f t="shared" si="2"/>
        <v>2556380</v>
      </c>
      <c r="R20" s="5"/>
    </row>
    <row r="21" spans="1:18" ht="22.5" customHeight="1" x14ac:dyDescent="0.25">
      <c r="A21" s="25">
        <v>14</v>
      </c>
      <c r="B21" s="120">
        <v>44915</v>
      </c>
      <c r="C21" s="10" t="s">
        <v>3038</v>
      </c>
      <c r="D21" s="25" t="s">
        <v>3061</v>
      </c>
      <c r="E21" s="10" t="s">
        <v>1661</v>
      </c>
      <c r="F21" s="8"/>
      <c r="G21" s="8">
        <v>112</v>
      </c>
      <c r="H21" s="13">
        <f>G21*21600</f>
        <v>2419200</v>
      </c>
      <c r="I21" s="8"/>
      <c r="J21" s="13">
        <v>770000</v>
      </c>
      <c r="K21" s="28"/>
      <c r="L21" s="29"/>
      <c r="M21" s="13"/>
      <c r="N21" s="13"/>
      <c r="O21" s="13">
        <f t="shared" si="1"/>
        <v>3189200</v>
      </c>
      <c r="P21" s="13">
        <v>4800000</v>
      </c>
      <c r="Q21" s="13">
        <f t="shared" si="2"/>
        <v>1610800</v>
      </c>
      <c r="R21" s="5"/>
    </row>
    <row r="22" spans="1:18" ht="27" customHeight="1" x14ac:dyDescent="0.25">
      <c r="A22" s="25">
        <v>15</v>
      </c>
      <c r="B22" s="120">
        <v>44916</v>
      </c>
      <c r="C22" s="10" t="s">
        <v>3039</v>
      </c>
      <c r="D22" s="25" t="s">
        <v>3062</v>
      </c>
      <c r="E22" s="10" t="s">
        <v>1043</v>
      </c>
      <c r="F22" s="8"/>
      <c r="G22" s="8">
        <v>107</v>
      </c>
      <c r="H22" s="13">
        <f t="shared" ref="H22:H27" si="4">G22*21600</f>
        <v>2311200</v>
      </c>
      <c r="I22" s="8"/>
      <c r="J22" s="13">
        <v>680000</v>
      </c>
      <c r="K22" s="28"/>
      <c r="L22" s="29"/>
      <c r="M22" s="13"/>
      <c r="N22" s="13"/>
      <c r="O22" s="13">
        <f t="shared" si="1"/>
        <v>2991200</v>
      </c>
      <c r="P22" s="13">
        <v>5185185</v>
      </c>
      <c r="Q22" s="13">
        <f t="shared" si="2"/>
        <v>2193985</v>
      </c>
      <c r="R22" s="5"/>
    </row>
    <row r="23" spans="1:18" ht="27" customHeight="1" x14ac:dyDescent="0.25">
      <c r="A23" s="25">
        <v>16</v>
      </c>
      <c r="B23" s="120">
        <v>44921</v>
      </c>
      <c r="C23" s="10" t="s">
        <v>3040</v>
      </c>
      <c r="D23" s="25" t="s">
        <v>3063</v>
      </c>
      <c r="E23" s="10" t="s">
        <v>2954</v>
      </c>
      <c r="F23" s="8"/>
      <c r="G23" s="8">
        <v>300</v>
      </c>
      <c r="H23" s="13">
        <f t="shared" si="4"/>
        <v>6480000</v>
      </c>
      <c r="I23" s="8"/>
      <c r="J23" s="13">
        <v>2695000</v>
      </c>
      <c r="K23" s="28"/>
      <c r="L23" s="29"/>
      <c r="M23" s="13"/>
      <c r="N23" s="13"/>
      <c r="O23" s="13">
        <f t="shared" si="1"/>
        <v>9175000</v>
      </c>
      <c r="P23" s="13">
        <v>20220000</v>
      </c>
      <c r="Q23" s="13">
        <f t="shared" si="2"/>
        <v>11045000</v>
      </c>
      <c r="R23" s="5"/>
    </row>
    <row r="24" spans="1:18" ht="27" customHeight="1" x14ac:dyDescent="0.25">
      <c r="A24" s="25">
        <v>17</v>
      </c>
      <c r="B24" s="120">
        <v>44923</v>
      </c>
      <c r="C24" s="10" t="s">
        <v>1064</v>
      </c>
      <c r="D24" s="25" t="s">
        <v>3064</v>
      </c>
      <c r="E24" s="10" t="s">
        <v>3047</v>
      </c>
      <c r="F24" s="8"/>
      <c r="G24" s="8">
        <v>133</v>
      </c>
      <c r="H24" s="13">
        <f t="shared" si="4"/>
        <v>2872800</v>
      </c>
      <c r="I24" s="8"/>
      <c r="J24" s="13">
        <v>1010000</v>
      </c>
      <c r="K24" s="28"/>
      <c r="L24" s="29"/>
      <c r="M24" s="13"/>
      <c r="N24" s="13"/>
      <c r="O24" s="13">
        <f t="shared" si="1"/>
        <v>3882800</v>
      </c>
      <c r="P24" s="13">
        <v>6000000</v>
      </c>
      <c r="Q24" s="13">
        <f t="shared" si="2"/>
        <v>2117200</v>
      </c>
      <c r="R24" s="5"/>
    </row>
    <row r="25" spans="1:18" ht="27" customHeight="1" x14ac:dyDescent="0.25">
      <c r="A25" s="25">
        <v>18</v>
      </c>
      <c r="B25" s="120">
        <v>44923</v>
      </c>
      <c r="C25" s="10" t="s">
        <v>1752</v>
      </c>
      <c r="D25" s="25" t="s">
        <v>3064</v>
      </c>
      <c r="E25" s="10" t="s">
        <v>108</v>
      </c>
      <c r="F25" s="8"/>
      <c r="G25" s="8"/>
      <c r="H25" s="13">
        <f>G25*21600</f>
        <v>0</v>
      </c>
      <c r="I25" s="8"/>
      <c r="J25" s="13"/>
      <c r="K25" s="28"/>
      <c r="L25" s="29"/>
      <c r="M25" s="13"/>
      <c r="N25" s="13"/>
      <c r="O25" s="13">
        <f t="shared" si="1"/>
        <v>0</v>
      </c>
      <c r="P25" s="13">
        <v>0</v>
      </c>
      <c r="Q25" s="13">
        <f t="shared" si="2"/>
        <v>0</v>
      </c>
      <c r="R25" s="5"/>
    </row>
    <row r="26" spans="1:18" ht="27" customHeight="1" x14ac:dyDescent="0.25">
      <c r="A26" s="25">
        <v>19</v>
      </c>
      <c r="B26" s="120">
        <v>44923</v>
      </c>
      <c r="C26" s="10" t="s">
        <v>3041</v>
      </c>
      <c r="D26" s="25" t="s">
        <v>3065</v>
      </c>
      <c r="E26" s="10" t="s">
        <v>2467</v>
      </c>
      <c r="F26" s="8"/>
      <c r="G26" s="8">
        <v>65</v>
      </c>
      <c r="H26" s="13">
        <f t="shared" si="4"/>
        <v>1404000</v>
      </c>
      <c r="I26" s="8"/>
      <c r="J26" s="13">
        <v>430000</v>
      </c>
      <c r="K26" s="28"/>
      <c r="L26" s="29"/>
      <c r="M26" s="13"/>
      <c r="N26" s="13"/>
      <c r="O26" s="13">
        <f t="shared" si="1"/>
        <v>1834000</v>
      </c>
      <c r="P26" s="13">
        <v>3600000</v>
      </c>
      <c r="Q26" s="13">
        <f t="shared" si="2"/>
        <v>1766000</v>
      </c>
      <c r="R26" s="5"/>
    </row>
    <row r="27" spans="1:18" ht="27" customHeight="1" x14ac:dyDescent="0.25">
      <c r="A27" s="25">
        <v>20</v>
      </c>
      <c r="B27" s="120">
        <v>44924</v>
      </c>
      <c r="C27" s="10" t="s">
        <v>3042</v>
      </c>
      <c r="D27" s="25" t="s">
        <v>3066</v>
      </c>
      <c r="E27" s="10" t="s">
        <v>3048</v>
      </c>
      <c r="F27" s="8"/>
      <c r="G27" s="8">
        <v>118</v>
      </c>
      <c r="H27" s="13">
        <f t="shared" si="4"/>
        <v>2548800</v>
      </c>
      <c r="I27" s="8"/>
      <c r="J27" s="13">
        <v>780000</v>
      </c>
      <c r="K27" s="28"/>
      <c r="L27" s="29"/>
      <c r="M27" s="13"/>
      <c r="N27" s="13"/>
      <c r="O27" s="13">
        <f t="shared" si="1"/>
        <v>3328800</v>
      </c>
      <c r="P27" s="13">
        <v>5600000</v>
      </c>
      <c r="Q27" s="13">
        <f t="shared" si="2"/>
        <v>2271200</v>
      </c>
      <c r="R27" s="5"/>
    </row>
    <row r="28" spans="1:18" ht="24" customHeight="1" x14ac:dyDescent="0.25">
      <c r="A28" s="8"/>
      <c r="B28" s="8"/>
      <c r="C28" s="196" t="s">
        <v>131</v>
      </c>
      <c r="D28" s="197"/>
      <c r="E28" s="197"/>
      <c r="F28" s="198"/>
      <c r="G28" s="8"/>
      <c r="H28" s="13"/>
      <c r="I28" s="8"/>
      <c r="J28" s="13"/>
      <c r="K28" s="90">
        <v>1200000</v>
      </c>
      <c r="L28" s="28"/>
      <c r="M28" s="18"/>
      <c r="N28" s="28"/>
      <c r="O28" s="53">
        <f t="shared" si="1"/>
        <v>1200000</v>
      </c>
      <c r="P28" s="28"/>
      <c r="Q28" s="54"/>
    </row>
    <row r="29" spans="1:18" ht="24" customHeight="1" x14ac:dyDescent="0.25">
      <c r="A29" s="8"/>
      <c r="B29" s="8"/>
      <c r="C29" s="196" t="s">
        <v>3071</v>
      </c>
      <c r="D29" s="197"/>
      <c r="E29" s="197"/>
      <c r="F29" s="198"/>
      <c r="G29" s="8"/>
      <c r="H29" s="13"/>
      <c r="I29" s="8"/>
      <c r="J29" s="13"/>
      <c r="K29" s="28">
        <v>6243000</v>
      </c>
      <c r="L29" s="28"/>
      <c r="M29" s="18"/>
      <c r="N29" s="28"/>
      <c r="O29" s="53">
        <f t="shared" si="1"/>
        <v>6243000</v>
      </c>
      <c r="P29" s="28"/>
      <c r="Q29" s="54"/>
    </row>
    <row r="30" spans="1:18" ht="24" customHeight="1" x14ac:dyDescent="0.25">
      <c r="A30" s="8"/>
      <c r="B30" s="8"/>
      <c r="C30" s="196" t="s">
        <v>3067</v>
      </c>
      <c r="D30" s="197"/>
      <c r="E30" s="197"/>
      <c r="F30" s="198"/>
      <c r="G30" s="30"/>
      <c r="H30" s="28"/>
      <c r="I30" s="30"/>
      <c r="J30" s="28"/>
      <c r="K30" s="28"/>
      <c r="L30" s="18"/>
      <c r="M30" s="90">
        <v>240000</v>
      </c>
      <c r="N30" s="28"/>
      <c r="O30" s="53">
        <f t="shared" si="1"/>
        <v>240000</v>
      </c>
      <c r="P30" s="28"/>
      <c r="Q30" s="54"/>
    </row>
    <row r="31" spans="1:18" ht="24" customHeight="1" x14ac:dyDescent="0.25">
      <c r="A31" s="8"/>
      <c r="B31" s="8"/>
      <c r="C31" s="196" t="s">
        <v>3068</v>
      </c>
      <c r="D31" s="197"/>
      <c r="E31" s="197"/>
      <c r="F31" s="198"/>
      <c r="G31" s="30"/>
      <c r="H31" s="28"/>
      <c r="I31" s="30"/>
      <c r="J31" s="28"/>
      <c r="K31" s="28"/>
      <c r="L31" s="90">
        <v>320000</v>
      </c>
      <c r="M31" s="28"/>
      <c r="N31" s="28"/>
      <c r="O31" s="53">
        <f t="shared" si="1"/>
        <v>320000</v>
      </c>
      <c r="P31" s="28"/>
      <c r="Q31" s="54"/>
    </row>
    <row r="32" spans="1:18" ht="24" customHeight="1" x14ac:dyDescent="0.25">
      <c r="A32" s="8"/>
      <c r="B32" s="8"/>
      <c r="C32" s="196" t="s">
        <v>3070</v>
      </c>
      <c r="D32" s="197"/>
      <c r="E32" s="197"/>
      <c r="F32" s="198"/>
      <c r="G32" s="30"/>
      <c r="H32" s="28"/>
      <c r="I32" s="30"/>
      <c r="J32" s="28"/>
      <c r="K32" s="28"/>
      <c r="L32" s="90">
        <v>340000</v>
      </c>
      <c r="M32" s="28"/>
      <c r="N32" s="28"/>
      <c r="O32" s="53">
        <f t="shared" si="1"/>
        <v>340000</v>
      </c>
      <c r="P32" s="28"/>
      <c r="Q32" s="54"/>
    </row>
    <row r="33" spans="1:17" ht="24" customHeight="1" x14ac:dyDescent="0.25">
      <c r="A33" s="8"/>
      <c r="B33" s="8"/>
      <c r="C33" s="147" t="s">
        <v>3074</v>
      </c>
      <c r="D33" s="126"/>
      <c r="E33" s="126"/>
      <c r="F33" s="127"/>
      <c r="G33" s="30"/>
      <c r="H33" s="28"/>
      <c r="I33" s="30"/>
      <c r="J33" s="28"/>
      <c r="K33" s="48">
        <v>1000000</v>
      </c>
      <c r="L33" s="28"/>
      <c r="M33" s="28"/>
      <c r="N33" s="28"/>
      <c r="O33" s="53">
        <f t="shared" si="1"/>
        <v>1000000</v>
      </c>
      <c r="P33" s="28"/>
      <c r="Q33" s="54"/>
    </row>
    <row r="34" spans="1:17" ht="25.5" customHeight="1" x14ac:dyDescent="0.25">
      <c r="A34" s="8"/>
      <c r="B34" s="8"/>
      <c r="C34" s="191" t="s">
        <v>3072</v>
      </c>
      <c r="D34" s="192"/>
      <c r="E34" s="192"/>
      <c r="F34" s="195"/>
      <c r="G34" s="30"/>
      <c r="H34" s="28"/>
      <c r="I34" s="30"/>
      <c r="J34" s="28"/>
      <c r="K34" s="90">
        <v>8700000</v>
      </c>
      <c r="L34" s="18"/>
      <c r="M34" s="18"/>
      <c r="N34" s="28"/>
      <c r="O34" s="53">
        <f>H34+J34+K34+L34+M34+N34</f>
        <v>8700000</v>
      </c>
      <c r="P34" s="28"/>
      <c r="Q34" s="54"/>
    </row>
    <row r="35" spans="1:17" ht="15" customHeight="1" x14ac:dyDescent="0.25">
      <c r="A35" s="166" t="s">
        <v>19</v>
      </c>
      <c r="B35" s="167"/>
      <c r="C35" s="167"/>
      <c r="D35" s="167"/>
      <c r="E35" s="167"/>
      <c r="F35" s="168"/>
      <c r="G35" s="131">
        <f t="shared" ref="G35:O35" si="5">SUM(G7:G34)</f>
        <v>2282</v>
      </c>
      <c r="H35" s="4">
        <f t="shared" si="5"/>
        <v>50852410</v>
      </c>
      <c r="I35" s="4">
        <f t="shared" si="5"/>
        <v>0</v>
      </c>
      <c r="J35" s="4">
        <f t="shared" si="5"/>
        <v>17070000</v>
      </c>
      <c r="K35" s="4">
        <f t="shared" si="5"/>
        <v>17143000</v>
      </c>
      <c r="L35" s="4">
        <f t="shared" si="5"/>
        <v>660000</v>
      </c>
      <c r="M35" s="4">
        <f t="shared" si="5"/>
        <v>240000</v>
      </c>
      <c r="N35" s="4">
        <f t="shared" si="5"/>
        <v>0</v>
      </c>
      <c r="O35" s="4">
        <f t="shared" si="5"/>
        <v>85965410</v>
      </c>
      <c r="P35" s="51">
        <f>SUM(P8:P34)</f>
        <v>118868147</v>
      </c>
      <c r="Q35" s="122">
        <f>P35-O35</f>
        <v>32902737</v>
      </c>
    </row>
    <row r="36" spans="1:17" x14ac:dyDescent="0.25">
      <c r="O36" s="20"/>
      <c r="P36" s="5" t="s">
        <v>1796</v>
      </c>
      <c r="Q36" s="26"/>
    </row>
    <row r="37" spans="1:17" x14ac:dyDescent="0.25">
      <c r="P37" s="21" t="s">
        <v>20</v>
      </c>
      <c r="Q37" s="26">
        <f>'11.2022'!Q44+'12.2022'!Q35</f>
        <v>223605954</v>
      </c>
    </row>
    <row r="38" spans="1:17" x14ac:dyDescent="0.25">
      <c r="C38" s="6" t="s">
        <v>993</v>
      </c>
    </row>
    <row r="39" spans="1:17" x14ac:dyDescent="0.25">
      <c r="C39" s="205"/>
      <c r="D39" s="205"/>
      <c r="E39" s="205"/>
      <c r="F39" s="205"/>
      <c r="H39" s="109"/>
    </row>
    <row r="40" spans="1:17" x14ac:dyDescent="0.25">
      <c r="C40" s="206"/>
      <c r="D40" s="206"/>
      <c r="E40" s="206"/>
      <c r="F40" s="206"/>
      <c r="H40" s="109"/>
    </row>
    <row r="41" spans="1:17" x14ac:dyDescent="0.25">
      <c r="B41" s="6"/>
      <c r="C41" s="110"/>
      <c r="D41" s="110"/>
      <c r="E41" s="110"/>
      <c r="F41" s="110"/>
      <c r="G41" s="133"/>
      <c r="H41" s="109"/>
    </row>
    <row r="42" spans="1:17" x14ac:dyDescent="0.25">
      <c r="B42" s="6"/>
      <c r="C42" s="206"/>
      <c r="D42" s="206"/>
      <c r="E42" s="206"/>
      <c r="F42" s="206"/>
      <c r="H42" s="109"/>
    </row>
    <row r="43" spans="1:17" x14ac:dyDescent="0.25">
      <c r="B43" s="6"/>
      <c r="C43" s="206"/>
      <c r="D43" s="206"/>
      <c r="E43" s="206"/>
      <c r="F43" s="206"/>
      <c r="H43" s="109"/>
    </row>
    <row r="44" spans="1:17" x14ac:dyDescent="0.25">
      <c r="B44" s="6"/>
      <c r="C44" s="206"/>
      <c r="D44" s="206"/>
      <c r="E44" s="206"/>
      <c r="F44" s="206"/>
      <c r="G44" s="133"/>
      <c r="H44" s="109"/>
      <c r="J44" s="6"/>
      <c r="K44" s="6"/>
      <c r="L44" s="6"/>
      <c r="M44" s="6"/>
      <c r="N44" s="6"/>
      <c r="O44" s="6"/>
      <c r="P44" s="6"/>
      <c r="Q44" s="6"/>
    </row>
    <row r="45" spans="1:17" x14ac:dyDescent="0.2">
      <c r="C45" s="107"/>
      <c r="D45" s="110"/>
      <c r="E45" s="110"/>
      <c r="F45" s="110"/>
      <c r="H45" s="109"/>
    </row>
    <row r="46" spans="1:17" x14ac:dyDescent="0.25">
      <c r="C46" s="205"/>
      <c r="D46" s="205"/>
      <c r="E46" s="205"/>
      <c r="F46" s="205"/>
    </row>
  </sheetData>
  <mergeCells count="26">
    <mergeCell ref="C42:F42"/>
    <mergeCell ref="C43:F43"/>
    <mergeCell ref="C44:F44"/>
    <mergeCell ref="C46:F46"/>
    <mergeCell ref="A35:F35"/>
    <mergeCell ref="C39:F39"/>
    <mergeCell ref="C32:F32"/>
    <mergeCell ref="C40:F40"/>
    <mergeCell ref="C28:F28"/>
    <mergeCell ref="C29:F29"/>
    <mergeCell ref="C30:F30"/>
    <mergeCell ref="C31:F31"/>
    <mergeCell ref="C34:F34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P5:P6"/>
    <mergeCell ref="Q5:Q6"/>
    <mergeCell ref="O5:O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F0FD-F729-45A7-A4CB-C657FD096F56}">
  <dimension ref="A1:R34"/>
  <sheetViews>
    <sheetView topLeftCell="D14" workbookViewId="0">
      <selection activeCell="Q20" sqref="Q2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3076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44928</v>
      </c>
      <c r="C8" s="10" t="s">
        <v>3077</v>
      </c>
      <c r="D8" s="25" t="s">
        <v>3078</v>
      </c>
      <c r="E8" s="10" t="s">
        <v>3079</v>
      </c>
      <c r="F8" s="8"/>
      <c r="G8" s="8">
        <v>116</v>
      </c>
      <c r="H8" s="13">
        <f t="shared" ref="H8:H12" si="0">G8*22150</f>
        <v>2569400</v>
      </c>
      <c r="I8" s="8"/>
      <c r="J8" s="57">
        <v>1050000</v>
      </c>
      <c r="K8" s="28"/>
      <c r="L8" s="29"/>
      <c r="M8" s="13"/>
      <c r="N8" s="13"/>
      <c r="O8" s="13">
        <f>H8+J8+K8+L8+M8+N8</f>
        <v>3619400</v>
      </c>
      <c r="P8" s="13">
        <v>5700000</v>
      </c>
      <c r="Q8" s="13">
        <f>P8-O8</f>
        <v>2080600</v>
      </c>
      <c r="R8" s="5"/>
    </row>
    <row r="9" spans="1:18" ht="17.25" customHeight="1" x14ac:dyDescent="0.25">
      <c r="A9" s="25">
        <v>2</v>
      </c>
      <c r="B9" s="120">
        <v>44929</v>
      </c>
      <c r="C9" s="10" t="s">
        <v>3080</v>
      </c>
      <c r="D9" s="129" t="s">
        <v>3081</v>
      </c>
      <c r="E9" s="9" t="s">
        <v>3082</v>
      </c>
      <c r="F9" s="117"/>
      <c r="G9" s="8">
        <v>118</v>
      </c>
      <c r="H9" s="13">
        <f t="shared" si="0"/>
        <v>2613700</v>
      </c>
      <c r="I9" s="117"/>
      <c r="J9" s="134">
        <v>770000</v>
      </c>
      <c r="K9" s="28"/>
      <c r="L9" s="29"/>
      <c r="M9" s="13"/>
      <c r="N9" s="13"/>
      <c r="O9" s="13">
        <f t="shared" ref="O9:O21" si="1">H9+J9+K9+L9+M9+N9</f>
        <v>3383700</v>
      </c>
      <c r="P9" s="13">
        <v>5000000</v>
      </c>
      <c r="Q9" s="13">
        <f t="shared" ref="Q9:Q18" si="2">P9-O9</f>
        <v>1616300</v>
      </c>
      <c r="R9" s="5"/>
    </row>
    <row r="10" spans="1:18" ht="24.75" customHeight="1" x14ac:dyDescent="0.25">
      <c r="A10" s="25">
        <v>3</v>
      </c>
      <c r="B10" s="120">
        <v>44930</v>
      </c>
      <c r="C10" s="10" t="s">
        <v>3083</v>
      </c>
      <c r="D10" s="25" t="s">
        <v>3084</v>
      </c>
      <c r="E10" s="10" t="s">
        <v>3082</v>
      </c>
      <c r="F10" s="8"/>
      <c r="G10" s="8">
        <v>118</v>
      </c>
      <c r="H10" s="13">
        <f t="shared" si="0"/>
        <v>2613700</v>
      </c>
      <c r="I10" s="8"/>
      <c r="J10" s="50">
        <v>770000</v>
      </c>
      <c r="K10" s="28"/>
      <c r="L10" s="29"/>
      <c r="M10" s="13"/>
      <c r="N10" s="13"/>
      <c r="O10" s="13">
        <f>H10+J10+K10+L10+M10+N10</f>
        <v>3383700</v>
      </c>
      <c r="P10" s="13">
        <v>5000000</v>
      </c>
      <c r="Q10" s="13">
        <f t="shared" si="2"/>
        <v>1616300</v>
      </c>
      <c r="R10" s="5"/>
    </row>
    <row r="11" spans="1:18" ht="27.75" customHeight="1" x14ac:dyDescent="0.25">
      <c r="A11" s="25">
        <v>4</v>
      </c>
      <c r="B11" s="120">
        <v>44930</v>
      </c>
      <c r="C11" s="10" t="s">
        <v>3085</v>
      </c>
      <c r="D11" s="25" t="s">
        <v>3086</v>
      </c>
      <c r="E11" s="10" t="s">
        <v>2632</v>
      </c>
      <c r="F11" s="8"/>
      <c r="G11" s="8">
        <v>84</v>
      </c>
      <c r="H11" s="13">
        <f t="shared" si="0"/>
        <v>1860600</v>
      </c>
      <c r="I11" s="8"/>
      <c r="J11" s="57">
        <v>680000</v>
      </c>
      <c r="K11" s="28"/>
      <c r="L11" s="29"/>
      <c r="M11" s="13"/>
      <c r="N11" s="13"/>
      <c r="O11" s="13">
        <f t="shared" si="1"/>
        <v>2540600</v>
      </c>
      <c r="P11" s="13">
        <v>4000000</v>
      </c>
      <c r="Q11" s="13">
        <f t="shared" si="2"/>
        <v>1459400</v>
      </c>
      <c r="R11" s="5"/>
    </row>
    <row r="12" spans="1:18" ht="27.75" customHeight="1" x14ac:dyDescent="0.25">
      <c r="A12" s="25">
        <v>5</v>
      </c>
      <c r="B12" s="120">
        <v>44931</v>
      </c>
      <c r="C12" s="10" t="s">
        <v>3087</v>
      </c>
      <c r="D12" s="25" t="s">
        <v>3088</v>
      </c>
      <c r="E12" s="10" t="s">
        <v>3089</v>
      </c>
      <c r="F12" s="8"/>
      <c r="G12" s="8">
        <v>130</v>
      </c>
      <c r="H12" s="13">
        <f t="shared" si="0"/>
        <v>2879500</v>
      </c>
      <c r="I12" s="8"/>
      <c r="J12" s="50">
        <v>1045000</v>
      </c>
      <c r="K12" s="28"/>
      <c r="L12" s="29"/>
      <c r="M12" s="13"/>
      <c r="N12" s="13"/>
      <c r="O12" s="13">
        <f t="shared" si="1"/>
        <v>3924500</v>
      </c>
      <c r="P12" s="13">
        <v>6000000</v>
      </c>
      <c r="Q12" s="13">
        <f t="shared" si="2"/>
        <v>2075500</v>
      </c>
      <c r="R12" s="5"/>
    </row>
    <row r="13" spans="1:18" ht="27.75" customHeight="1" x14ac:dyDescent="0.25">
      <c r="A13" s="25">
        <v>6</v>
      </c>
      <c r="B13" s="120">
        <v>44933</v>
      </c>
      <c r="C13" s="10" t="s">
        <v>1111</v>
      </c>
      <c r="D13" s="25" t="s">
        <v>3090</v>
      </c>
      <c r="E13" s="10" t="s">
        <v>1043</v>
      </c>
      <c r="F13" s="8"/>
      <c r="G13" s="8">
        <v>120</v>
      </c>
      <c r="H13" s="13">
        <f>G13*22150</f>
        <v>2658000</v>
      </c>
      <c r="I13" s="8"/>
      <c r="J13" s="50">
        <v>680000</v>
      </c>
      <c r="K13" s="28"/>
      <c r="L13" s="29"/>
      <c r="M13" s="13"/>
      <c r="N13" s="13"/>
      <c r="O13" s="13">
        <f t="shared" si="1"/>
        <v>3338000</v>
      </c>
      <c r="P13" s="13">
        <v>5548822</v>
      </c>
      <c r="Q13" s="13">
        <f t="shared" si="2"/>
        <v>2210822</v>
      </c>
      <c r="R13" s="5"/>
    </row>
    <row r="14" spans="1:18" ht="27.75" customHeight="1" x14ac:dyDescent="0.25">
      <c r="A14" s="25">
        <v>7</v>
      </c>
      <c r="B14" s="120">
        <v>44935</v>
      </c>
      <c r="C14" s="10" t="s">
        <v>409</v>
      </c>
      <c r="D14" s="25" t="s">
        <v>3091</v>
      </c>
      <c r="E14" s="10" t="s">
        <v>3092</v>
      </c>
      <c r="F14" s="8"/>
      <c r="G14" s="8">
        <v>82</v>
      </c>
      <c r="H14" s="13">
        <f>G14*22150</f>
        <v>1816300</v>
      </c>
      <c r="I14" s="8"/>
      <c r="J14" s="50">
        <v>560000</v>
      </c>
      <c r="K14" s="28"/>
      <c r="L14" s="29"/>
      <c r="M14" s="13"/>
      <c r="N14" s="13"/>
      <c r="O14" s="13">
        <f>H14+J14+K14+L14+M14+N14</f>
        <v>2376300</v>
      </c>
      <c r="P14" s="13">
        <v>4300000</v>
      </c>
      <c r="Q14" s="13">
        <f t="shared" si="2"/>
        <v>1923700</v>
      </c>
      <c r="R14" s="5"/>
    </row>
    <row r="15" spans="1:18" ht="27.75" customHeight="1" x14ac:dyDescent="0.25">
      <c r="A15" s="25">
        <v>8</v>
      </c>
      <c r="B15" s="120">
        <v>44935</v>
      </c>
      <c r="C15" s="10" t="s">
        <v>3093</v>
      </c>
      <c r="D15" s="25" t="s">
        <v>3094</v>
      </c>
      <c r="E15" s="10" t="s">
        <v>3095</v>
      </c>
      <c r="F15" s="8"/>
      <c r="G15" s="8">
        <v>59</v>
      </c>
      <c r="H15" s="13">
        <f>G15*21630</f>
        <v>1276170</v>
      </c>
      <c r="I15" s="8"/>
      <c r="J15" s="134">
        <v>350000</v>
      </c>
      <c r="K15" s="28"/>
      <c r="L15" s="29"/>
      <c r="M15" s="13"/>
      <c r="N15" s="13"/>
      <c r="O15" s="13">
        <f t="shared" si="1"/>
        <v>1626170</v>
      </c>
      <c r="P15" s="13">
        <v>3400000</v>
      </c>
      <c r="Q15" s="13">
        <f t="shared" si="2"/>
        <v>1773830</v>
      </c>
      <c r="R15" s="5"/>
    </row>
    <row r="16" spans="1:18" ht="27.75" customHeight="1" x14ac:dyDescent="0.25">
      <c r="A16" s="25">
        <v>9</v>
      </c>
      <c r="B16" s="120">
        <v>44935</v>
      </c>
      <c r="C16" s="10" t="s">
        <v>3096</v>
      </c>
      <c r="D16" s="25" t="s">
        <v>3097</v>
      </c>
      <c r="E16" s="10" t="s">
        <v>3098</v>
      </c>
      <c r="F16" s="8"/>
      <c r="G16" s="8">
        <v>139</v>
      </c>
      <c r="H16" s="13">
        <f t="shared" ref="H16:H18" si="3">G16*21630</f>
        <v>3006570</v>
      </c>
      <c r="I16" s="8"/>
      <c r="J16" s="50">
        <v>740000</v>
      </c>
      <c r="K16" s="28"/>
      <c r="L16" s="29"/>
      <c r="M16" s="13"/>
      <c r="N16" s="13"/>
      <c r="O16" s="13">
        <f t="shared" si="1"/>
        <v>3746570</v>
      </c>
      <c r="P16" s="13">
        <v>6000000</v>
      </c>
      <c r="Q16" s="13">
        <f t="shared" si="2"/>
        <v>2253430</v>
      </c>
      <c r="R16" s="5"/>
    </row>
    <row r="17" spans="1:18" ht="27.75" customHeight="1" x14ac:dyDescent="0.25">
      <c r="A17" s="25">
        <v>10</v>
      </c>
      <c r="B17" s="120">
        <v>44940</v>
      </c>
      <c r="C17" s="10" t="s">
        <v>3099</v>
      </c>
      <c r="D17" s="25" t="s">
        <v>3100</v>
      </c>
      <c r="E17" s="10" t="s">
        <v>3101</v>
      </c>
      <c r="F17" s="8"/>
      <c r="G17" s="8"/>
      <c r="H17" s="13"/>
      <c r="I17" s="8"/>
      <c r="J17" s="50">
        <v>300000</v>
      </c>
      <c r="K17" s="28"/>
      <c r="L17" s="29"/>
      <c r="M17" s="13"/>
      <c r="N17" s="13"/>
      <c r="O17" s="13">
        <f t="shared" si="1"/>
        <v>300000</v>
      </c>
      <c r="P17" s="13">
        <v>1500000</v>
      </c>
      <c r="Q17" s="13">
        <f t="shared" si="2"/>
        <v>1200000</v>
      </c>
      <c r="R17" s="5"/>
    </row>
    <row r="18" spans="1:18" ht="22.5" customHeight="1" x14ac:dyDescent="0.25">
      <c r="A18" s="25">
        <v>11</v>
      </c>
      <c r="B18" s="120">
        <v>44940</v>
      </c>
      <c r="C18" s="10" t="s">
        <v>413</v>
      </c>
      <c r="D18" s="25" t="s">
        <v>3100</v>
      </c>
      <c r="E18" s="10" t="s">
        <v>3102</v>
      </c>
      <c r="F18" s="8"/>
      <c r="G18" s="8">
        <v>73</v>
      </c>
      <c r="H18" s="13">
        <f t="shared" si="3"/>
        <v>1578990</v>
      </c>
      <c r="I18" s="8"/>
      <c r="J18" s="50">
        <v>430000</v>
      </c>
      <c r="K18" s="28"/>
      <c r="L18" s="29"/>
      <c r="M18" s="13"/>
      <c r="N18" s="13"/>
      <c r="O18" s="13">
        <f t="shared" si="1"/>
        <v>2008990</v>
      </c>
      <c r="P18" s="13">
        <v>3800000</v>
      </c>
      <c r="Q18" s="13">
        <f t="shared" si="2"/>
        <v>1791010</v>
      </c>
      <c r="R18" s="5"/>
    </row>
    <row r="19" spans="1:18" ht="24" customHeight="1" x14ac:dyDescent="0.25">
      <c r="A19" s="8"/>
      <c r="B19" s="8"/>
      <c r="C19" s="196" t="s">
        <v>131</v>
      </c>
      <c r="D19" s="197"/>
      <c r="E19" s="197"/>
      <c r="F19" s="198"/>
      <c r="G19" s="8"/>
      <c r="H19" s="13"/>
      <c r="I19" s="8"/>
      <c r="J19" s="13"/>
      <c r="K19" s="28">
        <v>1200000</v>
      </c>
      <c r="L19" s="28"/>
      <c r="M19" s="18"/>
      <c r="N19" s="28"/>
      <c r="O19" s="53">
        <f t="shared" si="1"/>
        <v>1200000</v>
      </c>
      <c r="P19" s="28"/>
      <c r="Q19" s="54"/>
    </row>
    <row r="20" spans="1:18" ht="24" customHeight="1" x14ac:dyDescent="0.25">
      <c r="A20" s="8"/>
      <c r="B20" s="8"/>
      <c r="C20" s="196" t="s">
        <v>3143</v>
      </c>
      <c r="D20" s="197"/>
      <c r="E20" s="197"/>
      <c r="F20" s="198"/>
      <c r="G20" s="8"/>
      <c r="H20" s="13"/>
      <c r="I20" s="8"/>
      <c r="J20" s="13"/>
      <c r="K20" s="28">
        <v>3080000</v>
      </c>
      <c r="L20" s="28"/>
      <c r="M20" s="18"/>
      <c r="N20" s="28"/>
      <c r="O20" s="53">
        <f t="shared" si="1"/>
        <v>3080000</v>
      </c>
      <c r="P20" s="28"/>
      <c r="Q20" s="54"/>
    </row>
    <row r="21" spans="1:18" ht="24" customHeight="1" x14ac:dyDescent="0.25">
      <c r="A21" s="8"/>
      <c r="B21" s="8"/>
      <c r="C21" s="196" t="s">
        <v>2533</v>
      </c>
      <c r="D21" s="197"/>
      <c r="E21" s="197"/>
      <c r="F21" s="198"/>
      <c r="G21" s="30"/>
      <c r="H21" s="28"/>
      <c r="I21" s="30"/>
      <c r="J21" s="28"/>
      <c r="K21" s="28">
        <v>300000</v>
      </c>
      <c r="L21" s="18"/>
      <c r="M21" s="18"/>
      <c r="N21" s="28"/>
      <c r="O21" s="53">
        <f t="shared" si="1"/>
        <v>300000</v>
      </c>
      <c r="P21" s="28"/>
      <c r="Q21" s="54"/>
    </row>
    <row r="22" spans="1:18" ht="25.5" customHeight="1" x14ac:dyDescent="0.25">
      <c r="A22" s="8"/>
      <c r="B22" s="8"/>
      <c r="C22" s="191" t="s">
        <v>3103</v>
      </c>
      <c r="D22" s="192"/>
      <c r="E22" s="192"/>
      <c r="F22" s="195"/>
      <c r="G22" s="30"/>
      <c r="H22" s="28"/>
      <c r="I22" s="30"/>
      <c r="J22" s="28"/>
      <c r="K22" s="28">
        <v>6192000</v>
      </c>
      <c r="L22" s="18"/>
      <c r="M22" s="18"/>
      <c r="N22" s="28"/>
      <c r="O22" s="53">
        <f>H22+J22+K22+L22+M22+N22</f>
        <v>6192000</v>
      </c>
      <c r="P22" s="28"/>
      <c r="Q22" s="54"/>
    </row>
    <row r="23" spans="1:18" ht="15" customHeight="1" x14ac:dyDescent="0.25">
      <c r="A23" s="166" t="s">
        <v>19</v>
      </c>
      <c r="B23" s="167"/>
      <c r="C23" s="167"/>
      <c r="D23" s="167"/>
      <c r="E23" s="167"/>
      <c r="F23" s="168"/>
      <c r="G23" s="131">
        <f t="shared" ref="G23:O23" si="4">SUM(G7:G22)</f>
        <v>1039</v>
      </c>
      <c r="H23" s="4">
        <f t="shared" si="4"/>
        <v>22872930</v>
      </c>
      <c r="I23" s="4">
        <f t="shared" si="4"/>
        <v>0</v>
      </c>
      <c r="J23" s="4">
        <f t="shared" si="4"/>
        <v>7375000</v>
      </c>
      <c r="K23" s="4">
        <f t="shared" si="4"/>
        <v>10772000</v>
      </c>
      <c r="L23" s="4">
        <f t="shared" si="4"/>
        <v>0</v>
      </c>
      <c r="M23" s="4">
        <f t="shared" si="4"/>
        <v>0</v>
      </c>
      <c r="N23" s="4">
        <f t="shared" si="4"/>
        <v>0</v>
      </c>
      <c r="O23" s="4">
        <f t="shared" si="4"/>
        <v>41019930</v>
      </c>
      <c r="P23" s="4">
        <f>SUM(P8:P22)</f>
        <v>50248822</v>
      </c>
      <c r="Q23" s="122">
        <f>P23-O23</f>
        <v>9228892</v>
      </c>
    </row>
    <row r="24" spans="1:18" x14ac:dyDescent="0.25">
      <c r="O24" s="20"/>
      <c r="P24" s="5" t="s">
        <v>1796</v>
      </c>
      <c r="Q24" s="26"/>
    </row>
    <row r="25" spans="1:18" x14ac:dyDescent="0.25">
      <c r="P25" s="21" t="s">
        <v>20</v>
      </c>
      <c r="Q25" s="26">
        <f>Q23</f>
        <v>9228892</v>
      </c>
    </row>
    <row r="26" spans="1:18" x14ac:dyDescent="0.25">
      <c r="C26" s="6" t="s">
        <v>993</v>
      </c>
    </row>
    <row r="27" spans="1:18" x14ac:dyDescent="0.25">
      <c r="C27" s="205"/>
      <c r="D27" s="205"/>
      <c r="E27" s="205"/>
      <c r="F27" s="205"/>
      <c r="H27" s="109"/>
    </row>
    <row r="28" spans="1:18" x14ac:dyDescent="0.25">
      <c r="C28" s="206"/>
      <c r="D28" s="206"/>
      <c r="E28" s="206"/>
      <c r="F28" s="206"/>
      <c r="H28" s="109"/>
    </row>
    <row r="29" spans="1:18" x14ac:dyDescent="0.25">
      <c r="B29" s="6"/>
      <c r="C29" s="110"/>
      <c r="D29" s="110"/>
      <c r="E29" s="110"/>
      <c r="F29" s="110"/>
      <c r="G29" s="133"/>
      <c r="H29" s="109"/>
    </row>
    <row r="30" spans="1:18" x14ac:dyDescent="0.25">
      <c r="B30" s="6"/>
      <c r="C30" s="206"/>
      <c r="D30" s="206"/>
      <c r="E30" s="206"/>
      <c r="F30" s="206"/>
      <c r="H30" s="109"/>
    </row>
    <row r="31" spans="1:18" x14ac:dyDescent="0.25">
      <c r="B31" s="6"/>
      <c r="C31" s="206"/>
      <c r="D31" s="206"/>
      <c r="E31" s="206"/>
      <c r="F31" s="206"/>
      <c r="H31" s="109"/>
    </row>
    <row r="32" spans="1:18" x14ac:dyDescent="0.25">
      <c r="B32" s="6"/>
      <c r="C32" s="206"/>
      <c r="D32" s="206"/>
      <c r="E32" s="206"/>
      <c r="F32" s="206"/>
      <c r="G32" s="133"/>
      <c r="H32" s="109"/>
      <c r="J32" s="6"/>
      <c r="K32" s="6"/>
      <c r="L32" s="6"/>
      <c r="M32" s="6"/>
      <c r="N32" s="6"/>
      <c r="O32" s="6"/>
      <c r="P32" s="6"/>
      <c r="Q32" s="6"/>
    </row>
    <row r="33" spans="3:8" x14ac:dyDescent="0.2">
      <c r="C33" s="107"/>
      <c r="D33" s="110"/>
      <c r="E33" s="110"/>
      <c r="F33" s="110"/>
      <c r="H33" s="109"/>
    </row>
    <row r="34" spans="3:8" x14ac:dyDescent="0.25">
      <c r="C34" s="205"/>
      <c r="D34" s="205"/>
      <c r="E34" s="205"/>
      <c r="F34" s="205"/>
    </row>
  </sheetData>
  <mergeCells count="24">
    <mergeCell ref="C31:F31"/>
    <mergeCell ref="C32:F32"/>
    <mergeCell ref="C34:F34"/>
    <mergeCell ref="C22:F22"/>
    <mergeCell ref="A23:F23"/>
    <mergeCell ref="C27:F27"/>
    <mergeCell ref="C28:F28"/>
    <mergeCell ref="C30:F30"/>
    <mergeCell ref="C21:F21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19:F19"/>
    <mergeCell ref="C20:F20"/>
  </mergeCells>
  <pageMargins left="0.7" right="0.7" top="0.75" bottom="0.75" header="0.3" footer="0.3"/>
  <pageSetup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1D82-23FD-4309-A72A-A22746D8BC70}">
  <dimension ref="A1:R22"/>
  <sheetViews>
    <sheetView workbookViewId="0">
      <selection activeCell="A8" sqref="A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3145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ht="22.5" customHeight="1" x14ac:dyDescent="0.25">
      <c r="A7" s="25"/>
      <c r="B7" s="120"/>
      <c r="C7" s="75"/>
      <c r="D7" s="140"/>
      <c r="E7" s="76"/>
      <c r="F7" s="141"/>
      <c r="G7" s="8"/>
      <c r="H7" s="13"/>
      <c r="I7" s="8"/>
      <c r="J7" s="13"/>
      <c r="K7" s="28"/>
      <c r="L7" s="29"/>
      <c r="M7" s="13"/>
      <c r="N7" s="13"/>
      <c r="O7" s="53"/>
      <c r="P7" s="13"/>
      <c r="Q7" s="54"/>
      <c r="R7" s="5"/>
    </row>
    <row r="8" spans="1:18" ht="24" customHeight="1" x14ac:dyDescent="0.25">
      <c r="A8" s="8"/>
      <c r="B8" s="8"/>
      <c r="C8" s="196" t="s">
        <v>131</v>
      </c>
      <c r="D8" s="197"/>
      <c r="E8" s="197"/>
      <c r="F8" s="198"/>
      <c r="G8" s="8"/>
      <c r="H8" s="13"/>
      <c r="I8" s="8"/>
      <c r="J8" s="13"/>
      <c r="K8" s="28">
        <v>1200000</v>
      </c>
      <c r="L8" s="28"/>
      <c r="M8" s="18"/>
      <c r="N8" s="28"/>
      <c r="O8" s="53">
        <f t="shared" ref="O8:O9" si="0">H8+J8+K8+L8+M8+N8</f>
        <v>1200000</v>
      </c>
      <c r="P8" s="28"/>
      <c r="Q8" s="54"/>
    </row>
    <row r="9" spans="1:18" ht="24" customHeight="1" x14ac:dyDescent="0.25">
      <c r="A9" s="8"/>
      <c r="B9" s="8"/>
      <c r="C9" s="196" t="s">
        <v>3146</v>
      </c>
      <c r="D9" s="197"/>
      <c r="E9" s="197"/>
      <c r="F9" s="198"/>
      <c r="G9" s="8"/>
      <c r="H9" s="13"/>
      <c r="I9" s="8"/>
      <c r="J9" s="13"/>
      <c r="K9" s="28"/>
      <c r="L9" s="28"/>
      <c r="M9" s="18"/>
      <c r="N9" s="28">
        <v>3375000</v>
      </c>
      <c r="O9" s="53">
        <f t="shared" si="0"/>
        <v>3375000</v>
      </c>
      <c r="P9" s="28"/>
      <c r="Q9" s="54"/>
    </row>
    <row r="10" spans="1:18" ht="25.5" customHeight="1" x14ac:dyDescent="0.25">
      <c r="A10" s="8"/>
      <c r="B10" s="8"/>
      <c r="C10" s="191" t="s">
        <v>2224</v>
      </c>
      <c r="D10" s="192"/>
      <c r="E10" s="192"/>
      <c r="F10" s="195"/>
      <c r="G10" s="30"/>
      <c r="H10" s="28"/>
      <c r="I10" s="30"/>
      <c r="J10" s="28"/>
      <c r="K10" s="28"/>
      <c r="L10" s="18"/>
      <c r="M10" s="18"/>
      <c r="N10" s="28"/>
      <c r="O10" s="53">
        <f>H10+J10+K10+L10+M10+N10</f>
        <v>0</v>
      </c>
      <c r="P10" s="28"/>
      <c r="Q10" s="54"/>
    </row>
    <row r="11" spans="1:18" ht="15" customHeight="1" x14ac:dyDescent="0.25">
      <c r="A11" s="166" t="s">
        <v>19</v>
      </c>
      <c r="B11" s="167"/>
      <c r="C11" s="167"/>
      <c r="D11" s="167"/>
      <c r="E11" s="167"/>
      <c r="F11" s="168"/>
      <c r="G11" s="131">
        <f t="shared" ref="G11:P11" si="1">SUM(G7:G10)</f>
        <v>0</v>
      </c>
      <c r="H11" s="4">
        <f t="shared" si="1"/>
        <v>0</v>
      </c>
      <c r="I11" s="4">
        <f t="shared" si="1"/>
        <v>0</v>
      </c>
      <c r="J11" s="4">
        <f t="shared" si="1"/>
        <v>0</v>
      </c>
      <c r="K11" s="4">
        <f t="shared" si="1"/>
        <v>1200000</v>
      </c>
      <c r="L11" s="4">
        <f t="shared" si="1"/>
        <v>0</v>
      </c>
      <c r="M11" s="4">
        <f t="shared" si="1"/>
        <v>0</v>
      </c>
      <c r="N11" s="4">
        <f t="shared" si="1"/>
        <v>3375000</v>
      </c>
      <c r="O11" s="4">
        <f t="shared" si="1"/>
        <v>4575000</v>
      </c>
      <c r="P11" s="4">
        <f t="shared" si="1"/>
        <v>0</v>
      </c>
      <c r="Q11" s="122">
        <f>P11-O11</f>
        <v>-4575000</v>
      </c>
    </row>
    <row r="12" spans="1:18" x14ac:dyDescent="0.25">
      <c r="O12" s="20"/>
      <c r="P12" s="5" t="s">
        <v>1796</v>
      </c>
      <c r="Q12" s="26"/>
    </row>
    <row r="13" spans="1:18" x14ac:dyDescent="0.25">
      <c r="P13" s="21" t="s">
        <v>20</v>
      </c>
      <c r="Q13" s="26">
        <f>'01.2023'!Q25+'02.2023'!Q11</f>
        <v>4653892</v>
      </c>
    </row>
    <row r="14" spans="1:18" x14ac:dyDescent="0.25">
      <c r="C14" s="6" t="s">
        <v>993</v>
      </c>
    </row>
    <row r="15" spans="1:18" x14ac:dyDescent="0.25">
      <c r="C15" s="205"/>
      <c r="D15" s="205"/>
      <c r="E15" s="205"/>
      <c r="F15" s="205"/>
      <c r="H15" s="109"/>
    </row>
    <row r="16" spans="1:18" x14ac:dyDescent="0.25">
      <c r="C16" s="206"/>
      <c r="D16" s="206"/>
      <c r="E16" s="206"/>
      <c r="F16" s="206"/>
      <c r="H16" s="109"/>
    </row>
    <row r="17" spans="2:17" x14ac:dyDescent="0.25">
      <c r="B17" s="6"/>
      <c r="C17" s="110"/>
      <c r="D17" s="110"/>
      <c r="E17" s="110"/>
      <c r="F17" s="110"/>
      <c r="G17" s="133"/>
      <c r="H17" s="109"/>
    </row>
    <row r="18" spans="2:17" x14ac:dyDescent="0.25">
      <c r="B18" s="6"/>
      <c r="C18" s="206"/>
      <c r="D18" s="206"/>
      <c r="E18" s="206"/>
      <c r="F18" s="206"/>
      <c r="H18" s="109"/>
    </row>
    <row r="19" spans="2:17" x14ac:dyDescent="0.25">
      <c r="B19" s="6"/>
      <c r="C19" s="206"/>
      <c r="D19" s="206"/>
      <c r="E19" s="206"/>
      <c r="F19" s="206"/>
      <c r="H19" s="109"/>
    </row>
    <row r="20" spans="2:17" x14ac:dyDescent="0.25">
      <c r="B20" s="6"/>
      <c r="C20" s="206"/>
      <c r="D20" s="206"/>
      <c r="E20" s="206"/>
      <c r="F20" s="206"/>
      <c r="G20" s="133"/>
      <c r="H20" s="109"/>
      <c r="J20" s="6"/>
      <c r="K20" s="6"/>
      <c r="L20" s="6"/>
      <c r="M20" s="6"/>
      <c r="N20" s="6"/>
      <c r="O20" s="6"/>
      <c r="P20" s="6"/>
      <c r="Q20" s="6"/>
    </row>
    <row r="21" spans="2:17" x14ac:dyDescent="0.2">
      <c r="C21" s="107"/>
      <c r="D21" s="110"/>
      <c r="E21" s="110"/>
      <c r="F21" s="110"/>
      <c r="H21" s="109"/>
    </row>
    <row r="22" spans="2:17" x14ac:dyDescent="0.25">
      <c r="C22" s="205"/>
      <c r="D22" s="205"/>
      <c r="E22" s="205"/>
      <c r="F22" s="205"/>
    </row>
  </sheetData>
  <mergeCells count="23">
    <mergeCell ref="C8:F8"/>
    <mergeCell ref="C9:F9"/>
    <mergeCell ref="C20:F20"/>
    <mergeCell ref="C22:F22"/>
    <mergeCell ref="C10:F10"/>
    <mergeCell ref="A11:F11"/>
    <mergeCell ref="C15:F15"/>
    <mergeCell ref="C16:F16"/>
    <mergeCell ref="C18:F18"/>
    <mergeCell ref="C19:F19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23CF-784C-46AB-923C-4C7C4F778773}">
  <dimension ref="A1:R30"/>
  <sheetViews>
    <sheetView topLeftCell="D11" workbookViewId="0">
      <selection activeCell="K9" sqref="K9:M1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3147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2.5" customHeight="1" x14ac:dyDescent="0.25">
      <c r="A8" s="25"/>
      <c r="B8" s="120"/>
      <c r="C8" s="75"/>
      <c r="D8" s="140"/>
      <c r="E8" s="76"/>
      <c r="F8" s="141"/>
      <c r="G8" s="8"/>
      <c r="H8" s="13"/>
      <c r="I8" s="8"/>
      <c r="J8" s="13"/>
      <c r="K8" s="28"/>
      <c r="L8" s="29"/>
      <c r="M8" s="13"/>
      <c r="N8" s="13"/>
      <c r="O8" s="53"/>
      <c r="P8" s="13"/>
      <c r="Q8" s="54"/>
      <c r="R8" s="5"/>
    </row>
    <row r="9" spans="1:18" ht="24" customHeight="1" x14ac:dyDescent="0.25">
      <c r="A9" s="8"/>
      <c r="B9" s="8"/>
      <c r="C9" s="196" t="s">
        <v>131</v>
      </c>
      <c r="D9" s="197"/>
      <c r="E9" s="197"/>
      <c r="F9" s="198"/>
      <c r="G9" s="8"/>
      <c r="H9" s="13"/>
      <c r="I9" s="8"/>
      <c r="J9" s="13"/>
      <c r="K9" s="28">
        <v>1200000</v>
      </c>
      <c r="L9" s="28"/>
      <c r="M9" s="18"/>
      <c r="N9" s="28"/>
      <c r="O9" s="53">
        <f t="shared" ref="O9:O17" si="0">H9+J9+K9+L9+M9+N9</f>
        <v>1200000</v>
      </c>
      <c r="P9" s="28"/>
      <c r="Q9" s="54"/>
    </row>
    <row r="10" spans="1:18" ht="24" customHeight="1" x14ac:dyDescent="0.25">
      <c r="A10" s="8"/>
      <c r="B10" s="8"/>
      <c r="C10" s="196" t="s">
        <v>3148</v>
      </c>
      <c r="D10" s="197"/>
      <c r="E10" s="197"/>
      <c r="F10" s="198"/>
      <c r="G10" s="8"/>
      <c r="H10" s="13"/>
      <c r="I10" s="8"/>
      <c r="J10" s="13"/>
      <c r="K10" s="28"/>
      <c r="L10" s="28">
        <v>1900000</v>
      </c>
      <c r="M10" s="18"/>
      <c r="N10" s="28"/>
      <c r="O10" s="53">
        <f t="shared" si="0"/>
        <v>1900000</v>
      </c>
      <c r="P10" s="28"/>
      <c r="Q10" s="54"/>
    </row>
    <row r="11" spans="1:18" ht="24" customHeight="1" x14ac:dyDescent="0.25">
      <c r="A11" s="8"/>
      <c r="B11" s="8"/>
      <c r="C11" s="196" t="s">
        <v>3149</v>
      </c>
      <c r="D11" s="197"/>
      <c r="E11" s="197"/>
      <c r="F11" s="198"/>
      <c r="G11" s="8"/>
      <c r="H11" s="13"/>
      <c r="I11" s="8"/>
      <c r="J11" s="13"/>
      <c r="K11" s="28"/>
      <c r="L11" s="28">
        <v>1000000</v>
      </c>
      <c r="M11" s="18"/>
      <c r="N11" s="28"/>
      <c r="O11" s="53">
        <f t="shared" si="0"/>
        <v>1000000</v>
      </c>
      <c r="P11" s="28"/>
      <c r="Q11" s="54"/>
    </row>
    <row r="12" spans="1:18" ht="24" customHeight="1" x14ac:dyDescent="0.25">
      <c r="A12" s="8"/>
      <c r="B12" s="8"/>
      <c r="C12" s="196" t="s">
        <v>3150</v>
      </c>
      <c r="D12" s="197"/>
      <c r="E12" s="197"/>
      <c r="F12" s="198"/>
      <c r="G12" s="8"/>
      <c r="H12" s="13"/>
      <c r="I12" s="8"/>
      <c r="J12" s="13"/>
      <c r="K12" s="28"/>
      <c r="L12" s="28">
        <v>1700000</v>
      </c>
      <c r="M12" s="18"/>
      <c r="N12" s="28"/>
      <c r="O12" s="53">
        <f t="shared" si="0"/>
        <v>1700000</v>
      </c>
      <c r="P12" s="28"/>
      <c r="Q12" s="54"/>
    </row>
    <row r="13" spans="1:18" ht="24" customHeight="1" x14ac:dyDescent="0.25">
      <c r="A13" s="8"/>
      <c r="B13" s="8"/>
      <c r="C13" s="196" t="s">
        <v>195</v>
      </c>
      <c r="D13" s="197"/>
      <c r="E13" s="197"/>
      <c r="F13" s="198"/>
      <c r="G13" s="8"/>
      <c r="H13" s="13"/>
      <c r="I13" s="8"/>
      <c r="J13" s="13"/>
      <c r="K13" s="28"/>
      <c r="L13" s="28">
        <v>610000</v>
      </c>
      <c r="M13" s="18"/>
      <c r="N13" s="28"/>
      <c r="O13" s="53">
        <f t="shared" si="0"/>
        <v>610000</v>
      </c>
      <c r="P13" s="28"/>
      <c r="Q13" s="54"/>
    </row>
    <row r="14" spans="1:18" ht="24" customHeight="1" x14ac:dyDescent="0.25">
      <c r="A14" s="8"/>
      <c r="B14" s="8"/>
      <c r="C14" s="196" t="s">
        <v>3151</v>
      </c>
      <c r="D14" s="197"/>
      <c r="E14" s="197"/>
      <c r="F14" s="198"/>
      <c r="G14" s="8"/>
      <c r="H14" s="13"/>
      <c r="I14" s="8"/>
      <c r="J14" s="13"/>
      <c r="K14" s="28"/>
      <c r="L14" s="28">
        <v>8866000</v>
      </c>
      <c r="M14" s="18"/>
      <c r="N14" s="28"/>
      <c r="O14" s="53">
        <f t="shared" si="0"/>
        <v>8866000</v>
      </c>
      <c r="P14" s="28"/>
      <c r="Q14" s="54"/>
    </row>
    <row r="15" spans="1:18" ht="24" customHeight="1" x14ac:dyDescent="0.25">
      <c r="A15" s="8"/>
      <c r="B15" s="8"/>
      <c r="C15" s="196" t="s">
        <v>3153</v>
      </c>
      <c r="D15" s="197"/>
      <c r="E15" s="197"/>
      <c r="F15" s="198"/>
      <c r="G15" s="8"/>
      <c r="H15" s="13"/>
      <c r="I15" s="8"/>
      <c r="J15" s="13"/>
      <c r="K15" s="28"/>
      <c r="L15" s="28">
        <v>150000</v>
      </c>
      <c r="M15" s="18"/>
      <c r="N15" s="28"/>
      <c r="O15" s="53">
        <f t="shared" si="0"/>
        <v>150000</v>
      </c>
      <c r="P15" s="28"/>
      <c r="Q15" s="54"/>
    </row>
    <row r="16" spans="1:18" ht="24" customHeight="1" x14ac:dyDescent="0.25">
      <c r="A16" s="8"/>
      <c r="B16" s="8"/>
      <c r="C16" s="196" t="s">
        <v>3156</v>
      </c>
      <c r="D16" s="197"/>
      <c r="E16" s="197"/>
      <c r="F16" s="198"/>
      <c r="G16" s="8"/>
      <c r="H16" s="13"/>
      <c r="I16" s="8"/>
      <c r="J16" s="13"/>
      <c r="K16" s="28"/>
      <c r="L16" s="28"/>
      <c r="M16" s="18">
        <v>23600000</v>
      </c>
      <c r="N16" s="28"/>
      <c r="O16" s="53">
        <f t="shared" si="0"/>
        <v>23600000</v>
      </c>
      <c r="P16" s="28"/>
      <c r="Q16" s="54"/>
    </row>
    <row r="17" spans="1:17" ht="24" customHeight="1" x14ac:dyDescent="0.25">
      <c r="A17" s="8"/>
      <c r="B17" s="8"/>
      <c r="C17" s="196" t="s">
        <v>3157</v>
      </c>
      <c r="D17" s="197"/>
      <c r="E17" s="197"/>
      <c r="F17" s="198"/>
      <c r="G17" s="8"/>
      <c r="H17" s="13"/>
      <c r="I17" s="8"/>
      <c r="J17" s="13"/>
      <c r="K17" s="28"/>
      <c r="L17" s="28"/>
      <c r="M17" s="18">
        <v>9800000</v>
      </c>
      <c r="N17" s="28"/>
      <c r="O17" s="53">
        <f t="shared" si="0"/>
        <v>9800000</v>
      </c>
      <c r="P17" s="28"/>
      <c r="Q17" s="54"/>
    </row>
    <row r="18" spans="1:17" ht="25.5" customHeight="1" x14ac:dyDescent="0.25">
      <c r="A18" s="8"/>
      <c r="B18" s="8"/>
      <c r="C18" s="191" t="s">
        <v>2224</v>
      </c>
      <c r="D18" s="192"/>
      <c r="E18" s="192"/>
      <c r="F18" s="195"/>
      <c r="G18" s="30"/>
      <c r="H18" s="28"/>
      <c r="I18" s="30"/>
      <c r="J18" s="28"/>
      <c r="K18" s="28"/>
      <c r="L18" s="18"/>
      <c r="M18" s="18"/>
      <c r="N18" s="28"/>
      <c r="O18" s="53">
        <f>H18+J18+K18+L18+M18+N18</f>
        <v>0</v>
      </c>
      <c r="P18" s="28"/>
      <c r="Q18" s="54"/>
    </row>
    <row r="19" spans="1:17" ht="15" customHeight="1" x14ac:dyDescent="0.25">
      <c r="A19" s="166" t="s">
        <v>19</v>
      </c>
      <c r="B19" s="167"/>
      <c r="C19" s="167"/>
      <c r="D19" s="167"/>
      <c r="E19" s="167"/>
      <c r="F19" s="168"/>
      <c r="G19" s="131">
        <f t="shared" ref="G19:O19" si="1">SUM(G7:G18)</f>
        <v>0</v>
      </c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1200000</v>
      </c>
      <c r="L19" s="4">
        <f t="shared" si="1"/>
        <v>14226000</v>
      </c>
      <c r="M19" s="4">
        <f t="shared" si="1"/>
        <v>33400000</v>
      </c>
      <c r="N19" s="4">
        <f t="shared" si="1"/>
        <v>0</v>
      </c>
      <c r="O19" s="4">
        <f t="shared" si="1"/>
        <v>48826000</v>
      </c>
      <c r="P19" s="4">
        <f>SUM(P8:P18)</f>
        <v>0</v>
      </c>
      <c r="Q19" s="122">
        <f>P19-O19</f>
        <v>-48826000</v>
      </c>
    </row>
    <row r="20" spans="1:17" x14ac:dyDescent="0.25">
      <c r="O20" s="20"/>
      <c r="P20" s="5" t="s">
        <v>1796</v>
      </c>
      <c r="Q20" s="26"/>
    </row>
    <row r="21" spans="1:17" x14ac:dyDescent="0.25">
      <c r="P21" s="21" t="s">
        <v>20</v>
      </c>
      <c r="Q21" s="26">
        <f>'02.2023'!Q13+'03.2023'!Q19</f>
        <v>-44172108</v>
      </c>
    </row>
    <row r="22" spans="1:17" x14ac:dyDescent="0.25">
      <c r="C22" s="6" t="s">
        <v>993</v>
      </c>
    </row>
    <row r="23" spans="1:17" x14ac:dyDescent="0.25">
      <c r="C23" s="205"/>
      <c r="D23" s="205"/>
      <c r="E23" s="205"/>
      <c r="F23" s="205"/>
      <c r="H23" s="109"/>
    </row>
    <row r="24" spans="1:17" x14ac:dyDescent="0.25">
      <c r="C24" s="206"/>
      <c r="D24" s="206"/>
      <c r="E24" s="206"/>
      <c r="F24" s="206"/>
      <c r="H24" s="109"/>
    </row>
    <row r="25" spans="1:17" x14ac:dyDescent="0.25">
      <c r="B25" s="6"/>
      <c r="C25" s="110"/>
      <c r="D25" s="110"/>
      <c r="E25" s="110"/>
      <c r="F25" s="110"/>
      <c r="G25" s="133"/>
      <c r="H25" s="109"/>
    </row>
    <row r="26" spans="1:17" x14ac:dyDescent="0.25">
      <c r="B26" s="6"/>
      <c r="C26" s="206"/>
      <c r="D26" s="206"/>
      <c r="E26" s="206"/>
      <c r="F26" s="206"/>
      <c r="H26" s="109"/>
    </row>
    <row r="27" spans="1:17" x14ac:dyDescent="0.25">
      <c r="B27" s="6"/>
      <c r="C27" s="206"/>
      <c r="D27" s="206"/>
      <c r="E27" s="206"/>
      <c r="F27" s="206"/>
      <c r="H27" s="109"/>
    </row>
    <row r="28" spans="1:17" x14ac:dyDescent="0.25">
      <c r="B28" s="6"/>
      <c r="C28" s="206"/>
      <c r="D28" s="206"/>
      <c r="E28" s="206"/>
      <c r="F28" s="206"/>
      <c r="G28" s="133"/>
      <c r="H28" s="109"/>
      <c r="J28" s="6"/>
      <c r="K28" s="6"/>
      <c r="L28" s="6"/>
      <c r="M28" s="6"/>
      <c r="N28" s="6"/>
      <c r="O28" s="6"/>
      <c r="P28" s="6"/>
      <c r="Q28" s="6"/>
    </row>
    <row r="29" spans="1:17" x14ac:dyDescent="0.2">
      <c r="C29" s="107"/>
      <c r="D29" s="110"/>
      <c r="E29" s="110"/>
      <c r="F29" s="110"/>
      <c r="H29" s="109"/>
    </row>
    <row r="30" spans="1:17" x14ac:dyDescent="0.25">
      <c r="C30" s="205"/>
      <c r="D30" s="205"/>
      <c r="E30" s="205"/>
      <c r="F30" s="205"/>
    </row>
  </sheetData>
  <mergeCells count="30">
    <mergeCell ref="C30:F30"/>
    <mergeCell ref="C11:F11"/>
    <mergeCell ref="C12:F12"/>
    <mergeCell ref="C13:F13"/>
    <mergeCell ref="C14:F14"/>
    <mergeCell ref="C15:F15"/>
    <mergeCell ref="C16:F16"/>
    <mergeCell ref="C17:F17"/>
    <mergeCell ref="A19:F19"/>
    <mergeCell ref="C23:F23"/>
    <mergeCell ref="C24:F24"/>
    <mergeCell ref="C26:F26"/>
    <mergeCell ref="C27:F27"/>
    <mergeCell ref="C28:F28"/>
    <mergeCell ref="C18:F18"/>
    <mergeCell ref="C9:F9"/>
    <mergeCell ref="C10:F10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33C6-67D8-41B4-AA69-9C7EC0CFB76A}">
  <dimension ref="A1:R52"/>
  <sheetViews>
    <sheetView topLeftCell="E33" workbookViewId="0">
      <selection activeCell="P38" sqref="P3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3104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25">
        <v>1</v>
      </c>
      <c r="B8" s="120">
        <v>45019</v>
      </c>
      <c r="C8" s="10" t="s">
        <v>3105</v>
      </c>
      <c r="D8" s="25" t="s">
        <v>3111</v>
      </c>
      <c r="E8" s="10" t="s">
        <v>258</v>
      </c>
      <c r="F8" s="8"/>
      <c r="G8" s="8">
        <v>160</v>
      </c>
      <c r="H8" s="13">
        <f>G8*19430</f>
        <v>3108800</v>
      </c>
      <c r="I8" s="8"/>
      <c r="J8" s="50">
        <v>1470000</v>
      </c>
      <c r="K8" s="28"/>
      <c r="L8" s="29"/>
      <c r="M8" s="13"/>
      <c r="N8" s="13"/>
      <c r="O8" s="13">
        <f>H8+J8+K8+L8+M8+N8</f>
        <v>4578800</v>
      </c>
      <c r="P8" s="13">
        <v>9545455</v>
      </c>
      <c r="Q8" s="13">
        <f>P8-O8</f>
        <v>4966655</v>
      </c>
      <c r="R8" s="5"/>
    </row>
    <row r="9" spans="1:18" ht="17.25" customHeight="1" x14ac:dyDescent="0.25">
      <c r="A9" s="25">
        <v>2</v>
      </c>
      <c r="B9" s="120">
        <v>45020</v>
      </c>
      <c r="C9" s="10" t="s">
        <v>2720</v>
      </c>
      <c r="D9" s="129" t="s">
        <v>3112</v>
      </c>
      <c r="E9" s="9" t="s">
        <v>1178</v>
      </c>
      <c r="F9" s="117"/>
      <c r="G9" s="8">
        <v>56</v>
      </c>
      <c r="H9" s="13">
        <f t="shared" ref="H9:H11" si="0">G9*19430</f>
        <v>1088080</v>
      </c>
      <c r="I9" s="117"/>
      <c r="J9" s="134">
        <v>350000</v>
      </c>
      <c r="K9" s="28"/>
      <c r="L9" s="29"/>
      <c r="M9" s="13"/>
      <c r="N9" s="13"/>
      <c r="O9" s="13">
        <f t="shared" ref="O9:O40" si="1">H9+J9+K9+L9+M9+N9</f>
        <v>1438080</v>
      </c>
      <c r="P9" s="13">
        <v>3100000</v>
      </c>
      <c r="Q9" s="13">
        <f t="shared" ref="Q9:Q19" si="2">P9-O9</f>
        <v>1661920</v>
      </c>
      <c r="R9" s="5"/>
    </row>
    <row r="10" spans="1:18" ht="24.75" customHeight="1" x14ac:dyDescent="0.25">
      <c r="A10" s="25">
        <v>3</v>
      </c>
      <c r="B10" s="120">
        <v>45021</v>
      </c>
      <c r="C10" s="10" t="s">
        <v>2001</v>
      </c>
      <c r="D10" s="25" t="s">
        <v>3113</v>
      </c>
      <c r="E10" s="10" t="s">
        <v>3109</v>
      </c>
      <c r="F10" s="8"/>
      <c r="G10" s="8">
        <v>105</v>
      </c>
      <c r="H10" s="13">
        <f t="shared" si="0"/>
        <v>2040150</v>
      </c>
      <c r="I10" s="8"/>
      <c r="J10" s="50">
        <v>680000</v>
      </c>
      <c r="K10" s="28"/>
      <c r="L10" s="29"/>
      <c r="M10" s="13"/>
      <c r="N10" s="13"/>
      <c r="O10" s="13">
        <f>H10+J10+K10+L10+M10+N10</f>
        <v>2720150</v>
      </c>
      <c r="P10" s="13">
        <v>4600000</v>
      </c>
      <c r="Q10" s="13">
        <f t="shared" si="2"/>
        <v>1879850</v>
      </c>
      <c r="R10" s="5"/>
    </row>
    <row r="11" spans="1:18" ht="27.75" customHeight="1" x14ac:dyDescent="0.25">
      <c r="A11" s="25">
        <v>4</v>
      </c>
      <c r="B11" s="120">
        <v>45022</v>
      </c>
      <c r="C11" s="10" t="s">
        <v>3106</v>
      </c>
      <c r="D11" s="25" t="s">
        <v>3114</v>
      </c>
      <c r="E11" s="10" t="s">
        <v>3110</v>
      </c>
      <c r="F11" s="8"/>
      <c r="G11" s="8">
        <v>108</v>
      </c>
      <c r="H11" s="13">
        <f t="shared" si="0"/>
        <v>2098440</v>
      </c>
      <c r="I11" s="8"/>
      <c r="J11" s="50">
        <v>740000</v>
      </c>
      <c r="K11" s="28"/>
      <c r="L11" s="29"/>
      <c r="M11" s="13"/>
      <c r="N11" s="13"/>
      <c r="O11" s="13">
        <f t="shared" si="1"/>
        <v>2838440</v>
      </c>
      <c r="P11" s="13">
        <v>5000000</v>
      </c>
      <c r="Q11" s="13">
        <f t="shared" si="2"/>
        <v>2161560</v>
      </c>
      <c r="R11" s="5"/>
    </row>
    <row r="12" spans="1:18" ht="27.75" customHeight="1" x14ac:dyDescent="0.25">
      <c r="A12" s="25">
        <v>5</v>
      </c>
      <c r="B12" s="120">
        <v>45024</v>
      </c>
      <c r="C12" s="10" t="s">
        <v>3107</v>
      </c>
      <c r="D12" s="25" t="s">
        <v>3115</v>
      </c>
      <c r="E12" s="10" t="s">
        <v>1178</v>
      </c>
      <c r="F12" s="8"/>
      <c r="G12" s="8">
        <v>56</v>
      </c>
      <c r="H12" s="13">
        <f>G12*20140</f>
        <v>1127840</v>
      </c>
      <c r="I12" s="8"/>
      <c r="J12" s="50">
        <v>350000</v>
      </c>
      <c r="K12" s="28"/>
      <c r="L12" s="29"/>
      <c r="M12" s="13"/>
      <c r="N12" s="13"/>
      <c r="O12" s="13">
        <f t="shared" si="1"/>
        <v>1477840</v>
      </c>
      <c r="P12" s="13">
        <v>3100000</v>
      </c>
      <c r="Q12" s="13">
        <f t="shared" si="2"/>
        <v>1622160</v>
      </c>
      <c r="R12" s="5"/>
    </row>
    <row r="13" spans="1:18" ht="27.75" customHeight="1" x14ac:dyDescent="0.25">
      <c r="A13" s="25">
        <v>6</v>
      </c>
      <c r="B13" s="120">
        <v>45024</v>
      </c>
      <c r="C13" s="10" t="s">
        <v>3108</v>
      </c>
      <c r="D13" s="25" t="s">
        <v>3116</v>
      </c>
      <c r="E13" s="10" t="s">
        <v>1178</v>
      </c>
      <c r="F13" s="8"/>
      <c r="G13" s="8">
        <v>56</v>
      </c>
      <c r="H13" s="13">
        <f>G13*20140</f>
        <v>1127840</v>
      </c>
      <c r="I13" s="8"/>
      <c r="J13" s="50">
        <v>350000</v>
      </c>
      <c r="K13" s="28"/>
      <c r="L13" s="29"/>
      <c r="M13" s="13"/>
      <c r="N13" s="13"/>
      <c r="O13" s="13">
        <f t="shared" si="1"/>
        <v>1477840</v>
      </c>
      <c r="P13" s="13">
        <v>3100000</v>
      </c>
      <c r="Q13" s="13">
        <f t="shared" si="2"/>
        <v>1622160</v>
      </c>
      <c r="R13" s="5"/>
    </row>
    <row r="14" spans="1:18" ht="27.75" customHeight="1" x14ac:dyDescent="0.25">
      <c r="A14" s="25">
        <v>7</v>
      </c>
      <c r="B14" s="120">
        <v>45037</v>
      </c>
      <c r="C14" s="10" t="s">
        <v>3117</v>
      </c>
      <c r="D14" s="25" t="s">
        <v>3124</v>
      </c>
      <c r="E14" s="10" t="s">
        <v>1043</v>
      </c>
      <c r="F14" s="8"/>
      <c r="G14" s="8">
        <v>120</v>
      </c>
      <c r="H14" s="13">
        <f>G14*19390</f>
        <v>2326800</v>
      </c>
      <c r="I14" s="8"/>
      <c r="J14" s="50">
        <v>680000</v>
      </c>
      <c r="K14" s="28"/>
      <c r="L14" s="29"/>
      <c r="M14" s="13"/>
      <c r="N14" s="13"/>
      <c r="O14" s="13">
        <f t="shared" si="1"/>
        <v>3006800</v>
      </c>
      <c r="P14" s="13">
        <v>5333636</v>
      </c>
      <c r="Q14" s="13">
        <f t="shared" si="2"/>
        <v>2326836</v>
      </c>
      <c r="R14" s="5"/>
    </row>
    <row r="15" spans="1:18" ht="27.75" customHeight="1" x14ac:dyDescent="0.25">
      <c r="A15" s="25">
        <v>8</v>
      </c>
      <c r="B15" s="120">
        <v>45037</v>
      </c>
      <c r="C15" s="10" t="s">
        <v>3118</v>
      </c>
      <c r="D15" s="25" t="s">
        <v>3125</v>
      </c>
      <c r="E15" s="10" t="s">
        <v>2045</v>
      </c>
      <c r="F15" s="8"/>
      <c r="G15" s="8">
        <v>320</v>
      </c>
      <c r="H15" s="13">
        <f t="shared" ref="H15:H19" si="3">G15*19390</f>
        <v>6204800</v>
      </c>
      <c r="I15" s="8"/>
      <c r="J15" s="134">
        <v>3300000</v>
      </c>
      <c r="K15" s="28"/>
      <c r="L15" s="29"/>
      <c r="M15" s="13"/>
      <c r="N15" s="13"/>
      <c r="O15" s="13">
        <f t="shared" si="1"/>
        <v>9504800</v>
      </c>
      <c r="P15" s="13">
        <v>17136364</v>
      </c>
      <c r="Q15" s="13">
        <f t="shared" si="2"/>
        <v>7631564</v>
      </c>
      <c r="R15" s="5"/>
    </row>
    <row r="16" spans="1:18" ht="27.75" customHeight="1" x14ac:dyDescent="0.25">
      <c r="A16" s="25">
        <v>9</v>
      </c>
      <c r="B16" s="120">
        <v>45040</v>
      </c>
      <c r="C16" s="10" t="s">
        <v>3119</v>
      </c>
      <c r="D16" s="25" t="s">
        <v>3126</v>
      </c>
      <c r="E16" s="10" t="s">
        <v>3122</v>
      </c>
      <c r="F16" s="8"/>
      <c r="G16" s="8">
        <v>201</v>
      </c>
      <c r="H16" s="13">
        <f t="shared" si="3"/>
        <v>3897390</v>
      </c>
      <c r="I16" s="8"/>
      <c r="J16" s="50">
        <v>940000</v>
      </c>
      <c r="K16" s="28"/>
      <c r="L16" s="29"/>
      <c r="M16" s="13"/>
      <c r="N16" s="13"/>
      <c r="O16" s="13">
        <f t="shared" si="1"/>
        <v>4837390</v>
      </c>
      <c r="P16" s="13">
        <v>7500000</v>
      </c>
      <c r="Q16" s="13">
        <f t="shared" si="2"/>
        <v>2662610</v>
      </c>
      <c r="R16" s="5"/>
    </row>
    <row r="17" spans="1:18" ht="27.75" customHeight="1" x14ac:dyDescent="0.25">
      <c r="A17" s="25">
        <v>10</v>
      </c>
      <c r="B17" s="120">
        <v>45041</v>
      </c>
      <c r="C17" s="10" t="s">
        <v>3120</v>
      </c>
      <c r="D17" s="25" t="s">
        <v>3127</v>
      </c>
      <c r="E17" s="10" t="s">
        <v>1589</v>
      </c>
      <c r="F17" s="8"/>
      <c r="G17" s="8">
        <v>80</v>
      </c>
      <c r="H17" s="13">
        <f>G17*19390</f>
        <v>1551200</v>
      </c>
      <c r="I17" s="8"/>
      <c r="J17" s="50">
        <v>555000</v>
      </c>
      <c r="K17" s="28"/>
      <c r="L17" s="29"/>
      <c r="M17" s="13"/>
      <c r="N17" s="13"/>
      <c r="O17" s="13">
        <f t="shared" si="1"/>
        <v>2106200</v>
      </c>
      <c r="P17" s="13">
        <v>4100000</v>
      </c>
      <c r="Q17" s="13">
        <f t="shared" si="2"/>
        <v>1993800</v>
      </c>
      <c r="R17" s="5"/>
    </row>
    <row r="18" spans="1:18" ht="22.5" customHeight="1" x14ac:dyDescent="0.25">
      <c r="A18" s="25">
        <v>11</v>
      </c>
      <c r="B18" s="120">
        <v>45043</v>
      </c>
      <c r="C18" s="10" t="s">
        <v>3121</v>
      </c>
      <c r="D18" s="25" t="s">
        <v>3128</v>
      </c>
      <c r="E18" s="10" t="s">
        <v>3123</v>
      </c>
      <c r="F18" s="8"/>
      <c r="G18" s="8">
        <v>75</v>
      </c>
      <c r="H18" s="13">
        <f t="shared" si="3"/>
        <v>1454250</v>
      </c>
      <c r="I18" s="8"/>
      <c r="J18" s="50">
        <v>680000</v>
      </c>
      <c r="K18" s="28"/>
      <c r="L18" s="29"/>
      <c r="M18" s="13"/>
      <c r="N18" s="13"/>
      <c r="O18" s="13">
        <f t="shared" si="1"/>
        <v>2134250</v>
      </c>
      <c r="P18" s="13">
        <v>4400000</v>
      </c>
      <c r="Q18" s="13">
        <f t="shared" si="2"/>
        <v>2265750</v>
      </c>
      <c r="R18" s="5"/>
    </row>
    <row r="19" spans="1:18" ht="22.5" customHeight="1" x14ac:dyDescent="0.25">
      <c r="A19" s="25">
        <v>12</v>
      </c>
      <c r="B19" s="120">
        <v>45043</v>
      </c>
      <c r="C19" s="10" t="s">
        <v>2019</v>
      </c>
      <c r="D19" s="25" t="s">
        <v>3129</v>
      </c>
      <c r="E19" s="10" t="s">
        <v>2910</v>
      </c>
      <c r="F19" s="8"/>
      <c r="G19" s="8">
        <v>107</v>
      </c>
      <c r="H19" s="13">
        <f t="shared" si="3"/>
        <v>2074730</v>
      </c>
      <c r="I19" s="8"/>
      <c r="J19" s="50">
        <v>680000</v>
      </c>
      <c r="K19" s="28"/>
      <c r="L19" s="29"/>
      <c r="M19" s="13"/>
      <c r="N19" s="13"/>
      <c r="O19" s="13">
        <f t="shared" si="1"/>
        <v>2754730</v>
      </c>
      <c r="P19" s="13">
        <v>4500000</v>
      </c>
      <c r="Q19" s="13">
        <f t="shared" si="2"/>
        <v>1745270</v>
      </c>
      <c r="R19" s="5"/>
    </row>
    <row r="20" spans="1:18" ht="24" customHeight="1" x14ac:dyDescent="0.25">
      <c r="A20" s="8"/>
      <c r="B20" s="8"/>
      <c r="C20" s="196" t="s">
        <v>131</v>
      </c>
      <c r="D20" s="197"/>
      <c r="E20" s="197"/>
      <c r="F20" s="198"/>
      <c r="G20" s="8"/>
      <c r="H20" s="13"/>
      <c r="I20" s="8"/>
      <c r="J20" s="13"/>
      <c r="K20" s="28">
        <v>1200000</v>
      </c>
      <c r="L20" s="28"/>
      <c r="M20" s="18"/>
      <c r="N20" s="28"/>
      <c r="O20" s="53">
        <f t="shared" si="1"/>
        <v>1200000</v>
      </c>
      <c r="P20" s="28"/>
      <c r="Q20" s="54"/>
    </row>
    <row r="21" spans="1:18" ht="24" customHeight="1" x14ac:dyDescent="0.25">
      <c r="A21" s="8"/>
      <c r="B21" s="8"/>
      <c r="C21" s="196" t="s">
        <v>3144</v>
      </c>
      <c r="D21" s="197"/>
      <c r="E21" s="197"/>
      <c r="F21" s="198"/>
      <c r="G21" s="8"/>
      <c r="H21" s="13"/>
      <c r="I21" s="8"/>
      <c r="J21" s="13"/>
      <c r="K21" s="28">
        <v>3445000</v>
      </c>
      <c r="L21" s="28"/>
      <c r="M21" s="18"/>
      <c r="N21" s="28"/>
      <c r="O21" s="53">
        <f t="shared" si="1"/>
        <v>3445000</v>
      </c>
      <c r="P21" s="28"/>
      <c r="Q21" s="54"/>
    </row>
    <row r="22" spans="1:18" ht="24" customHeight="1" x14ac:dyDescent="0.25">
      <c r="A22" s="8"/>
      <c r="B22" s="8"/>
      <c r="C22" s="196" t="s">
        <v>3130</v>
      </c>
      <c r="D22" s="197"/>
      <c r="E22" s="197"/>
      <c r="F22" s="198"/>
      <c r="G22" s="8"/>
      <c r="H22" s="13"/>
      <c r="I22" s="8"/>
      <c r="J22" s="13"/>
      <c r="K22" s="28"/>
      <c r="L22" s="28">
        <v>890000</v>
      </c>
      <c r="M22" s="18"/>
      <c r="N22" s="28"/>
      <c r="O22" s="53">
        <f t="shared" si="1"/>
        <v>890000</v>
      </c>
      <c r="P22" s="28"/>
      <c r="Q22" s="54"/>
    </row>
    <row r="23" spans="1:18" ht="24" customHeight="1" x14ac:dyDescent="0.25">
      <c r="A23" s="8"/>
      <c r="B23" s="8"/>
      <c r="C23" s="196" t="s">
        <v>3131</v>
      </c>
      <c r="D23" s="197"/>
      <c r="E23" s="197"/>
      <c r="F23" s="198"/>
      <c r="G23" s="8"/>
      <c r="H23" s="13"/>
      <c r="I23" s="8"/>
      <c r="J23" s="13"/>
      <c r="K23" s="28"/>
      <c r="L23" s="28">
        <v>500000</v>
      </c>
      <c r="M23" s="18"/>
      <c r="N23" s="28"/>
      <c r="O23" s="53">
        <f t="shared" si="1"/>
        <v>500000</v>
      </c>
      <c r="P23" s="28"/>
      <c r="Q23" s="54"/>
    </row>
    <row r="24" spans="1:18" ht="24" customHeight="1" x14ac:dyDescent="0.25">
      <c r="A24" s="8"/>
      <c r="B24" s="8"/>
      <c r="C24" s="196" t="s">
        <v>3132</v>
      </c>
      <c r="D24" s="197"/>
      <c r="E24" s="197"/>
      <c r="F24" s="198"/>
      <c r="G24" s="8"/>
      <c r="H24" s="13"/>
      <c r="I24" s="8"/>
      <c r="J24" s="13"/>
      <c r="K24" s="28"/>
      <c r="L24" s="28">
        <v>100000</v>
      </c>
      <c r="M24" s="18"/>
      <c r="N24" s="28"/>
      <c r="O24" s="53">
        <f t="shared" si="1"/>
        <v>100000</v>
      </c>
      <c r="P24" s="28"/>
      <c r="Q24" s="54"/>
    </row>
    <row r="25" spans="1:18" ht="24" customHeight="1" x14ac:dyDescent="0.25">
      <c r="A25" s="8"/>
      <c r="B25" s="8"/>
      <c r="C25" s="196" t="s">
        <v>3133</v>
      </c>
      <c r="D25" s="197"/>
      <c r="E25" s="197"/>
      <c r="F25" s="198"/>
      <c r="G25" s="8"/>
      <c r="H25" s="13"/>
      <c r="I25" s="8"/>
      <c r="J25" s="13"/>
      <c r="K25" s="28"/>
      <c r="L25" s="28">
        <v>150000</v>
      </c>
      <c r="M25" s="18"/>
      <c r="N25" s="28"/>
      <c r="O25" s="53">
        <f t="shared" si="1"/>
        <v>150000</v>
      </c>
      <c r="P25" s="28"/>
      <c r="Q25" s="54"/>
    </row>
    <row r="26" spans="1:18" ht="24" customHeight="1" x14ac:dyDescent="0.25">
      <c r="A26" s="8"/>
      <c r="B26" s="8"/>
      <c r="C26" s="196" t="s">
        <v>3134</v>
      </c>
      <c r="D26" s="197"/>
      <c r="E26" s="197"/>
      <c r="F26" s="198"/>
      <c r="G26" s="8"/>
      <c r="H26" s="13"/>
      <c r="I26" s="8"/>
      <c r="J26" s="13"/>
      <c r="K26" s="28"/>
      <c r="L26" s="28">
        <v>350000</v>
      </c>
      <c r="M26" s="18"/>
      <c r="N26" s="28"/>
      <c r="O26" s="53">
        <f t="shared" si="1"/>
        <v>350000</v>
      </c>
      <c r="P26" s="28"/>
      <c r="Q26" s="54"/>
    </row>
    <row r="27" spans="1:18" ht="24" customHeight="1" x14ac:dyDescent="0.25">
      <c r="A27" s="8"/>
      <c r="B27" s="8"/>
      <c r="C27" s="196" t="s">
        <v>3135</v>
      </c>
      <c r="D27" s="197"/>
      <c r="E27" s="197"/>
      <c r="F27" s="198"/>
      <c r="G27" s="8"/>
      <c r="H27" s="13"/>
      <c r="I27" s="8"/>
      <c r="J27" s="13"/>
      <c r="K27" s="28"/>
      <c r="L27" s="28">
        <v>700000</v>
      </c>
      <c r="M27" s="18"/>
      <c r="N27" s="28"/>
      <c r="O27" s="53">
        <f t="shared" si="1"/>
        <v>700000</v>
      </c>
      <c r="P27" s="28"/>
      <c r="Q27" s="54"/>
    </row>
    <row r="28" spans="1:18" ht="24" customHeight="1" x14ac:dyDescent="0.25">
      <c r="A28" s="8"/>
      <c r="B28" s="8"/>
      <c r="C28" s="196" t="s">
        <v>3136</v>
      </c>
      <c r="D28" s="197"/>
      <c r="E28" s="197"/>
      <c r="F28" s="198"/>
      <c r="G28" s="8"/>
      <c r="H28" s="13"/>
      <c r="I28" s="8"/>
      <c r="J28" s="13"/>
      <c r="K28" s="28"/>
      <c r="L28" s="28">
        <v>550000</v>
      </c>
      <c r="M28" s="18"/>
      <c r="N28" s="28"/>
      <c r="O28" s="53">
        <f t="shared" si="1"/>
        <v>550000</v>
      </c>
      <c r="P28" s="28"/>
      <c r="Q28" s="54"/>
    </row>
    <row r="29" spans="1:18" ht="24" customHeight="1" x14ac:dyDescent="0.25">
      <c r="A29" s="8"/>
      <c r="B29" s="8"/>
      <c r="C29" s="196" t="s">
        <v>3137</v>
      </c>
      <c r="D29" s="197"/>
      <c r="E29" s="197"/>
      <c r="F29" s="198"/>
      <c r="G29" s="8"/>
      <c r="H29" s="13"/>
      <c r="I29" s="8"/>
      <c r="J29" s="13"/>
      <c r="K29" s="28"/>
      <c r="L29" s="28">
        <v>2600000</v>
      </c>
      <c r="M29" s="18"/>
      <c r="N29" s="28"/>
      <c r="O29" s="53">
        <f t="shared" si="1"/>
        <v>2600000</v>
      </c>
      <c r="P29" s="28"/>
      <c r="Q29" s="54"/>
    </row>
    <row r="30" spans="1:18" ht="24" customHeight="1" x14ac:dyDescent="0.25">
      <c r="A30" s="8"/>
      <c r="B30" s="8"/>
      <c r="C30" s="196" t="s">
        <v>3138</v>
      </c>
      <c r="D30" s="197"/>
      <c r="E30" s="197"/>
      <c r="F30" s="125"/>
      <c r="G30" s="8"/>
      <c r="H30" s="13"/>
      <c r="I30" s="8"/>
      <c r="J30" s="13"/>
      <c r="K30" s="28"/>
      <c r="L30" s="28">
        <v>1100000</v>
      </c>
      <c r="M30" s="18"/>
      <c r="N30" s="28"/>
      <c r="O30" s="53">
        <f t="shared" si="1"/>
        <v>1100000</v>
      </c>
      <c r="P30" s="28"/>
      <c r="Q30" s="54"/>
    </row>
    <row r="31" spans="1:18" ht="24" customHeight="1" x14ac:dyDescent="0.25">
      <c r="A31" s="8"/>
      <c r="B31" s="8"/>
      <c r="C31" s="196" t="s">
        <v>3139</v>
      </c>
      <c r="D31" s="197"/>
      <c r="E31" s="197"/>
      <c r="F31" s="198"/>
      <c r="G31" s="8"/>
      <c r="H31" s="13"/>
      <c r="I31" s="8"/>
      <c r="J31" s="13"/>
      <c r="K31" s="28"/>
      <c r="L31" s="28">
        <v>170000</v>
      </c>
      <c r="M31" s="18"/>
      <c r="N31" s="28"/>
      <c r="O31" s="53">
        <f t="shared" si="1"/>
        <v>170000</v>
      </c>
      <c r="P31" s="28"/>
      <c r="Q31" s="54"/>
    </row>
    <row r="32" spans="1:18" ht="24" customHeight="1" x14ac:dyDescent="0.25">
      <c r="A32" s="8"/>
      <c r="B32" s="8"/>
      <c r="C32" s="196" t="s">
        <v>3140</v>
      </c>
      <c r="D32" s="197"/>
      <c r="E32" s="197"/>
      <c r="F32" s="198"/>
      <c r="G32" s="8"/>
      <c r="H32" s="13"/>
      <c r="I32" s="8"/>
      <c r="J32" s="13"/>
      <c r="K32" s="28"/>
      <c r="L32" s="28">
        <f>1280000/4</f>
        <v>320000</v>
      </c>
      <c r="M32" s="18"/>
      <c r="N32" s="28"/>
      <c r="O32" s="53">
        <f t="shared" si="1"/>
        <v>320000</v>
      </c>
      <c r="P32" s="28"/>
      <c r="Q32" s="54"/>
    </row>
    <row r="33" spans="1:17" ht="24" customHeight="1" x14ac:dyDescent="0.25">
      <c r="A33" s="8"/>
      <c r="B33" s="8"/>
      <c r="C33" s="196" t="s">
        <v>3141</v>
      </c>
      <c r="D33" s="197"/>
      <c r="E33" s="197"/>
      <c r="F33" s="198"/>
      <c r="G33" s="8"/>
      <c r="H33" s="13"/>
      <c r="I33" s="8"/>
      <c r="J33" s="13"/>
      <c r="K33" s="28"/>
      <c r="L33" s="28">
        <v>100000</v>
      </c>
      <c r="M33" s="18"/>
      <c r="N33" s="28"/>
      <c r="O33" s="53">
        <f t="shared" si="1"/>
        <v>100000</v>
      </c>
      <c r="P33" s="28"/>
      <c r="Q33" s="54"/>
    </row>
    <row r="34" spans="1:17" ht="24" customHeight="1" x14ac:dyDescent="0.25">
      <c r="A34" s="8"/>
      <c r="B34" s="8"/>
      <c r="C34" s="196" t="s">
        <v>3152</v>
      </c>
      <c r="D34" s="197"/>
      <c r="E34" s="197"/>
      <c r="F34" s="198"/>
      <c r="G34" s="8"/>
      <c r="H34" s="13"/>
      <c r="I34" s="8"/>
      <c r="J34" s="13"/>
      <c r="K34" s="28"/>
      <c r="L34" s="28">
        <f>79420000</f>
        <v>79420000</v>
      </c>
      <c r="M34" s="18"/>
      <c r="N34" s="28"/>
      <c r="O34" s="53">
        <f t="shared" si="1"/>
        <v>79420000</v>
      </c>
      <c r="P34" s="28"/>
      <c r="Q34" s="54"/>
    </row>
    <row r="35" spans="1:17" ht="24" customHeight="1" x14ac:dyDescent="0.25">
      <c r="A35" s="8"/>
      <c r="B35" s="8"/>
      <c r="C35" s="196" t="s">
        <v>3154</v>
      </c>
      <c r="D35" s="197"/>
      <c r="E35" s="197"/>
      <c r="F35" s="198"/>
      <c r="G35" s="8"/>
      <c r="H35" s="13"/>
      <c r="I35" s="8"/>
      <c r="J35" s="13"/>
      <c r="K35" s="28"/>
      <c r="L35" s="28">
        <v>2300000</v>
      </c>
      <c r="M35" s="18"/>
      <c r="N35" s="28"/>
      <c r="O35" s="53">
        <f t="shared" si="1"/>
        <v>2300000</v>
      </c>
      <c r="P35" s="28"/>
      <c r="Q35" s="54"/>
    </row>
    <row r="36" spans="1:17" ht="24" customHeight="1" x14ac:dyDescent="0.25">
      <c r="A36" s="8"/>
      <c r="B36" s="8"/>
      <c r="C36" s="196" t="s">
        <v>3155</v>
      </c>
      <c r="D36" s="197"/>
      <c r="E36" s="197"/>
      <c r="F36" s="198"/>
      <c r="G36" s="8"/>
      <c r="H36" s="13"/>
      <c r="I36" s="8"/>
      <c r="J36" s="13"/>
      <c r="K36" s="28"/>
      <c r="L36" s="28">
        <v>1600000</v>
      </c>
      <c r="M36" s="18"/>
      <c r="N36" s="28"/>
      <c r="O36" s="53">
        <f t="shared" si="1"/>
        <v>1600000</v>
      </c>
      <c r="P36" s="28"/>
      <c r="Q36" s="54"/>
    </row>
    <row r="37" spans="1:17" ht="24" customHeight="1" x14ac:dyDescent="0.25">
      <c r="A37" s="8"/>
      <c r="B37" s="8"/>
      <c r="C37" s="196" t="s">
        <v>3216</v>
      </c>
      <c r="D37" s="197"/>
      <c r="E37" s="197"/>
      <c r="F37" s="198"/>
      <c r="G37" s="8"/>
      <c r="H37" s="13"/>
      <c r="I37" s="8"/>
      <c r="J37" s="13"/>
      <c r="K37" s="28"/>
      <c r="L37" s="28">
        <v>600000</v>
      </c>
      <c r="M37" s="18"/>
      <c r="N37" s="28"/>
      <c r="O37" s="53">
        <f t="shared" si="1"/>
        <v>600000</v>
      </c>
      <c r="P37" s="28"/>
      <c r="Q37" s="54"/>
    </row>
    <row r="38" spans="1:17" ht="24" customHeight="1" x14ac:dyDescent="0.25">
      <c r="A38" s="8"/>
      <c r="B38" s="8"/>
      <c r="C38" s="123" t="s">
        <v>3381</v>
      </c>
      <c r="D38" s="124"/>
      <c r="E38" s="124"/>
      <c r="F38" s="125"/>
      <c r="G38" s="8"/>
      <c r="H38" s="13"/>
      <c r="I38" s="8"/>
      <c r="J38" s="13"/>
      <c r="K38" s="28"/>
      <c r="L38" s="28">
        <v>165000</v>
      </c>
      <c r="M38" s="18"/>
      <c r="N38" s="28"/>
      <c r="O38" s="53">
        <f t="shared" si="1"/>
        <v>165000</v>
      </c>
      <c r="P38" s="28"/>
      <c r="Q38" s="54"/>
    </row>
    <row r="39" spans="1:17" ht="24" customHeight="1" x14ac:dyDescent="0.25">
      <c r="A39" s="8"/>
      <c r="B39" s="8"/>
      <c r="C39" s="196" t="s">
        <v>3142</v>
      </c>
      <c r="D39" s="197"/>
      <c r="E39" s="197"/>
      <c r="F39" s="198"/>
      <c r="G39" s="8"/>
      <c r="H39" s="13"/>
      <c r="I39" s="8"/>
      <c r="J39" s="13"/>
      <c r="K39" s="28">
        <v>300000</v>
      </c>
      <c r="L39" s="28"/>
      <c r="M39" s="18"/>
      <c r="N39" s="28"/>
      <c r="O39" s="53">
        <f t="shared" si="1"/>
        <v>300000</v>
      </c>
      <c r="P39" s="28"/>
      <c r="Q39" s="54"/>
    </row>
    <row r="40" spans="1:17" ht="25.5" customHeight="1" x14ac:dyDescent="0.25">
      <c r="A40" s="8"/>
      <c r="B40" s="8"/>
      <c r="C40" s="191" t="s">
        <v>3382</v>
      </c>
      <c r="D40" s="192"/>
      <c r="E40" s="192"/>
      <c r="F40" s="195"/>
      <c r="G40" s="30"/>
      <c r="H40" s="28"/>
      <c r="I40" s="30"/>
      <c r="J40" s="28"/>
      <c r="K40" s="28">
        <v>8700000</v>
      </c>
      <c r="L40" s="28"/>
      <c r="M40" s="18"/>
      <c r="N40" s="28"/>
      <c r="O40" s="53">
        <f t="shared" si="1"/>
        <v>8700000</v>
      </c>
      <c r="P40" s="28"/>
      <c r="Q40" s="54"/>
    </row>
    <row r="41" spans="1:17" ht="15" customHeight="1" x14ac:dyDescent="0.25">
      <c r="A41" s="166" t="s">
        <v>19</v>
      </c>
      <c r="B41" s="167"/>
      <c r="C41" s="167"/>
      <c r="D41" s="167"/>
      <c r="E41" s="167"/>
      <c r="F41" s="168"/>
      <c r="G41" s="131">
        <f t="shared" ref="G41:N41" si="4">SUM(G7:G40)</f>
        <v>1444</v>
      </c>
      <c r="H41" s="4">
        <f t="shared" si="4"/>
        <v>28100320</v>
      </c>
      <c r="I41" s="4">
        <f t="shared" si="4"/>
        <v>0</v>
      </c>
      <c r="J41" s="4">
        <f t="shared" si="4"/>
        <v>10775000</v>
      </c>
      <c r="K41" s="4">
        <f t="shared" si="4"/>
        <v>13645000</v>
      </c>
      <c r="L41" s="4">
        <f t="shared" si="4"/>
        <v>91615000</v>
      </c>
      <c r="M41" s="4">
        <f t="shared" si="4"/>
        <v>0</v>
      </c>
      <c r="N41" s="4">
        <f t="shared" si="4"/>
        <v>0</v>
      </c>
      <c r="O41" s="4">
        <f>SUM(O7:O40)</f>
        <v>144135320</v>
      </c>
      <c r="P41" s="4">
        <f>SUM(P8:P40)</f>
        <v>71415455</v>
      </c>
      <c r="Q41" s="122">
        <f>P41-O41</f>
        <v>-72719865</v>
      </c>
    </row>
    <row r="42" spans="1:17" x14ac:dyDescent="0.25">
      <c r="O42" s="20"/>
      <c r="P42" s="5" t="s">
        <v>1796</v>
      </c>
      <c r="Q42" s="26"/>
    </row>
    <row r="43" spans="1:17" x14ac:dyDescent="0.25">
      <c r="P43" s="21" t="s">
        <v>20</v>
      </c>
      <c r="Q43" s="26">
        <f>'03.2023'!Q21+'04.2023'!Q41</f>
        <v>-116891973</v>
      </c>
    </row>
    <row r="44" spans="1:17" x14ac:dyDescent="0.25">
      <c r="C44" s="6" t="s">
        <v>993</v>
      </c>
    </row>
    <row r="45" spans="1:17" x14ac:dyDescent="0.25">
      <c r="C45" s="205"/>
      <c r="D45" s="205"/>
      <c r="E45" s="205"/>
      <c r="F45" s="205"/>
      <c r="H45" s="109"/>
    </row>
    <row r="46" spans="1:17" x14ac:dyDescent="0.25">
      <c r="C46" s="206"/>
      <c r="D46" s="206"/>
      <c r="E46" s="206"/>
      <c r="F46" s="206"/>
      <c r="H46" s="109"/>
    </row>
    <row r="47" spans="1:17" x14ac:dyDescent="0.25">
      <c r="B47" s="6"/>
      <c r="C47" s="110"/>
      <c r="D47" s="110"/>
      <c r="E47" s="110"/>
      <c r="F47" s="110"/>
      <c r="G47" s="133"/>
      <c r="H47" s="109"/>
    </row>
    <row r="48" spans="1:17" x14ac:dyDescent="0.25">
      <c r="B48" s="6"/>
      <c r="C48" s="206"/>
      <c r="D48" s="206"/>
      <c r="E48" s="206"/>
      <c r="F48" s="206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G50" s="133"/>
      <c r="H50" s="109"/>
      <c r="J50" s="6"/>
      <c r="K50" s="6"/>
      <c r="L50" s="6"/>
      <c r="M50" s="6"/>
      <c r="N50" s="6"/>
      <c r="O50" s="6"/>
      <c r="P50" s="6"/>
      <c r="Q50" s="6"/>
    </row>
    <row r="51" spans="2:17" x14ac:dyDescent="0.2">
      <c r="C51" s="107"/>
      <c r="D51" s="110"/>
      <c r="E51" s="110"/>
      <c r="F51" s="110"/>
      <c r="H51" s="109"/>
    </row>
    <row r="52" spans="2:17" x14ac:dyDescent="0.25">
      <c r="C52" s="205"/>
      <c r="D52" s="205"/>
      <c r="E52" s="205"/>
      <c r="F52" s="205"/>
    </row>
  </sheetData>
  <mergeCells count="40">
    <mergeCell ref="C21:F21"/>
    <mergeCell ref="C35:F35"/>
    <mergeCell ref="C36:F36"/>
    <mergeCell ref="C34:F34"/>
    <mergeCell ref="C22:F22"/>
    <mergeCell ref="C23:F23"/>
    <mergeCell ref="C24:F24"/>
    <mergeCell ref="C25:F25"/>
    <mergeCell ref="C26:F26"/>
    <mergeCell ref="C27:F27"/>
    <mergeCell ref="C28:F28"/>
    <mergeCell ref="C29:F29"/>
    <mergeCell ref="C30:E30"/>
    <mergeCell ref="C31:F31"/>
    <mergeCell ref="C32:F32"/>
    <mergeCell ref="C33:F33"/>
    <mergeCell ref="C52:F52"/>
    <mergeCell ref="C40:F40"/>
    <mergeCell ref="A41:F41"/>
    <mergeCell ref="C45:F45"/>
    <mergeCell ref="C46:F46"/>
    <mergeCell ref="C48:F48"/>
    <mergeCell ref="C49:F49"/>
    <mergeCell ref="C50:F50"/>
    <mergeCell ref="C39:F39"/>
    <mergeCell ref="C37:F37"/>
    <mergeCell ref="C20:F20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DC40-4C76-499E-8FE3-CCA60D4F0A2C}">
  <dimension ref="A1:R53"/>
  <sheetViews>
    <sheetView topLeftCell="E33" workbookViewId="0">
      <selection activeCell="Q42" sqref="Q42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3158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45049</v>
      </c>
      <c r="C8" s="10" t="s">
        <v>633</v>
      </c>
      <c r="D8" s="25" t="s">
        <v>1845</v>
      </c>
      <c r="E8" s="10" t="s">
        <v>3194</v>
      </c>
      <c r="F8" s="8"/>
      <c r="G8" s="8">
        <v>125</v>
      </c>
      <c r="H8" s="13">
        <f>G8*18250</f>
        <v>2281250</v>
      </c>
      <c r="I8" s="8"/>
      <c r="J8" s="57">
        <v>1165000</v>
      </c>
      <c r="K8" s="28"/>
      <c r="L8" s="29"/>
      <c r="M8" s="13"/>
      <c r="N8" s="13"/>
      <c r="O8" s="13">
        <f>H8+J8+K8+L8+M8+N8</f>
        <v>3446250</v>
      </c>
      <c r="P8" s="13">
        <v>6050000</v>
      </c>
      <c r="Q8" s="13">
        <f>P8-O8</f>
        <v>2603750</v>
      </c>
      <c r="R8" s="5"/>
    </row>
    <row r="9" spans="1:18" ht="17.25" customHeight="1" x14ac:dyDescent="0.25">
      <c r="A9" s="148">
        <v>2</v>
      </c>
      <c r="B9" s="120">
        <v>45049</v>
      </c>
      <c r="C9" s="10" t="s">
        <v>3159</v>
      </c>
      <c r="D9" s="129" t="s">
        <v>3175</v>
      </c>
      <c r="E9" s="9" t="s">
        <v>3195</v>
      </c>
      <c r="F9" s="117"/>
      <c r="G9" s="8">
        <v>119</v>
      </c>
      <c r="H9" s="13">
        <f t="shared" ref="H9:H13" si="0">G9*18250</f>
        <v>2171750</v>
      </c>
      <c r="I9" s="117"/>
      <c r="J9" s="146">
        <v>1065000</v>
      </c>
      <c r="K9" s="28"/>
      <c r="L9" s="29"/>
      <c r="M9" s="13"/>
      <c r="N9" s="13"/>
      <c r="O9" s="13">
        <f t="shared" ref="O9:O40" si="1">H9+J9+K9+L9+M9+N9</f>
        <v>3236750</v>
      </c>
      <c r="P9" s="13">
        <v>6050000</v>
      </c>
      <c r="Q9" s="13">
        <f t="shared" ref="Q9:Q28" si="2">P9-O9</f>
        <v>2813250</v>
      </c>
      <c r="R9" s="5"/>
    </row>
    <row r="10" spans="1:18" ht="24.75" customHeight="1" x14ac:dyDescent="0.25">
      <c r="A10" s="148">
        <v>3</v>
      </c>
      <c r="B10" s="120">
        <v>45050</v>
      </c>
      <c r="C10" s="10" t="s">
        <v>2769</v>
      </c>
      <c r="D10" s="25" t="s">
        <v>3176</v>
      </c>
      <c r="E10" s="10" t="s">
        <v>3196</v>
      </c>
      <c r="F10" s="8"/>
      <c r="G10" s="8">
        <v>225</v>
      </c>
      <c r="H10" s="13">
        <f t="shared" si="0"/>
        <v>4106250</v>
      </c>
      <c r="I10" s="8"/>
      <c r="J10" s="50">
        <v>1360000</v>
      </c>
      <c r="K10" s="28"/>
      <c r="L10" s="29"/>
      <c r="M10" s="13"/>
      <c r="N10" s="13"/>
      <c r="O10" s="13">
        <f>H10+J10+K10+L10+M10+N10</f>
        <v>5466250</v>
      </c>
      <c r="P10" s="13">
        <v>9250000</v>
      </c>
      <c r="Q10" s="13">
        <f t="shared" si="2"/>
        <v>3783750</v>
      </c>
      <c r="R10" s="5"/>
    </row>
    <row r="11" spans="1:18" ht="27.75" customHeight="1" x14ac:dyDescent="0.25">
      <c r="A11" s="148">
        <v>4</v>
      </c>
      <c r="B11" s="120">
        <v>45051</v>
      </c>
      <c r="C11" s="10" t="s">
        <v>3160</v>
      </c>
      <c r="D11" s="25" t="s">
        <v>3177</v>
      </c>
      <c r="E11" s="10" t="s">
        <v>1043</v>
      </c>
      <c r="F11" s="8"/>
      <c r="G11" s="8">
        <v>120</v>
      </c>
      <c r="H11" s="13">
        <f t="shared" si="0"/>
        <v>2190000</v>
      </c>
      <c r="I11" s="8"/>
      <c r="J11" s="50">
        <v>680000</v>
      </c>
      <c r="K11" s="28"/>
      <c r="L11" s="29"/>
      <c r="M11" s="13"/>
      <c r="N11" s="13"/>
      <c r="O11" s="13">
        <f t="shared" si="1"/>
        <v>2870000</v>
      </c>
      <c r="P11" s="13">
        <v>5263636</v>
      </c>
      <c r="Q11" s="13">
        <f t="shared" si="2"/>
        <v>2393636</v>
      </c>
      <c r="R11" s="5"/>
    </row>
    <row r="12" spans="1:18" ht="27.75" customHeight="1" x14ac:dyDescent="0.25">
      <c r="A12" s="148">
        <v>5</v>
      </c>
      <c r="B12" s="120">
        <v>45053</v>
      </c>
      <c r="C12" s="10" t="s">
        <v>637</v>
      </c>
      <c r="D12" s="25" t="s">
        <v>3178</v>
      </c>
      <c r="E12" s="10" t="s">
        <v>3197</v>
      </c>
      <c r="F12" s="8"/>
      <c r="G12" s="8">
        <v>131</v>
      </c>
      <c r="H12" s="13">
        <f t="shared" si="0"/>
        <v>2390750</v>
      </c>
      <c r="I12" s="8"/>
      <c r="J12" s="50">
        <v>790000</v>
      </c>
      <c r="K12" s="28"/>
      <c r="L12" s="29"/>
      <c r="M12" s="13"/>
      <c r="N12" s="13"/>
      <c r="O12" s="13">
        <f t="shared" si="1"/>
        <v>3180750</v>
      </c>
      <c r="P12" s="13">
        <v>5940000</v>
      </c>
      <c r="Q12" s="13">
        <f t="shared" si="2"/>
        <v>2759250</v>
      </c>
      <c r="R12" s="5"/>
    </row>
    <row r="13" spans="1:18" ht="27.75" customHeight="1" x14ac:dyDescent="0.25">
      <c r="A13" s="148">
        <v>6</v>
      </c>
      <c r="B13" s="120">
        <v>45054</v>
      </c>
      <c r="C13" s="10" t="s">
        <v>3161</v>
      </c>
      <c r="D13" s="25" t="s">
        <v>3179</v>
      </c>
      <c r="E13" s="10" t="s">
        <v>3198</v>
      </c>
      <c r="F13" s="8"/>
      <c r="G13" s="8">
        <v>155</v>
      </c>
      <c r="H13" s="13">
        <f t="shared" si="0"/>
        <v>2828750</v>
      </c>
      <c r="I13" s="8"/>
      <c r="J13" s="50">
        <v>690000</v>
      </c>
      <c r="K13" s="28"/>
      <c r="L13" s="29"/>
      <c r="M13" s="13"/>
      <c r="N13" s="13"/>
      <c r="O13" s="13">
        <f t="shared" si="1"/>
        <v>3518750</v>
      </c>
      <c r="P13" s="13">
        <v>6400000</v>
      </c>
      <c r="Q13" s="13">
        <f t="shared" si="2"/>
        <v>2881250</v>
      </c>
      <c r="R13" s="5"/>
    </row>
    <row r="14" spans="1:18" ht="27.75" customHeight="1" x14ac:dyDescent="0.25">
      <c r="A14" s="148">
        <v>7</v>
      </c>
      <c r="B14" s="120">
        <v>45055</v>
      </c>
      <c r="C14" s="10" t="s">
        <v>3162</v>
      </c>
      <c r="D14" s="25" t="s">
        <v>3180</v>
      </c>
      <c r="E14" s="10" t="s">
        <v>2045</v>
      </c>
      <c r="F14" s="8"/>
      <c r="G14" s="8">
        <v>320</v>
      </c>
      <c r="H14" s="13">
        <f>G14*17650</f>
        <v>5648000</v>
      </c>
      <c r="I14" s="8"/>
      <c r="J14" s="50">
        <v>3300000</v>
      </c>
      <c r="K14" s="28"/>
      <c r="L14" s="29"/>
      <c r="M14" s="13"/>
      <c r="N14" s="13"/>
      <c r="O14" s="13">
        <f t="shared" si="1"/>
        <v>8948000</v>
      </c>
      <c r="P14" s="13">
        <v>16363636</v>
      </c>
      <c r="Q14" s="13">
        <f t="shared" si="2"/>
        <v>7415636</v>
      </c>
      <c r="R14" s="5"/>
    </row>
    <row r="15" spans="1:18" ht="27.75" customHeight="1" x14ac:dyDescent="0.25">
      <c r="A15" s="148">
        <v>8</v>
      </c>
      <c r="B15" s="120">
        <v>45058</v>
      </c>
      <c r="C15" s="10" t="s">
        <v>3163</v>
      </c>
      <c r="D15" s="25" t="s">
        <v>3181</v>
      </c>
      <c r="E15" s="10" t="s">
        <v>3199</v>
      </c>
      <c r="F15" s="8"/>
      <c r="G15" s="8">
        <v>49</v>
      </c>
      <c r="H15" s="13">
        <f t="shared" ref="H15:H20" si="3">G15*17650</f>
        <v>864850</v>
      </c>
      <c r="I15" s="8"/>
      <c r="J15" s="134">
        <v>350000</v>
      </c>
      <c r="K15" s="28"/>
      <c r="L15" s="29"/>
      <c r="M15" s="13"/>
      <c r="N15" s="13"/>
      <c r="O15" s="13">
        <f t="shared" si="1"/>
        <v>1214850</v>
      </c>
      <c r="P15" s="13">
        <v>2900000</v>
      </c>
      <c r="Q15" s="13">
        <f t="shared" si="2"/>
        <v>1685150</v>
      </c>
      <c r="R15" s="5"/>
    </row>
    <row r="16" spans="1:18" ht="27.75" customHeight="1" x14ac:dyDescent="0.25">
      <c r="A16" s="148">
        <v>9</v>
      </c>
      <c r="B16" s="120">
        <v>45058</v>
      </c>
      <c r="C16" s="10" t="s">
        <v>3164</v>
      </c>
      <c r="D16" s="25" t="s">
        <v>3182</v>
      </c>
      <c r="E16" s="10" t="s">
        <v>1043</v>
      </c>
      <c r="F16" s="8"/>
      <c r="G16" s="8">
        <v>122</v>
      </c>
      <c r="H16" s="13">
        <f t="shared" si="3"/>
        <v>2153300</v>
      </c>
      <c r="I16" s="8"/>
      <c r="J16" s="50">
        <v>680000</v>
      </c>
      <c r="K16" s="28"/>
      <c r="L16" s="29"/>
      <c r="M16" s="13"/>
      <c r="N16" s="13"/>
      <c r="O16" s="13">
        <f t="shared" si="1"/>
        <v>2833300</v>
      </c>
      <c r="P16" s="13">
        <v>5213636</v>
      </c>
      <c r="Q16" s="13">
        <f t="shared" si="2"/>
        <v>2380336</v>
      </c>
      <c r="R16" s="5"/>
    </row>
    <row r="17" spans="1:18" ht="27.75" customHeight="1" x14ac:dyDescent="0.25">
      <c r="A17" s="148">
        <v>10</v>
      </c>
      <c r="B17" s="120">
        <v>45061</v>
      </c>
      <c r="C17" s="10" t="s">
        <v>1306</v>
      </c>
      <c r="D17" s="25" t="s">
        <v>3183</v>
      </c>
      <c r="E17" s="10" t="s">
        <v>3200</v>
      </c>
      <c r="F17" s="8"/>
      <c r="G17" s="8">
        <v>45</v>
      </c>
      <c r="H17" s="13">
        <f t="shared" si="3"/>
        <v>794250</v>
      </c>
      <c r="I17" s="8"/>
      <c r="J17" s="50">
        <v>430000</v>
      </c>
      <c r="K17" s="28"/>
      <c r="L17" s="29"/>
      <c r="M17" s="13"/>
      <c r="N17" s="13"/>
      <c r="O17" s="13">
        <f t="shared" si="1"/>
        <v>1224250</v>
      </c>
      <c r="P17" s="13">
        <v>2600000</v>
      </c>
      <c r="Q17" s="13">
        <f t="shared" si="2"/>
        <v>1375750</v>
      </c>
      <c r="R17" s="5"/>
    </row>
    <row r="18" spans="1:18" ht="22.5" customHeight="1" x14ac:dyDescent="0.25">
      <c r="A18" s="148">
        <v>11</v>
      </c>
      <c r="B18" s="120">
        <v>45062</v>
      </c>
      <c r="C18" s="10" t="s">
        <v>3165</v>
      </c>
      <c r="D18" s="25" t="s">
        <v>3184</v>
      </c>
      <c r="E18" s="10" t="s">
        <v>3201</v>
      </c>
      <c r="F18" s="8"/>
      <c r="G18" s="8">
        <v>129</v>
      </c>
      <c r="H18" s="13">
        <f t="shared" si="3"/>
        <v>2276850</v>
      </c>
      <c r="I18" s="8"/>
      <c r="J18" s="50">
        <v>1070000</v>
      </c>
      <c r="K18" s="28"/>
      <c r="L18" s="29"/>
      <c r="M18" s="13"/>
      <c r="N18" s="13"/>
      <c r="O18" s="13">
        <f t="shared" si="1"/>
        <v>3346850</v>
      </c>
      <c r="P18" s="13">
        <v>6380000</v>
      </c>
      <c r="Q18" s="13">
        <f t="shared" si="2"/>
        <v>3033150</v>
      </c>
      <c r="R18" s="5"/>
    </row>
    <row r="19" spans="1:18" ht="22.5" customHeight="1" x14ac:dyDescent="0.25">
      <c r="A19" s="148">
        <v>12</v>
      </c>
      <c r="B19" s="120">
        <v>45063</v>
      </c>
      <c r="C19" s="10" t="s">
        <v>3166</v>
      </c>
      <c r="D19" s="25" t="s">
        <v>3185</v>
      </c>
      <c r="E19" s="10" t="s">
        <v>3202</v>
      </c>
      <c r="F19" s="8"/>
      <c r="G19" s="8">
        <v>117</v>
      </c>
      <c r="H19" s="13">
        <f t="shared" si="3"/>
        <v>2065050</v>
      </c>
      <c r="I19" s="8"/>
      <c r="J19" s="50">
        <v>745000</v>
      </c>
      <c r="K19" s="28"/>
      <c r="L19" s="29"/>
      <c r="M19" s="13"/>
      <c r="N19" s="13"/>
      <c r="O19" s="13">
        <f t="shared" si="1"/>
        <v>2810050</v>
      </c>
      <c r="P19" s="13">
        <v>5830000</v>
      </c>
      <c r="Q19" s="13">
        <f t="shared" si="2"/>
        <v>3019950</v>
      </c>
      <c r="R19" s="5"/>
    </row>
    <row r="20" spans="1:18" ht="22.5" customHeight="1" x14ac:dyDescent="0.25">
      <c r="A20" s="148">
        <v>13</v>
      </c>
      <c r="B20" s="120">
        <v>45065</v>
      </c>
      <c r="C20" s="10" t="s">
        <v>3167</v>
      </c>
      <c r="D20" s="25" t="s">
        <v>3186</v>
      </c>
      <c r="E20" s="10" t="s">
        <v>3202</v>
      </c>
      <c r="F20" s="8"/>
      <c r="G20" s="8">
        <v>117</v>
      </c>
      <c r="H20" s="13">
        <f t="shared" si="3"/>
        <v>2065050</v>
      </c>
      <c r="I20" s="8"/>
      <c r="J20" s="50">
        <v>745000</v>
      </c>
      <c r="K20" s="28"/>
      <c r="L20" s="29"/>
      <c r="M20" s="13"/>
      <c r="N20" s="13"/>
      <c r="O20" s="13">
        <f t="shared" si="1"/>
        <v>2810050</v>
      </c>
      <c r="P20" s="13">
        <v>5830000</v>
      </c>
      <c r="Q20" s="13">
        <f t="shared" si="2"/>
        <v>3019950</v>
      </c>
      <c r="R20" s="5"/>
    </row>
    <row r="21" spans="1:18" ht="22.5" customHeight="1" x14ac:dyDescent="0.25">
      <c r="A21" s="148">
        <v>14</v>
      </c>
      <c r="B21" s="120">
        <v>45066</v>
      </c>
      <c r="C21" s="10" t="s">
        <v>3168</v>
      </c>
      <c r="D21" s="25" t="s">
        <v>3187</v>
      </c>
      <c r="E21" s="10" t="s">
        <v>1762</v>
      </c>
      <c r="F21" s="8"/>
      <c r="G21" s="8">
        <v>78</v>
      </c>
      <c r="H21" s="13">
        <f>G21*17950</f>
        <v>1400100</v>
      </c>
      <c r="I21" s="8"/>
      <c r="J21" s="50">
        <v>680000</v>
      </c>
      <c r="K21" s="28"/>
      <c r="L21" s="29"/>
      <c r="M21" s="13"/>
      <c r="N21" s="13"/>
      <c r="O21" s="13">
        <f t="shared" si="1"/>
        <v>2080100</v>
      </c>
      <c r="P21" s="13">
        <v>4000000</v>
      </c>
      <c r="Q21" s="13">
        <f t="shared" si="2"/>
        <v>1919900</v>
      </c>
      <c r="R21" s="5"/>
    </row>
    <row r="22" spans="1:18" ht="22.5" customHeight="1" x14ac:dyDescent="0.25">
      <c r="A22" s="148">
        <v>15</v>
      </c>
      <c r="B22" s="120">
        <v>45066</v>
      </c>
      <c r="C22" s="10" t="s">
        <v>3169</v>
      </c>
      <c r="D22" s="25" t="s">
        <v>3188</v>
      </c>
      <c r="E22" s="10" t="s">
        <v>3203</v>
      </c>
      <c r="F22" s="8"/>
      <c r="G22" s="8">
        <v>43</v>
      </c>
      <c r="H22" s="13">
        <f t="shared" ref="H22:H28" si="4">G22*17950</f>
        <v>771850</v>
      </c>
      <c r="I22" s="8"/>
      <c r="J22" s="50">
        <v>430000</v>
      </c>
      <c r="K22" s="28"/>
      <c r="L22" s="29"/>
      <c r="M22" s="13"/>
      <c r="N22" s="13"/>
      <c r="O22" s="13">
        <f t="shared" si="1"/>
        <v>1201850</v>
      </c>
      <c r="P22" s="13">
        <v>2400000</v>
      </c>
      <c r="Q22" s="13">
        <f t="shared" si="2"/>
        <v>1198150</v>
      </c>
      <c r="R22" s="5"/>
    </row>
    <row r="23" spans="1:18" ht="22.5" customHeight="1" x14ac:dyDescent="0.25">
      <c r="A23" s="148">
        <v>16</v>
      </c>
      <c r="B23" s="120">
        <v>45068</v>
      </c>
      <c r="C23" s="10" t="s">
        <v>3170</v>
      </c>
      <c r="D23" s="25" t="s">
        <v>3189</v>
      </c>
      <c r="E23" s="10" t="s">
        <v>3204</v>
      </c>
      <c r="F23" s="8"/>
      <c r="G23" s="8">
        <v>80</v>
      </c>
      <c r="H23" s="13">
        <f t="shared" si="4"/>
        <v>1436000</v>
      </c>
      <c r="I23" s="8"/>
      <c r="J23" s="50">
        <v>430000</v>
      </c>
      <c r="K23" s="28"/>
      <c r="L23" s="29"/>
      <c r="M23" s="13"/>
      <c r="N23" s="13"/>
      <c r="O23" s="13">
        <f t="shared" si="1"/>
        <v>1866000</v>
      </c>
      <c r="P23" s="13">
        <v>4000000</v>
      </c>
      <c r="Q23" s="13">
        <f t="shared" si="2"/>
        <v>2134000</v>
      </c>
      <c r="R23" s="5"/>
    </row>
    <row r="24" spans="1:18" ht="22.5" customHeight="1" x14ac:dyDescent="0.25">
      <c r="A24" s="148">
        <v>17</v>
      </c>
      <c r="B24" s="120">
        <v>45070</v>
      </c>
      <c r="C24" s="10" t="s">
        <v>3171</v>
      </c>
      <c r="D24" s="25" t="s">
        <v>3190</v>
      </c>
      <c r="E24" s="10" t="s">
        <v>3205</v>
      </c>
      <c r="F24" s="8"/>
      <c r="G24" s="8">
        <v>102</v>
      </c>
      <c r="H24" s="13">
        <f t="shared" si="4"/>
        <v>1830900</v>
      </c>
      <c r="I24" s="8"/>
      <c r="J24" s="50">
        <v>1080000</v>
      </c>
      <c r="K24" s="28"/>
      <c r="L24" s="29"/>
      <c r="M24" s="13"/>
      <c r="N24" s="13"/>
      <c r="O24" s="13">
        <f t="shared" si="1"/>
        <v>2910900</v>
      </c>
      <c r="P24" s="13">
        <v>6930000</v>
      </c>
      <c r="Q24" s="13">
        <f t="shared" si="2"/>
        <v>4019100</v>
      </c>
      <c r="R24" s="5"/>
    </row>
    <row r="25" spans="1:18" ht="22.5" customHeight="1" x14ac:dyDescent="0.25">
      <c r="A25" s="148">
        <v>18</v>
      </c>
      <c r="B25" s="120">
        <v>45072</v>
      </c>
      <c r="C25" s="10" t="s">
        <v>3172</v>
      </c>
      <c r="D25" s="25" t="s">
        <v>2881</v>
      </c>
      <c r="E25" s="10" t="s">
        <v>3206</v>
      </c>
      <c r="F25" s="8"/>
      <c r="G25" s="8">
        <v>170</v>
      </c>
      <c r="H25" s="13">
        <f t="shared" si="4"/>
        <v>3051500</v>
      </c>
      <c r="I25" s="8"/>
      <c r="J25" s="50">
        <v>990000</v>
      </c>
      <c r="K25" s="28"/>
      <c r="L25" s="29"/>
      <c r="M25" s="13"/>
      <c r="N25" s="13"/>
      <c r="O25" s="13">
        <f t="shared" si="1"/>
        <v>4041500</v>
      </c>
      <c r="P25" s="13">
        <v>6500000</v>
      </c>
      <c r="Q25" s="13">
        <f t="shared" si="2"/>
        <v>2458500</v>
      </c>
      <c r="R25" s="5"/>
    </row>
    <row r="26" spans="1:18" ht="22.5" customHeight="1" x14ac:dyDescent="0.25">
      <c r="A26" s="148">
        <v>19</v>
      </c>
      <c r="B26" s="120">
        <v>45072</v>
      </c>
      <c r="C26" s="10" t="s">
        <v>3173</v>
      </c>
      <c r="D26" s="25" t="s">
        <v>3191</v>
      </c>
      <c r="E26" s="10" t="s">
        <v>1043</v>
      </c>
      <c r="F26" s="8"/>
      <c r="G26" s="8">
        <v>121</v>
      </c>
      <c r="H26" s="13">
        <f t="shared" si="4"/>
        <v>2171950</v>
      </c>
      <c r="I26" s="8"/>
      <c r="J26" s="50">
        <v>680000</v>
      </c>
      <c r="K26" s="28"/>
      <c r="L26" s="29"/>
      <c r="M26" s="13"/>
      <c r="N26" s="13"/>
      <c r="O26" s="13">
        <f t="shared" si="1"/>
        <v>2851950</v>
      </c>
      <c r="P26" s="13">
        <v>5213636</v>
      </c>
      <c r="Q26" s="13">
        <f t="shared" si="2"/>
        <v>2361686</v>
      </c>
      <c r="R26" s="5"/>
    </row>
    <row r="27" spans="1:18" ht="22.5" customHeight="1" x14ac:dyDescent="0.25">
      <c r="A27" s="148">
        <v>20</v>
      </c>
      <c r="B27" s="120">
        <v>45075</v>
      </c>
      <c r="C27" s="10" t="s">
        <v>3174</v>
      </c>
      <c r="D27" s="25" t="s">
        <v>3192</v>
      </c>
      <c r="E27" s="10" t="s">
        <v>3207</v>
      </c>
      <c r="F27" s="8"/>
      <c r="G27" s="8">
        <v>117</v>
      </c>
      <c r="H27" s="13">
        <f t="shared" si="4"/>
        <v>2100150</v>
      </c>
      <c r="I27" s="8"/>
      <c r="J27" s="50">
        <v>965000</v>
      </c>
      <c r="K27" s="28"/>
      <c r="L27" s="29"/>
      <c r="M27" s="13"/>
      <c r="N27" s="13"/>
      <c r="O27" s="13">
        <f t="shared" si="1"/>
        <v>3065150</v>
      </c>
      <c r="P27" s="13">
        <v>5400000</v>
      </c>
      <c r="Q27" s="13">
        <f t="shared" si="2"/>
        <v>2334850</v>
      </c>
      <c r="R27" s="5"/>
    </row>
    <row r="28" spans="1:18" ht="22.5" customHeight="1" x14ac:dyDescent="0.25">
      <c r="A28" s="148">
        <v>21</v>
      </c>
      <c r="B28" s="120">
        <v>45076</v>
      </c>
      <c r="C28" s="10" t="s">
        <v>650</v>
      </c>
      <c r="D28" s="25" t="s">
        <v>3193</v>
      </c>
      <c r="E28" s="10" t="s">
        <v>3208</v>
      </c>
      <c r="F28" s="8"/>
      <c r="G28" s="8">
        <v>93</v>
      </c>
      <c r="H28" s="13">
        <f t="shared" si="4"/>
        <v>1669350</v>
      </c>
      <c r="I28" s="8"/>
      <c r="J28" s="50">
        <v>680000</v>
      </c>
      <c r="K28" s="28"/>
      <c r="L28" s="29"/>
      <c r="M28" s="13"/>
      <c r="N28" s="13"/>
      <c r="O28" s="13">
        <f t="shared" si="1"/>
        <v>2349350</v>
      </c>
      <c r="P28" s="13">
        <v>4200000</v>
      </c>
      <c r="Q28" s="13">
        <f t="shared" si="2"/>
        <v>1850650</v>
      </c>
      <c r="R28" s="5"/>
    </row>
    <row r="29" spans="1:18" ht="22.5" customHeight="1" x14ac:dyDescent="0.25">
      <c r="A29" s="25"/>
      <c r="B29" s="120"/>
      <c r="C29" s="75"/>
      <c r="D29" s="140"/>
      <c r="E29" s="76"/>
      <c r="F29" s="141"/>
      <c r="G29" s="8"/>
      <c r="H29" s="13"/>
      <c r="I29" s="8"/>
      <c r="J29" s="13"/>
      <c r="K29" s="28"/>
      <c r="L29" s="29"/>
      <c r="M29" s="13"/>
      <c r="N29" s="13"/>
      <c r="O29" s="53"/>
      <c r="P29" s="13"/>
      <c r="Q29" s="54"/>
      <c r="R29" s="5"/>
    </row>
    <row r="30" spans="1:18" ht="24" customHeight="1" x14ac:dyDescent="0.25">
      <c r="A30" s="8"/>
      <c r="B30" s="8"/>
      <c r="C30" s="196" t="s">
        <v>131</v>
      </c>
      <c r="D30" s="197"/>
      <c r="E30" s="197"/>
      <c r="F30" s="198"/>
      <c r="G30" s="8"/>
      <c r="H30" s="13"/>
      <c r="I30" s="8"/>
      <c r="J30" s="13"/>
      <c r="K30" s="28">
        <v>1200000</v>
      </c>
      <c r="L30" s="28"/>
      <c r="M30" s="18"/>
      <c r="N30" s="28"/>
      <c r="O30" s="53">
        <f t="shared" si="1"/>
        <v>1200000</v>
      </c>
      <c r="P30" s="28"/>
      <c r="Q30" s="54"/>
    </row>
    <row r="31" spans="1:18" ht="24" customHeight="1" x14ac:dyDescent="0.25">
      <c r="A31" s="8"/>
      <c r="B31" s="8"/>
      <c r="C31" s="196" t="s">
        <v>3144</v>
      </c>
      <c r="D31" s="197"/>
      <c r="E31" s="197"/>
      <c r="F31" s="198"/>
      <c r="G31" s="8"/>
      <c r="H31" s="13"/>
      <c r="I31" s="8"/>
      <c r="J31" s="13"/>
      <c r="K31" s="28">
        <v>6253000</v>
      </c>
      <c r="L31" s="28"/>
      <c r="M31" s="18"/>
      <c r="N31" s="28"/>
      <c r="O31" s="53">
        <f t="shared" si="1"/>
        <v>6253000</v>
      </c>
      <c r="P31" s="28"/>
      <c r="Q31" s="54"/>
    </row>
    <row r="32" spans="1:18" ht="24" customHeight="1" x14ac:dyDescent="0.25">
      <c r="A32" s="8"/>
      <c r="B32" s="8"/>
      <c r="C32" s="196" t="s">
        <v>3209</v>
      </c>
      <c r="D32" s="197"/>
      <c r="E32" s="197"/>
      <c r="F32" s="198"/>
      <c r="G32" s="8"/>
      <c r="H32" s="13"/>
      <c r="I32" s="8"/>
      <c r="J32" s="13"/>
      <c r="K32" s="28"/>
      <c r="L32" s="28">
        <v>150000</v>
      </c>
      <c r="M32" s="28"/>
      <c r="N32" s="28"/>
      <c r="O32" s="53">
        <f t="shared" si="1"/>
        <v>150000</v>
      </c>
      <c r="P32" s="28"/>
      <c r="Q32" s="54"/>
    </row>
    <row r="33" spans="1:17" ht="24" customHeight="1" x14ac:dyDescent="0.25">
      <c r="A33" s="8"/>
      <c r="B33" s="8"/>
      <c r="C33" s="196" t="s">
        <v>3210</v>
      </c>
      <c r="D33" s="197"/>
      <c r="E33" s="197"/>
      <c r="F33" s="198"/>
      <c r="G33" s="8"/>
      <c r="H33" s="13"/>
      <c r="I33" s="8"/>
      <c r="J33" s="13"/>
      <c r="K33" s="28"/>
      <c r="L33" s="28">
        <v>650000</v>
      </c>
      <c r="M33" s="28"/>
      <c r="N33" s="28"/>
      <c r="O33" s="53">
        <f t="shared" si="1"/>
        <v>650000</v>
      </c>
      <c r="P33" s="28"/>
      <c r="Q33" s="54"/>
    </row>
    <row r="34" spans="1:17" ht="24" customHeight="1" x14ac:dyDescent="0.25">
      <c r="A34" s="8"/>
      <c r="B34" s="8"/>
      <c r="C34" s="196" t="s">
        <v>3211</v>
      </c>
      <c r="D34" s="197"/>
      <c r="E34" s="197"/>
      <c r="F34" s="198"/>
      <c r="G34" s="8"/>
      <c r="H34" s="13"/>
      <c r="I34" s="8"/>
      <c r="J34" s="13"/>
      <c r="K34" s="28"/>
      <c r="L34" s="28">
        <v>4290000</v>
      </c>
      <c r="M34" s="28"/>
      <c r="N34" s="28"/>
      <c r="O34" s="53">
        <f t="shared" si="1"/>
        <v>4290000</v>
      </c>
      <c r="P34" s="28"/>
      <c r="Q34" s="54"/>
    </row>
    <row r="35" spans="1:17" ht="24" customHeight="1" x14ac:dyDescent="0.25">
      <c r="A35" s="8"/>
      <c r="B35" s="8"/>
      <c r="C35" s="196" t="s">
        <v>3212</v>
      </c>
      <c r="D35" s="197"/>
      <c r="E35" s="197"/>
      <c r="F35" s="198"/>
      <c r="G35" s="8"/>
      <c r="H35" s="13"/>
      <c r="I35" s="8"/>
      <c r="J35" s="13"/>
      <c r="K35" s="28"/>
      <c r="L35" s="28"/>
      <c r="M35" s="28"/>
      <c r="N35" s="28">
        <v>1750000</v>
      </c>
      <c r="O35" s="53">
        <f t="shared" si="1"/>
        <v>1750000</v>
      </c>
      <c r="P35" s="28"/>
      <c r="Q35" s="54"/>
    </row>
    <row r="36" spans="1:17" ht="24" customHeight="1" x14ac:dyDescent="0.25">
      <c r="A36" s="8"/>
      <c r="B36" s="8"/>
      <c r="C36" s="196" t="s">
        <v>3213</v>
      </c>
      <c r="D36" s="197"/>
      <c r="E36" s="197"/>
      <c r="F36" s="198"/>
      <c r="G36" s="8"/>
      <c r="H36" s="13"/>
      <c r="I36" s="8"/>
      <c r="J36" s="13"/>
      <c r="K36" s="28"/>
      <c r="L36" s="28">
        <v>6000000</v>
      </c>
      <c r="M36" s="28"/>
      <c r="N36" s="28"/>
      <c r="O36" s="53">
        <f t="shared" si="1"/>
        <v>6000000</v>
      </c>
      <c r="P36" s="28"/>
      <c r="Q36" s="54"/>
    </row>
    <row r="37" spans="1:17" ht="24" customHeight="1" x14ac:dyDescent="0.25">
      <c r="A37" s="8"/>
      <c r="B37" s="8"/>
      <c r="C37" s="196" t="s">
        <v>3214</v>
      </c>
      <c r="D37" s="197"/>
      <c r="E37" s="197"/>
      <c r="F37" s="198"/>
      <c r="G37" s="8"/>
      <c r="H37" s="13"/>
      <c r="I37" s="8"/>
      <c r="J37" s="13"/>
      <c r="K37" s="28"/>
      <c r="L37" s="28">
        <v>350000</v>
      </c>
      <c r="M37" s="28"/>
      <c r="N37" s="28"/>
      <c r="O37" s="53">
        <f t="shared" si="1"/>
        <v>350000</v>
      </c>
      <c r="P37" s="28"/>
      <c r="Q37" s="54"/>
    </row>
    <row r="38" spans="1:17" ht="24" customHeight="1" x14ac:dyDescent="0.25">
      <c r="A38" s="8"/>
      <c r="B38" s="8"/>
      <c r="C38" s="196" t="s">
        <v>3215</v>
      </c>
      <c r="D38" s="197"/>
      <c r="E38" s="197"/>
      <c r="F38" s="198"/>
      <c r="G38" s="8"/>
      <c r="H38" s="13"/>
      <c r="I38" s="8"/>
      <c r="J38" s="13"/>
      <c r="K38" s="28"/>
      <c r="L38" s="28">
        <v>360000</v>
      </c>
      <c r="M38" s="28"/>
      <c r="N38" s="28"/>
      <c r="O38" s="53">
        <f t="shared" si="1"/>
        <v>360000</v>
      </c>
      <c r="P38" s="28"/>
      <c r="Q38" s="54"/>
    </row>
    <row r="39" spans="1:17" ht="24" customHeight="1" x14ac:dyDescent="0.25">
      <c r="A39" s="8"/>
      <c r="B39" s="8"/>
      <c r="C39" s="196" t="s">
        <v>3217</v>
      </c>
      <c r="D39" s="197"/>
      <c r="E39" s="197"/>
      <c r="F39" s="198"/>
      <c r="G39" s="8"/>
      <c r="H39" s="13"/>
      <c r="I39" s="8"/>
      <c r="J39" s="13"/>
      <c r="K39" s="28"/>
      <c r="L39" s="28">
        <v>1300000</v>
      </c>
      <c r="M39" s="28"/>
      <c r="N39" s="28"/>
      <c r="O39" s="53">
        <f t="shared" si="1"/>
        <v>1300000</v>
      </c>
      <c r="P39" s="28"/>
      <c r="Q39" s="54"/>
    </row>
    <row r="40" spans="1:17" ht="24" customHeight="1" x14ac:dyDescent="0.25">
      <c r="A40" s="8"/>
      <c r="B40" s="8"/>
      <c r="C40" s="196" t="s">
        <v>3265</v>
      </c>
      <c r="D40" s="197"/>
      <c r="E40" s="197"/>
      <c r="F40" s="198"/>
      <c r="G40" s="8"/>
      <c r="H40" s="13"/>
      <c r="I40" s="8"/>
      <c r="J40" s="13"/>
      <c r="K40" s="28"/>
      <c r="L40" s="28">
        <v>100000</v>
      </c>
      <c r="M40" s="28"/>
      <c r="N40" s="28"/>
      <c r="O40" s="53">
        <f t="shared" si="1"/>
        <v>100000</v>
      </c>
      <c r="P40" s="28"/>
      <c r="Q40" s="54"/>
    </row>
    <row r="41" spans="1:17" ht="25.5" customHeight="1" x14ac:dyDescent="0.25">
      <c r="A41" s="8"/>
      <c r="B41" s="8"/>
      <c r="C41" s="191" t="s">
        <v>3379</v>
      </c>
      <c r="D41" s="192"/>
      <c r="E41" s="192"/>
      <c r="F41" s="195"/>
      <c r="G41" s="30"/>
      <c r="H41" s="28"/>
      <c r="I41" s="30"/>
      <c r="J41" s="28"/>
      <c r="K41" s="28">
        <v>8300000</v>
      </c>
      <c r="L41" s="28"/>
      <c r="M41" s="18"/>
      <c r="N41" s="28"/>
      <c r="O41" s="53">
        <f>H41+J41+K41+L41+M41+N41</f>
        <v>8300000</v>
      </c>
      <c r="P41" s="28"/>
      <c r="Q41" s="54"/>
    </row>
    <row r="42" spans="1:17" ht="15" customHeight="1" x14ac:dyDescent="0.25">
      <c r="A42" s="166" t="s">
        <v>19</v>
      </c>
      <c r="B42" s="167"/>
      <c r="C42" s="167"/>
      <c r="D42" s="167"/>
      <c r="E42" s="167"/>
      <c r="F42" s="168"/>
      <c r="G42" s="131">
        <f t="shared" ref="G42:O42" si="5">SUM(G7:G41)</f>
        <v>2578</v>
      </c>
      <c r="H42" s="4">
        <f t="shared" si="5"/>
        <v>46267900</v>
      </c>
      <c r="I42" s="4">
        <f t="shared" si="5"/>
        <v>0</v>
      </c>
      <c r="J42" s="4">
        <f t="shared" si="5"/>
        <v>19005000</v>
      </c>
      <c r="K42" s="4">
        <f t="shared" si="5"/>
        <v>15753000</v>
      </c>
      <c r="L42" s="4">
        <f t="shared" si="5"/>
        <v>13200000</v>
      </c>
      <c r="M42" s="4">
        <f t="shared" si="5"/>
        <v>0</v>
      </c>
      <c r="N42" s="4">
        <f t="shared" si="5"/>
        <v>1750000</v>
      </c>
      <c r="O42" s="4">
        <f t="shared" si="5"/>
        <v>95975900</v>
      </c>
      <c r="P42" s="4">
        <f>SUM(P8:P41)</f>
        <v>122714544</v>
      </c>
      <c r="Q42" s="122">
        <f>P42-O42</f>
        <v>26738644</v>
      </c>
    </row>
    <row r="43" spans="1:17" x14ac:dyDescent="0.25">
      <c r="O43" s="20"/>
      <c r="P43" s="5" t="s">
        <v>1796</v>
      </c>
      <c r="Q43" s="26"/>
    </row>
    <row r="44" spans="1:17" x14ac:dyDescent="0.25">
      <c r="P44" s="21" t="s">
        <v>20</v>
      </c>
      <c r="Q44" s="26">
        <f>'04.2023'!Q43+'05.2023'!Q42</f>
        <v>-90153329</v>
      </c>
    </row>
    <row r="45" spans="1:17" x14ac:dyDescent="0.25">
      <c r="C45" s="6" t="s">
        <v>993</v>
      </c>
    </row>
    <row r="46" spans="1:17" x14ac:dyDescent="0.25">
      <c r="C46" s="205"/>
      <c r="D46" s="205"/>
      <c r="E46" s="205"/>
      <c r="F46" s="205"/>
      <c r="H46" s="109"/>
    </row>
    <row r="47" spans="1:17" x14ac:dyDescent="0.25">
      <c r="C47" s="206"/>
      <c r="D47" s="206"/>
      <c r="E47" s="206"/>
      <c r="F47" s="206"/>
      <c r="H47" s="109"/>
    </row>
    <row r="48" spans="1:17" x14ac:dyDescent="0.25">
      <c r="B48" s="6"/>
      <c r="C48" s="110"/>
      <c r="D48" s="110"/>
      <c r="E48" s="110"/>
      <c r="F48" s="110"/>
      <c r="G48" s="133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G51" s="133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32">
    <mergeCell ref="C39:F39"/>
    <mergeCell ref="C40:F40"/>
    <mergeCell ref="C47:F47"/>
    <mergeCell ref="C49:F49"/>
    <mergeCell ref="C50:F50"/>
    <mergeCell ref="C51:F51"/>
    <mergeCell ref="C53:F53"/>
    <mergeCell ref="C46:F46"/>
    <mergeCell ref="C41:F41"/>
    <mergeCell ref="A42:F42"/>
    <mergeCell ref="C38:F38"/>
    <mergeCell ref="O5:O6"/>
    <mergeCell ref="P5:P6"/>
    <mergeCell ref="Q5:Q6"/>
    <mergeCell ref="C30:F30"/>
    <mergeCell ref="C31:F31"/>
    <mergeCell ref="C32:F32"/>
    <mergeCell ref="C33:F33"/>
    <mergeCell ref="C34:F34"/>
    <mergeCell ref="C35:F35"/>
    <mergeCell ref="C36:F36"/>
    <mergeCell ref="C37:F37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180D-C127-45DA-88BC-5A0AB5748B06}">
  <dimension ref="A1:R47"/>
  <sheetViews>
    <sheetView topLeftCell="D12" workbookViewId="0">
      <selection activeCell="M30" sqref="M3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3230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45077</v>
      </c>
      <c r="C8" s="10" t="s">
        <v>3218</v>
      </c>
      <c r="D8" s="25" t="s">
        <v>3231</v>
      </c>
      <c r="E8" s="10" t="s">
        <v>3250</v>
      </c>
      <c r="F8" s="8"/>
      <c r="G8" s="8">
        <v>135</v>
      </c>
      <c r="H8" s="13">
        <f>G8*17940</f>
        <v>2421900</v>
      </c>
      <c r="I8" s="8"/>
      <c r="J8" s="50">
        <v>1000000</v>
      </c>
      <c r="K8" s="28"/>
      <c r="L8" s="29"/>
      <c r="M8" s="13"/>
      <c r="N8" s="13"/>
      <c r="O8" s="13">
        <f>H8+J8+K8+L8+M8+N8</f>
        <v>3421900</v>
      </c>
      <c r="P8" s="13">
        <v>6270000</v>
      </c>
      <c r="Q8" s="13">
        <f>P8-O8</f>
        <v>2848100</v>
      </c>
      <c r="R8" s="5"/>
    </row>
    <row r="9" spans="1:18" ht="17.25" customHeight="1" x14ac:dyDescent="0.25">
      <c r="A9" s="148">
        <v>2</v>
      </c>
      <c r="B9" s="120">
        <v>45078</v>
      </c>
      <c r="C9" s="10" t="s">
        <v>3219</v>
      </c>
      <c r="D9" s="129" t="s">
        <v>3232</v>
      </c>
      <c r="E9" s="9" t="s">
        <v>3203</v>
      </c>
      <c r="F9" s="117"/>
      <c r="G9" s="8">
        <v>64</v>
      </c>
      <c r="H9" s="13">
        <f t="shared" ref="H9:H14" si="0">G9*17940</f>
        <v>1148160</v>
      </c>
      <c r="I9" s="117"/>
      <c r="J9" s="134">
        <v>430000</v>
      </c>
      <c r="K9" s="28"/>
      <c r="L9" s="29"/>
      <c r="M9" s="13"/>
      <c r="N9" s="13"/>
      <c r="O9" s="13">
        <f t="shared" ref="O9:O34" si="1">H9+J9+K9+L9+M9+N9</f>
        <v>1578160</v>
      </c>
      <c r="P9" s="13">
        <v>2700000</v>
      </c>
      <c r="Q9" s="13">
        <f t="shared" ref="Q9:Q26" si="2">P9-O9</f>
        <v>1121840</v>
      </c>
      <c r="R9" s="5"/>
    </row>
    <row r="10" spans="1:18" ht="24.75" customHeight="1" x14ac:dyDescent="0.25">
      <c r="A10" s="148">
        <v>3</v>
      </c>
      <c r="B10" s="120">
        <v>45079</v>
      </c>
      <c r="C10" s="10" t="s">
        <v>3220</v>
      </c>
      <c r="D10" s="25" t="s">
        <v>3233</v>
      </c>
      <c r="E10" s="10" t="s">
        <v>3251</v>
      </c>
      <c r="F10" s="8"/>
      <c r="G10" s="8">
        <v>131</v>
      </c>
      <c r="H10" s="13">
        <f t="shared" si="0"/>
        <v>2350140</v>
      </c>
      <c r="I10" s="8"/>
      <c r="J10" s="50">
        <v>1005000</v>
      </c>
      <c r="K10" s="28"/>
      <c r="L10" s="29"/>
      <c r="M10" s="13"/>
      <c r="N10" s="13"/>
      <c r="O10" s="13">
        <f>H10+J10+K10+L10+M10+N10</f>
        <v>3355140</v>
      </c>
      <c r="P10" s="13">
        <v>6160000</v>
      </c>
      <c r="Q10" s="13">
        <f t="shared" si="2"/>
        <v>2804860</v>
      </c>
      <c r="R10" s="5"/>
    </row>
    <row r="11" spans="1:18" ht="27.75" customHeight="1" x14ac:dyDescent="0.25">
      <c r="A11" s="148">
        <v>4</v>
      </c>
      <c r="B11" s="120">
        <v>45082</v>
      </c>
      <c r="C11" s="10" t="s">
        <v>3221</v>
      </c>
      <c r="D11" s="25" t="s">
        <v>3234</v>
      </c>
      <c r="E11" s="10" t="s">
        <v>3252</v>
      </c>
      <c r="F11" s="8"/>
      <c r="G11" s="8">
        <v>174</v>
      </c>
      <c r="H11" s="13">
        <f t="shared" si="0"/>
        <v>3121560</v>
      </c>
      <c r="I11" s="8"/>
      <c r="J11" s="50">
        <v>1040000</v>
      </c>
      <c r="K11" s="28"/>
      <c r="L11" s="29"/>
      <c r="M11" s="13"/>
      <c r="N11" s="13"/>
      <c r="O11" s="13">
        <f t="shared" si="1"/>
        <v>4161560</v>
      </c>
      <c r="P11" s="13">
        <v>7150000</v>
      </c>
      <c r="Q11" s="13">
        <f t="shared" si="2"/>
        <v>2988440</v>
      </c>
      <c r="R11" s="5"/>
    </row>
    <row r="12" spans="1:18" ht="27.75" customHeight="1" x14ac:dyDescent="0.25">
      <c r="A12" s="148">
        <v>5</v>
      </c>
      <c r="B12" s="120">
        <v>45082</v>
      </c>
      <c r="C12" s="10" t="s">
        <v>1350</v>
      </c>
      <c r="D12" s="25" t="s">
        <v>3235</v>
      </c>
      <c r="E12" s="10" t="s">
        <v>3253</v>
      </c>
      <c r="F12" s="8"/>
      <c r="G12" s="8">
        <v>103</v>
      </c>
      <c r="H12" s="13">
        <f t="shared" si="0"/>
        <v>1847820</v>
      </c>
      <c r="I12" s="8"/>
      <c r="J12" s="50">
        <v>680000</v>
      </c>
      <c r="K12" s="28"/>
      <c r="L12" s="29"/>
      <c r="M12" s="13"/>
      <c r="N12" s="13"/>
      <c r="O12" s="13">
        <f t="shared" si="1"/>
        <v>2527820</v>
      </c>
      <c r="P12" s="13">
        <v>4300000</v>
      </c>
      <c r="Q12" s="13">
        <f t="shared" si="2"/>
        <v>1772180</v>
      </c>
      <c r="R12" s="5"/>
    </row>
    <row r="13" spans="1:18" ht="27.75" customHeight="1" x14ac:dyDescent="0.25">
      <c r="A13" s="148">
        <v>6</v>
      </c>
      <c r="B13" s="120">
        <v>45083</v>
      </c>
      <c r="C13" s="10" t="s">
        <v>3222</v>
      </c>
      <c r="D13" s="25" t="s">
        <v>3236</v>
      </c>
      <c r="E13" s="10" t="s">
        <v>2045</v>
      </c>
      <c r="F13" s="8"/>
      <c r="G13" s="8">
        <v>320</v>
      </c>
      <c r="H13" s="13">
        <f t="shared" si="0"/>
        <v>5740800</v>
      </c>
      <c r="I13" s="8"/>
      <c r="J13" s="50">
        <v>3300000</v>
      </c>
      <c r="K13" s="28"/>
      <c r="L13" s="29"/>
      <c r="M13" s="13"/>
      <c r="N13" s="13"/>
      <c r="O13" s="13">
        <f t="shared" si="1"/>
        <v>9040800</v>
      </c>
      <c r="P13" s="13">
        <v>16272727</v>
      </c>
      <c r="Q13" s="13">
        <f t="shared" si="2"/>
        <v>7231927</v>
      </c>
      <c r="R13" s="5"/>
    </row>
    <row r="14" spans="1:18" ht="27.75" customHeight="1" x14ac:dyDescent="0.25">
      <c r="A14" s="148">
        <v>7</v>
      </c>
      <c r="B14" s="149">
        <v>45086</v>
      </c>
      <c r="C14" s="111" t="s">
        <v>3223</v>
      </c>
      <c r="D14" s="112" t="s">
        <v>3237</v>
      </c>
      <c r="E14" s="111" t="s">
        <v>3254</v>
      </c>
      <c r="F14" s="12"/>
      <c r="G14" s="12">
        <v>124</v>
      </c>
      <c r="H14" s="3">
        <f t="shared" si="0"/>
        <v>2224560</v>
      </c>
      <c r="I14" s="12"/>
      <c r="J14" s="50">
        <v>1015000</v>
      </c>
      <c r="K14" s="18"/>
      <c r="L14" s="99"/>
      <c r="M14" s="3"/>
      <c r="N14" s="3"/>
      <c r="O14" s="3">
        <f t="shared" si="1"/>
        <v>3239560</v>
      </c>
      <c r="P14" s="3">
        <v>6160000</v>
      </c>
      <c r="Q14" s="13">
        <f t="shared" si="2"/>
        <v>2920440</v>
      </c>
      <c r="R14" s="5"/>
    </row>
    <row r="15" spans="1:18" ht="27.75" customHeight="1" x14ac:dyDescent="0.25">
      <c r="A15" s="148">
        <v>8</v>
      </c>
      <c r="B15" s="120">
        <v>45089</v>
      </c>
      <c r="C15" s="10" t="s">
        <v>694</v>
      </c>
      <c r="D15" s="25" t="s">
        <v>3238</v>
      </c>
      <c r="E15" s="10" t="s">
        <v>3255</v>
      </c>
      <c r="F15" s="8"/>
      <c r="G15" s="8">
        <v>141</v>
      </c>
      <c r="H15" s="13">
        <f>G15*18020</f>
        <v>2540820</v>
      </c>
      <c r="I15" s="8"/>
      <c r="J15" s="134">
        <v>1130000</v>
      </c>
      <c r="K15" s="28"/>
      <c r="L15" s="29"/>
      <c r="M15" s="13"/>
      <c r="N15" s="13"/>
      <c r="O15" s="13">
        <f t="shared" si="1"/>
        <v>3670820</v>
      </c>
      <c r="P15" s="13">
        <v>6820000</v>
      </c>
      <c r="Q15" s="13">
        <f t="shared" si="2"/>
        <v>3149180</v>
      </c>
      <c r="R15" s="5"/>
    </row>
    <row r="16" spans="1:18" ht="27.75" customHeight="1" x14ac:dyDescent="0.25">
      <c r="A16" s="148">
        <v>9</v>
      </c>
      <c r="B16" s="120">
        <v>45091</v>
      </c>
      <c r="C16" s="10" t="s">
        <v>2823</v>
      </c>
      <c r="D16" s="25" t="s">
        <v>3239</v>
      </c>
      <c r="E16" s="10" t="s">
        <v>3256</v>
      </c>
      <c r="F16" s="8"/>
      <c r="G16" s="8">
        <v>150</v>
      </c>
      <c r="H16" s="13">
        <f t="shared" ref="H16:H20" si="3">G16*18020</f>
        <v>2703000</v>
      </c>
      <c r="I16" s="8"/>
      <c r="J16" s="50">
        <v>1520000</v>
      </c>
      <c r="K16" s="28"/>
      <c r="L16" s="29"/>
      <c r="M16" s="13"/>
      <c r="N16" s="13"/>
      <c r="O16" s="13">
        <f t="shared" si="1"/>
        <v>4223000</v>
      </c>
      <c r="P16" s="13">
        <v>6985000</v>
      </c>
      <c r="Q16" s="13">
        <f t="shared" si="2"/>
        <v>2762000</v>
      </c>
      <c r="R16" s="5"/>
    </row>
    <row r="17" spans="1:18" ht="27.75" customHeight="1" x14ac:dyDescent="0.25">
      <c r="A17" s="148">
        <v>10</v>
      </c>
      <c r="B17" s="120">
        <v>45092</v>
      </c>
      <c r="C17" s="10" t="s">
        <v>696</v>
      </c>
      <c r="D17" s="25" t="s">
        <v>3240</v>
      </c>
      <c r="E17" s="10" t="s">
        <v>3257</v>
      </c>
      <c r="F17" s="8"/>
      <c r="G17" s="8">
        <v>107</v>
      </c>
      <c r="H17" s="13">
        <f t="shared" si="3"/>
        <v>1928140</v>
      </c>
      <c r="I17" s="8"/>
      <c r="J17" s="50">
        <v>780000</v>
      </c>
      <c r="K17" s="28"/>
      <c r="L17" s="29"/>
      <c r="M17" s="13"/>
      <c r="N17" s="13"/>
      <c r="O17" s="13">
        <f t="shared" si="1"/>
        <v>2708140</v>
      </c>
      <c r="P17" s="13">
        <v>5500000</v>
      </c>
      <c r="Q17" s="13">
        <f t="shared" si="2"/>
        <v>2791860</v>
      </c>
      <c r="R17" s="5"/>
    </row>
    <row r="18" spans="1:18" ht="22.5" customHeight="1" x14ac:dyDescent="0.25">
      <c r="A18" s="148">
        <v>11</v>
      </c>
      <c r="B18" s="120">
        <v>45093</v>
      </c>
      <c r="C18" s="10" t="s">
        <v>1358</v>
      </c>
      <c r="D18" s="25" t="s">
        <v>3241</v>
      </c>
      <c r="E18" s="10" t="s">
        <v>2074</v>
      </c>
      <c r="F18" s="8"/>
      <c r="G18" s="8">
        <v>96</v>
      </c>
      <c r="H18" s="13">
        <f t="shared" si="3"/>
        <v>1729920</v>
      </c>
      <c r="I18" s="8"/>
      <c r="J18" s="50">
        <v>680000</v>
      </c>
      <c r="K18" s="28"/>
      <c r="L18" s="29"/>
      <c r="M18" s="13"/>
      <c r="N18" s="13"/>
      <c r="O18" s="13">
        <f t="shared" si="1"/>
        <v>2409920</v>
      </c>
      <c r="P18" s="13">
        <v>4400000</v>
      </c>
      <c r="Q18" s="13">
        <f t="shared" si="2"/>
        <v>1990080</v>
      </c>
      <c r="R18" s="5"/>
    </row>
    <row r="19" spans="1:18" ht="22.5" customHeight="1" x14ac:dyDescent="0.25">
      <c r="A19" s="148">
        <v>12</v>
      </c>
      <c r="B19" s="120">
        <v>45096</v>
      </c>
      <c r="C19" s="10" t="s">
        <v>3224</v>
      </c>
      <c r="D19" s="25" t="s">
        <v>3242</v>
      </c>
      <c r="E19" s="10" t="s">
        <v>114</v>
      </c>
      <c r="F19" s="8"/>
      <c r="G19" s="8">
        <v>77</v>
      </c>
      <c r="H19" s="13">
        <f t="shared" si="3"/>
        <v>1387540</v>
      </c>
      <c r="I19" s="8"/>
      <c r="J19" s="50">
        <v>680000</v>
      </c>
      <c r="K19" s="28"/>
      <c r="L19" s="29"/>
      <c r="M19" s="13"/>
      <c r="N19" s="13"/>
      <c r="O19" s="13">
        <f t="shared" si="1"/>
        <v>2067540</v>
      </c>
      <c r="P19" s="13">
        <v>3800000</v>
      </c>
      <c r="Q19" s="13">
        <f t="shared" si="2"/>
        <v>1732460</v>
      </c>
      <c r="R19" s="5"/>
    </row>
    <row r="20" spans="1:18" ht="22.5" customHeight="1" x14ac:dyDescent="0.25">
      <c r="A20" s="148">
        <v>13</v>
      </c>
      <c r="B20" s="120">
        <v>45096</v>
      </c>
      <c r="C20" s="10" t="s">
        <v>1361</v>
      </c>
      <c r="D20" s="25" t="s">
        <v>3243</v>
      </c>
      <c r="E20" s="10" t="s">
        <v>3258</v>
      </c>
      <c r="F20" s="8"/>
      <c r="G20" s="8">
        <v>84</v>
      </c>
      <c r="H20" s="13">
        <f t="shared" si="3"/>
        <v>1513680</v>
      </c>
      <c r="I20" s="8"/>
      <c r="J20" s="50">
        <v>430000</v>
      </c>
      <c r="K20" s="28"/>
      <c r="L20" s="29"/>
      <c r="M20" s="13"/>
      <c r="N20" s="13"/>
      <c r="O20" s="13">
        <f t="shared" si="1"/>
        <v>1943680</v>
      </c>
      <c r="P20" s="13">
        <v>3800000</v>
      </c>
      <c r="Q20" s="13">
        <f t="shared" si="2"/>
        <v>1856320</v>
      </c>
      <c r="R20" s="5"/>
    </row>
    <row r="21" spans="1:18" ht="22.5" customHeight="1" x14ac:dyDescent="0.25">
      <c r="A21" s="148">
        <v>14</v>
      </c>
      <c r="B21" s="120">
        <v>45098</v>
      </c>
      <c r="C21" s="10" t="s">
        <v>3225</v>
      </c>
      <c r="D21" s="25" t="s">
        <v>3244</v>
      </c>
      <c r="E21" s="10" t="s">
        <v>3203</v>
      </c>
      <c r="F21" s="8"/>
      <c r="G21" s="8">
        <v>57</v>
      </c>
      <c r="H21" s="13">
        <f>G21*18170</f>
        <v>1035690</v>
      </c>
      <c r="I21" s="8"/>
      <c r="J21" s="50">
        <v>430000</v>
      </c>
      <c r="K21" s="28"/>
      <c r="L21" s="29"/>
      <c r="M21" s="13"/>
      <c r="N21" s="13"/>
      <c r="O21" s="13">
        <f t="shared" si="1"/>
        <v>1465690</v>
      </c>
      <c r="P21" s="13">
        <v>2700000</v>
      </c>
      <c r="Q21" s="13">
        <f t="shared" si="2"/>
        <v>1234310</v>
      </c>
      <c r="R21" s="5"/>
    </row>
    <row r="22" spans="1:18" ht="22.5" customHeight="1" x14ac:dyDescent="0.25">
      <c r="A22" s="148">
        <v>15</v>
      </c>
      <c r="B22" s="120">
        <v>45099</v>
      </c>
      <c r="C22" s="10" t="s">
        <v>3226</v>
      </c>
      <c r="D22" s="25" t="s">
        <v>3245</v>
      </c>
      <c r="E22" s="10" t="s">
        <v>2045</v>
      </c>
      <c r="F22" s="8"/>
      <c r="G22" s="8">
        <v>320</v>
      </c>
      <c r="H22" s="13">
        <f t="shared" ref="H22:H26" si="4">G22*18170</f>
        <v>5814400</v>
      </c>
      <c r="I22" s="8"/>
      <c r="J22" s="50">
        <v>3300000</v>
      </c>
      <c r="K22" s="28"/>
      <c r="L22" s="29"/>
      <c r="M22" s="13"/>
      <c r="N22" s="13"/>
      <c r="O22" s="13">
        <f t="shared" si="1"/>
        <v>9114400</v>
      </c>
      <c r="P22" s="13">
        <v>16727273</v>
      </c>
      <c r="Q22" s="13">
        <f t="shared" si="2"/>
        <v>7612873</v>
      </c>
      <c r="R22" s="5"/>
    </row>
    <row r="23" spans="1:18" ht="22.5" customHeight="1" x14ac:dyDescent="0.25">
      <c r="A23" s="148">
        <v>16</v>
      </c>
      <c r="B23" s="120">
        <v>45103</v>
      </c>
      <c r="C23" s="10" t="s">
        <v>3227</v>
      </c>
      <c r="D23" s="25" t="s">
        <v>3246</v>
      </c>
      <c r="E23" s="10" t="s">
        <v>112</v>
      </c>
      <c r="F23" s="8"/>
      <c r="G23" s="8">
        <v>233</v>
      </c>
      <c r="H23" s="13">
        <f t="shared" si="4"/>
        <v>4233610</v>
      </c>
      <c r="I23" s="8"/>
      <c r="J23" s="50">
        <v>2220000</v>
      </c>
      <c r="K23" s="28"/>
      <c r="L23" s="29"/>
      <c r="M23" s="13"/>
      <c r="N23" s="13"/>
      <c r="O23" s="13">
        <f t="shared" si="1"/>
        <v>6453610</v>
      </c>
      <c r="P23" s="13">
        <v>12727273</v>
      </c>
      <c r="Q23" s="13">
        <f t="shared" si="2"/>
        <v>6273663</v>
      </c>
      <c r="R23" s="5"/>
    </row>
    <row r="24" spans="1:18" ht="22.5" customHeight="1" x14ac:dyDescent="0.25">
      <c r="A24" s="148">
        <v>17</v>
      </c>
      <c r="B24" s="120">
        <v>45104</v>
      </c>
      <c r="C24" s="10" t="s">
        <v>3228</v>
      </c>
      <c r="D24" s="25" t="s">
        <v>3247</v>
      </c>
      <c r="E24" s="10" t="s">
        <v>3259</v>
      </c>
      <c r="F24" s="8"/>
      <c r="G24" s="8">
        <v>100</v>
      </c>
      <c r="H24" s="13">
        <f t="shared" si="4"/>
        <v>1817000</v>
      </c>
      <c r="I24" s="8"/>
      <c r="J24" s="50">
        <v>680000</v>
      </c>
      <c r="K24" s="28"/>
      <c r="L24" s="29"/>
      <c r="M24" s="13"/>
      <c r="N24" s="13"/>
      <c r="O24" s="13">
        <f t="shared" si="1"/>
        <v>2497000</v>
      </c>
      <c r="P24" s="13">
        <v>4200000</v>
      </c>
      <c r="Q24" s="13">
        <f t="shared" si="2"/>
        <v>1703000</v>
      </c>
      <c r="R24" s="5"/>
    </row>
    <row r="25" spans="1:18" ht="22.5" customHeight="1" x14ac:dyDescent="0.25">
      <c r="A25" s="148">
        <v>18</v>
      </c>
      <c r="B25" s="120">
        <v>45105</v>
      </c>
      <c r="C25" s="10" t="s">
        <v>708</v>
      </c>
      <c r="D25" s="25" t="s">
        <v>3248</v>
      </c>
      <c r="E25" s="10" t="s">
        <v>3260</v>
      </c>
      <c r="F25" s="8"/>
      <c r="G25" s="8">
        <v>155</v>
      </c>
      <c r="H25" s="13">
        <f t="shared" si="4"/>
        <v>2816350</v>
      </c>
      <c r="I25" s="8"/>
      <c r="J25" s="50">
        <v>640000</v>
      </c>
      <c r="K25" s="28"/>
      <c r="L25" s="29"/>
      <c r="M25" s="13"/>
      <c r="N25" s="13"/>
      <c r="O25" s="13">
        <f t="shared" si="1"/>
        <v>3456350</v>
      </c>
      <c r="P25" s="13">
        <v>6000000</v>
      </c>
      <c r="Q25" s="13">
        <f t="shared" si="2"/>
        <v>2543650</v>
      </c>
      <c r="R25" s="5"/>
    </row>
    <row r="26" spans="1:18" ht="22.5" customHeight="1" x14ac:dyDescent="0.25">
      <c r="A26" s="148">
        <v>19</v>
      </c>
      <c r="B26" s="120">
        <v>45106</v>
      </c>
      <c r="C26" s="10" t="s">
        <v>3229</v>
      </c>
      <c r="D26" s="25" t="s">
        <v>3249</v>
      </c>
      <c r="E26" s="10" t="s">
        <v>1043</v>
      </c>
      <c r="F26" s="8"/>
      <c r="G26" s="8">
        <v>120</v>
      </c>
      <c r="H26" s="13">
        <f t="shared" si="4"/>
        <v>2180400</v>
      </c>
      <c r="I26" s="8"/>
      <c r="J26" s="50">
        <v>680000</v>
      </c>
      <c r="K26" s="28"/>
      <c r="L26" s="29"/>
      <c r="M26" s="13"/>
      <c r="N26" s="13"/>
      <c r="O26" s="13">
        <f t="shared" si="1"/>
        <v>2860400</v>
      </c>
      <c r="P26" s="13">
        <v>5213636</v>
      </c>
      <c r="Q26" s="13">
        <f t="shared" si="2"/>
        <v>2353236</v>
      </c>
      <c r="R26" s="5"/>
    </row>
    <row r="27" spans="1:18" ht="22.5" customHeight="1" x14ac:dyDescent="0.25">
      <c r="A27" s="25"/>
      <c r="B27" s="120"/>
      <c r="C27" s="75"/>
      <c r="D27" s="140"/>
      <c r="E27" s="76"/>
      <c r="F27" s="141"/>
      <c r="G27" s="8"/>
      <c r="H27" s="13"/>
      <c r="I27" s="8"/>
      <c r="J27" s="13"/>
      <c r="K27" s="28"/>
      <c r="L27" s="29"/>
      <c r="M27" s="13"/>
      <c r="N27" s="13"/>
      <c r="O27" s="53"/>
      <c r="P27" s="13"/>
      <c r="Q27" s="54"/>
      <c r="R27" s="5"/>
    </row>
    <row r="28" spans="1:18" ht="24" customHeight="1" x14ac:dyDescent="0.25">
      <c r="A28" s="8"/>
      <c r="B28" s="8"/>
      <c r="C28" s="196" t="s">
        <v>131</v>
      </c>
      <c r="D28" s="197"/>
      <c r="E28" s="197"/>
      <c r="F28" s="198"/>
      <c r="G28" s="8"/>
      <c r="H28" s="13"/>
      <c r="I28" s="8"/>
      <c r="J28" s="13"/>
      <c r="K28" s="28">
        <v>1200000</v>
      </c>
      <c r="L28" s="28"/>
      <c r="M28" s="18"/>
      <c r="N28" s="28"/>
      <c r="O28" s="53">
        <f t="shared" si="1"/>
        <v>1200000</v>
      </c>
      <c r="P28" s="28"/>
      <c r="Q28" s="54"/>
    </row>
    <row r="29" spans="1:18" ht="24" customHeight="1" x14ac:dyDescent="0.25">
      <c r="A29" s="8"/>
      <c r="B29" s="8"/>
      <c r="C29" s="196" t="s">
        <v>3144</v>
      </c>
      <c r="D29" s="197"/>
      <c r="E29" s="197"/>
      <c r="F29" s="198"/>
      <c r="G29" s="8"/>
      <c r="H29" s="13"/>
      <c r="I29" s="8"/>
      <c r="J29" s="13"/>
      <c r="K29" s="28">
        <v>4800000</v>
      </c>
      <c r="L29" s="28"/>
      <c r="M29" s="18"/>
      <c r="N29" s="28"/>
      <c r="O29" s="53">
        <f t="shared" si="1"/>
        <v>4800000</v>
      </c>
      <c r="P29" s="28"/>
      <c r="Q29" s="54"/>
    </row>
    <row r="30" spans="1:18" ht="24" customHeight="1" x14ac:dyDescent="0.25">
      <c r="A30" s="8"/>
      <c r="B30" s="8"/>
      <c r="C30" s="196" t="s">
        <v>3380</v>
      </c>
      <c r="D30" s="197"/>
      <c r="E30" s="197"/>
      <c r="F30" s="198"/>
      <c r="G30" s="8"/>
      <c r="H30" s="13"/>
      <c r="I30" s="8"/>
      <c r="J30" s="13"/>
      <c r="K30" s="28"/>
      <c r="L30" s="48">
        <v>0</v>
      </c>
      <c r="M30" s="28"/>
      <c r="N30" s="28"/>
      <c r="O30" s="103">
        <f t="shared" si="1"/>
        <v>0</v>
      </c>
      <c r="P30" s="28"/>
      <c r="Q30" s="54"/>
    </row>
    <row r="31" spans="1:18" ht="24" customHeight="1" x14ac:dyDescent="0.25">
      <c r="A31" s="8"/>
      <c r="B31" s="8"/>
      <c r="C31" s="196" t="s">
        <v>3261</v>
      </c>
      <c r="D31" s="197"/>
      <c r="E31" s="197"/>
      <c r="F31" s="198"/>
      <c r="G31" s="8"/>
      <c r="H31" s="13"/>
      <c r="I31" s="8"/>
      <c r="J31" s="13"/>
      <c r="K31" s="28"/>
      <c r="L31" s="28">
        <v>4100000</v>
      </c>
      <c r="M31" s="28"/>
      <c r="N31" s="28"/>
      <c r="O31" s="53">
        <f t="shared" si="1"/>
        <v>4100000</v>
      </c>
      <c r="P31" s="28"/>
      <c r="Q31" s="54"/>
    </row>
    <row r="32" spans="1:18" ht="24" customHeight="1" x14ac:dyDescent="0.25">
      <c r="A32" s="8"/>
      <c r="B32" s="8"/>
      <c r="C32" s="196" t="s">
        <v>3262</v>
      </c>
      <c r="D32" s="197"/>
      <c r="E32" s="197"/>
      <c r="F32" s="198"/>
      <c r="G32" s="8"/>
      <c r="H32" s="13"/>
      <c r="I32" s="8"/>
      <c r="J32" s="13"/>
      <c r="K32" s="28">
        <v>5280000</v>
      </c>
      <c r="L32" s="28"/>
      <c r="M32" s="28"/>
      <c r="N32" s="28"/>
      <c r="O32" s="53">
        <f t="shared" si="1"/>
        <v>5280000</v>
      </c>
      <c r="P32" s="28"/>
      <c r="Q32" s="54"/>
    </row>
    <row r="33" spans="1:17" ht="24" customHeight="1" x14ac:dyDescent="0.25">
      <c r="A33" s="8"/>
      <c r="B33" s="8"/>
      <c r="C33" s="196" t="s">
        <v>3263</v>
      </c>
      <c r="D33" s="197"/>
      <c r="E33" s="197"/>
      <c r="F33" s="198"/>
      <c r="G33" s="8"/>
      <c r="H33" s="13"/>
      <c r="I33" s="8"/>
      <c r="J33" s="13"/>
      <c r="K33" s="28"/>
      <c r="L33" s="28">
        <f>283000/4</f>
        <v>70750</v>
      </c>
      <c r="M33" s="28"/>
      <c r="N33" s="28"/>
      <c r="O33" s="53">
        <f t="shared" si="1"/>
        <v>70750</v>
      </c>
      <c r="P33" s="28"/>
      <c r="Q33" s="54"/>
    </row>
    <row r="34" spans="1:17" ht="24" customHeight="1" x14ac:dyDescent="0.25">
      <c r="A34" s="8"/>
      <c r="B34" s="8"/>
      <c r="C34" s="196" t="s">
        <v>3264</v>
      </c>
      <c r="D34" s="197"/>
      <c r="E34" s="197"/>
      <c r="F34" s="198"/>
      <c r="G34" s="8"/>
      <c r="H34" s="13"/>
      <c r="I34" s="8"/>
      <c r="J34" s="13"/>
      <c r="K34" s="28"/>
      <c r="L34" s="28">
        <v>2915000</v>
      </c>
      <c r="M34" s="28"/>
      <c r="N34" s="28"/>
      <c r="O34" s="53">
        <f t="shared" si="1"/>
        <v>2915000</v>
      </c>
      <c r="P34" s="28"/>
      <c r="Q34" s="54"/>
    </row>
    <row r="35" spans="1:17" ht="25.5" customHeight="1" x14ac:dyDescent="0.25">
      <c r="A35" s="8"/>
      <c r="B35" s="8"/>
      <c r="C35" s="191" t="s">
        <v>3072</v>
      </c>
      <c r="D35" s="192"/>
      <c r="E35" s="192"/>
      <c r="F35" s="195"/>
      <c r="G35" s="30"/>
      <c r="H35" s="28"/>
      <c r="I35" s="30"/>
      <c r="J35" s="28"/>
      <c r="K35" s="28">
        <v>8653846</v>
      </c>
      <c r="L35" s="28"/>
      <c r="M35" s="18"/>
      <c r="N35" s="28"/>
      <c r="O35" s="53">
        <f>H35+J35+K35+L35+M35+N35</f>
        <v>8653846</v>
      </c>
      <c r="P35" s="28"/>
      <c r="Q35" s="54"/>
    </row>
    <row r="36" spans="1:17" ht="15" customHeight="1" x14ac:dyDescent="0.25">
      <c r="A36" s="166" t="s">
        <v>19</v>
      </c>
      <c r="B36" s="167"/>
      <c r="C36" s="167"/>
      <c r="D36" s="167"/>
      <c r="E36" s="167"/>
      <c r="F36" s="168"/>
      <c r="G36" s="131">
        <f t="shared" ref="G36:O36" si="5">SUM(G7:G35)</f>
        <v>2691</v>
      </c>
      <c r="H36" s="4">
        <f t="shared" si="5"/>
        <v>48555490</v>
      </c>
      <c r="I36" s="4">
        <f t="shared" si="5"/>
        <v>0</v>
      </c>
      <c r="J36" s="4">
        <f t="shared" si="5"/>
        <v>21640000</v>
      </c>
      <c r="K36" s="4">
        <f t="shared" si="5"/>
        <v>19933846</v>
      </c>
      <c r="L36" s="4">
        <f t="shared" si="5"/>
        <v>7085750</v>
      </c>
      <c r="M36" s="4">
        <f t="shared" si="5"/>
        <v>0</v>
      </c>
      <c r="N36" s="4">
        <f t="shared" si="5"/>
        <v>0</v>
      </c>
      <c r="O36" s="4">
        <f t="shared" si="5"/>
        <v>97215086</v>
      </c>
      <c r="P36" s="4">
        <f>SUM(P8:P35)</f>
        <v>127885909</v>
      </c>
      <c r="Q36" s="122">
        <f>P36-O36</f>
        <v>30670823</v>
      </c>
    </row>
    <row r="37" spans="1:17" x14ac:dyDescent="0.25">
      <c r="O37" s="20"/>
      <c r="P37" s="5" t="s">
        <v>1796</v>
      </c>
      <c r="Q37" s="26"/>
    </row>
    <row r="38" spans="1:17" x14ac:dyDescent="0.25">
      <c r="P38" s="21" t="s">
        <v>20</v>
      </c>
      <c r="Q38" s="26">
        <f>'05.2023'!Q44+'06.2023'!Q36</f>
        <v>-59482506</v>
      </c>
    </row>
    <row r="39" spans="1:17" x14ac:dyDescent="0.25">
      <c r="C39" s="6" t="s">
        <v>993</v>
      </c>
    </row>
    <row r="40" spans="1:17" x14ac:dyDescent="0.25">
      <c r="C40" s="205"/>
      <c r="D40" s="205"/>
      <c r="E40" s="205"/>
      <c r="F40" s="205"/>
      <c r="H40" s="109"/>
    </row>
    <row r="41" spans="1:17" x14ac:dyDescent="0.25">
      <c r="C41" s="206"/>
      <c r="D41" s="206"/>
      <c r="E41" s="206"/>
      <c r="F41" s="206"/>
      <c r="H41" s="109"/>
    </row>
    <row r="42" spans="1:17" x14ac:dyDescent="0.25">
      <c r="B42" s="6"/>
      <c r="C42" s="110"/>
      <c r="D42" s="110"/>
      <c r="E42" s="110"/>
      <c r="F42" s="110"/>
      <c r="G42" s="133"/>
      <c r="H42" s="109"/>
    </row>
    <row r="43" spans="1:17" x14ac:dyDescent="0.25">
      <c r="B43" s="6"/>
      <c r="C43" s="206"/>
      <c r="D43" s="206"/>
      <c r="E43" s="206"/>
      <c r="F43" s="206"/>
      <c r="H43" s="109"/>
    </row>
    <row r="44" spans="1:17" x14ac:dyDescent="0.25">
      <c r="B44" s="6"/>
      <c r="C44" s="206"/>
      <c r="D44" s="206"/>
      <c r="E44" s="206"/>
      <c r="F44" s="206"/>
      <c r="H44" s="109"/>
    </row>
    <row r="45" spans="1:17" x14ac:dyDescent="0.25">
      <c r="B45" s="6"/>
      <c r="C45" s="206"/>
      <c r="D45" s="206"/>
      <c r="E45" s="206"/>
      <c r="F45" s="206"/>
      <c r="G45" s="133"/>
      <c r="H45" s="109"/>
      <c r="J45" s="6"/>
      <c r="K45" s="6"/>
      <c r="L45" s="6"/>
      <c r="M45" s="6"/>
      <c r="N45" s="6"/>
      <c r="O45" s="6"/>
      <c r="P45" s="6"/>
      <c r="Q45" s="6"/>
    </row>
    <row r="46" spans="1:17" x14ac:dyDescent="0.2">
      <c r="C46" s="107"/>
      <c r="D46" s="110"/>
      <c r="E46" s="110"/>
      <c r="F46" s="110"/>
      <c r="H46" s="109"/>
    </row>
    <row r="47" spans="1:17" x14ac:dyDescent="0.25">
      <c r="C47" s="205"/>
      <c r="D47" s="205"/>
      <c r="E47" s="205"/>
      <c r="F47" s="205"/>
    </row>
  </sheetData>
  <mergeCells count="28">
    <mergeCell ref="C34:F34"/>
    <mergeCell ref="C44:F44"/>
    <mergeCell ref="C45:F45"/>
    <mergeCell ref="C47:F47"/>
    <mergeCell ref="C35:F35"/>
    <mergeCell ref="A36:F36"/>
    <mergeCell ref="C40:F40"/>
    <mergeCell ref="C41:F41"/>
    <mergeCell ref="C43:F43"/>
    <mergeCell ref="C28:F28"/>
    <mergeCell ref="C29:F29"/>
    <mergeCell ref="C31:F31"/>
    <mergeCell ref="C32:F32"/>
    <mergeCell ref="C33:F33"/>
    <mergeCell ref="C30:F30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D2AE-BB54-4357-8DBB-9FF0A49E2C16}">
  <dimension ref="A1:R50"/>
  <sheetViews>
    <sheetView topLeftCell="D20" workbookViewId="0">
      <selection activeCell="O37" sqref="O3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3266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45108</v>
      </c>
      <c r="C8" s="10" t="s">
        <v>3267</v>
      </c>
      <c r="D8" s="25" t="s">
        <v>3295</v>
      </c>
      <c r="E8" s="10" t="s">
        <v>3282</v>
      </c>
      <c r="F8" s="8"/>
      <c r="G8" s="8">
        <v>124</v>
      </c>
      <c r="H8" s="13">
        <f>G8*18160</f>
        <v>2251840</v>
      </c>
      <c r="I8" s="8"/>
      <c r="J8" s="50">
        <v>934000</v>
      </c>
      <c r="K8" s="28"/>
      <c r="L8" s="29"/>
      <c r="M8" s="13"/>
      <c r="N8" s="13"/>
      <c r="O8" s="13">
        <f>H8+J8+K8+L8+M8+N8</f>
        <v>3185840</v>
      </c>
      <c r="P8" s="13">
        <v>5800000</v>
      </c>
      <c r="Q8" s="13">
        <f>P8-O8</f>
        <v>2614160</v>
      </c>
      <c r="R8" s="5"/>
    </row>
    <row r="9" spans="1:18" ht="17.25" customHeight="1" x14ac:dyDescent="0.25">
      <c r="A9" s="148">
        <v>2</v>
      </c>
      <c r="B9" s="120">
        <v>45110</v>
      </c>
      <c r="C9" s="10" t="s">
        <v>3268</v>
      </c>
      <c r="D9" s="129" t="s">
        <v>3296</v>
      </c>
      <c r="E9" s="9" t="s">
        <v>3203</v>
      </c>
      <c r="F9" s="117"/>
      <c r="G9" s="8">
        <v>59</v>
      </c>
      <c r="H9" s="13">
        <f t="shared" ref="H9:H16" si="0">G9*18160</f>
        <v>1071440</v>
      </c>
      <c r="I9" s="117"/>
      <c r="J9" s="134">
        <v>430000</v>
      </c>
      <c r="K9" s="28"/>
      <c r="L9" s="29"/>
      <c r="M9" s="13"/>
      <c r="N9" s="13"/>
      <c r="O9" s="13">
        <f t="shared" ref="O9:O37" si="1">H9+J9+K9+L9+M9+N9</f>
        <v>1501440</v>
      </c>
      <c r="P9" s="13">
        <v>2700000</v>
      </c>
      <c r="Q9" s="13">
        <f t="shared" ref="Q9:Q31" si="2">P9-O9</f>
        <v>1198560</v>
      </c>
      <c r="R9" s="5"/>
    </row>
    <row r="10" spans="1:18" ht="24.75" customHeight="1" x14ac:dyDescent="0.25">
      <c r="A10" s="148">
        <v>3</v>
      </c>
      <c r="B10" s="120">
        <v>45111</v>
      </c>
      <c r="C10" s="10" t="s">
        <v>3269</v>
      </c>
      <c r="D10" s="25" t="s">
        <v>3297</v>
      </c>
      <c r="E10" s="10" t="s">
        <v>3283</v>
      </c>
      <c r="F10" s="8"/>
      <c r="G10" s="8">
        <v>121</v>
      </c>
      <c r="H10" s="13">
        <f t="shared" si="0"/>
        <v>2197360</v>
      </c>
      <c r="I10" s="8"/>
      <c r="J10" s="50">
        <v>850000</v>
      </c>
      <c r="K10" s="28"/>
      <c r="L10" s="29"/>
      <c r="M10" s="13"/>
      <c r="N10" s="13"/>
      <c r="O10" s="13">
        <f>H10+J10+K10+L10+M10+N10</f>
        <v>3047360</v>
      </c>
      <c r="P10" s="13">
        <v>5781000</v>
      </c>
      <c r="Q10" s="13">
        <f t="shared" si="2"/>
        <v>2733640</v>
      </c>
      <c r="R10" s="5"/>
    </row>
    <row r="11" spans="1:18" ht="27.75" customHeight="1" x14ac:dyDescent="0.25">
      <c r="A11" s="148">
        <v>4</v>
      </c>
      <c r="B11" s="120">
        <v>45111</v>
      </c>
      <c r="C11" s="10" t="s">
        <v>3270</v>
      </c>
      <c r="D11" s="25" t="s">
        <v>3298</v>
      </c>
      <c r="E11" s="10" t="s">
        <v>1177</v>
      </c>
      <c r="F11" s="8"/>
      <c r="G11" s="8">
        <v>122</v>
      </c>
      <c r="H11" s="13">
        <f t="shared" si="0"/>
        <v>2215520</v>
      </c>
      <c r="I11" s="8"/>
      <c r="J11" s="50">
        <v>1120000</v>
      </c>
      <c r="K11" s="28"/>
      <c r="L11" s="29"/>
      <c r="M11" s="13"/>
      <c r="N11" s="13"/>
      <c r="O11" s="13">
        <f t="shared" si="1"/>
        <v>3335520</v>
      </c>
      <c r="P11" s="13">
        <v>3770000</v>
      </c>
      <c r="Q11" s="13">
        <f t="shared" si="2"/>
        <v>434480</v>
      </c>
      <c r="R11" s="5"/>
    </row>
    <row r="12" spans="1:18" ht="27.75" customHeight="1" x14ac:dyDescent="0.25">
      <c r="A12" s="148">
        <v>5</v>
      </c>
      <c r="B12" s="120">
        <v>45112</v>
      </c>
      <c r="C12" s="10" t="s">
        <v>3271</v>
      </c>
      <c r="D12" s="25" t="s">
        <v>3298</v>
      </c>
      <c r="E12" s="10" t="s">
        <v>1661</v>
      </c>
      <c r="F12" s="8"/>
      <c r="G12" s="8"/>
      <c r="H12" s="13">
        <f t="shared" si="0"/>
        <v>0</v>
      </c>
      <c r="I12" s="8"/>
      <c r="J12" s="50"/>
      <c r="K12" s="28"/>
      <c r="L12" s="29"/>
      <c r="M12" s="13"/>
      <c r="N12" s="13"/>
      <c r="O12" s="13">
        <f t="shared" si="1"/>
        <v>0</v>
      </c>
      <c r="P12" s="13">
        <v>2484000</v>
      </c>
      <c r="Q12" s="13">
        <f t="shared" si="2"/>
        <v>2484000</v>
      </c>
      <c r="R12" s="5"/>
    </row>
    <row r="13" spans="1:18" ht="27.75" customHeight="1" x14ac:dyDescent="0.25">
      <c r="A13" s="148">
        <v>6</v>
      </c>
      <c r="B13" s="120">
        <v>45112</v>
      </c>
      <c r="C13" s="10" t="s">
        <v>757</v>
      </c>
      <c r="D13" s="25" t="s">
        <v>3299</v>
      </c>
      <c r="E13" s="10" t="s">
        <v>3284</v>
      </c>
      <c r="F13" s="8"/>
      <c r="G13" s="8">
        <v>204</v>
      </c>
      <c r="H13" s="13">
        <f t="shared" si="0"/>
        <v>3704640</v>
      </c>
      <c r="I13" s="8"/>
      <c r="J13" s="50">
        <v>990000</v>
      </c>
      <c r="K13" s="28"/>
      <c r="L13" s="29"/>
      <c r="M13" s="13"/>
      <c r="N13" s="13"/>
      <c r="O13" s="13">
        <f t="shared" si="1"/>
        <v>4694640</v>
      </c>
      <c r="P13" s="13">
        <v>7236000</v>
      </c>
      <c r="Q13" s="13">
        <f t="shared" si="2"/>
        <v>2541360</v>
      </c>
      <c r="R13" s="5"/>
    </row>
    <row r="14" spans="1:18" ht="27.75" customHeight="1" x14ac:dyDescent="0.25">
      <c r="A14" s="148">
        <v>7</v>
      </c>
      <c r="B14" s="149">
        <v>45113</v>
      </c>
      <c r="C14" s="111" t="s">
        <v>3272</v>
      </c>
      <c r="D14" s="112" t="s">
        <v>3300</v>
      </c>
      <c r="E14" s="111" t="s">
        <v>121</v>
      </c>
      <c r="F14" s="12"/>
      <c r="G14" s="12">
        <v>224</v>
      </c>
      <c r="H14" s="13">
        <f t="shared" si="0"/>
        <v>4067840</v>
      </c>
      <c r="I14" s="12"/>
      <c r="J14" s="50">
        <v>2220000</v>
      </c>
      <c r="K14" s="18"/>
      <c r="L14" s="99"/>
      <c r="M14" s="3"/>
      <c r="N14" s="3"/>
      <c r="O14" s="3">
        <f t="shared" si="1"/>
        <v>6287840</v>
      </c>
      <c r="P14" s="3">
        <v>12175926</v>
      </c>
      <c r="Q14" s="13">
        <f t="shared" si="2"/>
        <v>5888086</v>
      </c>
      <c r="R14" s="5"/>
    </row>
    <row r="15" spans="1:18" ht="27.75" customHeight="1" x14ac:dyDescent="0.25">
      <c r="A15" s="148">
        <v>8</v>
      </c>
      <c r="B15" s="120">
        <v>45114</v>
      </c>
      <c r="C15" s="10" t="s">
        <v>1431</v>
      </c>
      <c r="D15" s="25" t="s">
        <v>3301</v>
      </c>
      <c r="E15" s="10" t="s">
        <v>3285</v>
      </c>
      <c r="F15" s="8"/>
      <c r="G15" s="8">
        <v>47</v>
      </c>
      <c r="H15" s="13">
        <f t="shared" si="0"/>
        <v>853520</v>
      </c>
      <c r="I15" s="8"/>
      <c r="J15" s="134">
        <v>430000</v>
      </c>
      <c r="K15" s="28"/>
      <c r="L15" s="29"/>
      <c r="M15" s="13"/>
      <c r="N15" s="13"/>
      <c r="O15" s="13">
        <f t="shared" si="1"/>
        <v>1283520</v>
      </c>
      <c r="P15" s="13">
        <v>2900000</v>
      </c>
      <c r="Q15" s="13">
        <f t="shared" si="2"/>
        <v>1616480</v>
      </c>
      <c r="R15" s="5"/>
    </row>
    <row r="16" spans="1:18" ht="27.75" customHeight="1" x14ac:dyDescent="0.25">
      <c r="A16" s="148">
        <v>9</v>
      </c>
      <c r="B16" s="120">
        <v>45117</v>
      </c>
      <c r="C16" s="10" t="s">
        <v>764</v>
      </c>
      <c r="D16" s="25" t="s">
        <v>3302</v>
      </c>
      <c r="E16" s="10" t="s">
        <v>3286</v>
      </c>
      <c r="F16" s="8"/>
      <c r="G16" s="8">
        <v>150</v>
      </c>
      <c r="H16" s="13">
        <f t="shared" si="0"/>
        <v>2724000</v>
      </c>
      <c r="I16" s="8"/>
      <c r="J16" s="50">
        <v>1130000</v>
      </c>
      <c r="K16" s="28"/>
      <c r="L16" s="29"/>
      <c r="M16" s="13"/>
      <c r="N16" s="13"/>
      <c r="O16" s="13">
        <f t="shared" si="1"/>
        <v>3854000</v>
      </c>
      <c r="P16" s="13">
        <v>6696000</v>
      </c>
      <c r="Q16" s="13">
        <f t="shared" si="2"/>
        <v>2842000</v>
      </c>
      <c r="R16" s="5"/>
    </row>
    <row r="17" spans="1:18" ht="27.75" customHeight="1" x14ac:dyDescent="0.25">
      <c r="A17" s="148">
        <v>10</v>
      </c>
      <c r="B17" s="120">
        <v>45117</v>
      </c>
      <c r="C17" s="10" t="s">
        <v>3273</v>
      </c>
      <c r="D17" s="25" t="s">
        <v>3303</v>
      </c>
      <c r="E17" s="10" t="s">
        <v>112</v>
      </c>
      <c r="F17" s="8"/>
      <c r="G17" s="8">
        <v>233</v>
      </c>
      <c r="H17" s="13">
        <f>G17*18610</f>
        <v>4336130</v>
      </c>
      <c r="I17" s="8"/>
      <c r="J17" s="50">
        <v>2220000</v>
      </c>
      <c r="K17" s="28"/>
      <c r="L17" s="29"/>
      <c r="M17" s="13"/>
      <c r="N17" s="13"/>
      <c r="O17" s="13">
        <f t="shared" si="1"/>
        <v>6556130</v>
      </c>
      <c r="P17" s="13">
        <v>12731481</v>
      </c>
      <c r="Q17" s="13">
        <f t="shared" si="2"/>
        <v>6175351</v>
      </c>
      <c r="R17" s="5"/>
    </row>
    <row r="18" spans="1:18" ht="22.5" customHeight="1" x14ac:dyDescent="0.25">
      <c r="A18" s="148">
        <v>11</v>
      </c>
      <c r="B18" s="120">
        <v>45118</v>
      </c>
      <c r="C18" s="10" t="s">
        <v>3274</v>
      </c>
      <c r="D18" s="25" t="s">
        <v>3304</v>
      </c>
      <c r="E18" s="10" t="s">
        <v>2994</v>
      </c>
      <c r="F18" s="8"/>
      <c r="G18" s="8">
        <v>103</v>
      </c>
      <c r="H18" s="13">
        <f t="shared" ref="H18:H21" si="3">G18*18610</f>
        <v>1916830</v>
      </c>
      <c r="I18" s="8"/>
      <c r="J18" s="50">
        <v>880000</v>
      </c>
      <c r="K18" s="28"/>
      <c r="L18" s="29"/>
      <c r="M18" s="13"/>
      <c r="N18" s="13"/>
      <c r="O18" s="13">
        <f t="shared" si="1"/>
        <v>2796830</v>
      </c>
      <c r="P18" s="13">
        <v>5300000</v>
      </c>
      <c r="Q18" s="13">
        <f t="shared" si="2"/>
        <v>2503170</v>
      </c>
      <c r="R18" s="5"/>
    </row>
    <row r="19" spans="1:18" ht="22.5" customHeight="1" x14ac:dyDescent="0.25">
      <c r="A19" s="148">
        <v>12</v>
      </c>
      <c r="B19" s="120">
        <v>45121</v>
      </c>
      <c r="C19" s="10" t="s">
        <v>3275</v>
      </c>
      <c r="D19" s="25" t="s">
        <v>3305</v>
      </c>
      <c r="E19" s="10" t="s">
        <v>1336</v>
      </c>
      <c r="F19" s="8"/>
      <c r="G19" s="8">
        <v>76</v>
      </c>
      <c r="H19" s="13">
        <f t="shared" si="3"/>
        <v>1414360</v>
      </c>
      <c r="I19" s="8"/>
      <c r="J19" s="50">
        <v>680000</v>
      </c>
      <c r="K19" s="28"/>
      <c r="L19" s="29"/>
      <c r="M19" s="13"/>
      <c r="N19" s="13"/>
      <c r="O19" s="13">
        <f t="shared" si="1"/>
        <v>2094360</v>
      </c>
      <c r="P19" s="13">
        <v>3600000</v>
      </c>
      <c r="Q19" s="13">
        <f t="shared" si="2"/>
        <v>1505640</v>
      </c>
      <c r="R19" s="5"/>
    </row>
    <row r="20" spans="1:18" ht="22.5" customHeight="1" x14ac:dyDescent="0.25">
      <c r="A20" s="148">
        <v>13</v>
      </c>
      <c r="B20" s="120">
        <v>45122</v>
      </c>
      <c r="C20" s="10" t="s">
        <v>3276</v>
      </c>
      <c r="D20" s="25" t="s">
        <v>3306</v>
      </c>
      <c r="E20" s="10" t="s">
        <v>3287</v>
      </c>
      <c r="F20" s="8"/>
      <c r="G20" s="8">
        <v>155</v>
      </c>
      <c r="H20" s="13">
        <f t="shared" si="3"/>
        <v>2884550</v>
      </c>
      <c r="I20" s="8"/>
      <c r="J20" s="50">
        <v>1086000</v>
      </c>
      <c r="K20" s="28"/>
      <c r="L20" s="29"/>
      <c r="M20" s="13"/>
      <c r="N20" s="13"/>
      <c r="O20" s="13">
        <f t="shared" si="1"/>
        <v>3970550</v>
      </c>
      <c r="P20" s="13">
        <v>6480000</v>
      </c>
      <c r="Q20" s="13">
        <f t="shared" si="2"/>
        <v>2509450</v>
      </c>
      <c r="R20" s="5"/>
    </row>
    <row r="21" spans="1:18" ht="22.5" customHeight="1" x14ac:dyDescent="0.25">
      <c r="A21" s="148">
        <v>14</v>
      </c>
      <c r="B21" s="120">
        <v>45124</v>
      </c>
      <c r="C21" s="10" t="s">
        <v>3277</v>
      </c>
      <c r="D21" s="25" t="s">
        <v>3307</v>
      </c>
      <c r="E21" s="10" t="s">
        <v>1043</v>
      </c>
      <c r="F21" s="8"/>
      <c r="G21" s="8">
        <v>120</v>
      </c>
      <c r="H21" s="13">
        <f t="shared" si="3"/>
        <v>2233200</v>
      </c>
      <c r="I21" s="8"/>
      <c r="J21" s="50">
        <v>680000</v>
      </c>
      <c r="K21" s="28"/>
      <c r="M21" s="13"/>
      <c r="N21" s="13"/>
      <c r="O21" s="13">
        <f>H21+J21+K21+L20+M21+N21</f>
        <v>2913200</v>
      </c>
      <c r="P21" s="13">
        <v>5220370</v>
      </c>
      <c r="Q21" s="13">
        <f t="shared" si="2"/>
        <v>2307170</v>
      </c>
      <c r="R21" s="5"/>
    </row>
    <row r="22" spans="1:18" ht="22.5" customHeight="1" x14ac:dyDescent="0.25">
      <c r="A22" s="148">
        <v>15</v>
      </c>
      <c r="B22" s="120">
        <v>45126</v>
      </c>
      <c r="C22" s="10" t="s">
        <v>3278</v>
      </c>
      <c r="D22" s="25" t="s">
        <v>3308</v>
      </c>
      <c r="E22" s="10" t="s">
        <v>3288</v>
      </c>
      <c r="F22" s="8"/>
      <c r="G22" s="8">
        <v>113</v>
      </c>
      <c r="H22" s="13">
        <f>G22*19500</f>
        <v>2203500</v>
      </c>
      <c r="I22" s="8"/>
      <c r="J22" s="50">
        <v>850000</v>
      </c>
      <c r="K22" s="28"/>
      <c r="L22" s="29"/>
      <c r="M22" s="13"/>
      <c r="N22" s="13"/>
      <c r="O22" s="13">
        <f t="shared" si="1"/>
        <v>3053500</v>
      </c>
      <c r="P22" s="13">
        <v>5724000</v>
      </c>
      <c r="Q22" s="13">
        <f t="shared" si="2"/>
        <v>2670500</v>
      </c>
      <c r="R22" s="5"/>
    </row>
    <row r="23" spans="1:18" ht="22.5" customHeight="1" x14ac:dyDescent="0.25">
      <c r="A23" s="148">
        <v>16</v>
      </c>
      <c r="B23" s="120">
        <v>45127</v>
      </c>
      <c r="C23" s="10" t="s">
        <v>3279</v>
      </c>
      <c r="D23" s="25" t="s">
        <v>3309</v>
      </c>
      <c r="E23" s="10" t="s">
        <v>3289</v>
      </c>
      <c r="F23" s="8"/>
      <c r="G23" s="8">
        <v>113</v>
      </c>
      <c r="H23" s="13">
        <f t="shared" ref="H23:H31" si="4">G23*19500</f>
        <v>2203500</v>
      </c>
      <c r="I23" s="8"/>
      <c r="J23" s="50">
        <v>680000</v>
      </c>
      <c r="K23" s="28"/>
      <c r="L23" s="29"/>
      <c r="M23" s="13"/>
      <c r="N23" s="13"/>
      <c r="O23" s="13">
        <f t="shared" si="1"/>
        <v>2883500</v>
      </c>
      <c r="P23" s="13">
        <v>4800000</v>
      </c>
      <c r="Q23" s="13">
        <f t="shared" si="2"/>
        <v>1916500</v>
      </c>
      <c r="R23" s="5"/>
    </row>
    <row r="24" spans="1:18" ht="22.5" customHeight="1" x14ac:dyDescent="0.25">
      <c r="A24" s="148">
        <v>17</v>
      </c>
      <c r="B24" s="120">
        <v>45129</v>
      </c>
      <c r="C24" s="10" t="s">
        <v>1441</v>
      </c>
      <c r="D24" s="25" t="s">
        <v>3310</v>
      </c>
      <c r="E24" s="10" t="s">
        <v>3290</v>
      </c>
      <c r="F24" s="8"/>
      <c r="G24" s="8">
        <v>83</v>
      </c>
      <c r="H24" s="13">
        <f t="shared" si="4"/>
        <v>1618500</v>
      </c>
      <c r="I24" s="8"/>
      <c r="J24" s="50">
        <v>680000</v>
      </c>
      <c r="K24" s="28"/>
      <c r="L24" s="29"/>
      <c r="M24" s="13"/>
      <c r="N24" s="13"/>
      <c r="O24" s="13">
        <f t="shared" si="1"/>
        <v>2298500</v>
      </c>
      <c r="P24" s="13">
        <v>3400000</v>
      </c>
      <c r="Q24" s="13">
        <f t="shared" si="2"/>
        <v>1101500</v>
      </c>
      <c r="R24" s="5"/>
    </row>
    <row r="25" spans="1:18" ht="22.5" customHeight="1" x14ac:dyDescent="0.25">
      <c r="A25" s="148">
        <v>18</v>
      </c>
      <c r="B25" s="120">
        <v>45129</v>
      </c>
      <c r="C25" s="10" t="s">
        <v>1442</v>
      </c>
      <c r="D25" s="25" t="s">
        <v>3311</v>
      </c>
      <c r="E25" s="10" t="s">
        <v>3291</v>
      </c>
      <c r="F25" s="8"/>
      <c r="G25" s="8">
        <v>89</v>
      </c>
      <c r="H25" s="13">
        <f t="shared" si="4"/>
        <v>1735500</v>
      </c>
      <c r="I25" s="8"/>
      <c r="J25" s="50">
        <v>680000</v>
      </c>
      <c r="K25" s="28"/>
      <c r="L25" s="29"/>
      <c r="M25" s="13"/>
      <c r="N25" s="13"/>
      <c r="O25" s="13">
        <f t="shared" si="1"/>
        <v>2415500</v>
      </c>
      <c r="P25" s="13">
        <v>4300000</v>
      </c>
      <c r="Q25" s="13">
        <f t="shared" si="2"/>
        <v>1884500</v>
      </c>
      <c r="R25" s="5"/>
    </row>
    <row r="26" spans="1:18" ht="22.5" customHeight="1" x14ac:dyDescent="0.25">
      <c r="A26" s="148">
        <v>19</v>
      </c>
      <c r="B26" s="120">
        <v>45131</v>
      </c>
      <c r="C26" s="10" t="s">
        <v>2877</v>
      </c>
      <c r="D26" s="25" t="s">
        <v>3312</v>
      </c>
      <c r="E26" s="10" t="s">
        <v>1661</v>
      </c>
      <c r="F26" s="8"/>
      <c r="G26" s="8">
        <v>104</v>
      </c>
      <c r="H26" s="13">
        <f t="shared" si="4"/>
        <v>2028000</v>
      </c>
      <c r="I26" s="8"/>
      <c r="J26" s="50">
        <v>770000</v>
      </c>
      <c r="K26" s="28"/>
      <c r="L26" s="29"/>
      <c r="M26" s="13"/>
      <c r="N26" s="13"/>
      <c r="O26" s="13">
        <f t="shared" si="1"/>
        <v>2798000</v>
      </c>
      <c r="P26" s="13">
        <v>4900000</v>
      </c>
      <c r="Q26" s="13">
        <f t="shared" si="2"/>
        <v>2102000</v>
      </c>
      <c r="R26" s="5"/>
    </row>
    <row r="27" spans="1:18" ht="22.5" customHeight="1" x14ac:dyDescent="0.25">
      <c r="A27" s="148">
        <v>20</v>
      </c>
      <c r="B27" s="120">
        <v>45133</v>
      </c>
      <c r="C27" s="10" t="s">
        <v>23</v>
      </c>
      <c r="D27" s="25" t="s">
        <v>3313</v>
      </c>
      <c r="E27" s="10" t="s">
        <v>3292</v>
      </c>
      <c r="F27" s="8"/>
      <c r="G27" s="8">
        <v>140</v>
      </c>
      <c r="H27" s="13">
        <f t="shared" si="4"/>
        <v>2730000</v>
      </c>
      <c r="I27" s="8"/>
      <c r="J27" s="50">
        <v>980000</v>
      </c>
      <c r="K27" s="28"/>
      <c r="L27" s="29"/>
      <c r="M27" s="13"/>
      <c r="N27" s="13"/>
      <c r="O27" s="13">
        <f t="shared" si="1"/>
        <v>3710000</v>
      </c>
      <c r="P27" s="13">
        <v>6700000</v>
      </c>
      <c r="Q27" s="13">
        <f t="shared" si="2"/>
        <v>2990000</v>
      </c>
      <c r="R27" s="5"/>
    </row>
    <row r="28" spans="1:18" ht="22.5" customHeight="1" x14ac:dyDescent="0.25">
      <c r="A28" s="148">
        <v>21</v>
      </c>
      <c r="B28" s="120">
        <v>45134</v>
      </c>
      <c r="C28" s="10" t="s">
        <v>24</v>
      </c>
      <c r="D28" s="25" t="s">
        <v>3314</v>
      </c>
      <c r="E28" s="10" t="s">
        <v>3293</v>
      </c>
      <c r="F28" s="8"/>
      <c r="G28" s="8">
        <v>125</v>
      </c>
      <c r="H28" s="13">
        <f t="shared" si="4"/>
        <v>2437500</v>
      </c>
      <c r="I28" s="8"/>
      <c r="J28" s="50">
        <v>835000</v>
      </c>
      <c r="K28" s="28"/>
      <c r="L28" s="29"/>
      <c r="M28" s="13"/>
      <c r="N28" s="13"/>
      <c r="O28" s="13">
        <f t="shared" si="1"/>
        <v>3272500</v>
      </c>
      <c r="P28" s="13">
        <v>5500000</v>
      </c>
      <c r="Q28" s="13">
        <f t="shared" si="2"/>
        <v>2227500</v>
      </c>
      <c r="R28" s="5"/>
    </row>
    <row r="29" spans="1:18" ht="22.5" customHeight="1" x14ac:dyDescent="0.25">
      <c r="A29" s="148">
        <v>22</v>
      </c>
      <c r="B29" s="120">
        <v>45134</v>
      </c>
      <c r="C29" s="10" t="s">
        <v>2879</v>
      </c>
      <c r="D29" s="25" t="s">
        <v>3315</v>
      </c>
      <c r="E29" s="10" t="s">
        <v>121</v>
      </c>
      <c r="F29" s="8"/>
      <c r="G29" s="8">
        <v>224</v>
      </c>
      <c r="H29" s="13">
        <f t="shared" si="4"/>
        <v>4368000</v>
      </c>
      <c r="I29" s="8"/>
      <c r="J29" s="50">
        <v>2220000</v>
      </c>
      <c r="K29" s="28"/>
      <c r="L29" s="29"/>
      <c r="M29" s="13"/>
      <c r="N29" s="13"/>
      <c r="O29" s="13">
        <f t="shared" si="1"/>
        <v>6588000</v>
      </c>
      <c r="P29" s="13">
        <v>12175926</v>
      </c>
      <c r="Q29" s="13">
        <f t="shared" si="2"/>
        <v>5587926</v>
      </c>
      <c r="R29" s="5"/>
    </row>
    <row r="30" spans="1:18" ht="22.5" customHeight="1" x14ac:dyDescent="0.25">
      <c r="A30" s="148">
        <v>23</v>
      </c>
      <c r="B30" s="120">
        <v>45135</v>
      </c>
      <c r="C30" s="10" t="s">
        <v>3280</v>
      </c>
      <c r="D30" s="25" t="s">
        <v>3316</v>
      </c>
      <c r="E30" s="10" t="s">
        <v>3294</v>
      </c>
      <c r="F30" s="8"/>
      <c r="G30" s="8">
        <v>47</v>
      </c>
      <c r="H30" s="13">
        <f t="shared" si="4"/>
        <v>916500</v>
      </c>
      <c r="I30" s="8"/>
      <c r="J30" s="50">
        <v>430000</v>
      </c>
      <c r="K30" s="28"/>
      <c r="L30" s="29"/>
      <c r="M30" s="13"/>
      <c r="N30" s="13"/>
      <c r="O30" s="13">
        <f t="shared" si="1"/>
        <v>1346500</v>
      </c>
      <c r="P30" s="13">
        <v>2900000</v>
      </c>
      <c r="Q30" s="13">
        <f t="shared" si="2"/>
        <v>1553500</v>
      </c>
      <c r="R30" s="5"/>
    </row>
    <row r="31" spans="1:18" ht="22.5" customHeight="1" x14ac:dyDescent="0.25">
      <c r="A31" s="148">
        <v>24</v>
      </c>
      <c r="B31" s="120">
        <v>45138</v>
      </c>
      <c r="C31" s="10" t="s">
        <v>3281</v>
      </c>
      <c r="D31" s="25" t="s">
        <v>3317</v>
      </c>
      <c r="E31" s="10" t="s">
        <v>1043</v>
      </c>
      <c r="F31" s="8"/>
      <c r="G31" s="8">
        <v>120</v>
      </c>
      <c r="H31" s="13">
        <f t="shared" si="4"/>
        <v>2340000</v>
      </c>
      <c r="I31" s="8"/>
      <c r="J31" s="50">
        <v>680000</v>
      </c>
      <c r="K31" s="28"/>
      <c r="L31" s="29"/>
      <c r="M31" s="13"/>
      <c r="N31" s="13"/>
      <c r="O31" s="13">
        <f t="shared" si="1"/>
        <v>3020000</v>
      </c>
      <c r="P31" s="13">
        <v>5320370</v>
      </c>
      <c r="Q31" s="13">
        <f t="shared" si="2"/>
        <v>2300370</v>
      </c>
      <c r="R31" s="5"/>
    </row>
    <row r="32" spans="1:18" ht="22.5" customHeight="1" x14ac:dyDescent="0.25">
      <c r="A32" s="25"/>
      <c r="B32" s="120"/>
      <c r="C32" s="10"/>
      <c r="D32" s="25"/>
      <c r="E32" s="10"/>
      <c r="F32" s="8"/>
      <c r="G32" s="8"/>
      <c r="H32" s="13"/>
      <c r="I32" s="8"/>
      <c r="J32" s="13"/>
      <c r="K32" s="28"/>
      <c r="L32" s="29"/>
      <c r="M32" s="13"/>
      <c r="N32" s="13"/>
      <c r="O32" s="13"/>
      <c r="P32" s="13"/>
      <c r="Q32" s="13"/>
      <c r="R32" s="5"/>
    </row>
    <row r="33" spans="1:17" ht="24" customHeight="1" x14ac:dyDescent="0.25">
      <c r="A33" s="8"/>
      <c r="B33" s="8"/>
      <c r="C33" s="196" t="s">
        <v>131</v>
      </c>
      <c r="D33" s="197"/>
      <c r="E33" s="197"/>
      <c r="F33" s="198"/>
      <c r="G33" s="8"/>
      <c r="H33" s="13"/>
      <c r="I33" s="8"/>
      <c r="J33" s="13"/>
      <c r="K33" s="28">
        <v>1200000</v>
      </c>
      <c r="L33" s="28"/>
      <c r="M33" s="18"/>
      <c r="N33" s="28"/>
      <c r="O33" s="53">
        <f t="shared" si="1"/>
        <v>1200000</v>
      </c>
      <c r="P33" s="28"/>
      <c r="Q33" s="54"/>
    </row>
    <row r="34" spans="1:17" ht="24" customHeight="1" x14ac:dyDescent="0.25">
      <c r="A34" s="8"/>
      <c r="B34" s="8"/>
      <c r="C34" s="196" t="s">
        <v>3144</v>
      </c>
      <c r="D34" s="197"/>
      <c r="E34" s="197"/>
      <c r="F34" s="198"/>
      <c r="G34" s="8"/>
      <c r="H34" s="13"/>
      <c r="I34" s="8"/>
      <c r="J34" s="13"/>
      <c r="K34" s="28">
        <v>6802000</v>
      </c>
      <c r="L34" s="28"/>
      <c r="M34" s="18"/>
      <c r="N34" s="28"/>
      <c r="O34" s="53">
        <f t="shared" si="1"/>
        <v>6802000</v>
      </c>
      <c r="P34" s="28"/>
      <c r="Q34" s="54"/>
    </row>
    <row r="35" spans="1:17" ht="24" customHeight="1" x14ac:dyDescent="0.25">
      <c r="A35" s="8"/>
      <c r="B35" s="8"/>
      <c r="C35" s="196" t="s">
        <v>3318</v>
      </c>
      <c r="D35" s="197"/>
      <c r="E35" s="197"/>
      <c r="F35" s="198"/>
      <c r="G35" s="8"/>
      <c r="H35" s="13"/>
      <c r="I35" s="8"/>
      <c r="J35" s="13"/>
      <c r="K35" s="28"/>
      <c r="L35" s="28">
        <v>120000</v>
      </c>
      <c r="M35" s="18"/>
      <c r="N35" s="28"/>
      <c r="O35" s="53">
        <f t="shared" si="1"/>
        <v>120000</v>
      </c>
      <c r="P35" s="28"/>
      <c r="Q35" s="54"/>
    </row>
    <row r="36" spans="1:17" ht="24" customHeight="1" x14ac:dyDescent="0.25">
      <c r="A36" s="8"/>
      <c r="B36" s="8"/>
      <c r="C36" s="196" t="s">
        <v>3320</v>
      </c>
      <c r="D36" s="197"/>
      <c r="E36" s="197"/>
      <c r="F36" s="198"/>
      <c r="G36" s="8"/>
      <c r="H36" s="13"/>
      <c r="I36" s="8"/>
      <c r="J36" s="13"/>
      <c r="K36" s="28"/>
      <c r="L36" s="28">
        <v>3200000</v>
      </c>
      <c r="M36" s="18"/>
      <c r="N36" s="28"/>
      <c r="O36" s="53">
        <f t="shared" si="1"/>
        <v>3200000</v>
      </c>
      <c r="P36" s="28"/>
      <c r="Q36" s="54"/>
    </row>
    <row r="37" spans="1:17" ht="24" customHeight="1" x14ac:dyDescent="0.25">
      <c r="A37" s="8"/>
      <c r="B37" s="8"/>
      <c r="C37" s="196" t="s">
        <v>3319</v>
      </c>
      <c r="D37" s="197"/>
      <c r="E37" s="197"/>
      <c r="F37" s="198"/>
      <c r="G37" s="8"/>
      <c r="H37" s="13"/>
      <c r="I37" s="8"/>
      <c r="J37" s="13"/>
      <c r="K37" s="28"/>
      <c r="L37" s="28">
        <v>2600000</v>
      </c>
      <c r="M37" s="18"/>
      <c r="N37" s="28"/>
      <c r="O37" s="53">
        <f t="shared" si="1"/>
        <v>2600000</v>
      </c>
      <c r="P37" s="28"/>
      <c r="Q37" s="54"/>
    </row>
    <row r="38" spans="1:17" ht="25.5" customHeight="1" x14ac:dyDescent="0.25">
      <c r="A38" s="8"/>
      <c r="B38" s="8"/>
      <c r="C38" s="191" t="s">
        <v>2763</v>
      </c>
      <c r="D38" s="192"/>
      <c r="E38" s="192"/>
      <c r="F38" s="195"/>
      <c r="G38" s="30"/>
      <c r="H38" s="28"/>
      <c r="I38" s="30"/>
      <c r="J38" s="28"/>
      <c r="K38" s="28">
        <v>9000000</v>
      </c>
      <c r="L38" s="28"/>
      <c r="M38" s="18"/>
      <c r="N38" s="28"/>
      <c r="O38" s="53">
        <f>H38+J38+K38+L38+M38+N38</f>
        <v>9000000</v>
      </c>
      <c r="P38" s="28"/>
      <c r="Q38" s="54"/>
    </row>
    <row r="39" spans="1:17" ht="15" customHeight="1" x14ac:dyDescent="0.25">
      <c r="A39" s="166" t="s">
        <v>19</v>
      </c>
      <c r="B39" s="167"/>
      <c r="C39" s="167"/>
      <c r="D39" s="167"/>
      <c r="E39" s="167"/>
      <c r="F39" s="168"/>
      <c r="G39" s="131">
        <f t="shared" ref="G39:O39" si="5">SUM(G7:G38)</f>
        <v>2896</v>
      </c>
      <c r="H39" s="4">
        <f t="shared" si="5"/>
        <v>54452230</v>
      </c>
      <c r="I39" s="4">
        <f t="shared" si="5"/>
        <v>0</v>
      </c>
      <c r="J39" s="4">
        <f t="shared" si="5"/>
        <v>22455000</v>
      </c>
      <c r="K39" s="4">
        <f t="shared" si="5"/>
        <v>17002000</v>
      </c>
      <c r="L39" s="4">
        <f t="shared" si="5"/>
        <v>5920000</v>
      </c>
      <c r="M39" s="4">
        <f t="shared" si="5"/>
        <v>0</v>
      </c>
      <c r="N39" s="4">
        <f t="shared" si="5"/>
        <v>0</v>
      </c>
      <c r="O39" s="4">
        <f t="shared" si="5"/>
        <v>99829230</v>
      </c>
      <c r="P39" s="4">
        <f>SUM(P8:P38)</f>
        <v>138595073</v>
      </c>
      <c r="Q39" s="122">
        <f>P39-O39</f>
        <v>38765843</v>
      </c>
    </row>
    <row r="40" spans="1:17" x14ac:dyDescent="0.25">
      <c r="O40" s="20"/>
      <c r="P40" s="5" t="s">
        <v>1796</v>
      </c>
      <c r="Q40" s="26"/>
    </row>
    <row r="41" spans="1:17" x14ac:dyDescent="0.25">
      <c r="P41" s="21" t="s">
        <v>20</v>
      </c>
      <c r="Q41" s="26">
        <f>'06.2023'!Q38+'07.2023'!Q39</f>
        <v>-20716663</v>
      </c>
    </row>
    <row r="42" spans="1:17" x14ac:dyDescent="0.25">
      <c r="C42" s="6" t="s">
        <v>993</v>
      </c>
    </row>
    <row r="43" spans="1:17" x14ac:dyDescent="0.25">
      <c r="C43" s="205"/>
      <c r="D43" s="205"/>
      <c r="E43" s="205"/>
      <c r="F43" s="205"/>
      <c r="H43" s="109"/>
    </row>
    <row r="44" spans="1:17" x14ac:dyDescent="0.25">
      <c r="C44" s="206"/>
      <c r="D44" s="206"/>
      <c r="E44" s="206"/>
      <c r="F44" s="206"/>
      <c r="H44" s="109"/>
    </row>
    <row r="45" spans="1:17" x14ac:dyDescent="0.25">
      <c r="B45" s="6"/>
      <c r="C45" s="110"/>
      <c r="D45" s="110"/>
      <c r="E45" s="110"/>
      <c r="F45" s="110"/>
      <c r="G45" s="133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H47" s="109"/>
    </row>
    <row r="48" spans="1:17" x14ac:dyDescent="0.25">
      <c r="B48" s="6"/>
      <c r="C48" s="206"/>
      <c r="D48" s="206"/>
      <c r="E48" s="206"/>
      <c r="F48" s="206"/>
      <c r="G48" s="133"/>
      <c r="H48" s="109"/>
      <c r="J48" s="6"/>
      <c r="K48" s="6"/>
      <c r="L48" s="6"/>
      <c r="M48" s="6"/>
      <c r="N48" s="6"/>
      <c r="O48" s="6"/>
      <c r="P48" s="6"/>
      <c r="Q48" s="6"/>
    </row>
    <row r="49" spans="3:8" x14ac:dyDescent="0.2">
      <c r="C49" s="107"/>
      <c r="D49" s="110"/>
      <c r="E49" s="110"/>
      <c r="F49" s="110"/>
      <c r="H49" s="109"/>
    </row>
    <row r="50" spans="3:8" x14ac:dyDescent="0.25">
      <c r="C50" s="205"/>
      <c r="D50" s="205"/>
      <c r="E50" s="205"/>
      <c r="F50" s="205"/>
    </row>
  </sheetData>
  <mergeCells count="26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P5:P6"/>
    <mergeCell ref="Q5:Q6"/>
    <mergeCell ref="O5:O6"/>
    <mergeCell ref="C33:F33"/>
    <mergeCell ref="C34:F34"/>
    <mergeCell ref="C35:F35"/>
    <mergeCell ref="C37:F37"/>
    <mergeCell ref="C38:F38"/>
    <mergeCell ref="C47:F47"/>
    <mergeCell ref="C48:F48"/>
    <mergeCell ref="C50:F50"/>
    <mergeCell ref="C36:F36"/>
    <mergeCell ref="A39:F39"/>
    <mergeCell ref="C43:F43"/>
    <mergeCell ref="C44:F44"/>
    <mergeCell ref="C46:F4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FFEF-5A13-4A52-9407-7B9A511A8F1D}">
  <dimension ref="A1:R50"/>
  <sheetViews>
    <sheetView topLeftCell="A24" workbookViewId="0">
      <selection activeCell="F16" sqref="F15:F16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3321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45138</v>
      </c>
      <c r="C8" s="10" t="s">
        <v>3322</v>
      </c>
      <c r="D8" s="25" t="s">
        <v>3336</v>
      </c>
      <c r="E8" s="10" t="s">
        <v>3359</v>
      </c>
      <c r="F8" s="8"/>
      <c r="G8" s="8">
        <v>202</v>
      </c>
      <c r="H8" s="13">
        <f>G8*20610</f>
        <v>4163220</v>
      </c>
      <c r="I8" s="8"/>
      <c r="J8" s="50">
        <v>930000</v>
      </c>
      <c r="K8" s="28"/>
      <c r="L8" s="29"/>
      <c r="M8" s="13"/>
      <c r="N8" s="13"/>
      <c r="O8" s="13">
        <f>H8+J8+K8+L8+M8+N8</f>
        <v>5093220</v>
      </c>
      <c r="P8" s="13">
        <v>7300000</v>
      </c>
      <c r="Q8" s="13">
        <f>P8-O8</f>
        <v>2206780</v>
      </c>
      <c r="R8" s="5"/>
    </row>
    <row r="9" spans="1:18" ht="17.25" customHeight="1" x14ac:dyDescent="0.25">
      <c r="A9" s="148">
        <v>2</v>
      </c>
      <c r="B9" s="120">
        <v>45139</v>
      </c>
      <c r="C9" s="10" t="s">
        <v>3323</v>
      </c>
      <c r="D9" s="129" t="s">
        <v>3337</v>
      </c>
      <c r="E9" s="9" t="s">
        <v>3360</v>
      </c>
      <c r="F9" s="117"/>
      <c r="G9" s="8">
        <v>233</v>
      </c>
      <c r="H9" s="13">
        <f t="shared" ref="H9:H14" si="0">G9*20610</f>
        <v>4802130</v>
      </c>
      <c r="I9" s="117"/>
      <c r="J9" s="134">
        <v>2020000</v>
      </c>
      <c r="K9" s="28"/>
      <c r="L9" s="29"/>
      <c r="M9" s="13"/>
      <c r="N9" s="13"/>
      <c r="O9" s="13">
        <f t="shared" ref="O9:O37" si="1">H9+J9+K9+L9+M9+N9</f>
        <v>6822130</v>
      </c>
      <c r="P9" s="13">
        <v>11350000</v>
      </c>
      <c r="Q9" s="13">
        <f t="shared" ref="Q9:Q30" si="2">P9-O9</f>
        <v>4527870</v>
      </c>
      <c r="R9" s="5"/>
    </row>
    <row r="10" spans="1:18" ht="24.75" customHeight="1" x14ac:dyDescent="0.25">
      <c r="A10" s="148">
        <v>3</v>
      </c>
      <c r="B10" s="120">
        <v>45140</v>
      </c>
      <c r="C10" s="10" t="s">
        <v>3324</v>
      </c>
      <c r="D10" s="25" t="s">
        <v>3338</v>
      </c>
      <c r="E10" s="10" t="s">
        <v>2045</v>
      </c>
      <c r="F10" s="8"/>
      <c r="G10" s="8">
        <v>320</v>
      </c>
      <c r="H10" s="13">
        <f t="shared" si="0"/>
        <v>6595200</v>
      </c>
      <c r="I10" s="8"/>
      <c r="J10" s="50">
        <v>3300000</v>
      </c>
      <c r="K10" s="28"/>
      <c r="L10" s="29"/>
      <c r="M10" s="13"/>
      <c r="N10" s="13"/>
      <c r="O10" s="13">
        <f>H10+J10+K10+L10+M10+N10</f>
        <v>9895200</v>
      </c>
      <c r="P10" s="13">
        <v>17272727</v>
      </c>
      <c r="Q10" s="13">
        <f t="shared" si="2"/>
        <v>7377527</v>
      </c>
      <c r="R10" s="5"/>
    </row>
    <row r="11" spans="1:18" ht="27.75" customHeight="1" x14ac:dyDescent="0.25">
      <c r="A11" s="148">
        <v>4</v>
      </c>
      <c r="B11" s="120">
        <v>45142</v>
      </c>
      <c r="C11" s="10" t="s">
        <v>3325</v>
      </c>
      <c r="D11" s="25" t="s">
        <v>3339</v>
      </c>
      <c r="E11" s="10" t="s">
        <v>3361</v>
      </c>
      <c r="F11" s="8"/>
      <c r="G11" s="8">
        <v>103</v>
      </c>
      <c r="H11" s="13">
        <f t="shared" si="0"/>
        <v>2122830</v>
      </c>
      <c r="I11" s="8"/>
      <c r="J11" s="50">
        <v>680000</v>
      </c>
      <c r="K11" s="28"/>
      <c r="L11" s="29"/>
      <c r="M11" s="13"/>
      <c r="N11" s="13"/>
      <c r="O11" s="13">
        <f t="shared" si="1"/>
        <v>2802830</v>
      </c>
      <c r="P11" s="13">
        <v>4200000</v>
      </c>
      <c r="Q11" s="13">
        <f t="shared" si="2"/>
        <v>1397170</v>
      </c>
      <c r="R11" s="5"/>
    </row>
    <row r="12" spans="1:18" ht="27.75" customHeight="1" x14ac:dyDescent="0.25">
      <c r="A12" s="148">
        <v>5</v>
      </c>
      <c r="B12" s="120">
        <v>45145</v>
      </c>
      <c r="C12" s="10" t="s">
        <v>818</v>
      </c>
      <c r="D12" s="25" t="s">
        <v>3340</v>
      </c>
      <c r="E12" s="10" t="s">
        <v>3362</v>
      </c>
      <c r="F12" s="8"/>
      <c r="G12" s="8">
        <v>138</v>
      </c>
      <c r="H12" s="13">
        <f t="shared" si="0"/>
        <v>2844180</v>
      </c>
      <c r="I12" s="8"/>
      <c r="J12" s="50">
        <v>1040000</v>
      </c>
      <c r="K12" s="28"/>
      <c r="L12" s="29"/>
      <c r="M12" s="13"/>
      <c r="N12" s="13"/>
      <c r="O12" s="13">
        <f t="shared" si="1"/>
        <v>3884180</v>
      </c>
      <c r="P12" s="13">
        <v>6000000</v>
      </c>
      <c r="Q12" s="13">
        <f t="shared" si="2"/>
        <v>2115820</v>
      </c>
      <c r="R12" s="5"/>
    </row>
    <row r="13" spans="1:18" ht="27.75" customHeight="1" x14ac:dyDescent="0.25">
      <c r="A13" s="148">
        <v>6</v>
      </c>
      <c r="B13" s="120">
        <v>45146</v>
      </c>
      <c r="C13" s="10" t="s">
        <v>3326</v>
      </c>
      <c r="D13" s="25" t="s">
        <v>3341</v>
      </c>
      <c r="E13" s="10" t="s">
        <v>3363</v>
      </c>
      <c r="F13" s="8"/>
      <c r="G13" s="8">
        <v>161</v>
      </c>
      <c r="H13" s="13">
        <f>G13*20610</f>
        <v>3318210</v>
      </c>
      <c r="I13" s="8"/>
      <c r="J13" s="50">
        <v>1090000</v>
      </c>
      <c r="K13" s="28"/>
      <c r="L13" s="29"/>
      <c r="M13" s="13"/>
      <c r="N13" s="13"/>
      <c r="O13" s="13">
        <f t="shared" si="1"/>
        <v>4408210</v>
      </c>
      <c r="P13" s="13">
        <v>6400000</v>
      </c>
      <c r="Q13" s="13">
        <f t="shared" si="2"/>
        <v>1991790</v>
      </c>
      <c r="R13" s="5"/>
    </row>
    <row r="14" spans="1:18" ht="27.75" customHeight="1" x14ac:dyDescent="0.25">
      <c r="A14" s="148">
        <v>7</v>
      </c>
      <c r="B14" s="149">
        <v>45147</v>
      </c>
      <c r="C14" s="111" t="s">
        <v>820</v>
      </c>
      <c r="D14" s="112" t="s">
        <v>3342</v>
      </c>
      <c r="E14" s="111" t="s">
        <v>3364</v>
      </c>
      <c r="F14" s="12"/>
      <c r="G14" s="12">
        <v>121</v>
      </c>
      <c r="H14" s="13">
        <f t="shared" si="0"/>
        <v>2493810</v>
      </c>
      <c r="I14" s="12"/>
      <c r="J14" s="50">
        <v>850000</v>
      </c>
      <c r="K14" s="18"/>
      <c r="L14" s="99"/>
      <c r="M14" s="3"/>
      <c r="N14" s="3"/>
      <c r="O14" s="3">
        <f t="shared" si="1"/>
        <v>3343810</v>
      </c>
      <c r="P14" s="3">
        <v>5500000</v>
      </c>
      <c r="Q14" s="13">
        <f t="shared" si="2"/>
        <v>2156190</v>
      </c>
      <c r="R14" s="5"/>
    </row>
    <row r="15" spans="1:18" ht="27.75" customHeight="1" x14ac:dyDescent="0.25">
      <c r="A15" s="148">
        <v>8</v>
      </c>
      <c r="B15" s="120">
        <v>45148</v>
      </c>
      <c r="C15" s="10" t="s">
        <v>3327</v>
      </c>
      <c r="D15" s="25" t="s">
        <v>3343</v>
      </c>
      <c r="E15" s="10" t="s">
        <v>3365</v>
      </c>
      <c r="F15" s="8"/>
      <c r="G15" s="8">
        <v>164</v>
      </c>
      <c r="H15" s="13">
        <f>G15*22420</f>
        <v>3676880</v>
      </c>
      <c r="I15" s="8"/>
      <c r="J15" s="134">
        <v>1350000</v>
      </c>
      <c r="K15" s="28"/>
      <c r="L15" s="29"/>
      <c r="M15" s="13"/>
      <c r="N15" s="13"/>
      <c r="O15" s="13">
        <f t="shared" si="1"/>
        <v>5026880</v>
      </c>
      <c r="P15" s="13">
        <v>6900000</v>
      </c>
      <c r="Q15" s="13">
        <f t="shared" si="2"/>
        <v>1873120</v>
      </c>
      <c r="R15" s="5"/>
    </row>
    <row r="16" spans="1:18" ht="27.75" customHeight="1" x14ac:dyDescent="0.25">
      <c r="A16" s="148">
        <v>9</v>
      </c>
      <c r="B16" s="120">
        <v>45152</v>
      </c>
      <c r="C16" s="10" t="s">
        <v>3328</v>
      </c>
      <c r="D16" s="25" t="s">
        <v>3344</v>
      </c>
      <c r="E16" s="10" t="s">
        <v>3366</v>
      </c>
      <c r="F16" s="8"/>
      <c r="G16" s="8">
        <v>128</v>
      </c>
      <c r="H16" s="13">
        <f t="shared" ref="H16:H21" si="3">G16*22420</f>
        <v>2869760</v>
      </c>
      <c r="I16" s="8"/>
      <c r="J16" s="50">
        <v>640000</v>
      </c>
      <c r="K16" s="28"/>
      <c r="L16" s="29"/>
      <c r="M16" s="13"/>
      <c r="N16" s="13"/>
      <c r="O16" s="13">
        <f t="shared" si="1"/>
        <v>3509760</v>
      </c>
      <c r="P16" s="13">
        <v>6300000</v>
      </c>
      <c r="Q16" s="13">
        <f t="shared" si="2"/>
        <v>2790240</v>
      </c>
      <c r="R16" s="5"/>
    </row>
    <row r="17" spans="1:18" ht="27.75" customHeight="1" x14ac:dyDescent="0.25">
      <c r="A17" s="148">
        <v>10</v>
      </c>
      <c r="B17" s="120">
        <v>45153</v>
      </c>
      <c r="C17" s="10" t="s">
        <v>3329</v>
      </c>
      <c r="D17" s="25" t="s">
        <v>3345</v>
      </c>
      <c r="E17" s="10" t="s">
        <v>1043</v>
      </c>
      <c r="F17" s="8"/>
      <c r="G17" s="8">
        <v>107</v>
      </c>
      <c r="H17" s="13">
        <f t="shared" si="3"/>
        <v>2398940</v>
      </c>
      <c r="I17" s="8"/>
      <c r="J17" s="50">
        <v>680000</v>
      </c>
      <c r="K17" s="28"/>
      <c r="L17" s="29"/>
      <c r="M17" s="13"/>
      <c r="N17" s="13"/>
      <c r="O17" s="13">
        <f t="shared" si="1"/>
        <v>3078940</v>
      </c>
      <c r="P17" s="13">
        <v>5300000</v>
      </c>
      <c r="Q17" s="13">
        <f t="shared" si="2"/>
        <v>2221060</v>
      </c>
      <c r="R17" s="5"/>
    </row>
    <row r="18" spans="1:18" ht="22.5" customHeight="1" x14ac:dyDescent="0.25">
      <c r="A18" s="148">
        <v>11</v>
      </c>
      <c r="B18" s="120">
        <v>45153</v>
      </c>
      <c r="C18" s="10" t="s">
        <v>72</v>
      </c>
      <c r="D18" s="25" t="s">
        <v>3346</v>
      </c>
      <c r="E18" s="10" t="s">
        <v>3367</v>
      </c>
      <c r="F18" s="8"/>
      <c r="G18" s="8">
        <v>163</v>
      </c>
      <c r="H18" s="13">
        <f t="shared" si="3"/>
        <v>3654460</v>
      </c>
      <c r="I18" s="8"/>
      <c r="J18" s="50">
        <v>1470000</v>
      </c>
      <c r="K18" s="28"/>
      <c r="L18" s="29"/>
      <c r="M18" s="13"/>
      <c r="N18" s="13"/>
      <c r="O18" s="13">
        <f t="shared" si="1"/>
        <v>5124460</v>
      </c>
      <c r="P18" s="13">
        <v>7600000</v>
      </c>
      <c r="Q18" s="13">
        <f t="shared" si="2"/>
        <v>2475540</v>
      </c>
      <c r="R18" s="5"/>
    </row>
    <row r="19" spans="1:18" ht="22.5" customHeight="1" x14ac:dyDescent="0.25">
      <c r="A19" s="148">
        <v>12</v>
      </c>
      <c r="B19" s="120">
        <v>45154</v>
      </c>
      <c r="C19" s="10" t="s">
        <v>2249</v>
      </c>
      <c r="D19" s="25" t="s">
        <v>3347</v>
      </c>
      <c r="E19" s="10" t="s">
        <v>3368</v>
      </c>
      <c r="F19" s="8"/>
      <c r="G19" s="8">
        <v>102</v>
      </c>
      <c r="H19" s="13">
        <f t="shared" si="3"/>
        <v>2286840</v>
      </c>
      <c r="I19" s="8"/>
      <c r="J19" s="50">
        <v>755000</v>
      </c>
      <c r="K19" s="28"/>
      <c r="L19" s="29"/>
      <c r="M19" s="13"/>
      <c r="N19" s="13"/>
      <c r="O19" s="13">
        <f t="shared" si="1"/>
        <v>3041840</v>
      </c>
      <c r="P19" s="13">
        <v>6000000</v>
      </c>
      <c r="Q19" s="13">
        <f t="shared" si="2"/>
        <v>2958160</v>
      </c>
      <c r="R19" s="5"/>
    </row>
    <row r="20" spans="1:18" ht="22.5" customHeight="1" x14ac:dyDescent="0.25">
      <c r="A20" s="148">
        <v>13</v>
      </c>
      <c r="B20" s="120">
        <v>45155</v>
      </c>
      <c r="C20" s="10" t="s">
        <v>2251</v>
      </c>
      <c r="D20" s="25" t="s">
        <v>3348</v>
      </c>
      <c r="E20" s="10" t="s">
        <v>3369</v>
      </c>
      <c r="F20" s="8"/>
      <c r="G20" s="8">
        <v>101</v>
      </c>
      <c r="H20" s="13">
        <f t="shared" si="3"/>
        <v>2264420</v>
      </c>
      <c r="I20" s="8"/>
      <c r="J20" s="50">
        <v>680000</v>
      </c>
      <c r="K20" s="28"/>
      <c r="L20" s="29"/>
      <c r="M20" s="13"/>
      <c r="N20" s="13"/>
      <c r="O20" s="13">
        <f t="shared" si="1"/>
        <v>2944420</v>
      </c>
      <c r="P20" s="13">
        <v>5000000</v>
      </c>
      <c r="Q20" s="13">
        <f t="shared" si="2"/>
        <v>2055580</v>
      </c>
      <c r="R20" s="5"/>
    </row>
    <row r="21" spans="1:18" ht="22.5" customHeight="1" x14ac:dyDescent="0.25">
      <c r="A21" s="148">
        <v>14</v>
      </c>
      <c r="B21" s="120">
        <v>45156</v>
      </c>
      <c r="C21" s="10" t="s">
        <v>3330</v>
      </c>
      <c r="D21" s="25" t="s">
        <v>3349</v>
      </c>
      <c r="E21" s="10" t="s">
        <v>1178</v>
      </c>
      <c r="F21" s="8"/>
      <c r="G21" s="8">
        <v>54</v>
      </c>
      <c r="H21" s="13">
        <f t="shared" si="3"/>
        <v>1210680</v>
      </c>
      <c r="I21" s="8"/>
      <c r="J21" s="50">
        <v>350000</v>
      </c>
      <c r="K21" s="28"/>
      <c r="M21" s="13"/>
      <c r="N21" s="13"/>
      <c r="O21" s="13">
        <f>H21+J21+K21+L20+M21+N21</f>
        <v>1560680</v>
      </c>
      <c r="P21" s="13">
        <v>3100000</v>
      </c>
      <c r="Q21" s="13">
        <f t="shared" si="2"/>
        <v>1539320</v>
      </c>
      <c r="R21" s="5"/>
    </row>
    <row r="22" spans="1:18" ht="22.5" customHeight="1" x14ac:dyDescent="0.25">
      <c r="A22" s="148">
        <v>15</v>
      </c>
      <c r="B22" s="120">
        <v>45159</v>
      </c>
      <c r="C22" s="10" t="s">
        <v>3331</v>
      </c>
      <c r="D22" s="25" t="s">
        <v>3350</v>
      </c>
      <c r="E22" s="10" t="s">
        <v>3370</v>
      </c>
      <c r="F22" s="8"/>
      <c r="G22" s="8">
        <v>124</v>
      </c>
      <c r="H22" s="13">
        <f>G22*22350</f>
        <v>2771400</v>
      </c>
      <c r="I22" s="8"/>
      <c r="J22" s="50">
        <v>980000</v>
      </c>
      <c r="K22" s="28"/>
      <c r="L22" s="29"/>
      <c r="M22" s="13"/>
      <c r="N22" s="13"/>
      <c r="O22" s="13">
        <f t="shared" si="1"/>
        <v>3751400</v>
      </c>
      <c r="P22" s="13">
        <v>5600000</v>
      </c>
      <c r="Q22" s="13">
        <f t="shared" si="2"/>
        <v>1848600</v>
      </c>
      <c r="R22" s="5"/>
    </row>
    <row r="23" spans="1:18" ht="22.5" customHeight="1" x14ac:dyDescent="0.25">
      <c r="A23" s="148">
        <v>16</v>
      </c>
      <c r="B23" s="120">
        <v>45159</v>
      </c>
      <c r="C23" s="10" t="s">
        <v>3332</v>
      </c>
      <c r="D23" s="25" t="s">
        <v>3351</v>
      </c>
      <c r="E23" s="10" t="s">
        <v>3371</v>
      </c>
      <c r="F23" s="8"/>
      <c r="G23" s="8">
        <v>86</v>
      </c>
      <c r="H23" s="13">
        <f t="shared" ref="H23:H30" si="4">G23*22350</f>
        <v>1922100</v>
      </c>
      <c r="I23" s="8"/>
      <c r="J23" s="50">
        <v>430000</v>
      </c>
      <c r="K23" s="28"/>
      <c r="L23" s="29"/>
      <c r="M23" s="13"/>
      <c r="N23" s="13"/>
      <c r="O23" s="13">
        <f t="shared" si="1"/>
        <v>2352100</v>
      </c>
      <c r="P23" s="13">
        <v>4000000</v>
      </c>
      <c r="Q23" s="13">
        <f t="shared" si="2"/>
        <v>1647900</v>
      </c>
      <c r="R23" s="5"/>
    </row>
    <row r="24" spans="1:18" ht="22.5" customHeight="1" x14ac:dyDescent="0.25">
      <c r="A24" s="148">
        <v>17</v>
      </c>
      <c r="B24" s="120">
        <v>45160</v>
      </c>
      <c r="C24" s="10" t="s">
        <v>78</v>
      </c>
      <c r="D24" s="25" t="s">
        <v>3352</v>
      </c>
      <c r="E24" s="10" t="s">
        <v>3372</v>
      </c>
      <c r="F24" s="8"/>
      <c r="G24" s="8">
        <v>172</v>
      </c>
      <c r="H24" s="13">
        <f t="shared" si="4"/>
        <v>3844200</v>
      </c>
      <c r="I24" s="8"/>
      <c r="J24" s="50">
        <v>1280000</v>
      </c>
      <c r="K24" s="28"/>
      <c r="L24" s="29"/>
      <c r="M24" s="13"/>
      <c r="N24" s="13"/>
      <c r="O24" s="13">
        <f t="shared" si="1"/>
        <v>5124200</v>
      </c>
      <c r="P24" s="13">
        <v>6900000</v>
      </c>
      <c r="Q24" s="13">
        <f t="shared" si="2"/>
        <v>1775800</v>
      </c>
      <c r="R24" s="5"/>
    </row>
    <row r="25" spans="1:18" ht="22.5" customHeight="1" x14ac:dyDescent="0.25">
      <c r="A25" s="148">
        <v>18</v>
      </c>
      <c r="B25" s="120">
        <v>45161</v>
      </c>
      <c r="C25" s="10" t="s">
        <v>1525</v>
      </c>
      <c r="D25" s="25" t="s">
        <v>3353</v>
      </c>
      <c r="E25" s="10" t="s">
        <v>2858</v>
      </c>
      <c r="F25" s="8"/>
      <c r="G25" s="8">
        <v>101</v>
      </c>
      <c r="H25" s="13">
        <f t="shared" si="4"/>
        <v>2257350</v>
      </c>
      <c r="I25" s="8"/>
      <c r="J25" s="50">
        <v>680000</v>
      </c>
      <c r="K25" s="28"/>
      <c r="L25" s="29"/>
      <c r="M25" s="13"/>
      <c r="N25" s="13"/>
      <c r="O25" s="13">
        <f t="shared" si="1"/>
        <v>2937350</v>
      </c>
      <c r="P25" s="13">
        <v>4500000</v>
      </c>
      <c r="Q25" s="13">
        <f t="shared" si="2"/>
        <v>1562650</v>
      </c>
      <c r="R25" s="5"/>
    </row>
    <row r="26" spans="1:18" ht="22.5" customHeight="1" x14ac:dyDescent="0.25">
      <c r="A26" s="148">
        <v>19</v>
      </c>
      <c r="B26" s="120">
        <v>45162</v>
      </c>
      <c r="C26" s="10" t="s">
        <v>1526</v>
      </c>
      <c r="D26" s="25" t="s">
        <v>3354</v>
      </c>
      <c r="E26" s="10" t="s">
        <v>3373</v>
      </c>
      <c r="F26" s="8"/>
      <c r="G26" s="8">
        <v>106</v>
      </c>
      <c r="H26" s="13">
        <f t="shared" si="4"/>
        <v>2369100</v>
      </c>
      <c r="I26" s="8"/>
      <c r="J26" s="50">
        <v>680000</v>
      </c>
      <c r="K26" s="28"/>
      <c r="L26" s="29"/>
      <c r="M26" s="13"/>
      <c r="N26" s="13"/>
      <c r="O26" s="13">
        <f t="shared" si="1"/>
        <v>3049100</v>
      </c>
      <c r="P26" s="13">
        <v>5000000</v>
      </c>
      <c r="Q26" s="13">
        <f t="shared" si="2"/>
        <v>1950900</v>
      </c>
      <c r="R26" s="5"/>
    </row>
    <row r="27" spans="1:18" ht="22.5" customHeight="1" x14ac:dyDescent="0.25">
      <c r="A27" s="148">
        <v>20</v>
      </c>
      <c r="B27" s="120">
        <v>45163</v>
      </c>
      <c r="C27" s="10" t="s">
        <v>3333</v>
      </c>
      <c r="D27" s="25" t="s">
        <v>3355</v>
      </c>
      <c r="E27" s="10" t="s">
        <v>121</v>
      </c>
      <c r="F27" s="8"/>
      <c r="G27" s="8">
        <v>224</v>
      </c>
      <c r="H27" s="13">
        <f t="shared" si="4"/>
        <v>5006400</v>
      </c>
      <c r="I27" s="8"/>
      <c r="J27" s="50">
        <v>2220000</v>
      </c>
      <c r="K27" s="28"/>
      <c r="L27" s="29"/>
      <c r="M27" s="13"/>
      <c r="N27" s="13"/>
      <c r="O27" s="13">
        <f t="shared" si="1"/>
        <v>7226400</v>
      </c>
      <c r="P27" s="13">
        <v>12638889</v>
      </c>
      <c r="Q27" s="13">
        <f t="shared" si="2"/>
        <v>5412489</v>
      </c>
      <c r="R27" s="5"/>
    </row>
    <row r="28" spans="1:18" ht="22.5" customHeight="1" x14ac:dyDescent="0.25">
      <c r="A28" s="148">
        <v>21</v>
      </c>
      <c r="B28" s="120">
        <v>45164</v>
      </c>
      <c r="C28" s="10" t="s">
        <v>3334</v>
      </c>
      <c r="D28" s="25" t="s">
        <v>3356</v>
      </c>
      <c r="E28" s="10" t="s">
        <v>2045</v>
      </c>
      <c r="F28" s="8"/>
      <c r="G28" s="8">
        <v>320</v>
      </c>
      <c r="H28" s="13">
        <f t="shared" si="4"/>
        <v>7152000</v>
      </c>
      <c r="I28" s="8"/>
      <c r="J28" s="50">
        <v>3300000</v>
      </c>
      <c r="K28" s="28"/>
      <c r="L28" s="29"/>
      <c r="M28" s="13"/>
      <c r="N28" s="13"/>
      <c r="O28" s="13">
        <f t="shared" si="1"/>
        <v>10452000</v>
      </c>
      <c r="P28" s="13">
        <v>17592593</v>
      </c>
      <c r="Q28" s="13">
        <f t="shared" si="2"/>
        <v>7140593</v>
      </c>
      <c r="R28" s="5"/>
    </row>
    <row r="29" spans="1:18" ht="22.5" customHeight="1" x14ac:dyDescent="0.25">
      <c r="A29" s="148">
        <v>22</v>
      </c>
      <c r="B29" s="120">
        <v>45167</v>
      </c>
      <c r="C29" s="10" t="s">
        <v>3335</v>
      </c>
      <c r="D29" s="25" t="s">
        <v>3357</v>
      </c>
      <c r="E29" s="10" t="s">
        <v>1043</v>
      </c>
      <c r="F29" s="8"/>
      <c r="G29" s="8">
        <v>123</v>
      </c>
      <c r="H29" s="13">
        <f t="shared" si="4"/>
        <v>2749050</v>
      </c>
      <c r="I29" s="8"/>
      <c r="J29" s="50">
        <v>680000</v>
      </c>
      <c r="K29" s="28"/>
      <c r="L29" s="29"/>
      <c r="M29" s="13"/>
      <c r="N29" s="13"/>
      <c r="O29" s="13">
        <f t="shared" si="1"/>
        <v>3429050</v>
      </c>
      <c r="P29" s="13">
        <v>5670370</v>
      </c>
      <c r="Q29" s="13">
        <f t="shared" si="2"/>
        <v>2241320</v>
      </c>
      <c r="R29" s="5"/>
    </row>
    <row r="30" spans="1:18" ht="22.5" customHeight="1" x14ac:dyDescent="0.25">
      <c r="A30" s="148">
        <v>23</v>
      </c>
      <c r="B30" s="120">
        <v>45168</v>
      </c>
      <c r="C30" s="10" t="s">
        <v>835</v>
      </c>
      <c r="D30" s="25" t="s">
        <v>3358</v>
      </c>
      <c r="E30" s="10" t="s">
        <v>3374</v>
      </c>
      <c r="F30" s="8"/>
      <c r="G30" s="8">
        <v>81</v>
      </c>
      <c r="H30" s="13">
        <f t="shared" si="4"/>
        <v>1810350</v>
      </c>
      <c r="I30" s="8"/>
      <c r="J30" s="50">
        <v>680000</v>
      </c>
      <c r="K30" s="28"/>
      <c r="L30" s="29"/>
      <c r="M30" s="13"/>
      <c r="N30" s="13"/>
      <c r="O30" s="13">
        <f t="shared" si="1"/>
        <v>2490350</v>
      </c>
      <c r="P30" s="13">
        <v>4800000</v>
      </c>
      <c r="Q30" s="13">
        <f t="shared" si="2"/>
        <v>2309650</v>
      </c>
      <c r="R30" s="5"/>
    </row>
    <row r="31" spans="1:18" ht="22.5" customHeight="1" x14ac:dyDescent="0.25">
      <c r="A31" s="25"/>
      <c r="B31" s="120"/>
      <c r="C31" s="10"/>
      <c r="D31" s="25"/>
      <c r="E31" s="10"/>
      <c r="F31" s="8"/>
      <c r="G31" s="8"/>
      <c r="H31" s="13"/>
      <c r="I31" s="8"/>
      <c r="J31" s="13"/>
      <c r="K31" s="28"/>
      <c r="L31" s="29"/>
      <c r="M31" s="13"/>
      <c r="N31" s="13"/>
      <c r="O31" s="13"/>
      <c r="P31" s="13"/>
      <c r="Q31" s="13"/>
      <c r="R31" s="5"/>
    </row>
    <row r="32" spans="1:18" ht="24" customHeight="1" x14ac:dyDescent="0.25">
      <c r="A32" s="8"/>
      <c r="B32" s="8"/>
      <c r="C32" s="196" t="s">
        <v>131</v>
      </c>
      <c r="D32" s="197"/>
      <c r="E32" s="197"/>
      <c r="F32" s="198"/>
      <c r="G32" s="8"/>
      <c r="H32" s="13"/>
      <c r="I32" s="8"/>
      <c r="J32" s="13"/>
      <c r="K32" s="28">
        <v>1200000</v>
      </c>
      <c r="L32" s="28"/>
      <c r="M32" s="18"/>
      <c r="N32" s="28"/>
      <c r="O32" s="53">
        <f t="shared" si="1"/>
        <v>1200000</v>
      </c>
      <c r="P32" s="28"/>
      <c r="Q32" s="54"/>
    </row>
    <row r="33" spans="1:17" ht="24" customHeight="1" x14ac:dyDescent="0.25">
      <c r="A33" s="8"/>
      <c r="B33" s="8"/>
      <c r="C33" s="196" t="s">
        <v>3144</v>
      </c>
      <c r="D33" s="197"/>
      <c r="E33" s="197"/>
      <c r="F33" s="198"/>
      <c r="G33" s="8"/>
      <c r="H33" s="13"/>
      <c r="I33" s="8"/>
      <c r="J33" s="13"/>
      <c r="K33" s="28">
        <v>6602000</v>
      </c>
      <c r="L33" s="28"/>
      <c r="M33" s="18"/>
      <c r="N33" s="28"/>
      <c r="O33" s="53">
        <f t="shared" si="1"/>
        <v>6602000</v>
      </c>
      <c r="P33" s="28"/>
      <c r="Q33" s="54"/>
    </row>
    <row r="34" spans="1:17" ht="24" customHeight="1" x14ac:dyDescent="0.25">
      <c r="A34" s="8"/>
      <c r="B34" s="8"/>
      <c r="C34" s="196" t="s">
        <v>3375</v>
      </c>
      <c r="D34" s="197"/>
      <c r="E34" s="197"/>
      <c r="F34" s="198"/>
      <c r="G34" s="8"/>
      <c r="H34" s="13"/>
      <c r="I34" s="8"/>
      <c r="J34" s="13"/>
      <c r="K34" s="28"/>
      <c r="L34" s="28">
        <v>6400000</v>
      </c>
      <c r="M34" s="18"/>
      <c r="N34" s="28"/>
      <c r="O34" s="53">
        <f t="shared" si="1"/>
        <v>6400000</v>
      </c>
      <c r="P34" s="28"/>
      <c r="Q34" s="54"/>
    </row>
    <row r="35" spans="1:17" ht="24" customHeight="1" x14ac:dyDescent="0.25">
      <c r="A35" s="8"/>
      <c r="B35" s="8"/>
      <c r="C35" s="196" t="s">
        <v>3376</v>
      </c>
      <c r="D35" s="197"/>
      <c r="E35" s="197"/>
      <c r="F35" s="198"/>
      <c r="G35" s="8"/>
      <c r="H35" s="13"/>
      <c r="I35" s="8"/>
      <c r="J35" s="13"/>
      <c r="K35" s="28"/>
      <c r="L35" s="28">
        <v>400000</v>
      </c>
      <c r="M35" s="18"/>
      <c r="N35" s="28"/>
      <c r="O35" s="53">
        <f t="shared" si="1"/>
        <v>400000</v>
      </c>
      <c r="P35" s="28"/>
      <c r="Q35" s="54"/>
    </row>
    <row r="36" spans="1:17" ht="24" customHeight="1" x14ac:dyDescent="0.25">
      <c r="A36" s="8"/>
      <c r="B36" s="8"/>
      <c r="C36" s="196" t="s">
        <v>3377</v>
      </c>
      <c r="D36" s="197"/>
      <c r="E36" s="197"/>
      <c r="F36" s="198"/>
      <c r="G36" s="8"/>
      <c r="H36" s="13"/>
      <c r="I36" s="8"/>
      <c r="J36" s="13"/>
      <c r="K36" s="28"/>
      <c r="L36" s="28">
        <v>7800000</v>
      </c>
      <c r="M36" s="18"/>
      <c r="N36" s="28"/>
      <c r="O36" s="53">
        <f t="shared" si="1"/>
        <v>7800000</v>
      </c>
      <c r="P36" s="28"/>
      <c r="Q36" s="54"/>
    </row>
    <row r="37" spans="1:17" ht="24" customHeight="1" x14ac:dyDescent="0.25">
      <c r="A37" s="8"/>
      <c r="B37" s="8"/>
      <c r="C37" s="196" t="s">
        <v>3378</v>
      </c>
      <c r="D37" s="197"/>
      <c r="E37" s="197"/>
      <c r="F37" s="198"/>
      <c r="G37" s="8"/>
      <c r="H37" s="13"/>
      <c r="I37" s="8"/>
      <c r="J37" s="13"/>
      <c r="K37" s="28"/>
      <c r="L37" s="28">
        <v>350000</v>
      </c>
      <c r="M37" s="18"/>
      <c r="N37" s="28"/>
      <c r="O37" s="53">
        <f t="shared" si="1"/>
        <v>350000</v>
      </c>
      <c r="P37" s="28"/>
      <c r="Q37" s="54"/>
    </row>
    <row r="38" spans="1:17" ht="25.5" customHeight="1" x14ac:dyDescent="0.25">
      <c r="A38" s="8"/>
      <c r="B38" s="8"/>
      <c r="C38" s="191" t="s">
        <v>3379</v>
      </c>
      <c r="D38" s="192"/>
      <c r="E38" s="192"/>
      <c r="F38" s="195"/>
      <c r="G38" s="30"/>
      <c r="H38" s="28"/>
      <c r="I38" s="30"/>
      <c r="J38" s="28"/>
      <c r="K38" s="28">
        <v>9300000</v>
      </c>
      <c r="L38" s="28"/>
      <c r="M38" s="18"/>
      <c r="N38" s="28"/>
      <c r="O38" s="53">
        <f>H38+J38+K38+L38+M38+N38</f>
        <v>9300000</v>
      </c>
      <c r="P38" s="28"/>
      <c r="Q38" s="54"/>
    </row>
    <row r="39" spans="1:17" ht="15" customHeight="1" x14ac:dyDescent="0.25">
      <c r="A39" s="166" t="s">
        <v>19</v>
      </c>
      <c r="B39" s="167"/>
      <c r="C39" s="167"/>
      <c r="D39" s="167"/>
      <c r="E39" s="167"/>
      <c r="F39" s="168"/>
      <c r="G39" s="131">
        <f t="shared" ref="G39:O39" si="5">SUM(G7:G38)</f>
        <v>3434</v>
      </c>
      <c r="H39" s="4">
        <f t="shared" si="5"/>
        <v>74583510</v>
      </c>
      <c r="I39" s="4">
        <f t="shared" si="5"/>
        <v>0</v>
      </c>
      <c r="J39" s="4">
        <f t="shared" si="5"/>
        <v>26765000</v>
      </c>
      <c r="K39" s="4">
        <f t="shared" si="5"/>
        <v>17102000</v>
      </c>
      <c r="L39" s="4">
        <f t="shared" si="5"/>
        <v>14950000</v>
      </c>
      <c r="M39" s="4">
        <f t="shared" si="5"/>
        <v>0</v>
      </c>
      <c r="N39" s="4">
        <f t="shared" si="5"/>
        <v>0</v>
      </c>
      <c r="O39" s="4">
        <f t="shared" si="5"/>
        <v>133400510</v>
      </c>
      <c r="P39" s="4">
        <f>SUM(P8:P38)</f>
        <v>164924579</v>
      </c>
      <c r="Q39" s="122">
        <f>P39-O39</f>
        <v>31524069</v>
      </c>
    </row>
    <row r="40" spans="1:17" x14ac:dyDescent="0.25">
      <c r="O40" s="20"/>
      <c r="P40" s="5" t="s">
        <v>1796</v>
      </c>
      <c r="Q40" s="26"/>
    </row>
    <row r="41" spans="1:17" x14ac:dyDescent="0.25">
      <c r="P41" s="21" t="s">
        <v>20</v>
      </c>
      <c r="Q41" s="26">
        <f>'07.2023'!Q41+'08.2023'!Q39</f>
        <v>10807406</v>
      </c>
    </row>
    <row r="42" spans="1:17" x14ac:dyDescent="0.25">
      <c r="C42" s="6" t="s">
        <v>993</v>
      </c>
    </row>
    <row r="43" spans="1:17" x14ac:dyDescent="0.25">
      <c r="C43" s="205"/>
      <c r="D43" s="205"/>
      <c r="E43" s="205"/>
      <c r="F43" s="205"/>
      <c r="H43" s="109"/>
    </row>
    <row r="44" spans="1:17" x14ac:dyDescent="0.25">
      <c r="C44" s="206"/>
      <c r="D44" s="206"/>
      <c r="E44" s="206"/>
      <c r="F44" s="206"/>
      <c r="H44" s="109"/>
    </row>
    <row r="45" spans="1:17" x14ac:dyDescent="0.25">
      <c r="B45" s="6"/>
      <c r="C45" s="110"/>
      <c r="D45" s="110"/>
      <c r="E45" s="110"/>
      <c r="F45" s="110"/>
      <c r="G45" s="133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H47" s="109"/>
    </row>
    <row r="48" spans="1:17" x14ac:dyDescent="0.25">
      <c r="B48" s="6"/>
      <c r="C48" s="206"/>
      <c r="D48" s="206"/>
      <c r="E48" s="206"/>
      <c r="F48" s="206"/>
      <c r="G48" s="133"/>
      <c r="H48" s="109"/>
      <c r="J48" s="6"/>
      <c r="K48" s="6"/>
      <c r="L48" s="6"/>
      <c r="M48" s="6"/>
      <c r="N48" s="6"/>
      <c r="O48" s="6"/>
      <c r="P48" s="6"/>
      <c r="Q48" s="6"/>
    </row>
    <row r="49" spans="3:8" x14ac:dyDescent="0.2">
      <c r="C49" s="107"/>
      <c r="D49" s="110"/>
      <c r="E49" s="110"/>
      <c r="F49" s="110"/>
      <c r="H49" s="109"/>
    </row>
    <row r="50" spans="3:8" x14ac:dyDescent="0.25">
      <c r="C50" s="205"/>
      <c r="D50" s="205"/>
      <c r="E50" s="205"/>
      <c r="F50" s="205"/>
    </row>
  </sheetData>
  <mergeCells count="27">
    <mergeCell ref="C34:F34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2:F32"/>
    <mergeCell ref="C33:F33"/>
    <mergeCell ref="C35:F35"/>
    <mergeCell ref="C36:F36"/>
    <mergeCell ref="C38:F38"/>
    <mergeCell ref="A39:F39"/>
    <mergeCell ref="C43:F43"/>
    <mergeCell ref="C46:F46"/>
    <mergeCell ref="C47:F47"/>
    <mergeCell ref="C48:F48"/>
    <mergeCell ref="C50:F50"/>
    <mergeCell ref="C37:F37"/>
    <mergeCell ref="C44:F44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10F6-C539-4E07-8112-5ADECF0CC658}">
  <dimension ref="A1:R54"/>
  <sheetViews>
    <sheetView topLeftCell="A16" workbookViewId="0">
      <selection activeCell="Q45" sqref="Q4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3383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4.95" customHeight="1" x14ac:dyDescent="0.25">
      <c r="A8" s="148">
        <v>1</v>
      </c>
      <c r="B8" s="120">
        <v>45169</v>
      </c>
      <c r="C8" s="10" t="s">
        <v>1552</v>
      </c>
      <c r="D8" s="25" t="s">
        <v>3396</v>
      </c>
      <c r="E8" s="10" t="s">
        <v>2989</v>
      </c>
      <c r="F8" s="8"/>
      <c r="G8" s="8">
        <v>59</v>
      </c>
      <c r="H8" s="13">
        <f>G8*22350</f>
        <v>1318650</v>
      </c>
      <c r="I8" s="8"/>
      <c r="J8" s="50">
        <v>430000</v>
      </c>
      <c r="K8" s="28"/>
      <c r="L8" s="29"/>
      <c r="M8" s="13"/>
      <c r="N8" s="13"/>
      <c r="O8" s="13">
        <f>H8+J8+K8+L8+M8+N8</f>
        <v>1748650</v>
      </c>
      <c r="P8" s="13">
        <v>2900000</v>
      </c>
      <c r="Q8" s="13">
        <f>P8-O8</f>
        <v>1151350</v>
      </c>
      <c r="R8" s="5"/>
    </row>
    <row r="9" spans="1:18" ht="24.95" customHeight="1" x14ac:dyDescent="0.25">
      <c r="A9" s="148">
        <v>2</v>
      </c>
      <c r="B9" s="120">
        <v>45173</v>
      </c>
      <c r="C9" s="10" t="s">
        <v>3384</v>
      </c>
      <c r="D9" s="129" t="s">
        <v>3397</v>
      </c>
      <c r="E9" s="9" t="s">
        <v>3415</v>
      </c>
      <c r="F9" s="117"/>
      <c r="G9" s="8">
        <v>18</v>
      </c>
      <c r="H9" s="13">
        <f>G9*22640</f>
        <v>407520</v>
      </c>
      <c r="I9" s="117"/>
      <c r="J9" s="134">
        <v>400000</v>
      </c>
      <c r="K9" s="28"/>
      <c r="L9" s="29"/>
      <c r="M9" s="13"/>
      <c r="N9" s="13"/>
      <c r="O9" s="13">
        <f t="shared" ref="O9:O41" si="0">H9+J9+K9+L9+M9+N9</f>
        <v>807520</v>
      </c>
      <c r="P9" s="13">
        <v>2000000</v>
      </c>
      <c r="Q9" s="13">
        <f t="shared" ref="Q9:Q26" si="1">P9-O9</f>
        <v>1192480</v>
      </c>
      <c r="R9" s="5"/>
    </row>
    <row r="10" spans="1:18" ht="24.95" customHeight="1" x14ac:dyDescent="0.25">
      <c r="A10" s="148">
        <v>3</v>
      </c>
      <c r="B10" s="120">
        <v>45173</v>
      </c>
      <c r="C10" s="10" t="s">
        <v>888</v>
      </c>
      <c r="D10" s="25" t="s">
        <v>3398</v>
      </c>
      <c r="E10" s="10" t="s">
        <v>2045</v>
      </c>
      <c r="F10" s="8"/>
      <c r="G10" s="8">
        <v>320</v>
      </c>
      <c r="H10" s="13">
        <f t="shared" ref="H10" si="2">G10*22640</f>
        <v>7244800</v>
      </c>
      <c r="I10" s="8"/>
      <c r="J10" s="50">
        <v>3300000</v>
      </c>
      <c r="K10" s="28"/>
      <c r="L10" s="29"/>
      <c r="M10" s="13"/>
      <c r="N10" s="13"/>
      <c r="O10" s="13">
        <f>H10+J10+K10+L10+M10+N10</f>
        <v>10544800</v>
      </c>
      <c r="P10" s="13">
        <v>17592593</v>
      </c>
      <c r="Q10" s="13">
        <f t="shared" si="1"/>
        <v>7047793</v>
      </c>
      <c r="R10" s="5"/>
    </row>
    <row r="11" spans="1:18" ht="24.95" customHeight="1" x14ac:dyDescent="0.25">
      <c r="A11" s="148">
        <v>4</v>
      </c>
      <c r="B11" s="120">
        <v>45175</v>
      </c>
      <c r="C11" s="10" t="s">
        <v>3385</v>
      </c>
      <c r="D11" s="25" t="s">
        <v>3399</v>
      </c>
      <c r="E11" s="10" t="s">
        <v>2954</v>
      </c>
      <c r="F11" s="8"/>
      <c r="G11" s="8">
        <v>320</v>
      </c>
      <c r="H11" s="13">
        <f>(G11-27)*22640+27*23050</f>
        <v>7255870</v>
      </c>
      <c r="I11" s="8"/>
      <c r="J11" s="50">
        <v>3380000</v>
      </c>
      <c r="K11" s="28"/>
      <c r="L11" s="29"/>
      <c r="M11" s="13"/>
      <c r="N11" s="13"/>
      <c r="O11" s="13">
        <f t="shared" si="0"/>
        <v>10635870</v>
      </c>
      <c r="P11" s="13">
        <v>19900000</v>
      </c>
      <c r="Q11" s="13">
        <f t="shared" si="1"/>
        <v>9264130</v>
      </c>
      <c r="R11" s="5"/>
    </row>
    <row r="12" spans="1:18" ht="24.95" customHeight="1" x14ac:dyDescent="0.25">
      <c r="A12" s="148">
        <v>5</v>
      </c>
      <c r="B12" s="120">
        <v>45176</v>
      </c>
      <c r="C12" s="10" t="s">
        <v>3386</v>
      </c>
      <c r="D12" s="25" t="s">
        <v>3400</v>
      </c>
      <c r="E12" s="10" t="s">
        <v>2045</v>
      </c>
      <c r="F12" s="8"/>
      <c r="G12" s="8">
        <v>333</v>
      </c>
      <c r="H12" s="13">
        <f>G12*23050</f>
        <v>7675650</v>
      </c>
      <c r="I12" s="8"/>
      <c r="J12" s="50">
        <v>3300000</v>
      </c>
      <c r="K12" s="28"/>
      <c r="L12" s="29"/>
      <c r="M12" s="13"/>
      <c r="N12" s="13"/>
      <c r="O12" s="13">
        <f t="shared" si="0"/>
        <v>10975650</v>
      </c>
      <c r="P12" s="13">
        <v>17592593</v>
      </c>
      <c r="Q12" s="13">
        <f t="shared" si="1"/>
        <v>6616943</v>
      </c>
      <c r="R12" s="5"/>
    </row>
    <row r="13" spans="1:18" ht="24.95" customHeight="1" x14ac:dyDescent="0.25">
      <c r="A13" s="148">
        <v>6</v>
      </c>
      <c r="B13" s="120">
        <v>45180</v>
      </c>
      <c r="C13" s="10" t="s">
        <v>3387</v>
      </c>
      <c r="D13" s="25" t="s">
        <v>3401</v>
      </c>
      <c r="E13" s="10" t="s">
        <v>2916</v>
      </c>
      <c r="F13" s="8"/>
      <c r="G13" s="8">
        <v>93</v>
      </c>
      <c r="H13" s="13">
        <f t="shared" ref="H13:H19" si="3">G13*23050</f>
        <v>2143650</v>
      </c>
      <c r="I13" s="8"/>
      <c r="J13" s="50">
        <v>680000</v>
      </c>
      <c r="K13" s="28"/>
      <c r="L13" s="29"/>
      <c r="M13" s="13"/>
      <c r="N13" s="13"/>
      <c r="O13" s="13">
        <f t="shared" si="0"/>
        <v>2823650</v>
      </c>
      <c r="P13" s="13">
        <v>4500000</v>
      </c>
      <c r="Q13" s="13">
        <f t="shared" si="1"/>
        <v>1676350</v>
      </c>
      <c r="R13" s="5"/>
    </row>
    <row r="14" spans="1:18" ht="24.95" customHeight="1" x14ac:dyDescent="0.25">
      <c r="A14" s="148">
        <v>7</v>
      </c>
      <c r="B14" s="149">
        <v>45181</v>
      </c>
      <c r="C14" s="111" t="s">
        <v>3388</v>
      </c>
      <c r="D14" s="112" t="s">
        <v>3402</v>
      </c>
      <c r="E14" s="111" t="s">
        <v>3416</v>
      </c>
      <c r="F14" s="12"/>
      <c r="G14" s="8">
        <v>123</v>
      </c>
      <c r="H14" s="13">
        <f t="shared" si="3"/>
        <v>2835150</v>
      </c>
      <c r="I14" s="8"/>
      <c r="J14" s="50">
        <v>850000</v>
      </c>
      <c r="K14" s="18"/>
      <c r="L14" s="99"/>
      <c r="M14" s="3"/>
      <c r="N14" s="3"/>
      <c r="O14" s="3">
        <f t="shared" si="0"/>
        <v>3685150</v>
      </c>
      <c r="P14" s="3">
        <v>5500000</v>
      </c>
      <c r="Q14" s="13">
        <f t="shared" si="1"/>
        <v>1814850</v>
      </c>
      <c r="R14" s="5"/>
    </row>
    <row r="15" spans="1:18" ht="24.95" customHeight="1" x14ac:dyDescent="0.25">
      <c r="A15" s="148">
        <v>8</v>
      </c>
      <c r="B15" s="120">
        <v>45182</v>
      </c>
      <c r="C15" s="10" t="s">
        <v>2296</v>
      </c>
      <c r="D15" s="25" t="s">
        <v>3403</v>
      </c>
      <c r="E15" s="10" t="s">
        <v>2661</v>
      </c>
      <c r="F15" s="8"/>
      <c r="G15" s="8">
        <v>97</v>
      </c>
      <c r="H15" s="13">
        <f t="shared" si="3"/>
        <v>2235850</v>
      </c>
      <c r="I15" s="8"/>
      <c r="J15" s="134">
        <v>680000</v>
      </c>
      <c r="K15" s="28"/>
      <c r="L15" s="29"/>
      <c r="M15" s="13"/>
      <c r="N15" s="13"/>
      <c r="O15" s="13">
        <f t="shared" si="0"/>
        <v>2915850</v>
      </c>
      <c r="P15" s="13">
        <v>4600000</v>
      </c>
      <c r="Q15" s="13">
        <f t="shared" si="1"/>
        <v>1684150</v>
      </c>
      <c r="R15" s="5"/>
    </row>
    <row r="16" spans="1:18" ht="24.95" customHeight="1" x14ac:dyDescent="0.25">
      <c r="A16" s="148">
        <v>9</v>
      </c>
      <c r="B16" s="120">
        <v>45183</v>
      </c>
      <c r="C16" s="10" t="s">
        <v>3389</v>
      </c>
      <c r="D16" s="25" t="s">
        <v>3404</v>
      </c>
      <c r="E16" s="10" t="s">
        <v>3417</v>
      </c>
      <c r="F16" s="8"/>
      <c r="G16" s="8">
        <v>118</v>
      </c>
      <c r="H16" s="13">
        <f t="shared" si="3"/>
        <v>2719900</v>
      </c>
      <c r="I16" s="8"/>
      <c r="J16" s="50">
        <v>980000</v>
      </c>
      <c r="K16" s="28"/>
      <c r="L16" s="29"/>
      <c r="M16" s="13"/>
      <c r="N16" s="13"/>
      <c r="O16" s="13">
        <f t="shared" si="0"/>
        <v>3699900</v>
      </c>
      <c r="P16" s="13">
        <v>5800000</v>
      </c>
      <c r="Q16" s="13">
        <f t="shared" si="1"/>
        <v>2100100</v>
      </c>
      <c r="R16" s="5"/>
    </row>
    <row r="17" spans="1:18" ht="24.95" customHeight="1" x14ac:dyDescent="0.25">
      <c r="A17" s="148">
        <v>10</v>
      </c>
      <c r="B17" s="120">
        <v>45184</v>
      </c>
      <c r="C17" s="10" t="s">
        <v>3390</v>
      </c>
      <c r="D17" s="25" t="s">
        <v>3405</v>
      </c>
      <c r="E17" s="10" t="s">
        <v>3418</v>
      </c>
      <c r="F17" s="8"/>
      <c r="G17" s="8">
        <v>178</v>
      </c>
      <c r="H17" s="13">
        <f t="shared" si="3"/>
        <v>4102900</v>
      </c>
      <c r="I17" s="8"/>
      <c r="J17" s="50">
        <v>1470000</v>
      </c>
      <c r="K17" s="28"/>
      <c r="L17" s="29"/>
      <c r="M17" s="13"/>
      <c r="N17" s="13"/>
      <c r="O17" s="13">
        <f t="shared" si="0"/>
        <v>5572900</v>
      </c>
      <c r="P17" s="13">
        <v>8000000</v>
      </c>
      <c r="Q17" s="13">
        <f t="shared" si="1"/>
        <v>2427100</v>
      </c>
      <c r="R17" s="5"/>
    </row>
    <row r="18" spans="1:18" ht="24.95" customHeight="1" x14ac:dyDescent="0.25">
      <c r="A18" s="148">
        <v>11</v>
      </c>
      <c r="B18" s="120">
        <v>45184</v>
      </c>
      <c r="C18" s="10" t="s">
        <v>903</v>
      </c>
      <c r="D18" s="25" t="s">
        <v>3406</v>
      </c>
      <c r="E18" s="10" t="s">
        <v>2045</v>
      </c>
      <c r="F18" s="8"/>
      <c r="G18" s="8">
        <v>320</v>
      </c>
      <c r="H18" s="13">
        <f t="shared" si="3"/>
        <v>7376000</v>
      </c>
      <c r="I18" s="8"/>
      <c r="J18" s="50">
        <v>3300000</v>
      </c>
      <c r="K18" s="28"/>
      <c r="L18" s="29"/>
      <c r="M18" s="13"/>
      <c r="N18" s="13"/>
      <c r="O18" s="13">
        <f t="shared" si="0"/>
        <v>10676000</v>
      </c>
      <c r="P18" s="13">
        <v>17592593</v>
      </c>
      <c r="Q18" s="13">
        <f t="shared" si="1"/>
        <v>6916593</v>
      </c>
      <c r="R18" s="5"/>
    </row>
    <row r="19" spans="1:18" ht="24.95" customHeight="1" x14ac:dyDescent="0.25">
      <c r="A19" s="148">
        <v>12</v>
      </c>
      <c r="B19" s="120">
        <v>45188</v>
      </c>
      <c r="C19" s="10" t="s">
        <v>3391</v>
      </c>
      <c r="D19" s="25" t="s">
        <v>3407</v>
      </c>
      <c r="E19" s="10" t="s">
        <v>3419</v>
      </c>
      <c r="F19" s="8"/>
      <c r="G19" s="8">
        <v>92</v>
      </c>
      <c r="H19" s="13">
        <f t="shared" si="3"/>
        <v>2120600</v>
      </c>
      <c r="I19" s="8"/>
      <c r="J19" s="50">
        <v>680000</v>
      </c>
      <c r="K19" s="28"/>
      <c r="L19" s="29"/>
      <c r="M19" s="13"/>
      <c r="N19" s="13"/>
      <c r="O19" s="13">
        <f t="shared" si="0"/>
        <v>2800600</v>
      </c>
      <c r="P19" s="13">
        <v>4700000</v>
      </c>
      <c r="Q19" s="13">
        <f t="shared" si="1"/>
        <v>1899400</v>
      </c>
      <c r="R19" s="5"/>
    </row>
    <row r="20" spans="1:18" ht="24.95" customHeight="1" x14ac:dyDescent="0.25">
      <c r="A20" s="148">
        <v>13</v>
      </c>
      <c r="B20" s="120">
        <v>45189</v>
      </c>
      <c r="C20" s="10" t="s">
        <v>3392</v>
      </c>
      <c r="D20" s="25" t="s">
        <v>3408</v>
      </c>
      <c r="E20" s="10" t="s">
        <v>3420</v>
      </c>
      <c r="F20" s="8"/>
      <c r="G20" s="8">
        <v>108</v>
      </c>
      <c r="H20" s="13">
        <f>G20*23590</f>
        <v>2547720</v>
      </c>
      <c r="I20" s="8"/>
      <c r="J20" s="50">
        <v>980000</v>
      </c>
      <c r="K20" s="28"/>
      <c r="L20" s="29"/>
      <c r="M20" s="13"/>
      <c r="N20" s="13"/>
      <c r="O20" s="13">
        <f t="shared" si="0"/>
        <v>3527720</v>
      </c>
      <c r="P20" s="13">
        <v>5600000</v>
      </c>
      <c r="Q20" s="13">
        <f t="shared" si="1"/>
        <v>2072280</v>
      </c>
      <c r="R20" s="5"/>
    </row>
    <row r="21" spans="1:18" ht="24.95" customHeight="1" x14ac:dyDescent="0.25">
      <c r="A21" s="148">
        <v>14</v>
      </c>
      <c r="B21" s="120">
        <v>45190</v>
      </c>
      <c r="C21" s="10" t="s">
        <v>3393</v>
      </c>
      <c r="D21" s="25" t="s">
        <v>3409</v>
      </c>
      <c r="E21" s="10" t="s">
        <v>2994</v>
      </c>
      <c r="F21" s="8"/>
      <c r="G21" s="8">
        <v>103</v>
      </c>
      <c r="H21" s="13">
        <f t="shared" ref="H21:H25" si="4">G21*23590</f>
        <v>2429770</v>
      </c>
      <c r="I21" s="8"/>
      <c r="J21" s="50">
        <v>880000</v>
      </c>
      <c r="K21" s="28"/>
      <c r="M21" s="13"/>
      <c r="N21" s="13"/>
      <c r="O21" s="13">
        <f>H21+J21+K21+L20+M21+N21</f>
        <v>3309770</v>
      </c>
      <c r="P21" s="13">
        <v>5800000</v>
      </c>
      <c r="Q21" s="13">
        <f t="shared" si="1"/>
        <v>2490230</v>
      </c>
      <c r="R21" s="5"/>
    </row>
    <row r="22" spans="1:18" ht="24.95" customHeight="1" x14ac:dyDescent="0.25">
      <c r="A22" s="148">
        <v>15</v>
      </c>
      <c r="B22" s="120">
        <v>45194</v>
      </c>
      <c r="C22" s="10" t="s">
        <v>3394</v>
      </c>
      <c r="D22" s="25" t="s">
        <v>3410</v>
      </c>
      <c r="E22" s="10" t="s">
        <v>1287</v>
      </c>
      <c r="F22" s="8"/>
      <c r="G22" s="8">
        <v>64</v>
      </c>
      <c r="H22" s="13">
        <f t="shared" si="4"/>
        <v>1509760</v>
      </c>
      <c r="I22" s="8"/>
      <c r="J22" s="50">
        <v>430000</v>
      </c>
      <c r="K22" s="28"/>
      <c r="L22" s="29"/>
      <c r="M22" s="13"/>
      <c r="N22" s="13"/>
      <c r="O22" s="13">
        <f t="shared" si="0"/>
        <v>1939760</v>
      </c>
      <c r="P22" s="13">
        <v>3183519</v>
      </c>
      <c r="Q22" s="13">
        <f t="shared" si="1"/>
        <v>1243759</v>
      </c>
      <c r="R22" s="5"/>
    </row>
    <row r="23" spans="1:18" ht="24.95" customHeight="1" x14ac:dyDescent="0.25">
      <c r="A23" s="148">
        <v>16</v>
      </c>
      <c r="B23" s="120">
        <v>45194</v>
      </c>
      <c r="C23" s="10" t="s">
        <v>913</v>
      </c>
      <c r="D23" s="25" t="s">
        <v>3411</v>
      </c>
      <c r="E23" s="10" t="s">
        <v>3421</v>
      </c>
      <c r="F23" s="8"/>
      <c r="G23" s="8">
        <v>92</v>
      </c>
      <c r="H23" s="13">
        <f t="shared" si="4"/>
        <v>2170280</v>
      </c>
      <c r="I23" s="8"/>
      <c r="J23" s="50">
        <v>980000</v>
      </c>
      <c r="K23" s="28"/>
      <c r="L23" s="29"/>
      <c r="M23" s="13"/>
      <c r="N23" s="13"/>
      <c r="O23" s="13">
        <f t="shared" si="0"/>
        <v>3150280</v>
      </c>
      <c r="P23" s="13">
        <v>5652778</v>
      </c>
      <c r="Q23" s="13">
        <f t="shared" si="1"/>
        <v>2502498</v>
      </c>
      <c r="R23" s="5"/>
    </row>
    <row r="24" spans="1:18" ht="24.95" customHeight="1" x14ac:dyDescent="0.25">
      <c r="A24" s="148">
        <v>17</v>
      </c>
      <c r="B24" s="120">
        <v>45195</v>
      </c>
      <c r="C24" s="10" t="s">
        <v>916</v>
      </c>
      <c r="D24" s="25" t="s">
        <v>3412</v>
      </c>
      <c r="E24" s="10" t="s">
        <v>3422</v>
      </c>
      <c r="F24" s="8"/>
      <c r="G24" s="8">
        <v>101</v>
      </c>
      <c r="H24" s="13">
        <f t="shared" si="4"/>
        <v>2382590</v>
      </c>
      <c r="I24" s="8"/>
      <c r="J24" s="50">
        <v>980000</v>
      </c>
      <c r="K24" s="28"/>
      <c r="L24" s="29"/>
      <c r="M24" s="13"/>
      <c r="N24" s="13"/>
      <c r="O24" s="13">
        <f t="shared" si="0"/>
        <v>3362590</v>
      </c>
      <c r="P24" s="13">
        <v>5600000</v>
      </c>
      <c r="Q24" s="13">
        <f t="shared" si="1"/>
        <v>2237410</v>
      </c>
      <c r="R24" s="5"/>
    </row>
    <row r="25" spans="1:18" ht="24.95" customHeight="1" x14ac:dyDescent="0.25">
      <c r="A25" s="148">
        <v>18</v>
      </c>
      <c r="B25" s="120">
        <v>45196</v>
      </c>
      <c r="C25" s="10" t="s">
        <v>3395</v>
      </c>
      <c r="D25" s="25" t="s">
        <v>3413</v>
      </c>
      <c r="E25" s="10" t="s">
        <v>3423</v>
      </c>
      <c r="F25" s="8"/>
      <c r="G25" s="8">
        <v>182</v>
      </c>
      <c r="H25" s="13">
        <f t="shared" si="4"/>
        <v>4293380</v>
      </c>
      <c r="I25" s="8"/>
      <c r="J25" s="50">
        <v>1470000</v>
      </c>
      <c r="K25" s="28"/>
      <c r="L25" s="29"/>
      <c r="M25" s="13"/>
      <c r="N25" s="13"/>
      <c r="O25" s="13">
        <f t="shared" si="0"/>
        <v>5763380</v>
      </c>
      <c r="P25" s="13">
        <v>8000000</v>
      </c>
      <c r="Q25" s="13">
        <f t="shared" si="1"/>
        <v>2236620</v>
      </c>
      <c r="R25" s="5"/>
    </row>
    <row r="26" spans="1:18" ht="24.95" customHeight="1" x14ac:dyDescent="0.25">
      <c r="A26" s="148">
        <v>19</v>
      </c>
      <c r="B26" s="120">
        <v>45198</v>
      </c>
      <c r="C26" s="10" t="s">
        <v>1570</v>
      </c>
      <c r="D26" s="25" t="s">
        <v>3414</v>
      </c>
      <c r="E26" s="10" t="s">
        <v>3424</v>
      </c>
      <c r="F26" s="8"/>
      <c r="G26" s="8">
        <v>173</v>
      </c>
      <c r="H26" s="13">
        <f>G26*23590</f>
        <v>4081070</v>
      </c>
      <c r="I26" s="8"/>
      <c r="J26" s="50">
        <v>1066000</v>
      </c>
      <c r="K26" s="28"/>
      <c r="L26" s="29"/>
      <c r="M26" s="13"/>
      <c r="N26" s="13"/>
      <c r="O26" s="13">
        <f t="shared" si="0"/>
        <v>5147070</v>
      </c>
      <c r="P26" s="13">
        <v>7400000</v>
      </c>
      <c r="Q26" s="13">
        <f t="shared" si="1"/>
        <v>2252930</v>
      </c>
      <c r="R26" s="5"/>
    </row>
    <row r="27" spans="1:18" ht="22.5" customHeight="1" x14ac:dyDescent="0.25">
      <c r="A27" s="25"/>
      <c r="B27" s="120"/>
      <c r="C27" s="10"/>
      <c r="D27" s="25"/>
      <c r="E27" s="10"/>
      <c r="F27" s="8"/>
      <c r="G27" s="8"/>
      <c r="H27" s="13"/>
      <c r="I27" s="8"/>
      <c r="J27" s="13"/>
      <c r="K27" s="28"/>
      <c r="L27" s="29"/>
      <c r="M27" s="13"/>
      <c r="N27" s="13"/>
      <c r="O27" s="13"/>
      <c r="P27" s="13"/>
      <c r="Q27" s="13"/>
      <c r="R27" s="5"/>
    </row>
    <row r="28" spans="1:18" ht="24" customHeight="1" x14ac:dyDescent="0.25">
      <c r="A28" s="8"/>
      <c r="B28" s="8"/>
      <c r="C28" s="196" t="s">
        <v>131</v>
      </c>
      <c r="D28" s="197"/>
      <c r="E28" s="197"/>
      <c r="F28" s="198"/>
      <c r="G28" s="8"/>
      <c r="H28" s="13"/>
      <c r="I28" s="8"/>
      <c r="J28" s="13"/>
      <c r="K28" s="90">
        <v>1200000</v>
      </c>
      <c r="L28" s="28"/>
      <c r="M28" s="18"/>
      <c r="N28" s="28"/>
      <c r="O28" s="53">
        <f t="shared" si="0"/>
        <v>1200000</v>
      </c>
      <c r="P28" s="28"/>
      <c r="Q28" s="54"/>
    </row>
    <row r="29" spans="1:18" ht="24" customHeight="1" x14ac:dyDescent="0.25">
      <c r="A29" s="8"/>
      <c r="B29" s="8"/>
      <c r="C29" s="196" t="s">
        <v>3144</v>
      </c>
      <c r="D29" s="197"/>
      <c r="E29" s="197"/>
      <c r="F29" s="198"/>
      <c r="G29" s="8"/>
      <c r="H29" s="13"/>
      <c r="I29" s="8"/>
      <c r="J29" s="13"/>
      <c r="K29" s="28">
        <v>5988000</v>
      </c>
      <c r="L29" s="28"/>
      <c r="M29" s="18"/>
      <c r="N29" s="28"/>
      <c r="O29" s="53">
        <f t="shared" si="0"/>
        <v>5988000</v>
      </c>
      <c r="P29" s="28"/>
      <c r="Q29" s="54"/>
    </row>
    <row r="30" spans="1:18" ht="24" customHeight="1" x14ac:dyDescent="0.25">
      <c r="A30" s="8"/>
      <c r="B30" s="8"/>
      <c r="C30" s="196" t="s">
        <v>3425</v>
      </c>
      <c r="D30" s="197"/>
      <c r="E30" s="197"/>
      <c r="F30" s="198"/>
      <c r="G30" s="8"/>
      <c r="H30" s="13"/>
      <c r="I30" s="8"/>
      <c r="J30" s="13"/>
      <c r="K30" s="28"/>
      <c r="L30" s="90">
        <v>626400</v>
      </c>
      <c r="M30" s="18"/>
      <c r="N30" s="28"/>
      <c r="O30" s="53">
        <f t="shared" si="0"/>
        <v>626400</v>
      </c>
      <c r="P30" s="28"/>
      <c r="Q30" s="54"/>
    </row>
    <row r="31" spans="1:18" ht="24" customHeight="1" x14ac:dyDescent="0.25">
      <c r="A31" s="8"/>
      <c r="B31" s="8"/>
      <c r="C31" s="196" t="s">
        <v>3426</v>
      </c>
      <c r="D31" s="197"/>
      <c r="E31" s="197"/>
      <c r="F31" s="198"/>
      <c r="G31" s="8"/>
      <c r="H31" s="13"/>
      <c r="I31" s="8"/>
      <c r="J31" s="13"/>
      <c r="K31" s="28"/>
      <c r="L31" s="28"/>
      <c r="M31" s="18"/>
      <c r="N31" s="90">
        <v>3375000</v>
      </c>
      <c r="O31" s="53">
        <f t="shared" si="0"/>
        <v>3375000</v>
      </c>
      <c r="P31" s="28"/>
      <c r="Q31" s="54"/>
    </row>
    <row r="32" spans="1:18" ht="24" customHeight="1" x14ac:dyDescent="0.25">
      <c r="A32" s="8"/>
      <c r="B32" s="8"/>
      <c r="C32" s="196" t="s">
        <v>3427</v>
      </c>
      <c r="D32" s="197"/>
      <c r="E32" s="197"/>
      <c r="F32" s="125"/>
      <c r="G32" s="8"/>
      <c r="H32" s="13"/>
      <c r="I32" s="8"/>
      <c r="J32" s="13"/>
      <c r="K32" s="28"/>
      <c r="L32" s="28"/>
      <c r="M32" s="90">
        <v>300000</v>
      </c>
      <c r="N32" s="28"/>
      <c r="O32" s="53">
        <f t="shared" si="0"/>
        <v>300000</v>
      </c>
      <c r="P32" s="28"/>
      <c r="Q32" s="54"/>
    </row>
    <row r="33" spans="1:17" ht="24" customHeight="1" x14ac:dyDescent="0.25">
      <c r="A33" s="8"/>
      <c r="B33" s="8"/>
      <c r="C33" s="196" t="s">
        <v>3428</v>
      </c>
      <c r="D33" s="197"/>
      <c r="E33" s="197"/>
      <c r="F33" s="198"/>
      <c r="G33" s="8"/>
      <c r="H33" s="13"/>
      <c r="I33" s="8"/>
      <c r="J33" s="13"/>
      <c r="K33" s="90">
        <v>206000</v>
      </c>
      <c r="L33" s="28"/>
      <c r="M33" s="18"/>
      <c r="N33" s="28"/>
      <c r="O33" s="53">
        <f t="shared" si="0"/>
        <v>206000</v>
      </c>
      <c r="P33" s="28"/>
      <c r="Q33" s="54"/>
    </row>
    <row r="34" spans="1:17" ht="24" customHeight="1" x14ac:dyDescent="0.25">
      <c r="A34" s="8"/>
      <c r="B34" s="8"/>
      <c r="C34" s="196" t="s">
        <v>3429</v>
      </c>
      <c r="D34" s="197"/>
      <c r="E34" s="197"/>
      <c r="F34" s="198"/>
      <c r="G34" s="8"/>
      <c r="H34" s="13"/>
      <c r="I34" s="8"/>
      <c r="J34" s="13"/>
      <c r="K34" s="28"/>
      <c r="L34" s="90">
        <v>170000</v>
      </c>
      <c r="M34" s="18"/>
      <c r="N34" s="28"/>
      <c r="O34" s="53">
        <f t="shared" si="0"/>
        <v>170000</v>
      </c>
      <c r="P34" s="28"/>
      <c r="Q34" s="54"/>
    </row>
    <row r="35" spans="1:17" ht="24" customHeight="1" x14ac:dyDescent="0.25">
      <c r="A35" s="8"/>
      <c r="B35" s="8"/>
      <c r="C35" s="196" t="s">
        <v>3430</v>
      </c>
      <c r="D35" s="197"/>
      <c r="E35" s="197"/>
      <c r="F35" s="198"/>
      <c r="G35" s="8"/>
      <c r="H35" s="13"/>
      <c r="I35" s="8"/>
      <c r="J35" s="13"/>
      <c r="K35" s="90">
        <v>8532000</v>
      </c>
      <c r="L35" s="28"/>
      <c r="M35" s="18"/>
      <c r="N35" s="28"/>
      <c r="O35" s="53">
        <f t="shared" si="0"/>
        <v>8532000</v>
      </c>
      <c r="P35" s="28"/>
      <c r="Q35" s="54"/>
    </row>
    <row r="36" spans="1:17" ht="24" customHeight="1" x14ac:dyDescent="0.25">
      <c r="A36" s="8"/>
      <c r="B36" s="8"/>
      <c r="C36" s="196" t="s">
        <v>3431</v>
      </c>
      <c r="D36" s="197"/>
      <c r="E36" s="197"/>
      <c r="F36" s="198"/>
      <c r="G36" s="8"/>
      <c r="H36" s="13"/>
      <c r="I36" s="8"/>
      <c r="J36" s="13"/>
      <c r="K36" s="90">
        <v>580000</v>
      </c>
      <c r="L36" s="28"/>
      <c r="M36" s="18"/>
      <c r="N36" s="28"/>
      <c r="O36" s="53">
        <f t="shared" si="0"/>
        <v>580000</v>
      </c>
      <c r="P36" s="28"/>
      <c r="Q36" s="54"/>
    </row>
    <row r="37" spans="1:17" ht="24" customHeight="1" x14ac:dyDescent="0.25">
      <c r="A37" s="8"/>
      <c r="B37" s="8"/>
      <c r="C37" s="196" t="s">
        <v>3482</v>
      </c>
      <c r="D37" s="197"/>
      <c r="E37" s="197"/>
      <c r="F37" s="198"/>
      <c r="G37" s="8"/>
      <c r="H37" s="13"/>
      <c r="I37" s="8"/>
      <c r="J37" s="13"/>
      <c r="K37" s="28"/>
      <c r="L37" s="90">
        <v>2340000</v>
      </c>
      <c r="M37" s="18"/>
      <c r="N37" s="28"/>
      <c r="O37" s="53">
        <f t="shared" si="0"/>
        <v>2340000</v>
      </c>
      <c r="P37" s="28"/>
      <c r="Q37" s="54"/>
    </row>
    <row r="38" spans="1:17" ht="24" customHeight="1" x14ac:dyDescent="0.25">
      <c r="A38" s="8"/>
      <c r="B38" s="8"/>
      <c r="C38" s="196" t="s">
        <v>3483</v>
      </c>
      <c r="D38" s="197"/>
      <c r="E38" s="197"/>
      <c r="F38" s="198"/>
      <c r="G38" s="8"/>
      <c r="H38" s="13"/>
      <c r="I38" s="8"/>
      <c r="J38" s="13"/>
      <c r="K38" s="28"/>
      <c r="L38" s="90">
        <v>1600000</v>
      </c>
      <c r="M38" s="18"/>
      <c r="N38" s="28"/>
      <c r="O38" s="53">
        <f t="shared" si="0"/>
        <v>1600000</v>
      </c>
      <c r="P38" s="28"/>
      <c r="Q38" s="54"/>
    </row>
    <row r="39" spans="1:17" ht="24" customHeight="1" x14ac:dyDescent="0.25">
      <c r="A39" s="8"/>
      <c r="B39" s="8"/>
      <c r="C39" s="196" t="s">
        <v>3484</v>
      </c>
      <c r="D39" s="197"/>
      <c r="E39" s="197"/>
      <c r="F39" s="198"/>
      <c r="G39" s="8"/>
      <c r="H39" s="13"/>
      <c r="I39" s="8"/>
      <c r="J39" s="13"/>
      <c r="K39" s="28"/>
      <c r="L39" s="90">
        <v>3250000</v>
      </c>
      <c r="M39" s="18"/>
      <c r="N39" s="28"/>
      <c r="O39" s="53">
        <f t="shared" si="0"/>
        <v>3250000</v>
      </c>
      <c r="P39" s="28"/>
      <c r="Q39" s="54"/>
    </row>
    <row r="40" spans="1:17" ht="24" customHeight="1" x14ac:dyDescent="0.25">
      <c r="A40" s="8"/>
      <c r="B40" s="8"/>
      <c r="C40" s="196" t="s">
        <v>3485</v>
      </c>
      <c r="D40" s="197"/>
      <c r="E40" s="197"/>
      <c r="F40" s="198"/>
      <c r="G40" s="8"/>
      <c r="H40" s="13"/>
      <c r="I40" s="8"/>
      <c r="J40" s="13"/>
      <c r="K40" s="28"/>
      <c r="L40" s="90">
        <v>2400000</v>
      </c>
      <c r="M40" s="18"/>
      <c r="N40" s="28"/>
      <c r="O40" s="53">
        <f t="shared" si="0"/>
        <v>2400000</v>
      </c>
      <c r="P40" s="28"/>
      <c r="Q40" s="54"/>
    </row>
    <row r="41" spans="1:17" ht="24" customHeight="1" x14ac:dyDescent="0.25">
      <c r="A41" s="8"/>
      <c r="B41" s="8"/>
      <c r="C41" s="196" t="s">
        <v>3592</v>
      </c>
      <c r="D41" s="197"/>
      <c r="E41" s="197"/>
      <c r="F41" s="198"/>
      <c r="G41" s="8"/>
      <c r="H41" s="13"/>
      <c r="I41" s="8"/>
      <c r="J41" s="13"/>
      <c r="K41" s="28"/>
      <c r="L41" s="90">
        <v>200000</v>
      </c>
      <c r="M41" s="18"/>
      <c r="N41" s="28"/>
      <c r="O41" s="53">
        <f t="shared" si="0"/>
        <v>200000</v>
      </c>
      <c r="P41" s="28"/>
      <c r="Q41" s="54"/>
    </row>
    <row r="42" spans="1:17" ht="25.5" customHeight="1" x14ac:dyDescent="0.25">
      <c r="A42" s="8"/>
      <c r="B42" s="8"/>
      <c r="C42" s="191" t="s">
        <v>3379</v>
      </c>
      <c r="D42" s="192"/>
      <c r="E42" s="192"/>
      <c r="F42" s="195"/>
      <c r="G42" s="30"/>
      <c r="H42" s="28"/>
      <c r="I42" s="30"/>
      <c r="J42" s="28"/>
      <c r="K42" s="90">
        <v>9300000</v>
      </c>
      <c r="L42" s="28"/>
      <c r="M42" s="18"/>
      <c r="N42" s="28"/>
      <c r="O42" s="53">
        <f>H42+J42+K42+L42+M42+N42</f>
        <v>9300000</v>
      </c>
      <c r="P42" s="28"/>
      <c r="Q42" s="54"/>
    </row>
    <row r="43" spans="1:17" ht="15" customHeight="1" x14ac:dyDescent="0.25">
      <c r="A43" s="166" t="s">
        <v>19</v>
      </c>
      <c r="B43" s="167"/>
      <c r="C43" s="167"/>
      <c r="D43" s="167"/>
      <c r="E43" s="167"/>
      <c r="F43" s="168"/>
      <c r="G43" s="131">
        <f t="shared" ref="G43:O43" si="5">SUM(G7:G42)</f>
        <v>2894</v>
      </c>
      <c r="H43" s="4">
        <f t="shared" si="5"/>
        <v>66851110</v>
      </c>
      <c r="I43" s="4">
        <f t="shared" si="5"/>
        <v>0</v>
      </c>
      <c r="J43" s="4">
        <f>SUM(J7:J42)</f>
        <v>26236000</v>
      </c>
      <c r="K43" s="4">
        <f t="shared" si="5"/>
        <v>25806000</v>
      </c>
      <c r="L43" s="4">
        <f t="shared" si="5"/>
        <v>10586400</v>
      </c>
      <c r="M43" s="4">
        <f t="shared" si="5"/>
        <v>300000</v>
      </c>
      <c r="N43" s="4">
        <f t="shared" si="5"/>
        <v>3375000</v>
      </c>
      <c r="O43" s="4">
        <f t="shared" si="5"/>
        <v>133154510</v>
      </c>
      <c r="P43" s="150">
        <f>SUM(P8:P42)</f>
        <v>151914076</v>
      </c>
      <c r="Q43" s="4">
        <f>P43-O43</f>
        <v>18759566</v>
      </c>
    </row>
    <row r="44" spans="1:17" x14ac:dyDescent="0.25">
      <c r="O44" s="20"/>
      <c r="P44" s="5" t="s">
        <v>1796</v>
      </c>
      <c r="Q44" s="26"/>
    </row>
    <row r="45" spans="1:17" x14ac:dyDescent="0.25">
      <c r="P45" s="21" t="s">
        <v>20</v>
      </c>
      <c r="Q45" s="26">
        <f>'08.2023'!Q41+'09.2023'!Q43</f>
        <v>29566972</v>
      </c>
    </row>
    <row r="46" spans="1:17" x14ac:dyDescent="0.25">
      <c r="C46" s="6" t="s">
        <v>993</v>
      </c>
    </row>
    <row r="47" spans="1:17" x14ac:dyDescent="0.25">
      <c r="C47" s="205"/>
      <c r="D47" s="205"/>
      <c r="E47" s="205"/>
      <c r="F47" s="205"/>
      <c r="H47" s="109"/>
    </row>
    <row r="48" spans="1:17" x14ac:dyDescent="0.25">
      <c r="C48" s="206"/>
      <c r="D48" s="206"/>
      <c r="E48" s="206"/>
      <c r="F48" s="206"/>
      <c r="H48" s="109"/>
    </row>
    <row r="49" spans="2:17" x14ac:dyDescent="0.25">
      <c r="B49" s="6"/>
      <c r="C49" s="110"/>
      <c r="D49" s="110"/>
      <c r="E49" s="110"/>
      <c r="F49" s="110"/>
      <c r="G49" s="133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H51" s="109"/>
    </row>
    <row r="52" spans="2:17" x14ac:dyDescent="0.25">
      <c r="B52" s="6"/>
      <c r="C52" s="206"/>
      <c r="D52" s="206"/>
      <c r="E52" s="206"/>
      <c r="F52" s="206"/>
      <c r="G52" s="133"/>
      <c r="H52" s="109"/>
      <c r="J52" s="6"/>
      <c r="K52" s="6"/>
      <c r="L52" s="6"/>
      <c r="M52" s="6"/>
      <c r="N52" s="6"/>
      <c r="O52" s="6"/>
      <c r="P52" s="6"/>
      <c r="Q52" s="6"/>
    </row>
    <row r="53" spans="2:17" x14ac:dyDescent="0.2">
      <c r="C53" s="107"/>
      <c r="D53" s="110"/>
      <c r="E53" s="110"/>
      <c r="F53" s="110"/>
      <c r="H53" s="109"/>
    </row>
    <row r="54" spans="2:17" x14ac:dyDescent="0.25">
      <c r="C54" s="205"/>
      <c r="D54" s="205"/>
      <c r="E54" s="205"/>
      <c r="F54" s="205"/>
    </row>
  </sheetData>
  <mergeCells count="35">
    <mergeCell ref="C42:F42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P5:P6"/>
    <mergeCell ref="Q5:Q6"/>
    <mergeCell ref="C41:F41"/>
    <mergeCell ref="A43:F43"/>
    <mergeCell ref="C47:F47"/>
    <mergeCell ref="O5:O6"/>
    <mergeCell ref="C37:F37"/>
    <mergeCell ref="C38:F38"/>
    <mergeCell ref="C39:F39"/>
    <mergeCell ref="C40:F40"/>
    <mergeCell ref="C32:E32"/>
    <mergeCell ref="C33:F33"/>
    <mergeCell ref="C34:F34"/>
    <mergeCell ref="C31:F31"/>
    <mergeCell ref="C35:F35"/>
    <mergeCell ref="C28:F28"/>
    <mergeCell ref="C29:F29"/>
    <mergeCell ref="C30:F30"/>
    <mergeCell ref="C36:F36"/>
    <mergeCell ref="C48:F48"/>
    <mergeCell ref="C50:F50"/>
    <mergeCell ref="C51:F51"/>
    <mergeCell ref="C52:F52"/>
    <mergeCell ref="C54:F54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8651-7860-486A-BB83-D9D3F57CEACF}">
  <dimension ref="A1:R50"/>
  <sheetViews>
    <sheetView topLeftCell="C18" workbookViewId="0">
      <selection activeCell="K15" sqref="K15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3432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45199</v>
      </c>
      <c r="C8" s="10" t="s">
        <v>3433</v>
      </c>
      <c r="D8" s="25" t="s">
        <v>3457</v>
      </c>
      <c r="E8" s="10" t="s">
        <v>2988</v>
      </c>
      <c r="F8" s="8"/>
      <c r="G8" s="8">
        <v>54</v>
      </c>
      <c r="H8" s="13">
        <f>G8*23590</f>
        <v>1273860</v>
      </c>
      <c r="I8" s="8"/>
      <c r="J8" s="50">
        <v>350000</v>
      </c>
      <c r="K8" s="28"/>
      <c r="L8" s="29"/>
      <c r="M8" s="13"/>
      <c r="N8" s="13"/>
      <c r="O8" s="13">
        <f>H8+J8+K8+L8+M8+N8</f>
        <v>1623860</v>
      </c>
      <c r="P8" s="13">
        <v>3200000</v>
      </c>
      <c r="Q8" s="13">
        <f>P8-O8</f>
        <v>1576140</v>
      </c>
      <c r="R8" s="5"/>
    </row>
    <row r="9" spans="1:18" ht="17.25" customHeight="1" x14ac:dyDescent="0.25">
      <c r="A9" s="148">
        <v>2</v>
      </c>
      <c r="B9" s="120">
        <v>45201</v>
      </c>
      <c r="C9" s="10" t="s">
        <v>3434</v>
      </c>
      <c r="D9" s="129" t="s">
        <v>3458</v>
      </c>
      <c r="E9" s="9" t="s">
        <v>3446</v>
      </c>
      <c r="F9" s="117"/>
      <c r="G9" s="8">
        <v>198</v>
      </c>
      <c r="H9" s="13">
        <f t="shared" ref="H9:H11" si="0">G9*23590</f>
        <v>4670820</v>
      </c>
      <c r="I9" s="117"/>
      <c r="J9" s="134">
        <v>1600000</v>
      </c>
      <c r="K9" s="28"/>
      <c r="L9" s="29"/>
      <c r="M9" s="13"/>
      <c r="N9" s="13"/>
      <c r="O9" s="13">
        <f t="shared" ref="O9:O37" si="1">H9+J9+K9+L9+M9+N9</f>
        <v>6270820</v>
      </c>
      <c r="P9" s="13">
        <v>10200000</v>
      </c>
      <c r="Q9" s="13">
        <f t="shared" ref="Q9:Q27" si="2">P9-O9</f>
        <v>3929180</v>
      </c>
      <c r="R9" s="5"/>
    </row>
    <row r="10" spans="1:18" ht="24.75" customHeight="1" x14ac:dyDescent="0.25">
      <c r="A10" s="148">
        <v>3</v>
      </c>
      <c r="B10" s="120">
        <v>45203</v>
      </c>
      <c r="C10" s="10" t="s">
        <v>943</v>
      </c>
      <c r="D10" s="25" t="s">
        <v>3459</v>
      </c>
      <c r="E10" s="10" t="s">
        <v>3447</v>
      </c>
      <c r="F10" s="8"/>
      <c r="G10" s="8">
        <v>171</v>
      </c>
      <c r="H10" s="13">
        <f t="shared" si="0"/>
        <v>4033890</v>
      </c>
      <c r="I10" s="8"/>
      <c r="J10" s="50">
        <v>1150000</v>
      </c>
      <c r="K10" s="28"/>
      <c r="L10" s="29"/>
      <c r="M10" s="13"/>
      <c r="N10" s="13"/>
      <c r="O10" s="13">
        <f>H10+J10+K10+L10+M10+N10</f>
        <v>5183890</v>
      </c>
      <c r="P10" s="13">
        <v>6900000</v>
      </c>
      <c r="Q10" s="13">
        <f t="shared" si="2"/>
        <v>1716110</v>
      </c>
      <c r="R10" s="5"/>
    </row>
    <row r="11" spans="1:18" ht="27.75" customHeight="1" x14ac:dyDescent="0.25">
      <c r="A11" s="148">
        <v>4</v>
      </c>
      <c r="B11" s="120">
        <v>45205</v>
      </c>
      <c r="C11" s="10" t="s">
        <v>3435</v>
      </c>
      <c r="D11" s="25" t="s">
        <v>3460</v>
      </c>
      <c r="E11" s="10" t="s">
        <v>3448</v>
      </c>
      <c r="F11" s="8"/>
      <c r="G11" s="8">
        <v>117</v>
      </c>
      <c r="H11" s="13">
        <f t="shared" si="0"/>
        <v>2760030</v>
      </c>
      <c r="I11" s="8"/>
      <c r="J11" s="50">
        <v>680000</v>
      </c>
      <c r="K11" s="28"/>
      <c r="L11" s="29"/>
      <c r="M11" s="13"/>
      <c r="N11" s="13"/>
      <c r="O11" s="13">
        <f t="shared" si="1"/>
        <v>3440030</v>
      </c>
      <c r="P11" s="13">
        <v>5300000</v>
      </c>
      <c r="Q11" s="13">
        <f t="shared" si="2"/>
        <v>1859970</v>
      </c>
      <c r="R11" s="5"/>
    </row>
    <row r="12" spans="1:18" ht="27.75" customHeight="1" x14ac:dyDescent="0.25">
      <c r="A12" s="148">
        <v>5</v>
      </c>
      <c r="B12" s="120">
        <v>45208</v>
      </c>
      <c r="C12" s="10" t="s">
        <v>951</v>
      </c>
      <c r="D12" s="25" t="s">
        <v>3461</v>
      </c>
      <c r="E12" s="10" t="s">
        <v>3449</v>
      </c>
      <c r="F12" s="8"/>
      <c r="G12" s="8">
        <v>123</v>
      </c>
      <c r="H12" s="13">
        <f>(G12-2)*23590</f>
        <v>2854390</v>
      </c>
      <c r="I12" s="8"/>
      <c r="J12" s="50">
        <v>1200000</v>
      </c>
      <c r="K12" s="28"/>
      <c r="L12" s="29"/>
      <c r="M12" s="13"/>
      <c r="N12" s="13"/>
      <c r="O12" s="13">
        <f t="shared" si="1"/>
        <v>4054390</v>
      </c>
      <c r="P12" s="13">
        <v>3600000</v>
      </c>
      <c r="Q12" s="13">
        <f t="shared" si="2"/>
        <v>-454390</v>
      </c>
      <c r="R12" s="5"/>
    </row>
    <row r="13" spans="1:18" ht="27.75" customHeight="1" x14ac:dyDescent="0.25">
      <c r="A13" s="148">
        <v>6</v>
      </c>
      <c r="B13" s="120">
        <v>45209</v>
      </c>
      <c r="C13" s="10" t="s">
        <v>3436</v>
      </c>
      <c r="D13" s="25" t="s">
        <v>3462</v>
      </c>
      <c r="E13" s="10" t="s">
        <v>3450</v>
      </c>
      <c r="F13" s="8"/>
      <c r="G13" s="8">
        <v>126</v>
      </c>
      <c r="H13" s="13">
        <f>(G13+2)*22410</f>
        <v>2868480</v>
      </c>
      <c r="I13" s="8"/>
      <c r="J13" s="50">
        <v>1034000</v>
      </c>
      <c r="K13" s="28"/>
      <c r="L13" s="29"/>
      <c r="M13" s="13"/>
      <c r="N13" s="13"/>
      <c r="O13" s="13">
        <f t="shared" si="1"/>
        <v>3902480</v>
      </c>
      <c r="P13" s="13">
        <v>6000000</v>
      </c>
      <c r="Q13" s="13">
        <f t="shared" si="2"/>
        <v>2097520</v>
      </c>
      <c r="R13" s="5"/>
    </row>
    <row r="14" spans="1:18" ht="27.75" customHeight="1" x14ac:dyDescent="0.25">
      <c r="A14" s="148">
        <v>7</v>
      </c>
      <c r="B14" s="149">
        <v>45210</v>
      </c>
      <c r="C14" s="111" t="s">
        <v>209</v>
      </c>
      <c r="D14" s="112" t="s">
        <v>3463</v>
      </c>
      <c r="E14" s="111" t="s">
        <v>3451</v>
      </c>
      <c r="F14" s="12"/>
      <c r="G14" s="8">
        <v>148</v>
      </c>
      <c r="H14" s="13">
        <f>G14*22410</f>
        <v>3316680</v>
      </c>
      <c r="I14" s="8"/>
      <c r="J14" s="50">
        <v>1350000</v>
      </c>
      <c r="K14" s="18"/>
      <c r="L14" s="99"/>
      <c r="M14" s="3"/>
      <c r="N14" s="3"/>
      <c r="O14" s="3">
        <f t="shared" si="1"/>
        <v>4666680</v>
      </c>
      <c r="P14" s="3">
        <v>7000000</v>
      </c>
      <c r="Q14" s="13">
        <f t="shared" si="2"/>
        <v>2333320</v>
      </c>
      <c r="R14" s="5"/>
    </row>
    <row r="15" spans="1:18" ht="27.75" customHeight="1" x14ac:dyDescent="0.25">
      <c r="A15" s="148">
        <v>8</v>
      </c>
      <c r="B15" s="120">
        <v>45211</v>
      </c>
      <c r="C15" s="10" t="s">
        <v>2363</v>
      </c>
      <c r="D15" s="25" t="s">
        <v>3464</v>
      </c>
      <c r="E15" s="10" t="s">
        <v>3452</v>
      </c>
      <c r="F15" s="8"/>
      <c r="G15" s="8">
        <v>125</v>
      </c>
      <c r="H15" s="13">
        <f t="shared" ref="H15:H24" si="3">G15*22410</f>
        <v>2801250</v>
      </c>
      <c r="I15" s="8"/>
      <c r="J15" s="134">
        <v>980000</v>
      </c>
      <c r="K15" s="28"/>
      <c r="L15" s="29"/>
      <c r="M15" s="13"/>
      <c r="N15" s="13"/>
      <c r="O15" s="13">
        <f t="shared" si="1"/>
        <v>3781250</v>
      </c>
      <c r="P15" s="13">
        <v>5600000</v>
      </c>
      <c r="Q15" s="13">
        <f t="shared" si="2"/>
        <v>1818750</v>
      </c>
      <c r="R15" s="5"/>
    </row>
    <row r="16" spans="1:18" ht="27.75" customHeight="1" x14ac:dyDescent="0.25">
      <c r="A16" s="148">
        <v>9</v>
      </c>
      <c r="B16" s="120">
        <v>45212</v>
      </c>
      <c r="C16" s="10" t="s">
        <v>3437</v>
      </c>
      <c r="D16" s="25" t="s">
        <v>3465</v>
      </c>
      <c r="E16" s="10" t="s">
        <v>3453</v>
      </c>
      <c r="F16" s="8"/>
      <c r="G16" s="8">
        <v>136</v>
      </c>
      <c r="H16" s="13">
        <f t="shared" si="3"/>
        <v>3047760</v>
      </c>
      <c r="I16" s="8"/>
      <c r="J16" s="50">
        <v>1030000</v>
      </c>
      <c r="K16" s="28"/>
      <c r="L16" s="29"/>
      <c r="M16" s="13"/>
      <c r="N16" s="13"/>
      <c r="O16" s="13">
        <f t="shared" si="1"/>
        <v>4077760</v>
      </c>
      <c r="P16" s="13">
        <v>6200000</v>
      </c>
      <c r="Q16" s="13">
        <f t="shared" si="2"/>
        <v>2122240</v>
      </c>
      <c r="R16" s="5"/>
    </row>
    <row r="17" spans="1:18" ht="27.75" customHeight="1" x14ac:dyDescent="0.25">
      <c r="A17" s="148">
        <v>10</v>
      </c>
      <c r="B17" s="120">
        <v>45213</v>
      </c>
      <c r="C17" s="10" t="s">
        <v>2365</v>
      </c>
      <c r="D17" s="25" t="s">
        <v>3466</v>
      </c>
      <c r="E17" s="10" t="s">
        <v>2045</v>
      </c>
      <c r="F17" s="8"/>
      <c r="G17" s="8">
        <v>320</v>
      </c>
      <c r="H17" s="13">
        <f t="shared" si="3"/>
        <v>7171200</v>
      </c>
      <c r="I17" s="8"/>
      <c r="J17" s="50">
        <v>3300000</v>
      </c>
      <c r="K17" s="28"/>
      <c r="L17" s="29"/>
      <c r="M17" s="13"/>
      <c r="N17" s="13"/>
      <c r="O17" s="13">
        <f t="shared" si="1"/>
        <v>10471200</v>
      </c>
      <c r="P17" s="13">
        <v>17592593</v>
      </c>
      <c r="Q17" s="13">
        <f t="shared" si="2"/>
        <v>7121393</v>
      </c>
      <c r="R17" s="5"/>
    </row>
    <row r="18" spans="1:18" ht="22.5" customHeight="1" x14ac:dyDescent="0.25">
      <c r="A18" s="148">
        <v>11</v>
      </c>
      <c r="B18" s="120">
        <v>45216</v>
      </c>
      <c r="C18" s="10" t="s">
        <v>3438</v>
      </c>
      <c r="D18" s="25" t="s">
        <v>3467</v>
      </c>
      <c r="E18" s="10" t="s">
        <v>112</v>
      </c>
      <c r="F18" s="8"/>
      <c r="G18" s="8">
        <v>233</v>
      </c>
      <c r="H18" s="13">
        <f t="shared" si="3"/>
        <v>5221530</v>
      </c>
      <c r="I18" s="8"/>
      <c r="J18" s="50">
        <v>2220000</v>
      </c>
      <c r="K18" s="28"/>
      <c r="L18" s="29"/>
      <c r="M18" s="13"/>
      <c r="N18" s="13"/>
      <c r="O18" s="13">
        <f t="shared" si="1"/>
        <v>7441530</v>
      </c>
      <c r="P18" s="13">
        <v>13148148</v>
      </c>
      <c r="Q18" s="13">
        <f t="shared" si="2"/>
        <v>5706618</v>
      </c>
      <c r="R18" s="5"/>
    </row>
    <row r="19" spans="1:18" ht="22.5" customHeight="1" x14ac:dyDescent="0.25">
      <c r="A19" s="148">
        <v>12</v>
      </c>
      <c r="B19" s="120">
        <v>45217</v>
      </c>
      <c r="C19" s="10" t="s">
        <v>3439</v>
      </c>
      <c r="D19" s="25" t="s">
        <v>3468</v>
      </c>
      <c r="E19" s="10" t="s">
        <v>258</v>
      </c>
      <c r="F19" s="8"/>
      <c r="G19" s="8">
        <v>160</v>
      </c>
      <c r="H19" s="13">
        <f t="shared" si="3"/>
        <v>3585600</v>
      </c>
      <c r="I19" s="8"/>
      <c r="J19" s="50">
        <v>1470000</v>
      </c>
      <c r="K19" s="28"/>
      <c r="L19" s="29"/>
      <c r="M19" s="13"/>
      <c r="N19" s="13"/>
      <c r="O19" s="13">
        <f t="shared" si="1"/>
        <v>5055600</v>
      </c>
      <c r="P19" s="13">
        <v>10185185</v>
      </c>
      <c r="Q19" s="13">
        <f t="shared" si="2"/>
        <v>5129585</v>
      </c>
      <c r="R19" s="5"/>
    </row>
    <row r="20" spans="1:18" ht="22.5" customHeight="1" x14ac:dyDescent="0.25">
      <c r="A20" s="148">
        <v>13</v>
      </c>
      <c r="B20" s="120">
        <v>45219</v>
      </c>
      <c r="C20" s="10" t="s">
        <v>3440</v>
      </c>
      <c r="D20" s="25" t="s">
        <v>3469</v>
      </c>
      <c r="E20" s="10" t="s">
        <v>3454</v>
      </c>
      <c r="F20" s="8"/>
      <c r="G20" s="8">
        <v>21</v>
      </c>
      <c r="H20" s="13">
        <f t="shared" si="3"/>
        <v>470610</v>
      </c>
      <c r="I20" s="8"/>
      <c r="J20" s="50">
        <v>400000</v>
      </c>
      <c r="K20" s="28"/>
      <c r="L20" s="29"/>
      <c r="M20" s="13"/>
      <c r="N20" s="13"/>
      <c r="O20" s="13">
        <f t="shared" si="1"/>
        <v>870610</v>
      </c>
      <c r="P20" s="13">
        <v>2500000</v>
      </c>
      <c r="Q20" s="13">
        <f t="shared" si="2"/>
        <v>1629390</v>
      </c>
      <c r="R20" s="5"/>
    </row>
    <row r="21" spans="1:18" ht="22.5" customHeight="1" x14ac:dyDescent="0.25">
      <c r="A21" s="148">
        <v>14</v>
      </c>
      <c r="B21" s="120">
        <v>45219</v>
      </c>
      <c r="C21" s="10" t="s">
        <v>3441</v>
      </c>
      <c r="D21" s="25" t="s">
        <v>3470</v>
      </c>
      <c r="E21" s="10" t="s">
        <v>549</v>
      </c>
      <c r="F21" s="8"/>
      <c r="G21" s="8">
        <v>99</v>
      </c>
      <c r="H21" s="13">
        <f t="shared" si="3"/>
        <v>2218590</v>
      </c>
      <c r="I21" s="8"/>
      <c r="J21" s="50">
        <v>680000</v>
      </c>
      <c r="K21" s="28"/>
      <c r="M21" s="13"/>
      <c r="N21" s="13"/>
      <c r="O21" s="13">
        <f>H21+J21+K21+L20+M21+N21</f>
        <v>2898590</v>
      </c>
      <c r="P21" s="13">
        <v>4900000</v>
      </c>
      <c r="Q21" s="13">
        <f t="shared" si="2"/>
        <v>2001410</v>
      </c>
      <c r="R21" s="5"/>
    </row>
    <row r="22" spans="1:18" ht="22.5" customHeight="1" x14ac:dyDescent="0.25">
      <c r="A22" s="148">
        <v>15</v>
      </c>
      <c r="B22" s="120">
        <v>45222</v>
      </c>
      <c r="C22" s="10" t="s">
        <v>3442</v>
      </c>
      <c r="D22" s="25" t="s">
        <v>3471</v>
      </c>
      <c r="E22" s="10" t="s">
        <v>549</v>
      </c>
      <c r="F22" s="8"/>
      <c r="G22" s="8">
        <v>91</v>
      </c>
      <c r="H22" s="13">
        <f t="shared" si="3"/>
        <v>2039310</v>
      </c>
      <c r="I22" s="8"/>
      <c r="J22" s="50">
        <v>680000</v>
      </c>
      <c r="K22" s="28"/>
      <c r="L22" s="29"/>
      <c r="M22" s="13"/>
      <c r="N22" s="13"/>
      <c r="O22" s="13">
        <f t="shared" si="1"/>
        <v>2719310</v>
      </c>
      <c r="P22" s="13">
        <v>4600000</v>
      </c>
      <c r="Q22" s="13">
        <f t="shared" si="2"/>
        <v>1880690</v>
      </c>
      <c r="R22" s="5"/>
    </row>
    <row r="23" spans="1:18" ht="22.5" customHeight="1" x14ac:dyDescent="0.25">
      <c r="A23" s="148">
        <v>16</v>
      </c>
      <c r="B23" s="120">
        <v>45222</v>
      </c>
      <c r="C23" s="10" t="s">
        <v>975</v>
      </c>
      <c r="D23" s="25" t="s">
        <v>3472</v>
      </c>
      <c r="E23" s="10" t="s">
        <v>2858</v>
      </c>
      <c r="F23" s="8"/>
      <c r="G23" s="8">
        <v>107</v>
      </c>
      <c r="H23" s="13">
        <f t="shared" si="3"/>
        <v>2397870</v>
      </c>
      <c r="I23" s="8"/>
      <c r="J23" s="50">
        <v>680000</v>
      </c>
      <c r="K23" s="28"/>
      <c r="L23" s="29"/>
      <c r="M23" s="13"/>
      <c r="N23" s="13"/>
      <c r="O23" s="13">
        <f t="shared" si="1"/>
        <v>3077870</v>
      </c>
      <c r="P23" s="13">
        <v>5300000</v>
      </c>
      <c r="Q23" s="13">
        <f t="shared" si="2"/>
        <v>2222130</v>
      </c>
      <c r="R23" s="5"/>
    </row>
    <row r="24" spans="1:18" ht="22.5" customHeight="1" x14ac:dyDescent="0.25">
      <c r="A24" s="148">
        <v>17</v>
      </c>
      <c r="B24" s="120">
        <v>45223</v>
      </c>
      <c r="C24" s="10" t="s">
        <v>3443</v>
      </c>
      <c r="D24" s="25" t="s">
        <v>3473</v>
      </c>
      <c r="E24" s="10" t="s">
        <v>1853</v>
      </c>
      <c r="F24" s="8"/>
      <c r="G24" s="8">
        <v>92</v>
      </c>
      <c r="H24" s="13">
        <f t="shared" si="3"/>
        <v>2061720</v>
      </c>
      <c r="I24" s="8"/>
      <c r="J24" s="50">
        <v>430000</v>
      </c>
      <c r="K24" s="28"/>
      <c r="L24" s="29"/>
      <c r="M24" s="13"/>
      <c r="N24" s="13"/>
      <c r="O24" s="13">
        <f t="shared" si="1"/>
        <v>2491720</v>
      </c>
      <c r="P24" s="13">
        <v>4300000</v>
      </c>
      <c r="Q24" s="13">
        <f t="shared" si="2"/>
        <v>1808280</v>
      </c>
      <c r="R24" s="5"/>
    </row>
    <row r="25" spans="1:18" ht="22.5" customHeight="1" x14ac:dyDescent="0.25">
      <c r="A25" s="148">
        <v>18</v>
      </c>
      <c r="B25" s="120">
        <v>45224</v>
      </c>
      <c r="C25" s="10" t="s">
        <v>3444</v>
      </c>
      <c r="D25" s="25" t="s">
        <v>3474</v>
      </c>
      <c r="E25" s="10" t="s">
        <v>2045</v>
      </c>
      <c r="F25" s="8"/>
      <c r="G25" s="8">
        <v>320</v>
      </c>
      <c r="H25" s="13">
        <f t="shared" ref="H25:H27" si="4">G25*22480</f>
        <v>7193600</v>
      </c>
      <c r="I25" s="8"/>
      <c r="J25" s="50">
        <v>3300000</v>
      </c>
      <c r="K25" s="28"/>
      <c r="L25" s="29"/>
      <c r="M25" s="13"/>
      <c r="N25" s="13"/>
      <c r="O25" s="13">
        <f t="shared" si="1"/>
        <v>10493600</v>
      </c>
      <c r="P25" s="13">
        <v>17592593</v>
      </c>
      <c r="Q25" s="13">
        <f t="shared" si="2"/>
        <v>7098993</v>
      </c>
      <c r="R25" s="5"/>
    </row>
    <row r="26" spans="1:18" ht="22.5" customHeight="1" x14ac:dyDescent="0.25">
      <c r="A26" s="148">
        <v>19</v>
      </c>
      <c r="B26" s="120">
        <v>45227</v>
      </c>
      <c r="C26" s="10" t="s">
        <v>3445</v>
      </c>
      <c r="D26" s="25" t="s">
        <v>3475</v>
      </c>
      <c r="E26" s="10" t="s">
        <v>3455</v>
      </c>
      <c r="F26" s="8"/>
      <c r="G26" s="8">
        <v>165</v>
      </c>
      <c r="H26" s="13">
        <f t="shared" si="4"/>
        <v>3709200</v>
      </c>
      <c r="I26" s="8"/>
      <c r="J26" s="50">
        <v>932000</v>
      </c>
      <c r="K26" s="28"/>
      <c r="L26" s="29"/>
      <c r="M26" s="13"/>
      <c r="N26" s="13"/>
      <c r="O26" s="13">
        <f t="shared" si="1"/>
        <v>4641200</v>
      </c>
      <c r="P26" s="13">
        <v>7370370</v>
      </c>
      <c r="Q26" s="13">
        <f t="shared" si="2"/>
        <v>2729170</v>
      </c>
      <c r="R26" s="5"/>
    </row>
    <row r="27" spans="1:18" ht="22.5" customHeight="1" x14ac:dyDescent="0.25">
      <c r="A27" s="25">
        <v>20</v>
      </c>
      <c r="B27" s="120">
        <v>45229</v>
      </c>
      <c r="C27" s="10" t="s">
        <v>988</v>
      </c>
      <c r="D27" s="25" t="s">
        <v>3476</v>
      </c>
      <c r="E27" s="10" t="s">
        <v>3456</v>
      </c>
      <c r="F27" s="8"/>
      <c r="G27" s="8">
        <v>157</v>
      </c>
      <c r="H27" s="13">
        <f t="shared" si="4"/>
        <v>3529360</v>
      </c>
      <c r="I27" s="8"/>
      <c r="J27" s="50">
        <v>1232000</v>
      </c>
      <c r="K27" s="28"/>
      <c r="L27" s="29"/>
      <c r="M27" s="13"/>
      <c r="N27" s="13"/>
      <c r="O27" s="13">
        <f t="shared" si="1"/>
        <v>4761360</v>
      </c>
      <c r="P27" s="13">
        <v>7000000</v>
      </c>
      <c r="Q27" s="13">
        <f t="shared" si="2"/>
        <v>2238640</v>
      </c>
      <c r="R27" s="5"/>
    </row>
    <row r="28" spans="1:18" ht="24" customHeight="1" x14ac:dyDescent="0.25">
      <c r="A28" s="8"/>
      <c r="B28" s="8"/>
      <c r="C28" s="196" t="s">
        <v>131</v>
      </c>
      <c r="D28" s="197"/>
      <c r="E28" s="197"/>
      <c r="F28" s="198"/>
      <c r="G28" s="8"/>
      <c r="H28" s="13"/>
      <c r="I28" s="8"/>
      <c r="J28" s="13"/>
      <c r="K28" s="90">
        <v>1200000</v>
      </c>
      <c r="L28" s="28"/>
      <c r="M28" s="18"/>
      <c r="N28" s="28"/>
      <c r="O28" s="53">
        <f t="shared" si="1"/>
        <v>1200000</v>
      </c>
      <c r="P28" s="28"/>
      <c r="Q28" s="54"/>
    </row>
    <row r="29" spans="1:18" ht="24" customHeight="1" x14ac:dyDescent="0.25">
      <c r="A29" s="8"/>
      <c r="B29" s="8"/>
      <c r="C29" s="196" t="s">
        <v>3144</v>
      </c>
      <c r="D29" s="197"/>
      <c r="E29" s="197"/>
      <c r="F29" s="198"/>
      <c r="G29" s="8"/>
      <c r="H29" s="13"/>
      <c r="I29" s="8"/>
      <c r="J29" s="13"/>
      <c r="K29" s="90">
        <v>6531000</v>
      </c>
      <c r="L29" s="28"/>
      <c r="M29" s="18"/>
      <c r="N29" s="28"/>
      <c r="O29" s="53">
        <f t="shared" si="1"/>
        <v>6531000</v>
      </c>
      <c r="P29" s="28"/>
      <c r="Q29" s="54"/>
    </row>
    <row r="30" spans="1:18" ht="24" customHeight="1" x14ac:dyDescent="0.25">
      <c r="A30" s="8"/>
      <c r="B30" s="8"/>
      <c r="C30" s="196" t="s">
        <v>3477</v>
      </c>
      <c r="D30" s="197"/>
      <c r="E30" s="197"/>
      <c r="F30" s="198"/>
      <c r="G30" s="8"/>
      <c r="H30" s="13"/>
      <c r="I30" s="8"/>
      <c r="J30" s="13"/>
      <c r="K30" s="28"/>
      <c r="L30" s="90">
        <v>1360800</v>
      </c>
      <c r="M30" s="18"/>
      <c r="N30" s="28"/>
      <c r="O30" s="53">
        <f t="shared" si="1"/>
        <v>1360800</v>
      </c>
      <c r="P30" s="28"/>
      <c r="Q30" s="54"/>
    </row>
    <row r="31" spans="1:18" ht="24" customHeight="1" x14ac:dyDescent="0.25">
      <c r="A31" s="8"/>
      <c r="B31" s="8"/>
      <c r="C31" s="196" t="s">
        <v>3478</v>
      </c>
      <c r="D31" s="197"/>
      <c r="E31" s="197"/>
      <c r="F31" s="198"/>
      <c r="G31" s="8"/>
      <c r="H31" s="13"/>
      <c r="I31" s="8"/>
      <c r="J31" s="13"/>
      <c r="K31" s="28"/>
      <c r="L31" s="28"/>
      <c r="M31" s="90">
        <v>350000</v>
      </c>
      <c r="N31" s="28"/>
      <c r="O31" s="53">
        <f t="shared" si="1"/>
        <v>350000</v>
      </c>
      <c r="P31" s="28"/>
      <c r="Q31" s="54"/>
    </row>
    <row r="32" spans="1:18" ht="24" customHeight="1" x14ac:dyDescent="0.25">
      <c r="A32" s="8"/>
      <c r="B32" s="8"/>
      <c r="C32" s="196" t="s">
        <v>3479</v>
      </c>
      <c r="D32" s="197"/>
      <c r="E32" s="197"/>
      <c r="F32" s="125"/>
      <c r="G32" s="8"/>
      <c r="H32" s="13"/>
      <c r="I32" s="8"/>
      <c r="J32" s="13"/>
      <c r="K32" s="28"/>
      <c r="L32" s="90">
        <v>800000</v>
      </c>
      <c r="M32" s="18"/>
      <c r="N32" s="28"/>
      <c r="O32" s="53">
        <f t="shared" si="1"/>
        <v>800000</v>
      </c>
      <c r="P32" s="28"/>
      <c r="Q32" s="54"/>
    </row>
    <row r="33" spans="1:17" ht="24" customHeight="1" x14ac:dyDescent="0.25">
      <c r="A33" s="8"/>
      <c r="B33" s="8"/>
      <c r="C33" s="196" t="s">
        <v>3480</v>
      </c>
      <c r="D33" s="197"/>
      <c r="E33" s="197"/>
      <c r="F33" s="198"/>
      <c r="G33" s="8"/>
      <c r="H33" s="13"/>
      <c r="I33" s="8"/>
      <c r="J33" s="13"/>
      <c r="K33" s="28"/>
      <c r="L33" s="28"/>
      <c r="M33" s="90">
        <v>11800000</v>
      </c>
      <c r="N33" s="28"/>
      <c r="O33" s="53">
        <f t="shared" si="1"/>
        <v>11800000</v>
      </c>
      <c r="P33" s="28"/>
      <c r="Q33" s="54"/>
    </row>
    <row r="34" spans="1:17" ht="24" customHeight="1" x14ac:dyDescent="0.25">
      <c r="A34" s="8"/>
      <c r="B34" s="8"/>
      <c r="C34" s="196" t="s">
        <v>3481</v>
      </c>
      <c r="D34" s="197"/>
      <c r="E34" s="197"/>
      <c r="F34" s="198"/>
      <c r="G34" s="8"/>
      <c r="H34" s="13"/>
      <c r="I34" s="8"/>
      <c r="J34" s="13"/>
      <c r="K34" s="28"/>
      <c r="L34" s="90">
        <v>150000</v>
      </c>
      <c r="M34" s="18"/>
      <c r="N34" s="28"/>
      <c r="O34" s="53">
        <f t="shared" si="1"/>
        <v>150000</v>
      </c>
      <c r="P34" s="28"/>
      <c r="Q34" s="54"/>
    </row>
    <row r="35" spans="1:17" ht="24" customHeight="1" x14ac:dyDescent="0.25">
      <c r="A35" s="8"/>
      <c r="B35" s="8"/>
      <c r="C35" s="196" t="s">
        <v>3486</v>
      </c>
      <c r="D35" s="197"/>
      <c r="E35" s="197"/>
      <c r="F35" s="198"/>
      <c r="G35" s="8"/>
      <c r="H35" s="13"/>
      <c r="I35" s="8"/>
      <c r="J35" s="13"/>
      <c r="K35" s="28"/>
      <c r="L35" s="90">
        <v>2150000</v>
      </c>
      <c r="M35" s="18"/>
      <c r="N35" s="28"/>
      <c r="O35" s="53">
        <f t="shared" si="1"/>
        <v>2150000</v>
      </c>
      <c r="P35" s="28"/>
      <c r="Q35" s="54"/>
    </row>
    <row r="36" spans="1:17" ht="24" customHeight="1" x14ac:dyDescent="0.25">
      <c r="A36" s="8"/>
      <c r="B36" s="8"/>
      <c r="C36" s="196" t="s">
        <v>3590</v>
      </c>
      <c r="D36" s="197"/>
      <c r="E36" s="197"/>
      <c r="F36" s="198"/>
      <c r="G36" s="8"/>
      <c r="H36" s="13"/>
      <c r="I36" s="8"/>
      <c r="J36" s="13"/>
      <c r="K36" s="28"/>
      <c r="L36" s="90">
        <v>1450000</v>
      </c>
      <c r="M36" s="18"/>
      <c r="N36" s="28"/>
      <c r="O36" s="53">
        <f t="shared" si="1"/>
        <v>1450000</v>
      </c>
      <c r="P36" s="28"/>
      <c r="Q36" s="54"/>
    </row>
    <row r="37" spans="1:17" ht="24" customHeight="1" x14ac:dyDescent="0.25">
      <c r="A37" s="8"/>
      <c r="B37" s="8"/>
      <c r="C37" s="196" t="s">
        <v>3591</v>
      </c>
      <c r="D37" s="197"/>
      <c r="E37" s="197"/>
      <c r="F37" s="198"/>
      <c r="G37" s="8"/>
      <c r="H37" s="13"/>
      <c r="I37" s="8"/>
      <c r="J37" s="13"/>
      <c r="K37" s="28"/>
      <c r="L37" s="90">
        <v>800000</v>
      </c>
      <c r="M37" s="18"/>
      <c r="N37" s="28"/>
      <c r="O37" s="53">
        <f t="shared" si="1"/>
        <v>800000</v>
      </c>
      <c r="P37" s="28"/>
      <c r="Q37" s="54"/>
    </row>
    <row r="38" spans="1:17" ht="25.5" customHeight="1" x14ac:dyDescent="0.25">
      <c r="A38" s="8"/>
      <c r="B38" s="8"/>
      <c r="C38" s="191" t="s">
        <v>2763</v>
      </c>
      <c r="D38" s="192"/>
      <c r="E38" s="192"/>
      <c r="F38" s="195"/>
      <c r="G38" s="30"/>
      <c r="H38" s="28"/>
      <c r="I38" s="30"/>
      <c r="J38" s="28"/>
      <c r="K38" s="90">
        <v>9000000</v>
      </c>
      <c r="L38" s="28"/>
      <c r="M38" s="18"/>
      <c r="N38" s="28"/>
      <c r="O38" s="53">
        <f>H38+J38+K38+L38+M38+N38</f>
        <v>9000000</v>
      </c>
      <c r="P38" s="28"/>
      <c r="Q38" s="54"/>
    </row>
    <row r="39" spans="1:17" ht="15" customHeight="1" x14ac:dyDescent="0.25">
      <c r="A39" s="166" t="s">
        <v>19</v>
      </c>
      <c r="B39" s="167"/>
      <c r="C39" s="167"/>
      <c r="D39" s="167"/>
      <c r="E39" s="167"/>
      <c r="F39" s="168"/>
      <c r="G39" s="131">
        <f t="shared" ref="G39:O39" si="5">SUM(G7:G38)</f>
        <v>2963</v>
      </c>
      <c r="H39" s="4">
        <f t="shared" si="5"/>
        <v>67225750</v>
      </c>
      <c r="I39" s="4">
        <f t="shared" si="5"/>
        <v>0</v>
      </c>
      <c r="J39" s="4">
        <f>SUM(J7:J38)</f>
        <v>24698000</v>
      </c>
      <c r="K39" s="4">
        <f t="shared" si="5"/>
        <v>16731000</v>
      </c>
      <c r="L39" s="4">
        <f t="shared" si="5"/>
        <v>6710800</v>
      </c>
      <c r="M39" s="4">
        <f t="shared" si="5"/>
        <v>12150000</v>
      </c>
      <c r="N39" s="4">
        <f t="shared" si="5"/>
        <v>0</v>
      </c>
      <c r="O39" s="4">
        <f t="shared" si="5"/>
        <v>127515550</v>
      </c>
      <c r="P39" s="51">
        <f>SUM(P8:P38)</f>
        <v>148488889</v>
      </c>
      <c r="Q39" s="4">
        <f>P39-O39</f>
        <v>20973339</v>
      </c>
    </row>
    <row r="40" spans="1:17" x14ac:dyDescent="0.25">
      <c r="O40" s="20"/>
      <c r="P40" s="5" t="s">
        <v>1796</v>
      </c>
      <c r="Q40" s="26"/>
    </row>
    <row r="41" spans="1:17" x14ac:dyDescent="0.25">
      <c r="P41" s="21" t="s">
        <v>20</v>
      </c>
      <c r="Q41" s="26">
        <f>'09.2023'!Q45+'10.2023'!Q39</f>
        <v>50540311</v>
      </c>
    </row>
    <row r="42" spans="1:17" x14ac:dyDescent="0.25">
      <c r="C42" s="6" t="s">
        <v>993</v>
      </c>
    </row>
    <row r="43" spans="1:17" x14ac:dyDescent="0.25">
      <c r="C43" s="205"/>
      <c r="D43" s="205"/>
      <c r="E43" s="205"/>
      <c r="F43" s="205"/>
      <c r="H43" s="109"/>
    </row>
    <row r="44" spans="1:17" x14ac:dyDescent="0.25">
      <c r="C44" s="206"/>
      <c r="D44" s="206"/>
      <c r="E44" s="206"/>
      <c r="F44" s="206"/>
      <c r="H44" s="109"/>
    </row>
    <row r="45" spans="1:17" x14ac:dyDescent="0.25">
      <c r="B45" s="6"/>
      <c r="C45" s="110"/>
      <c r="D45" s="110"/>
      <c r="E45" s="110"/>
      <c r="F45" s="110"/>
      <c r="G45" s="133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H47" s="109"/>
    </row>
    <row r="48" spans="1:17" x14ac:dyDescent="0.25">
      <c r="B48" s="6"/>
      <c r="C48" s="206"/>
      <c r="D48" s="206"/>
      <c r="E48" s="206"/>
      <c r="F48" s="206"/>
      <c r="G48" s="133"/>
      <c r="H48" s="109"/>
      <c r="J48" s="6"/>
      <c r="K48" s="6"/>
      <c r="L48" s="6"/>
      <c r="M48" s="6"/>
      <c r="N48" s="6"/>
      <c r="O48" s="6"/>
      <c r="P48" s="6"/>
      <c r="Q48" s="6"/>
    </row>
    <row r="49" spans="3:8" x14ac:dyDescent="0.2">
      <c r="C49" s="107"/>
      <c r="D49" s="110"/>
      <c r="E49" s="110"/>
      <c r="F49" s="110"/>
      <c r="H49" s="109"/>
    </row>
    <row r="50" spans="3:8" x14ac:dyDescent="0.25">
      <c r="C50" s="205"/>
      <c r="D50" s="205"/>
      <c r="E50" s="205"/>
      <c r="F50" s="205"/>
    </row>
  </sheetData>
  <mergeCells count="31">
    <mergeCell ref="C36:F36"/>
    <mergeCell ref="C37:F37"/>
    <mergeCell ref="C48:F48"/>
    <mergeCell ref="C50:F50"/>
    <mergeCell ref="C38:F38"/>
    <mergeCell ref="A39:F39"/>
    <mergeCell ref="C43:F43"/>
    <mergeCell ref="C44:F44"/>
    <mergeCell ref="C46:F46"/>
    <mergeCell ref="C47:F47"/>
    <mergeCell ref="C31:F31"/>
    <mergeCell ref="C32:E32"/>
    <mergeCell ref="C33:F33"/>
    <mergeCell ref="C34:F34"/>
    <mergeCell ref="C35:F35"/>
    <mergeCell ref="C30:F30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28:F28"/>
    <mergeCell ref="C29:F29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C774-11AE-46D2-A310-3B8840634E50}">
  <dimension ref="A1:R48"/>
  <sheetViews>
    <sheetView topLeftCell="D17" workbookViewId="0">
      <selection activeCell="J23" sqref="J2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3487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45230</v>
      </c>
      <c r="C8" s="10" t="s">
        <v>2971</v>
      </c>
      <c r="D8" s="25" t="s">
        <v>3499</v>
      </c>
      <c r="E8" s="10" t="s">
        <v>3522</v>
      </c>
      <c r="F8" s="8"/>
      <c r="G8" s="8">
        <v>148</v>
      </c>
      <c r="H8" s="13">
        <f>G8*21940</f>
        <v>3247120</v>
      </c>
      <c r="I8" s="8"/>
      <c r="J8" s="50">
        <v>1003000</v>
      </c>
      <c r="K8" s="28"/>
      <c r="L8" s="29"/>
      <c r="M8" s="13"/>
      <c r="N8" s="13"/>
      <c r="O8" s="13">
        <f>H8+J8+K8+L8+M8+N8</f>
        <v>4250120</v>
      </c>
      <c r="P8" s="13">
        <v>6000000</v>
      </c>
      <c r="Q8" s="13">
        <f>P8-O8</f>
        <v>1749880</v>
      </c>
      <c r="R8" s="5"/>
    </row>
    <row r="9" spans="1:18" ht="24.75" customHeight="1" x14ac:dyDescent="0.25">
      <c r="A9" s="148">
        <v>2</v>
      </c>
      <c r="B9" s="120">
        <v>45231</v>
      </c>
      <c r="C9" s="10" t="s">
        <v>271</v>
      </c>
      <c r="D9" s="129" t="s">
        <v>3500</v>
      </c>
      <c r="E9" s="9" t="s">
        <v>3523</v>
      </c>
      <c r="F9" s="117"/>
      <c r="G9" s="8">
        <v>180</v>
      </c>
      <c r="H9" s="13">
        <f t="shared" ref="H9:H13" si="0">G9*21940</f>
        <v>3949200</v>
      </c>
      <c r="I9" s="117"/>
      <c r="J9" s="134">
        <v>1300000</v>
      </c>
      <c r="K9" s="28"/>
      <c r="L9" s="29"/>
      <c r="M9" s="13"/>
      <c r="N9" s="13"/>
      <c r="O9" s="13">
        <f t="shared" ref="O9:O35" si="1">H9+J9+K9+L9+M9+N9</f>
        <v>5249200</v>
      </c>
      <c r="P9" s="13">
        <v>7200000</v>
      </c>
      <c r="Q9" s="13">
        <f t="shared" ref="Q9:Q31" si="2">P9-O9</f>
        <v>1950800</v>
      </c>
      <c r="R9" s="5"/>
    </row>
    <row r="10" spans="1:18" ht="24.75" customHeight="1" x14ac:dyDescent="0.25">
      <c r="A10" s="148">
        <v>3</v>
      </c>
      <c r="B10" s="120">
        <v>45232</v>
      </c>
      <c r="C10" s="10" t="s">
        <v>272</v>
      </c>
      <c r="D10" s="25" t="s">
        <v>3336</v>
      </c>
      <c r="E10" s="10" t="s">
        <v>3524</v>
      </c>
      <c r="F10" s="8"/>
      <c r="G10" s="8">
        <v>150</v>
      </c>
      <c r="H10" s="13">
        <f t="shared" si="0"/>
        <v>3291000</v>
      </c>
      <c r="I10" s="8"/>
      <c r="J10" s="50">
        <v>1130000</v>
      </c>
      <c r="K10" s="28"/>
      <c r="L10" s="29"/>
      <c r="M10" s="13"/>
      <c r="N10" s="13"/>
      <c r="O10" s="13">
        <f>H10+J10+K10+L10+M10+N10</f>
        <v>4421000</v>
      </c>
      <c r="P10" s="13">
        <v>6700000</v>
      </c>
      <c r="Q10" s="13">
        <f t="shared" si="2"/>
        <v>2279000</v>
      </c>
      <c r="R10" s="5"/>
    </row>
    <row r="11" spans="1:18" ht="27.75" customHeight="1" x14ac:dyDescent="0.25">
      <c r="A11" s="148">
        <v>4</v>
      </c>
      <c r="B11" s="120">
        <v>45233</v>
      </c>
      <c r="C11" s="10" t="s">
        <v>3488</v>
      </c>
      <c r="D11" s="25" t="s">
        <v>3501</v>
      </c>
      <c r="E11" s="10" t="s">
        <v>3525</v>
      </c>
      <c r="F11" s="8"/>
      <c r="G11" s="8">
        <v>96</v>
      </c>
      <c r="H11" s="13">
        <f t="shared" si="0"/>
        <v>2106240</v>
      </c>
      <c r="I11" s="8"/>
      <c r="J11" s="50">
        <v>680000</v>
      </c>
      <c r="K11" s="28"/>
      <c r="L11" s="29"/>
      <c r="M11" s="13"/>
      <c r="N11" s="13"/>
      <c r="O11" s="13">
        <f t="shared" si="1"/>
        <v>2786240</v>
      </c>
      <c r="P11" s="13">
        <v>4600000</v>
      </c>
      <c r="Q11" s="13">
        <f t="shared" si="2"/>
        <v>1813760</v>
      </c>
      <c r="R11" s="5"/>
    </row>
    <row r="12" spans="1:18" ht="27.75" customHeight="1" x14ac:dyDescent="0.25">
      <c r="A12" s="148">
        <v>5</v>
      </c>
      <c r="B12" s="120">
        <v>45236</v>
      </c>
      <c r="C12" s="10" t="s">
        <v>275</v>
      </c>
      <c r="D12" s="25" t="s">
        <v>3502</v>
      </c>
      <c r="E12" s="10" t="s">
        <v>3526</v>
      </c>
      <c r="F12" s="8"/>
      <c r="G12" s="8">
        <v>99</v>
      </c>
      <c r="H12" s="13">
        <f t="shared" si="0"/>
        <v>2172060</v>
      </c>
      <c r="I12" s="8"/>
      <c r="J12" s="50">
        <v>905000</v>
      </c>
      <c r="K12" s="28"/>
      <c r="L12" s="29"/>
      <c r="M12" s="13"/>
      <c r="N12" s="13"/>
      <c r="O12" s="13">
        <f t="shared" si="1"/>
        <v>3077060</v>
      </c>
      <c r="P12" s="13">
        <v>5700000</v>
      </c>
      <c r="Q12" s="13">
        <f t="shared" si="2"/>
        <v>2622940</v>
      </c>
      <c r="R12" s="5"/>
    </row>
    <row r="13" spans="1:18" ht="27.75" customHeight="1" x14ac:dyDescent="0.25">
      <c r="A13" s="148">
        <v>6</v>
      </c>
      <c r="B13" s="120">
        <v>45237</v>
      </c>
      <c r="C13" s="10" t="s">
        <v>998</v>
      </c>
      <c r="D13" s="25" t="s">
        <v>3503</v>
      </c>
      <c r="E13" s="10" t="s">
        <v>3527</v>
      </c>
      <c r="F13" s="8"/>
      <c r="G13" s="8">
        <v>139</v>
      </c>
      <c r="H13" s="13">
        <f t="shared" si="0"/>
        <v>3049660</v>
      </c>
      <c r="I13" s="8"/>
      <c r="J13" s="50">
        <v>1080000</v>
      </c>
      <c r="K13" s="28"/>
      <c r="L13" s="29"/>
      <c r="M13" s="13"/>
      <c r="N13" s="13"/>
      <c r="O13" s="13">
        <f t="shared" si="1"/>
        <v>4129660</v>
      </c>
      <c r="P13" s="13">
        <v>6000000</v>
      </c>
      <c r="Q13" s="13">
        <f t="shared" si="2"/>
        <v>1870340</v>
      </c>
      <c r="R13" s="5"/>
    </row>
    <row r="14" spans="1:18" ht="27.75" customHeight="1" x14ac:dyDescent="0.25">
      <c r="A14" s="148">
        <v>7</v>
      </c>
      <c r="B14" s="149">
        <v>45238</v>
      </c>
      <c r="C14" s="111" t="s">
        <v>277</v>
      </c>
      <c r="D14" s="112" t="s">
        <v>3504</v>
      </c>
      <c r="E14" s="111" t="s">
        <v>3528</v>
      </c>
      <c r="F14" s="12"/>
      <c r="G14" s="8">
        <v>122</v>
      </c>
      <c r="H14" s="13">
        <f>G14*21940+20*21940</f>
        <v>3115480</v>
      </c>
      <c r="I14" s="8"/>
      <c r="J14" s="50">
        <v>980000</v>
      </c>
      <c r="K14" s="18"/>
      <c r="L14" s="99"/>
      <c r="M14" s="3"/>
      <c r="N14" s="3"/>
      <c r="O14" s="3">
        <f t="shared" si="1"/>
        <v>4095480</v>
      </c>
      <c r="P14" s="3">
        <v>5700000</v>
      </c>
      <c r="Q14" s="13">
        <f t="shared" si="2"/>
        <v>1604520</v>
      </c>
      <c r="R14" s="5"/>
    </row>
    <row r="15" spans="1:18" ht="27.75" customHeight="1" x14ac:dyDescent="0.25">
      <c r="A15" s="148">
        <v>8</v>
      </c>
      <c r="B15" s="120">
        <v>45238</v>
      </c>
      <c r="C15" s="10" t="s">
        <v>3489</v>
      </c>
      <c r="D15" s="25" t="s">
        <v>3505</v>
      </c>
      <c r="E15" s="10" t="s">
        <v>1043</v>
      </c>
      <c r="F15" s="8"/>
      <c r="G15" s="8">
        <v>120</v>
      </c>
      <c r="H15" s="13">
        <f>(120-20)*20880</f>
        <v>2088000</v>
      </c>
      <c r="I15" s="8"/>
      <c r="J15" s="134">
        <v>680000</v>
      </c>
      <c r="K15" s="28"/>
      <c r="L15" s="29"/>
      <c r="M15" s="13"/>
      <c r="N15" s="13"/>
      <c r="O15" s="13">
        <f t="shared" si="1"/>
        <v>2768000</v>
      </c>
      <c r="P15" s="13">
        <v>5670370</v>
      </c>
      <c r="Q15" s="13">
        <f t="shared" si="2"/>
        <v>2902370</v>
      </c>
      <c r="R15" s="5"/>
    </row>
    <row r="16" spans="1:18" ht="27.75" customHeight="1" x14ac:dyDescent="0.25">
      <c r="A16" s="148">
        <v>9</v>
      </c>
      <c r="B16" s="120">
        <v>45240</v>
      </c>
      <c r="C16" s="10" t="s">
        <v>279</v>
      </c>
      <c r="D16" s="25" t="s">
        <v>3506</v>
      </c>
      <c r="E16" s="10" t="s">
        <v>33</v>
      </c>
      <c r="F16" s="8"/>
      <c r="G16" s="8">
        <v>160</v>
      </c>
      <c r="H16" s="13">
        <f>G16*20880</f>
        <v>3340800</v>
      </c>
      <c r="I16" s="8"/>
      <c r="J16" s="50">
        <v>1470000</v>
      </c>
      <c r="K16" s="28"/>
      <c r="L16" s="29"/>
      <c r="M16" s="13"/>
      <c r="N16" s="13"/>
      <c r="O16" s="13">
        <f t="shared" si="1"/>
        <v>4810800</v>
      </c>
      <c r="P16" s="13">
        <v>8504630</v>
      </c>
      <c r="Q16" s="13">
        <f t="shared" si="2"/>
        <v>3693830</v>
      </c>
      <c r="R16" s="5"/>
    </row>
    <row r="17" spans="1:18" ht="27.75" customHeight="1" x14ac:dyDescent="0.25">
      <c r="A17" s="148">
        <v>10</v>
      </c>
      <c r="B17" s="120">
        <v>45244</v>
      </c>
      <c r="C17" s="10" t="s">
        <v>282</v>
      </c>
      <c r="D17" s="25" t="s">
        <v>3507</v>
      </c>
      <c r="E17" s="10" t="s">
        <v>3529</v>
      </c>
      <c r="F17" s="8"/>
      <c r="G17" s="8">
        <v>116</v>
      </c>
      <c r="H17" s="13">
        <f>G17*20880</f>
        <v>2422080</v>
      </c>
      <c r="I17" s="8"/>
      <c r="J17" s="50">
        <v>800000</v>
      </c>
      <c r="K17" s="28"/>
      <c r="L17" s="29"/>
      <c r="M17" s="13"/>
      <c r="N17" s="13"/>
      <c r="O17" s="13">
        <f t="shared" si="1"/>
        <v>3222080</v>
      </c>
      <c r="P17" s="13">
        <v>5200000</v>
      </c>
      <c r="Q17" s="13">
        <f t="shared" si="2"/>
        <v>1977920</v>
      </c>
      <c r="R17" s="5"/>
    </row>
    <row r="18" spans="1:18" ht="22.5" customHeight="1" x14ac:dyDescent="0.25">
      <c r="A18" s="148">
        <v>11</v>
      </c>
      <c r="B18" s="120">
        <v>45244</v>
      </c>
      <c r="C18" s="10" t="s">
        <v>3490</v>
      </c>
      <c r="D18" s="25" t="s">
        <v>3508</v>
      </c>
      <c r="E18" s="10" t="s">
        <v>3203</v>
      </c>
      <c r="F18" s="8"/>
      <c r="G18" s="8">
        <v>56</v>
      </c>
      <c r="H18" s="13">
        <f t="shared" ref="H18:H23" si="3">G18*20880</f>
        <v>1169280</v>
      </c>
      <c r="I18" s="8"/>
      <c r="J18" s="50">
        <v>430000</v>
      </c>
      <c r="K18" s="28"/>
      <c r="L18" s="29"/>
      <c r="M18" s="13"/>
      <c r="N18" s="13"/>
      <c r="O18" s="13">
        <f t="shared" si="1"/>
        <v>1599280</v>
      </c>
      <c r="P18" s="13">
        <v>2800000</v>
      </c>
      <c r="Q18" s="13">
        <f t="shared" si="2"/>
        <v>1200720</v>
      </c>
      <c r="R18" s="5"/>
    </row>
    <row r="19" spans="1:18" ht="22.5" customHeight="1" x14ac:dyDescent="0.25">
      <c r="A19" s="148">
        <v>12</v>
      </c>
      <c r="B19" s="120">
        <v>45245</v>
      </c>
      <c r="C19" s="10" t="s">
        <v>3491</v>
      </c>
      <c r="D19" s="25" t="s">
        <v>3509</v>
      </c>
      <c r="E19" s="10" t="s">
        <v>3530</v>
      </c>
      <c r="F19" s="8"/>
      <c r="G19" s="8">
        <v>119</v>
      </c>
      <c r="H19" s="13">
        <f t="shared" si="3"/>
        <v>2484720</v>
      </c>
      <c r="I19" s="8"/>
      <c r="J19" s="50">
        <v>938000</v>
      </c>
      <c r="K19" s="28"/>
      <c r="L19" s="29"/>
      <c r="M19" s="13"/>
      <c r="N19" s="13"/>
      <c r="O19" s="13">
        <f t="shared" si="1"/>
        <v>3422720</v>
      </c>
      <c r="P19" s="13">
        <v>5700000</v>
      </c>
      <c r="Q19" s="13">
        <f t="shared" si="2"/>
        <v>2277280</v>
      </c>
      <c r="R19" s="5"/>
    </row>
    <row r="20" spans="1:18" ht="22.5" customHeight="1" x14ac:dyDescent="0.25">
      <c r="A20" s="148">
        <v>13</v>
      </c>
      <c r="B20" s="120">
        <v>45246</v>
      </c>
      <c r="C20" s="10" t="s">
        <v>285</v>
      </c>
      <c r="D20" s="25" t="s">
        <v>3510</v>
      </c>
      <c r="E20" s="10" t="s">
        <v>1177</v>
      </c>
      <c r="F20" s="8"/>
      <c r="G20" s="8">
        <v>95</v>
      </c>
      <c r="H20" s="13">
        <f t="shared" si="3"/>
        <v>1983600</v>
      </c>
      <c r="I20" s="8"/>
      <c r="J20" s="50">
        <v>680000</v>
      </c>
      <c r="K20" s="28"/>
      <c r="L20" s="29"/>
      <c r="M20" s="13"/>
      <c r="N20" s="13"/>
      <c r="O20" s="13">
        <f t="shared" si="1"/>
        <v>2663600</v>
      </c>
      <c r="P20" s="13">
        <v>4250000</v>
      </c>
      <c r="Q20" s="13">
        <f t="shared" si="2"/>
        <v>1586400</v>
      </c>
      <c r="R20" s="5"/>
    </row>
    <row r="21" spans="1:18" ht="22.5" customHeight="1" x14ac:dyDescent="0.25">
      <c r="A21" s="148">
        <v>14</v>
      </c>
      <c r="B21" s="120">
        <v>45247</v>
      </c>
      <c r="C21" s="10" t="s">
        <v>3492</v>
      </c>
      <c r="D21" s="25" t="s">
        <v>3511</v>
      </c>
      <c r="E21" s="10" t="s">
        <v>3531</v>
      </c>
      <c r="F21" s="8"/>
      <c r="G21" s="8">
        <v>139</v>
      </c>
      <c r="H21" s="13">
        <f t="shared" si="3"/>
        <v>2902320</v>
      </c>
      <c r="I21" s="8"/>
      <c r="J21" s="50">
        <v>770000</v>
      </c>
      <c r="K21" s="28"/>
      <c r="M21" s="13"/>
      <c r="N21" s="13"/>
      <c r="O21" s="13">
        <f>H21+J21+K21+L20+M21+N21</f>
        <v>3672320</v>
      </c>
      <c r="P21" s="13">
        <v>5400000</v>
      </c>
      <c r="Q21" s="13">
        <f t="shared" si="2"/>
        <v>1727680</v>
      </c>
      <c r="R21" s="5"/>
    </row>
    <row r="22" spans="1:18" ht="22.5" customHeight="1" x14ac:dyDescent="0.25">
      <c r="A22" s="148">
        <v>15</v>
      </c>
      <c r="B22" s="120">
        <v>45250</v>
      </c>
      <c r="C22" s="10" t="s">
        <v>3493</v>
      </c>
      <c r="D22" s="25" t="s">
        <v>3512</v>
      </c>
      <c r="E22" s="10" t="s">
        <v>3203</v>
      </c>
      <c r="F22" s="8"/>
      <c r="G22" s="8">
        <v>59</v>
      </c>
      <c r="H22" s="13">
        <f t="shared" si="3"/>
        <v>1231920</v>
      </c>
      <c r="I22" s="8"/>
      <c r="J22" s="50">
        <v>430000</v>
      </c>
      <c r="K22" s="28"/>
      <c r="L22" s="29"/>
      <c r="M22" s="13"/>
      <c r="N22" s="13"/>
      <c r="O22" s="13">
        <f t="shared" si="1"/>
        <v>1661920</v>
      </c>
      <c r="P22" s="13">
        <v>3024000</v>
      </c>
      <c r="Q22" s="13">
        <f t="shared" si="2"/>
        <v>1362080</v>
      </c>
      <c r="R22" s="5"/>
    </row>
    <row r="23" spans="1:18" ht="22.5" customHeight="1" x14ac:dyDescent="0.25">
      <c r="A23" s="148">
        <v>16</v>
      </c>
      <c r="B23" s="120">
        <v>45251</v>
      </c>
      <c r="C23" s="10" t="s">
        <v>3494</v>
      </c>
      <c r="D23" s="25" t="s">
        <v>3513</v>
      </c>
      <c r="E23" s="10" t="s">
        <v>1287</v>
      </c>
      <c r="F23" s="8"/>
      <c r="G23" s="8">
        <v>65</v>
      </c>
      <c r="H23" s="13">
        <f t="shared" si="3"/>
        <v>1357200</v>
      </c>
      <c r="I23" s="8"/>
      <c r="J23" s="151">
        <v>430000</v>
      </c>
      <c r="K23" s="28"/>
      <c r="L23" s="29"/>
      <c r="M23" s="13"/>
      <c r="N23" s="13"/>
      <c r="O23" s="13">
        <f t="shared" si="1"/>
        <v>1787200</v>
      </c>
      <c r="P23" s="13">
        <v>3299260</v>
      </c>
      <c r="Q23" s="13">
        <f t="shared" si="2"/>
        <v>1512060</v>
      </c>
      <c r="R23" s="5"/>
    </row>
    <row r="24" spans="1:18" ht="22.5" customHeight="1" x14ac:dyDescent="0.25">
      <c r="A24" s="148">
        <v>17</v>
      </c>
      <c r="B24" s="120">
        <v>45251</v>
      </c>
      <c r="C24" s="10" t="s">
        <v>3495</v>
      </c>
      <c r="D24" s="25" t="s">
        <v>3514</v>
      </c>
      <c r="E24" s="10" t="s">
        <v>3532</v>
      </c>
      <c r="F24" s="8"/>
      <c r="G24" s="8">
        <v>133</v>
      </c>
      <c r="H24" s="13">
        <f>G24*20880</f>
        <v>2777040</v>
      </c>
      <c r="I24" s="8"/>
      <c r="J24" s="50">
        <v>1000000</v>
      </c>
      <c r="K24" s="28"/>
      <c r="L24" s="29"/>
      <c r="M24" s="13"/>
      <c r="N24" s="13"/>
      <c r="O24" s="13">
        <f t="shared" si="1"/>
        <v>3777040</v>
      </c>
      <c r="P24" s="13">
        <v>6348148</v>
      </c>
      <c r="Q24" s="13">
        <f t="shared" si="2"/>
        <v>2571108</v>
      </c>
      <c r="R24" s="5"/>
    </row>
    <row r="25" spans="1:18" ht="22.5" customHeight="1" x14ac:dyDescent="0.25">
      <c r="A25" s="148">
        <v>18</v>
      </c>
      <c r="B25" s="120">
        <v>45252</v>
      </c>
      <c r="C25" s="10" t="s">
        <v>3496</v>
      </c>
      <c r="D25" s="25" t="s">
        <v>3515</v>
      </c>
      <c r="E25" s="10" t="s">
        <v>3523</v>
      </c>
      <c r="F25" s="8"/>
      <c r="G25" s="8">
        <v>148</v>
      </c>
      <c r="H25" s="13">
        <f>G25*20280</f>
        <v>3001440</v>
      </c>
      <c r="I25" s="8"/>
      <c r="J25" s="50">
        <v>1030000</v>
      </c>
      <c r="K25" s="28"/>
      <c r="L25" s="29"/>
      <c r="M25" s="13"/>
      <c r="N25" s="13"/>
      <c r="O25" s="13">
        <f t="shared" si="1"/>
        <v>4031440</v>
      </c>
      <c r="P25" s="13">
        <v>7000000</v>
      </c>
      <c r="Q25" s="13">
        <f t="shared" si="2"/>
        <v>2968560</v>
      </c>
      <c r="R25" s="5"/>
    </row>
    <row r="26" spans="1:18" ht="22.5" customHeight="1" x14ac:dyDescent="0.25">
      <c r="A26" s="148">
        <v>19</v>
      </c>
      <c r="B26" s="120">
        <v>45254</v>
      </c>
      <c r="C26" s="10" t="s">
        <v>3497</v>
      </c>
      <c r="D26" s="25" t="s">
        <v>3516</v>
      </c>
      <c r="E26" s="10" t="s">
        <v>3256</v>
      </c>
      <c r="F26" s="8"/>
      <c r="G26" s="8">
        <v>149</v>
      </c>
      <c r="H26" s="13">
        <f t="shared" ref="H26:H28" si="4">G26*20280</f>
        <v>3021720</v>
      </c>
      <c r="I26" s="8"/>
      <c r="J26" s="50">
        <v>1120000</v>
      </c>
      <c r="K26" s="28"/>
      <c r="L26" s="29"/>
      <c r="M26" s="13"/>
      <c r="N26" s="13"/>
      <c r="O26" s="13">
        <f t="shared" si="1"/>
        <v>4141720</v>
      </c>
      <c r="P26" s="13">
        <v>6000000</v>
      </c>
      <c r="Q26" s="13">
        <f t="shared" si="2"/>
        <v>1858280</v>
      </c>
      <c r="R26" s="5"/>
    </row>
    <row r="27" spans="1:18" ht="22.5" customHeight="1" x14ac:dyDescent="0.25">
      <c r="A27" s="25">
        <v>20</v>
      </c>
      <c r="B27" s="120">
        <v>45254</v>
      </c>
      <c r="C27" s="10" t="s">
        <v>1008</v>
      </c>
      <c r="D27" s="25" t="s">
        <v>3517</v>
      </c>
      <c r="E27" s="10" t="s">
        <v>3533</v>
      </c>
      <c r="F27" s="8"/>
      <c r="G27" s="8">
        <v>142</v>
      </c>
      <c r="H27" s="13">
        <f t="shared" si="4"/>
        <v>2879760</v>
      </c>
      <c r="I27" s="8"/>
      <c r="J27" s="50">
        <v>1070000</v>
      </c>
      <c r="K27" s="28"/>
      <c r="L27" s="29"/>
      <c r="M27" s="13"/>
      <c r="N27" s="13"/>
      <c r="O27" s="13">
        <f t="shared" si="1"/>
        <v>3949760</v>
      </c>
      <c r="P27" s="13">
        <v>6000000</v>
      </c>
      <c r="Q27" s="13">
        <f t="shared" si="2"/>
        <v>2050240</v>
      </c>
      <c r="R27" s="5"/>
    </row>
    <row r="28" spans="1:18" ht="22.5" customHeight="1" x14ac:dyDescent="0.25">
      <c r="A28" s="148">
        <v>21</v>
      </c>
      <c r="B28" s="120">
        <v>45257</v>
      </c>
      <c r="C28" s="10" t="s">
        <v>3498</v>
      </c>
      <c r="D28" s="25" t="s">
        <v>3518</v>
      </c>
      <c r="E28" s="10" t="s">
        <v>1395</v>
      </c>
      <c r="F28" s="8"/>
      <c r="G28" s="8">
        <v>82</v>
      </c>
      <c r="H28" s="13">
        <f t="shared" si="4"/>
        <v>1662960</v>
      </c>
      <c r="I28" s="8"/>
      <c r="J28" s="50">
        <v>680000</v>
      </c>
      <c r="K28" s="28"/>
      <c r="L28" s="29"/>
      <c r="M28" s="13"/>
      <c r="N28" s="13"/>
      <c r="O28" s="13">
        <f t="shared" si="1"/>
        <v>2342960</v>
      </c>
      <c r="P28" s="13">
        <v>4049259</v>
      </c>
      <c r="Q28" s="13">
        <f t="shared" si="2"/>
        <v>1706299</v>
      </c>
      <c r="R28" s="5"/>
    </row>
    <row r="29" spans="1:18" ht="22.5" customHeight="1" x14ac:dyDescent="0.25">
      <c r="A29" s="148">
        <v>22</v>
      </c>
      <c r="B29" s="120">
        <v>45257</v>
      </c>
      <c r="C29" s="10" t="s">
        <v>294</v>
      </c>
      <c r="D29" s="25" t="s">
        <v>3519</v>
      </c>
      <c r="E29" s="10" t="s">
        <v>1661</v>
      </c>
      <c r="F29" s="8"/>
      <c r="G29" s="8">
        <v>113</v>
      </c>
      <c r="H29" s="13">
        <f>G29*20190</f>
        <v>2281470</v>
      </c>
      <c r="I29" s="8"/>
      <c r="J29" s="50">
        <v>770000</v>
      </c>
      <c r="K29" s="28"/>
      <c r="L29" s="29"/>
      <c r="M29" s="13"/>
      <c r="N29" s="13"/>
      <c r="O29" s="13">
        <f t="shared" si="1"/>
        <v>3051470</v>
      </c>
      <c r="P29" s="13">
        <v>5000000</v>
      </c>
      <c r="Q29" s="13">
        <f t="shared" si="2"/>
        <v>1948530</v>
      </c>
      <c r="R29" s="5"/>
    </row>
    <row r="30" spans="1:18" ht="22.5" customHeight="1" x14ac:dyDescent="0.25">
      <c r="A30" s="25">
        <v>23</v>
      </c>
      <c r="B30" s="120">
        <v>45258</v>
      </c>
      <c r="C30" s="10" t="s">
        <v>295</v>
      </c>
      <c r="D30" s="25" t="s">
        <v>3520</v>
      </c>
      <c r="E30" s="10" t="s">
        <v>3534</v>
      </c>
      <c r="F30" s="8"/>
      <c r="G30" s="8">
        <v>165</v>
      </c>
      <c r="H30" s="13">
        <f t="shared" ref="H30:H31" si="5">G30*20190</f>
        <v>3331350</v>
      </c>
      <c r="I30" s="8"/>
      <c r="J30" s="50">
        <v>1300000</v>
      </c>
      <c r="K30" s="28"/>
      <c r="L30" s="29"/>
      <c r="M30" s="13"/>
      <c r="N30" s="13"/>
      <c r="O30" s="13">
        <f t="shared" si="1"/>
        <v>4631350</v>
      </c>
      <c r="P30" s="13">
        <v>6700000</v>
      </c>
      <c r="Q30" s="13">
        <f t="shared" si="2"/>
        <v>2068650</v>
      </c>
      <c r="R30" s="5"/>
    </row>
    <row r="31" spans="1:18" ht="22.5" customHeight="1" x14ac:dyDescent="0.25">
      <c r="A31" s="148">
        <v>24</v>
      </c>
      <c r="B31" s="120">
        <v>45259</v>
      </c>
      <c r="C31" s="10" t="s">
        <v>296</v>
      </c>
      <c r="D31" s="25" t="s">
        <v>3521</v>
      </c>
      <c r="E31" s="10" t="s">
        <v>3535</v>
      </c>
      <c r="F31" s="8"/>
      <c r="G31" s="8">
        <v>92</v>
      </c>
      <c r="H31" s="13">
        <f t="shared" si="5"/>
        <v>1857480</v>
      </c>
      <c r="I31" s="8"/>
      <c r="J31" s="50">
        <v>680000</v>
      </c>
      <c r="K31" s="28"/>
      <c r="L31" s="29"/>
      <c r="M31" s="13"/>
      <c r="N31" s="13"/>
      <c r="O31" s="13">
        <f t="shared" si="1"/>
        <v>2537480</v>
      </c>
      <c r="P31" s="13">
        <v>4265000</v>
      </c>
      <c r="Q31" s="13">
        <f t="shared" si="2"/>
        <v>1727520</v>
      </c>
      <c r="R31" s="5"/>
    </row>
    <row r="32" spans="1:18" ht="24" customHeight="1" x14ac:dyDescent="0.25">
      <c r="A32" s="8"/>
      <c r="B32" s="8"/>
      <c r="C32" s="196" t="s">
        <v>131</v>
      </c>
      <c r="D32" s="197"/>
      <c r="E32" s="197"/>
      <c r="F32" s="198"/>
      <c r="G32" s="8"/>
      <c r="H32" s="13"/>
      <c r="I32" s="8"/>
      <c r="J32" s="13"/>
      <c r="K32" s="28">
        <v>1200000</v>
      </c>
      <c r="L32" s="28"/>
      <c r="M32" s="18"/>
      <c r="N32" s="28"/>
      <c r="O32" s="53">
        <f t="shared" si="1"/>
        <v>1200000</v>
      </c>
      <c r="P32" s="28"/>
      <c r="Q32" s="54"/>
    </row>
    <row r="33" spans="1:17" ht="24" customHeight="1" x14ac:dyDescent="0.25">
      <c r="A33" s="8"/>
      <c r="B33" s="8"/>
      <c r="C33" s="196" t="s">
        <v>3144</v>
      </c>
      <c r="D33" s="197"/>
      <c r="E33" s="197"/>
      <c r="F33" s="198"/>
      <c r="G33" s="8"/>
      <c r="H33" s="13"/>
      <c r="I33" s="8"/>
      <c r="J33" s="13"/>
      <c r="K33" s="28">
        <v>8791000</v>
      </c>
      <c r="L33" s="28"/>
      <c r="M33" s="18"/>
      <c r="N33" s="28"/>
      <c r="O33" s="53">
        <f t="shared" si="1"/>
        <v>8791000</v>
      </c>
      <c r="P33" s="28"/>
      <c r="Q33" s="54"/>
    </row>
    <row r="34" spans="1:17" ht="24" customHeight="1" x14ac:dyDescent="0.25">
      <c r="A34" s="8"/>
      <c r="B34" s="8"/>
      <c r="C34" s="196" t="s">
        <v>3536</v>
      </c>
      <c r="D34" s="197"/>
      <c r="E34" s="197"/>
      <c r="F34" s="198"/>
      <c r="G34" s="8"/>
      <c r="H34" s="13"/>
      <c r="I34" s="8"/>
      <c r="J34" s="13"/>
      <c r="K34" s="28"/>
      <c r="L34" s="28"/>
      <c r="M34" s="18"/>
      <c r="N34" s="90">
        <f>15050000/4</f>
        <v>3762500</v>
      </c>
      <c r="O34" s="53">
        <f t="shared" si="1"/>
        <v>3762500</v>
      </c>
      <c r="P34" s="28"/>
      <c r="Q34" s="54"/>
    </row>
    <row r="35" spans="1:17" ht="24" customHeight="1" x14ac:dyDescent="0.25">
      <c r="A35" s="8"/>
      <c r="B35" s="8"/>
      <c r="C35" s="196" t="s">
        <v>3593</v>
      </c>
      <c r="D35" s="197"/>
      <c r="E35" s="197"/>
      <c r="F35" s="198"/>
      <c r="G35" s="8"/>
      <c r="H35" s="13"/>
      <c r="I35" s="8"/>
      <c r="J35" s="13"/>
      <c r="K35" s="28"/>
      <c r="L35" s="28"/>
      <c r="M35" s="90">
        <v>11800000</v>
      </c>
      <c r="N35" s="28"/>
      <c r="O35" s="53">
        <f t="shared" si="1"/>
        <v>11800000</v>
      </c>
      <c r="P35" s="28"/>
      <c r="Q35" s="54"/>
    </row>
    <row r="36" spans="1:17" ht="25.5" customHeight="1" x14ac:dyDescent="0.25">
      <c r="A36" s="8"/>
      <c r="B36" s="8"/>
      <c r="C36" s="191" t="s">
        <v>2763</v>
      </c>
      <c r="D36" s="192"/>
      <c r="E36" s="192"/>
      <c r="F36" s="195"/>
      <c r="G36" s="30"/>
      <c r="H36" s="28"/>
      <c r="I36" s="30"/>
      <c r="J36" s="28"/>
      <c r="K36" s="28">
        <v>9000000</v>
      </c>
      <c r="L36" s="28"/>
      <c r="M36" s="18"/>
      <c r="N36" s="28"/>
      <c r="O36" s="53">
        <f>H36+J36+K36+L36+M36+N36</f>
        <v>9000000</v>
      </c>
      <c r="P36" s="28"/>
      <c r="Q36" s="54"/>
    </row>
    <row r="37" spans="1:17" ht="15" customHeight="1" x14ac:dyDescent="0.25">
      <c r="A37" s="166" t="s">
        <v>19</v>
      </c>
      <c r="B37" s="167"/>
      <c r="C37" s="167"/>
      <c r="D37" s="167"/>
      <c r="E37" s="167"/>
      <c r="F37" s="168"/>
      <c r="G37" s="131">
        <f t="shared" ref="G37:O37" si="6">SUM(G7:G36)</f>
        <v>2887</v>
      </c>
      <c r="H37" s="4">
        <f t="shared" si="6"/>
        <v>60723900</v>
      </c>
      <c r="I37" s="4">
        <f t="shared" si="6"/>
        <v>0</v>
      </c>
      <c r="J37" s="4">
        <f t="shared" si="6"/>
        <v>21356000</v>
      </c>
      <c r="K37" s="4">
        <f t="shared" si="6"/>
        <v>18991000</v>
      </c>
      <c r="L37" s="4">
        <f t="shared" si="6"/>
        <v>0</v>
      </c>
      <c r="M37" s="4">
        <f t="shared" si="6"/>
        <v>11800000</v>
      </c>
      <c r="N37" s="4">
        <f t="shared" si="6"/>
        <v>3762500</v>
      </c>
      <c r="O37" s="4">
        <f t="shared" si="6"/>
        <v>116633400</v>
      </c>
      <c r="P37" s="150">
        <f>SUM(P8:P36)</f>
        <v>131110667</v>
      </c>
      <c r="Q37" s="4">
        <f>P37-O37</f>
        <v>14477267</v>
      </c>
    </row>
    <row r="38" spans="1:17" x14ac:dyDescent="0.25">
      <c r="O38" s="20"/>
      <c r="P38" s="5" t="s">
        <v>1796</v>
      </c>
      <c r="Q38" s="26"/>
    </row>
    <row r="39" spans="1:17" x14ac:dyDescent="0.25">
      <c r="P39" s="21" t="s">
        <v>20</v>
      </c>
      <c r="Q39" s="26">
        <f>'10.2023'!Q41+'11.2023'!Q37</f>
        <v>65017578</v>
      </c>
    </row>
    <row r="40" spans="1:17" x14ac:dyDescent="0.25">
      <c r="C40" s="6" t="s">
        <v>993</v>
      </c>
    </row>
    <row r="41" spans="1:17" x14ac:dyDescent="0.25">
      <c r="C41" s="205"/>
      <c r="D41" s="205"/>
      <c r="E41" s="205"/>
      <c r="F41" s="205"/>
      <c r="H41" s="109"/>
    </row>
    <row r="42" spans="1:17" x14ac:dyDescent="0.25">
      <c r="C42" s="206"/>
      <c r="D42" s="206"/>
      <c r="E42" s="206"/>
      <c r="F42" s="206"/>
      <c r="H42" s="109"/>
    </row>
    <row r="43" spans="1:17" x14ac:dyDescent="0.25">
      <c r="B43" s="6"/>
      <c r="C43" s="110"/>
      <c r="D43" s="110"/>
      <c r="E43" s="110"/>
      <c r="F43" s="110"/>
      <c r="G43" s="133"/>
      <c r="H43" s="109"/>
    </row>
    <row r="44" spans="1:17" x14ac:dyDescent="0.25">
      <c r="B44" s="6"/>
      <c r="C44" s="206"/>
      <c r="D44" s="206"/>
      <c r="E44" s="206"/>
      <c r="F44" s="206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G46" s="133"/>
      <c r="H46" s="109"/>
      <c r="J46" s="6"/>
      <c r="K46" s="6"/>
      <c r="L46" s="6"/>
      <c r="M46" s="6"/>
      <c r="N46" s="6"/>
      <c r="O46" s="6"/>
      <c r="P46" s="6"/>
      <c r="Q46" s="6"/>
    </row>
    <row r="47" spans="1:17" x14ac:dyDescent="0.2">
      <c r="C47" s="107"/>
      <c r="D47" s="110"/>
      <c r="E47" s="110"/>
      <c r="F47" s="110"/>
      <c r="H47" s="109"/>
    </row>
    <row r="48" spans="1:17" x14ac:dyDescent="0.25">
      <c r="C48" s="205"/>
      <c r="D48" s="205"/>
      <c r="E48" s="205"/>
      <c r="F48" s="205"/>
    </row>
  </sheetData>
  <mergeCells count="25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2:F32"/>
    <mergeCell ref="C33:F33"/>
    <mergeCell ref="C48:F48"/>
    <mergeCell ref="C34:F34"/>
    <mergeCell ref="A37:F37"/>
    <mergeCell ref="C41:F41"/>
    <mergeCell ref="C42:F42"/>
    <mergeCell ref="C44:F44"/>
    <mergeCell ref="C45:F45"/>
    <mergeCell ref="C46:F46"/>
    <mergeCell ref="C35:F35"/>
    <mergeCell ref="C36:F3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38CF-5912-4A24-999F-3EB4406CF30D}">
  <dimension ref="A1:R49"/>
  <sheetViews>
    <sheetView topLeftCell="A26" workbookViewId="0">
      <selection activeCell="K37" sqref="K37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3537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45260</v>
      </c>
      <c r="C8" s="10" t="s">
        <v>3538</v>
      </c>
      <c r="D8" s="25" t="s">
        <v>3569</v>
      </c>
      <c r="E8" s="10" t="s">
        <v>3455</v>
      </c>
      <c r="F8" s="8"/>
      <c r="G8" s="8">
        <v>153</v>
      </c>
      <c r="H8" s="13">
        <f>G8*20190</f>
        <v>3089070</v>
      </c>
      <c r="I8" s="8"/>
      <c r="J8" s="50">
        <v>966000</v>
      </c>
      <c r="K8" s="28"/>
      <c r="L8" s="29"/>
      <c r="M8" s="13"/>
      <c r="N8" s="13"/>
      <c r="O8" s="13">
        <f>H8+J8+K8+L8+M8+N8</f>
        <v>4055070</v>
      </c>
      <c r="P8" s="13">
        <v>6750000</v>
      </c>
      <c r="Q8" s="13">
        <f>P8-O8</f>
        <v>2694930</v>
      </c>
      <c r="R8" s="5"/>
    </row>
    <row r="9" spans="1:18" ht="24.75" customHeight="1" x14ac:dyDescent="0.25">
      <c r="A9" s="148">
        <v>2</v>
      </c>
      <c r="B9" s="120">
        <v>45261</v>
      </c>
      <c r="C9" s="10" t="s">
        <v>3539</v>
      </c>
      <c r="D9" s="129" t="s">
        <v>3570</v>
      </c>
      <c r="E9" s="9" t="s">
        <v>3553</v>
      </c>
      <c r="F9" s="117"/>
      <c r="G9" s="8">
        <v>154</v>
      </c>
      <c r="H9" s="13">
        <f t="shared" ref="H9:H10" si="0">G9*20190</f>
        <v>3109260</v>
      </c>
      <c r="I9" s="117"/>
      <c r="J9" s="134">
        <v>1200000</v>
      </c>
      <c r="K9" s="28"/>
      <c r="L9" s="29"/>
      <c r="M9" s="13"/>
      <c r="N9" s="13"/>
      <c r="O9" s="13">
        <f t="shared" ref="O9:O37" si="1">H9+J9+K9+L9+M9+N9</f>
        <v>4309260</v>
      </c>
      <c r="P9" s="13">
        <v>6352778</v>
      </c>
      <c r="Q9" s="13">
        <f t="shared" ref="Q9:Q30" si="2">P9-O9</f>
        <v>2043518</v>
      </c>
      <c r="R9" s="5"/>
    </row>
    <row r="10" spans="1:18" ht="24.75" customHeight="1" x14ac:dyDescent="0.25">
      <c r="A10" s="148">
        <v>3</v>
      </c>
      <c r="B10" s="120">
        <v>45265</v>
      </c>
      <c r="C10" s="10" t="s">
        <v>1049</v>
      </c>
      <c r="D10" s="25" t="s">
        <v>3571</v>
      </c>
      <c r="E10" s="10" t="s">
        <v>3554</v>
      </c>
      <c r="F10" s="8"/>
      <c r="G10" s="8">
        <v>114</v>
      </c>
      <c r="H10" s="13">
        <f t="shared" si="0"/>
        <v>2301660</v>
      </c>
      <c r="I10" s="8"/>
      <c r="J10" s="50">
        <v>850000</v>
      </c>
      <c r="K10" s="28"/>
      <c r="L10" s="29"/>
      <c r="M10" s="13"/>
      <c r="N10" s="13"/>
      <c r="O10" s="13">
        <f>H10+J10+K10+L10+M10+N10</f>
        <v>3151660</v>
      </c>
      <c r="P10" s="13">
        <v>5300000</v>
      </c>
      <c r="Q10" s="13">
        <f t="shared" si="2"/>
        <v>2148340</v>
      </c>
      <c r="R10" s="5"/>
    </row>
    <row r="11" spans="1:18" ht="27.75" customHeight="1" x14ac:dyDescent="0.25">
      <c r="A11" s="148">
        <v>4</v>
      </c>
      <c r="B11" s="120">
        <v>45265</v>
      </c>
      <c r="C11" s="10" t="s">
        <v>3540</v>
      </c>
      <c r="D11" s="25" t="s">
        <v>1835</v>
      </c>
      <c r="E11" s="10" t="s">
        <v>3555</v>
      </c>
      <c r="F11" s="8"/>
      <c r="G11" s="8">
        <v>62</v>
      </c>
      <c r="H11" s="13">
        <f>G11*19720</f>
        <v>1222640</v>
      </c>
      <c r="I11" s="8"/>
      <c r="J11" s="50">
        <v>440000</v>
      </c>
      <c r="K11" s="28"/>
      <c r="L11" s="29"/>
      <c r="M11" s="13"/>
      <c r="N11" s="13"/>
      <c r="O11" s="13">
        <f t="shared" si="1"/>
        <v>1662640</v>
      </c>
      <c r="P11" s="13">
        <v>2770000</v>
      </c>
      <c r="Q11" s="13">
        <f t="shared" si="2"/>
        <v>1107360</v>
      </c>
      <c r="R11" s="5"/>
    </row>
    <row r="12" spans="1:18" ht="27.75" customHeight="1" x14ac:dyDescent="0.25">
      <c r="A12" s="148">
        <v>5</v>
      </c>
      <c r="B12" s="120">
        <v>45266</v>
      </c>
      <c r="C12" s="10" t="s">
        <v>3541</v>
      </c>
      <c r="D12" s="25" t="s">
        <v>3572</v>
      </c>
      <c r="E12" s="10" t="s">
        <v>3556</v>
      </c>
      <c r="F12" s="8"/>
      <c r="G12" s="8">
        <v>69</v>
      </c>
      <c r="H12" s="13">
        <f t="shared" ref="H12:H16" si="3">G12*19720</f>
        <v>1360680</v>
      </c>
      <c r="I12" s="8"/>
      <c r="J12" s="50">
        <v>440000</v>
      </c>
      <c r="K12" s="28"/>
      <c r="L12" s="29"/>
      <c r="M12" s="13"/>
      <c r="N12" s="13"/>
      <c r="O12" s="13">
        <f t="shared" si="1"/>
        <v>1800680</v>
      </c>
      <c r="P12" s="13">
        <v>3200000</v>
      </c>
      <c r="Q12" s="13">
        <f t="shared" si="2"/>
        <v>1399320</v>
      </c>
      <c r="R12" s="5"/>
    </row>
    <row r="13" spans="1:18" ht="27.75" customHeight="1" x14ac:dyDescent="0.25">
      <c r="A13" s="148">
        <v>6</v>
      </c>
      <c r="B13" s="120">
        <v>45268</v>
      </c>
      <c r="C13" s="10" t="s">
        <v>1734</v>
      </c>
      <c r="D13" s="25" t="s">
        <v>3573</v>
      </c>
      <c r="E13" s="10" t="s">
        <v>3557</v>
      </c>
      <c r="F13" s="8"/>
      <c r="G13" s="8">
        <v>90</v>
      </c>
      <c r="H13" s="13">
        <f t="shared" si="3"/>
        <v>1774800</v>
      </c>
      <c r="I13" s="8"/>
      <c r="J13" s="50">
        <v>680000</v>
      </c>
      <c r="K13" s="28"/>
      <c r="L13" s="29"/>
      <c r="M13" s="13"/>
      <c r="N13" s="13"/>
      <c r="O13" s="13">
        <f t="shared" si="1"/>
        <v>2454800</v>
      </c>
      <c r="P13" s="13">
        <v>4300000</v>
      </c>
      <c r="Q13" s="13">
        <f t="shared" si="2"/>
        <v>1845200</v>
      </c>
      <c r="R13" s="5"/>
    </row>
    <row r="14" spans="1:18" ht="27.75" customHeight="1" x14ac:dyDescent="0.25">
      <c r="A14" s="148">
        <v>7</v>
      </c>
      <c r="B14" s="149">
        <v>45268</v>
      </c>
      <c r="C14" s="111" t="s">
        <v>1052</v>
      </c>
      <c r="D14" s="112" t="s">
        <v>3574</v>
      </c>
      <c r="E14" s="111" t="s">
        <v>3558</v>
      </c>
      <c r="F14" s="12"/>
      <c r="G14" s="8">
        <v>134</v>
      </c>
      <c r="H14" s="13">
        <f t="shared" si="3"/>
        <v>2642480</v>
      </c>
      <c r="I14" s="8"/>
      <c r="J14" s="50">
        <v>800000</v>
      </c>
      <c r="K14" s="18"/>
      <c r="L14" s="99"/>
      <c r="M14" s="3"/>
      <c r="N14" s="3"/>
      <c r="O14" s="3">
        <f t="shared" si="1"/>
        <v>3442480</v>
      </c>
      <c r="P14" s="3">
        <v>5300000</v>
      </c>
      <c r="Q14" s="13">
        <f t="shared" si="2"/>
        <v>1857520</v>
      </c>
      <c r="R14" s="5"/>
    </row>
    <row r="15" spans="1:18" ht="27.75" customHeight="1" x14ac:dyDescent="0.25">
      <c r="A15" s="148">
        <v>8</v>
      </c>
      <c r="B15" s="120">
        <v>45271</v>
      </c>
      <c r="C15" s="10" t="s">
        <v>3542</v>
      </c>
      <c r="D15" s="25" t="s">
        <v>3575</v>
      </c>
      <c r="E15" s="10" t="s">
        <v>112</v>
      </c>
      <c r="F15" s="8"/>
      <c r="G15" s="8">
        <v>233</v>
      </c>
      <c r="H15" s="13">
        <f t="shared" si="3"/>
        <v>4594760</v>
      </c>
      <c r="I15" s="8"/>
      <c r="J15" s="134">
        <v>2220000</v>
      </c>
      <c r="K15" s="28"/>
      <c r="L15" s="29"/>
      <c r="M15" s="13"/>
      <c r="N15" s="13"/>
      <c r="O15" s="13">
        <f t="shared" si="1"/>
        <v>6814760</v>
      </c>
      <c r="P15" s="13">
        <v>12592593</v>
      </c>
      <c r="Q15" s="13">
        <f t="shared" si="2"/>
        <v>5777833</v>
      </c>
      <c r="R15" s="5"/>
    </row>
    <row r="16" spans="1:18" ht="27.75" customHeight="1" x14ac:dyDescent="0.25">
      <c r="A16" s="148">
        <v>9</v>
      </c>
      <c r="B16" s="120">
        <v>45271</v>
      </c>
      <c r="C16" s="10" t="s">
        <v>344</v>
      </c>
      <c r="D16" s="25" t="s">
        <v>3576</v>
      </c>
      <c r="E16" s="10" t="s">
        <v>3559</v>
      </c>
      <c r="F16" s="8"/>
      <c r="G16" s="8">
        <v>125</v>
      </c>
      <c r="H16" s="13">
        <f t="shared" si="3"/>
        <v>2465000</v>
      </c>
      <c r="I16" s="8"/>
      <c r="J16" s="50">
        <v>980000</v>
      </c>
      <c r="K16" s="28"/>
      <c r="L16" s="29"/>
      <c r="M16" s="13"/>
      <c r="N16" s="13"/>
      <c r="O16" s="13">
        <f t="shared" si="1"/>
        <v>3445000</v>
      </c>
      <c r="P16" s="13">
        <v>5300000</v>
      </c>
      <c r="Q16" s="13">
        <f t="shared" si="2"/>
        <v>1855000</v>
      </c>
      <c r="R16" s="5"/>
    </row>
    <row r="17" spans="1:18" ht="27.75" customHeight="1" x14ac:dyDescent="0.25">
      <c r="A17" s="148">
        <v>10</v>
      </c>
      <c r="B17" s="120">
        <v>45273</v>
      </c>
      <c r="C17" s="10" t="s">
        <v>3543</v>
      </c>
      <c r="D17" s="25" t="s">
        <v>3577</v>
      </c>
      <c r="E17" s="10" t="s">
        <v>1659</v>
      </c>
      <c r="F17" s="8"/>
      <c r="G17" s="8">
        <v>82</v>
      </c>
      <c r="H17" s="13">
        <f>G17*19720</f>
        <v>1617040</v>
      </c>
      <c r="I17" s="8"/>
      <c r="J17" s="50">
        <v>680000</v>
      </c>
      <c r="K17" s="28"/>
      <c r="L17" s="29"/>
      <c r="M17" s="13"/>
      <c r="N17" s="13"/>
      <c r="O17" s="13">
        <f t="shared" si="1"/>
        <v>2297040</v>
      </c>
      <c r="P17" s="13">
        <v>3333333</v>
      </c>
      <c r="Q17" s="13">
        <f t="shared" si="2"/>
        <v>1036293</v>
      </c>
      <c r="R17" s="5"/>
    </row>
    <row r="18" spans="1:18" ht="22.5" customHeight="1" x14ac:dyDescent="0.25">
      <c r="A18" s="148">
        <v>11</v>
      </c>
      <c r="B18" s="120">
        <v>45273</v>
      </c>
      <c r="C18" s="10" t="s">
        <v>3544</v>
      </c>
      <c r="D18" s="25" t="s">
        <v>3578</v>
      </c>
      <c r="E18" s="10" t="s">
        <v>2045</v>
      </c>
      <c r="F18" s="8"/>
      <c r="G18" s="8">
        <v>324</v>
      </c>
      <c r="H18" s="13">
        <f>G18*19010</f>
        <v>6159240</v>
      </c>
      <c r="I18" s="8"/>
      <c r="J18" s="50">
        <v>3300000</v>
      </c>
      <c r="K18" s="28"/>
      <c r="L18" s="29"/>
      <c r="M18" s="13"/>
      <c r="N18" s="13"/>
      <c r="O18" s="13">
        <f t="shared" si="1"/>
        <v>9459240</v>
      </c>
      <c r="P18" s="13">
        <v>17129630</v>
      </c>
      <c r="Q18" s="13">
        <f t="shared" si="2"/>
        <v>7670390</v>
      </c>
      <c r="R18" s="5"/>
    </row>
    <row r="19" spans="1:18" ht="27" customHeight="1" x14ac:dyDescent="0.25">
      <c r="A19" s="148">
        <v>12</v>
      </c>
      <c r="B19" s="120">
        <v>45275</v>
      </c>
      <c r="C19" s="10" t="s">
        <v>3545</v>
      </c>
      <c r="D19" s="25" t="s">
        <v>3579</v>
      </c>
      <c r="E19" s="10" t="s">
        <v>3560</v>
      </c>
      <c r="F19" s="8"/>
      <c r="G19" s="8">
        <v>128</v>
      </c>
      <c r="H19" s="13">
        <f t="shared" ref="H19:H21" si="4">G19*19010</f>
        <v>2433280</v>
      </c>
      <c r="I19" s="8"/>
      <c r="J19" s="50">
        <v>1120000</v>
      </c>
      <c r="K19" s="28"/>
      <c r="L19" s="29"/>
      <c r="M19" s="13"/>
      <c r="N19" s="13"/>
      <c r="O19" s="13">
        <f t="shared" si="1"/>
        <v>3553280</v>
      </c>
      <c r="P19" s="13">
        <v>5600000</v>
      </c>
      <c r="Q19" s="13">
        <f t="shared" si="2"/>
        <v>2046720</v>
      </c>
      <c r="R19" s="5"/>
    </row>
    <row r="20" spans="1:18" ht="27" customHeight="1" x14ac:dyDescent="0.25">
      <c r="A20" s="148">
        <v>13</v>
      </c>
      <c r="B20" s="120">
        <v>45277</v>
      </c>
      <c r="C20" s="10" t="s">
        <v>3546</v>
      </c>
      <c r="D20" s="25" t="s">
        <v>3580</v>
      </c>
      <c r="E20" s="10" t="s">
        <v>3561</v>
      </c>
      <c r="F20" s="8"/>
      <c r="G20" s="8">
        <v>159</v>
      </c>
      <c r="H20" s="13">
        <f t="shared" si="4"/>
        <v>3022590</v>
      </c>
      <c r="I20" s="8"/>
      <c r="J20" s="50">
        <v>1030000</v>
      </c>
      <c r="K20" s="28"/>
      <c r="L20" s="29"/>
      <c r="M20" s="13"/>
      <c r="N20" s="13"/>
      <c r="O20" s="13">
        <f t="shared" si="1"/>
        <v>4052590</v>
      </c>
      <c r="P20" s="13">
        <v>6200000</v>
      </c>
      <c r="Q20" s="13">
        <f t="shared" si="2"/>
        <v>2147410</v>
      </c>
      <c r="R20" s="5"/>
    </row>
    <row r="21" spans="1:18" ht="27" customHeight="1" x14ac:dyDescent="0.25">
      <c r="A21" s="148">
        <v>14</v>
      </c>
      <c r="B21" s="120">
        <v>45278</v>
      </c>
      <c r="C21" s="10" t="s">
        <v>349</v>
      </c>
      <c r="D21" s="25" t="s">
        <v>3581</v>
      </c>
      <c r="E21" s="10" t="s">
        <v>3562</v>
      </c>
      <c r="F21" s="8"/>
      <c r="G21" s="8">
        <v>143</v>
      </c>
      <c r="H21" s="13">
        <f t="shared" si="4"/>
        <v>2718430</v>
      </c>
      <c r="I21" s="8"/>
      <c r="J21" s="59">
        <v>1130000</v>
      </c>
      <c r="K21" s="28"/>
      <c r="M21" s="13"/>
      <c r="N21" s="13"/>
      <c r="O21" s="13">
        <f>H21+J21+K21+L20+M21+N21</f>
        <v>3848430</v>
      </c>
      <c r="P21" s="13">
        <v>6300000</v>
      </c>
      <c r="Q21" s="13">
        <f t="shared" si="2"/>
        <v>2451570</v>
      </c>
      <c r="R21" s="5"/>
    </row>
    <row r="22" spans="1:18" ht="27" customHeight="1" x14ac:dyDescent="0.25">
      <c r="A22" s="148">
        <v>15</v>
      </c>
      <c r="B22" s="120">
        <v>45279</v>
      </c>
      <c r="C22" s="10" t="s">
        <v>3547</v>
      </c>
      <c r="D22" s="25" t="s">
        <v>3582</v>
      </c>
      <c r="E22" s="10" t="s">
        <v>3563</v>
      </c>
      <c r="F22" s="8"/>
      <c r="G22" s="8">
        <v>208</v>
      </c>
      <c r="H22" s="13">
        <f>G22*19520</f>
        <v>4060160</v>
      </c>
      <c r="I22" s="8"/>
      <c r="J22" s="57">
        <v>1500000</v>
      </c>
      <c r="K22" s="28"/>
      <c r="L22" s="29"/>
      <c r="M22" s="13"/>
      <c r="N22" s="13"/>
      <c r="O22" s="13">
        <f t="shared" si="1"/>
        <v>5560160</v>
      </c>
      <c r="P22" s="13">
        <v>8500000</v>
      </c>
      <c r="Q22" s="13">
        <f t="shared" si="2"/>
        <v>2939840</v>
      </c>
      <c r="R22" s="5"/>
    </row>
    <row r="23" spans="1:18" ht="27" customHeight="1" x14ac:dyDescent="0.25">
      <c r="A23" s="148">
        <v>16</v>
      </c>
      <c r="B23" s="120">
        <v>45281</v>
      </c>
      <c r="C23" s="10" t="s">
        <v>352</v>
      </c>
      <c r="D23" s="152" t="s">
        <v>3598</v>
      </c>
      <c r="E23" s="10" t="s">
        <v>3564</v>
      </c>
      <c r="F23" s="8"/>
      <c r="G23" s="8">
        <v>160</v>
      </c>
      <c r="H23" s="13">
        <f t="shared" ref="H23:H30" si="5">G23*19520</f>
        <v>3123200</v>
      </c>
      <c r="I23" s="8"/>
      <c r="J23" s="59">
        <v>1030000</v>
      </c>
      <c r="K23" s="28"/>
      <c r="L23" s="29"/>
      <c r="M23" s="13"/>
      <c r="N23" s="13"/>
      <c r="O23" s="13">
        <f t="shared" si="1"/>
        <v>4153200</v>
      </c>
      <c r="P23" s="13">
        <v>6652778</v>
      </c>
      <c r="Q23" s="13">
        <f t="shared" si="2"/>
        <v>2499578</v>
      </c>
      <c r="R23" s="5"/>
    </row>
    <row r="24" spans="1:18" ht="27" customHeight="1" x14ac:dyDescent="0.25">
      <c r="A24" s="148">
        <v>17</v>
      </c>
      <c r="B24" s="120">
        <v>45283</v>
      </c>
      <c r="C24" s="10" t="s">
        <v>3548</v>
      </c>
      <c r="D24" s="25" t="s">
        <v>3583</v>
      </c>
      <c r="E24" s="10" t="s">
        <v>3043</v>
      </c>
      <c r="F24" s="8"/>
      <c r="G24" s="8">
        <v>79</v>
      </c>
      <c r="H24" s="13">
        <f t="shared" si="5"/>
        <v>1542080</v>
      </c>
      <c r="I24" s="8"/>
      <c r="J24" s="59">
        <v>430000</v>
      </c>
      <c r="K24" s="28"/>
      <c r="L24" s="29"/>
      <c r="M24" s="13"/>
      <c r="N24" s="13"/>
      <c r="O24" s="13">
        <f t="shared" si="1"/>
        <v>1972080</v>
      </c>
      <c r="P24" s="13">
        <v>4000000</v>
      </c>
      <c r="Q24" s="13">
        <f t="shared" si="2"/>
        <v>2027920</v>
      </c>
      <c r="R24" s="5"/>
    </row>
    <row r="25" spans="1:18" ht="27" customHeight="1" x14ac:dyDescent="0.25">
      <c r="A25" s="148">
        <v>18</v>
      </c>
      <c r="B25" s="120">
        <v>45285</v>
      </c>
      <c r="C25" s="10" t="s">
        <v>3549</v>
      </c>
      <c r="D25" s="25" t="s">
        <v>3584</v>
      </c>
      <c r="E25" s="10" t="s">
        <v>3565</v>
      </c>
      <c r="F25" s="8"/>
      <c r="G25" s="8">
        <v>113</v>
      </c>
      <c r="H25" s="13">
        <f t="shared" si="5"/>
        <v>2205760</v>
      </c>
      <c r="I25" s="8"/>
      <c r="J25" s="57">
        <v>770000</v>
      </c>
      <c r="K25" s="28"/>
      <c r="L25" s="29"/>
      <c r="M25" s="13"/>
      <c r="N25" s="13"/>
      <c r="O25" s="13">
        <f t="shared" si="1"/>
        <v>2975760</v>
      </c>
      <c r="P25" s="13">
        <v>4552778</v>
      </c>
      <c r="Q25" s="13">
        <f t="shared" si="2"/>
        <v>1577018</v>
      </c>
      <c r="R25" s="5"/>
    </row>
    <row r="26" spans="1:18" ht="27" customHeight="1" x14ac:dyDescent="0.25">
      <c r="A26" s="148">
        <v>19</v>
      </c>
      <c r="B26" s="120">
        <v>45285</v>
      </c>
      <c r="C26" s="10" t="s">
        <v>3550</v>
      </c>
      <c r="D26" s="25" t="s">
        <v>3585</v>
      </c>
      <c r="E26" s="10" t="s">
        <v>3566</v>
      </c>
      <c r="F26" s="8"/>
      <c r="G26" s="8">
        <v>78</v>
      </c>
      <c r="H26" s="13">
        <f t="shared" si="5"/>
        <v>1522560</v>
      </c>
      <c r="I26" s="8"/>
      <c r="J26" s="57">
        <v>1030000</v>
      </c>
      <c r="K26" s="28"/>
      <c r="L26" s="29"/>
      <c r="M26" s="13"/>
      <c r="N26" s="13"/>
      <c r="O26" s="13">
        <f t="shared" si="1"/>
        <v>2552560</v>
      </c>
      <c r="P26" s="13">
        <v>4900000</v>
      </c>
      <c r="Q26" s="13">
        <f t="shared" si="2"/>
        <v>2347440</v>
      </c>
      <c r="R26" s="5"/>
    </row>
    <row r="27" spans="1:18" ht="27" customHeight="1" x14ac:dyDescent="0.25">
      <c r="A27" s="25">
        <v>20</v>
      </c>
      <c r="B27" s="120">
        <v>45286</v>
      </c>
      <c r="C27" s="10" t="s">
        <v>356</v>
      </c>
      <c r="D27" s="25" t="s">
        <v>3586</v>
      </c>
      <c r="E27" s="10" t="s">
        <v>3567</v>
      </c>
      <c r="F27" s="8"/>
      <c r="G27" s="8">
        <v>145</v>
      </c>
      <c r="H27" s="13">
        <f t="shared" si="5"/>
        <v>2830400</v>
      </c>
      <c r="I27" s="8"/>
      <c r="J27" s="57">
        <v>1070000</v>
      </c>
      <c r="K27" s="28"/>
      <c r="L27" s="29"/>
      <c r="M27" s="13"/>
      <c r="N27" s="13"/>
      <c r="O27" s="13">
        <f t="shared" si="1"/>
        <v>3900400</v>
      </c>
      <c r="P27" s="13">
        <v>5800000</v>
      </c>
      <c r="Q27" s="13">
        <f t="shared" si="2"/>
        <v>1899600</v>
      </c>
      <c r="R27" s="5"/>
    </row>
    <row r="28" spans="1:18" ht="22.5" customHeight="1" x14ac:dyDescent="0.25">
      <c r="A28" s="148">
        <v>21</v>
      </c>
      <c r="B28" s="120">
        <v>45287</v>
      </c>
      <c r="C28" s="10" t="s">
        <v>357</v>
      </c>
      <c r="D28" s="25" t="s">
        <v>3587</v>
      </c>
      <c r="E28" s="10" t="s">
        <v>3568</v>
      </c>
      <c r="F28" s="8"/>
      <c r="G28" s="8">
        <v>126</v>
      </c>
      <c r="H28" s="13">
        <f t="shared" si="5"/>
        <v>2459520</v>
      </c>
      <c r="I28" s="8"/>
      <c r="J28" s="57">
        <v>1090000</v>
      </c>
      <c r="K28" s="28"/>
      <c r="L28" s="29"/>
      <c r="M28" s="13"/>
      <c r="N28" s="13"/>
      <c r="O28" s="13">
        <f t="shared" si="1"/>
        <v>3549520</v>
      </c>
      <c r="P28" s="13">
        <v>5600000</v>
      </c>
      <c r="Q28" s="13">
        <f t="shared" si="2"/>
        <v>2050480</v>
      </c>
      <c r="R28" s="5"/>
    </row>
    <row r="29" spans="1:18" ht="22.5" customHeight="1" x14ac:dyDescent="0.25">
      <c r="A29" s="148">
        <v>22</v>
      </c>
      <c r="B29" s="120">
        <v>45288</v>
      </c>
      <c r="C29" s="10" t="s">
        <v>3551</v>
      </c>
      <c r="D29" s="25" t="s">
        <v>3588</v>
      </c>
      <c r="E29" s="10" t="s">
        <v>1043</v>
      </c>
      <c r="F29" s="8"/>
      <c r="G29" s="8">
        <v>120</v>
      </c>
      <c r="H29" s="13">
        <f t="shared" si="5"/>
        <v>2342400</v>
      </c>
      <c r="I29" s="8"/>
      <c r="J29" s="57">
        <v>680000</v>
      </c>
      <c r="K29" s="28"/>
      <c r="L29" s="29"/>
      <c r="M29" s="13"/>
      <c r="N29" s="13"/>
      <c r="O29" s="13">
        <f t="shared" si="1"/>
        <v>3022400</v>
      </c>
      <c r="P29" s="13">
        <v>5470370</v>
      </c>
      <c r="Q29" s="13">
        <f t="shared" si="2"/>
        <v>2447970</v>
      </c>
      <c r="R29" s="5"/>
    </row>
    <row r="30" spans="1:18" ht="22.5" customHeight="1" x14ac:dyDescent="0.25">
      <c r="A30" s="25">
        <v>23</v>
      </c>
      <c r="B30" s="120">
        <v>45289</v>
      </c>
      <c r="C30" s="10" t="s">
        <v>3552</v>
      </c>
      <c r="D30" s="25" t="s">
        <v>3589</v>
      </c>
      <c r="E30" s="10" t="s">
        <v>2045</v>
      </c>
      <c r="F30" s="8"/>
      <c r="G30" s="8">
        <v>320</v>
      </c>
      <c r="H30" s="13">
        <f t="shared" si="5"/>
        <v>6246400</v>
      </c>
      <c r="I30" s="8"/>
      <c r="J30" s="57">
        <v>3300000</v>
      </c>
      <c r="K30" s="28"/>
      <c r="L30" s="29"/>
      <c r="M30" s="13"/>
      <c r="N30" s="13"/>
      <c r="O30" s="13">
        <f t="shared" si="1"/>
        <v>9546400</v>
      </c>
      <c r="P30" s="13">
        <v>17129630</v>
      </c>
      <c r="Q30" s="13">
        <f t="shared" si="2"/>
        <v>7583230</v>
      </c>
      <c r="R30" s="5"/>
    </row>
    <row r="31" spans="1:18" ht="24" customHeight="1" x14ac:dyDescent="0.25">
      <c r="A31" s="8"/>
      <c r="B31" s="8"/>
      <c r="C31" s="196" t="s">
        <v>131</v>
      </c>
      <c r="D31" s="197"/>
      <c r="E31" s="197"/>
      <c r="F31" s="198"/>
      <c r="G31" s="8"/>
      <c r="H31" s="13"/>
      <c r="I31" s="8"/>
      <c r="J31" s="13"/>
      <c r="K31" s="90">
        <v>1200000</v>
      </c>
      <c r="L31" s="28"/>
      <c r="M31" s="18"/>
      <c r="N31" s="28"/>
      <c r="O31" s="53">
        <f t="shared" si="1"/>
        <v>1200000</v>
      </c>
      <c r="P31" s="28"/>
      <c r="Q31" s="54"/>
    </row>
    <row r="32" spans="1:18" ht="24" customHeight="1" x14ac:dyDescent="0.25">
      <c r="A32" s="8"/>
      <c r="B32" s="8"/>
      <c r="C32" s="196" t="s">
        <v>3144</v>
      </c>
      <c r="D32" s="197"/>
      <c r="E32" s="197"/>
      <c r="F32" s="198"/>
      <c r="G32" s="8"/>
      <c r="H32" s="13"/>
      <c r="I32" s="8"/>
      <c r="J32" s="13"/>
      <c r="K32" s="90">
        <v>7829818</v>
      </c>
      <c r="L32" s="28"/>
      <c r="M32" s="18"/>
      <c r="N32" s="28"/>
      <c r="O32" s="53">
        <f t="shared" si="1"/>
        <v>7829818</v>
      </c>
      <c r="P32" s="28"/>
      <c r="Q32" s="54"/>
    </row>
    <row r="33" spans="1:17" ht="24" customHeight="1" x14ac:dyDescent="0.25">
      <c r="A33" s="8"/>
      <c r="B33" s="8"/>
      <c r="C33" s="196" t="s">
        <v>3594</v>
      </c>
      <c r="D33" s="197"/>
      <c r="E33" s="197"/>
      <c r="F33" s="198"/>
      <c r="G33" s="8"/>
      <c r="H33" s="13"/>
      <c r="I33" s="8"/>
      <c r="J33" s="13"/>
      <c r="K33" s="28"/>
      <c r="L33" s="90">
        <v>120000</v>
      </c>
      <c r="M33" s="18"/>
      <c r="N33" s="28"/>
      <c r="O33" s="53">
        <f t="shared" si="1"/>
        <v>120000</v>
      </c>
      <c r="P33" s="28"/>
      <c r="Q33" s="54"/>
    </row>
    <row r="34" spans="1:17" ht="24" customHeight="1" x14ac:dyDescent="0.25">
      <c r="A34" s="8"/>
      <c r="B34" s="8"/>
      <c r="C34" s="196" t="s">
        <v>3595</v>
      </c>
      <c r="D34" s="197"/>
      <c r="E34" s="197"/>
      <c r="F34" s="198"/>
      <c r="G34" s="8"/>
      <c r="H34" s="13"/>
      <c r="I34" s="8"/>
      <c r="J34" s="13"/>
      <c r="K34" s="28"/>
      <c r="L34" s="90">
        <v>130000</v>
      </c>
      <c r="M34" s="18"/>
      <c r="N34" s="28"/>
      <c r="O34" s="53">
        <f t="shared" si="1"/>
        <v>130000</v>
      </c>
      <c r="P34" s="28"/>
      <c r="Q34" s="54"/>
    </row>
    <row r="35" spans="1:17" ht="24" customHeight="1" x14ac:dyDescent="0.25">
      <c r="A35" s="8"/>
      <c r="B35" s="8"/>
      <c r="C35" s="196" t="s">
        <v>3596</v>
      </c>
      <c r="D35" s="197"/>
      <c r="E35" s="197"/>
      <c r="F35" s="198"/>
      <c r="G35" s="8"/>
      <c r="H35" s="13"/>
      <c r="I35" s="8"/>
      <c r="J35" s="13"/>
      <c r="K35" s="28"/>
      <c r="L35" s="90">
        <v>200000</v>
      </c>
      <c r="M35" s="18"/>
      <c r="N35" s="28"/>
      <c r="O35" s="53">
        <f t="shared" si="1"/>
        <v>200000</v>
      </c>
      <c r="P35" s="28"/>
      <c r="Q35" s="54"/>
    </row>
    <row r="36" spans="1:17" ht="24" customHeight="1" x14ac:dyDescent="0.25">
      <c r="A36" s="8"/>
      <c r="B36" s="8"/>
      <c r="C36" s="196" t="s">
        <v>3597</v>
      </c>
      <c r="D36" s="197"/>
      <c r="E36" s="197"/>
      <c r="F36" s="198"/>
      <c r="G36" s="8"/>
      <c r="H36" s="13"/>
      <c r="I36" s="8"/>
      <c r="J36" s="13"/>
      <c r="K36" s="28"/>
      <c r="L36" s="90">
        <v>626400</v>
      </c>
      <c r="M36" s="18"/>
      <c r="N36" s="28"/>
      <c r="O36" s="53">
        <f t="shared" si="1"/>
        <v>626400</v>
      </c>
      <c r="P36" s="28"/>
      <c r="Q36" s="54"/>
    </row>
    <row r="37" spans="1:17" ht="25.5" customHeight="1" x14ac:dyDescent="0.25">
      <c r="A37" s="8"/>
      <c r="B37" s="8"/>
      <c r="C37" s="191" t="s">
        <v>2763</v>
      </c>
      <c r="D37" s="192"/>
      <c r="E37" s="192"/>
      <c r="F37" s="195"/>
      <c r="G37" s="30"/>
      <c r="H37" s="28"/>
      <c r="I37" s="30"/>
      <c r="J37" s="28"/>
      <c r="K37" s="28">
        <v>9000000</v>
      </c>
      <c r="L37" s="28"/>
      <c r="M37" s="18"/>
      <c r="N37" s="28"/>
      <c r="O37" s="53">
        <f t="shared" si="1"/>
        <v>9000000</v>
      </c>
      <c r="P37" s="28"/>
      <c r="Q37" s="54"/>
    </row>
    <row r="38" spans="1:17" ht="15" customHeight="1" x14ac:dyDescent="0.25">
      <c r="A38" s="166" t="s">
        <v>19</v>
      </c>
      <c r="B38" s="167"/>
      <c r="C38" s="167"/>
      <c r="D38" s="167"/>
      <c r="E38" s="167"/>
      <c r="F38" s="168"/>
      <c r="G38" s="131">
        <f t="shared" ref="G38:O38" si="6">SUM(G7:G37)</f>
        <v>3319</v>
      </c>
      <c r="H38" s="4">
        <f t="shared" si="6"/>
        <v>64843410</v>
      </c>
      <c r="I38" s="4">
        <f t="shared" si="6"/>
        <v>0</v>
      </c>
      <c r="J38" s="4">
        <f t="shared" si="6"/>
        <v>26736000</v>
      </c>
      <c r="K38" s="4">
        <f t="shared" si="6"/>
        <v>18029818</v>
      </c>
      <c r="L38" s="4">
        <f t="shared" si="6"/>
        <v>1076400</v>
      </c>
      <c r="M38" s="4">
        <f t="shared" si="6"/>
        <v>0</v>
      </c>
      <c r="N38" s="4">
        <f t="shared" si="6"/>
        <v>0</v>
      </c>
      <c r="O38" s="4">
        <f t="shared" si="6"/>
        <v>110685628</v>
      </c>
      <c r="P38" s="51">
        <f>SUM(P8:P37)</f>
        <v>153033890</v>
      </c>
      <c r="Q38" s="4">
        <f>P38-O38</f>
        <v>42348262</v>
      </c>
    </row>
    <row r="39" spans="1:17" x14ac:dyDescent="0.25">
      <c r="O39" s="20"/>
      <c r="P39" s="5" t="s">
        <v>1796</v>
      </c>
      <c r="Q39" s="26"/>
    </row>
    <row r="40" spans="1:17" x14ac:dyDescent="0.25">
      <c r="P40" s="21" t="s">
        <v>20</v>
      </c>
      <c r="Q40" s="153">
        <f>'11.2023'!Q39+'12.2023'!Q38</f>
        <v>107365840</v>
      </c>
    </row>
    <row r="41" spans="1:17" x14ac:dyDescent="0.25">
      <c r="C41" s="6" t="s">
        <v>993</v>
      </c>
    </row>
    <row r="42" spans="1:17" x14ac:dyDescent="0.25">
      <c r="C42" s="205"/>
      <c r="D42" s="205"/>
      <c r="E42" s="205"/>
      <c r="F42" s="205"/>
      <c r="H42" s="109"/>
    </row>
    <row r="43" spans="1:17" x14ac:dyDescent="0.25">
      <c r="C43" s="206"/>
      <c r="D43" s="206"/>
      <c r="E43" s="206"/>
      <c r="F43" s="206"/>
      <c r="H43" s="109"/>
    </row>
    <row r="44" spans="1:17" x14ac:dyDescent="0.25">
      <c r="B44" s="6"/>
      <c r="C44" s="110"/>
      <c r="D44" s="110"/>
      <c r="E44" s="110"/>
      <c r="F44" s="110"/>
      <c r="G44" s="133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G47" s="133"/>
      <c r="H47" s="109"/>
      <c r="J47" s="6"/>
      <c r="K47" s="6"/>
      <c r="L47" s="6"/>
      <c r="M47" s="6"/>
      <c r="N47" s="6"/>
      <c r="O47" s="6"/>
      <c r="P47" s="6"/>
      <c r="Q47" s="6"/>
    </row>
    <row r="48" spans="1:17" x14ac:dyDescent="0.2">
      <c r="C48" s="107"/>
      <c r="D48" s="110"/>
      <c r="E48" s="110"/>
      <c r="F48" s="110"/>
      <c r="H48" s="109"/>
    </row>
    <row r="49" spans="3:6" x14ac:dyDescent="0.25">
      <c r="C49" s="205"/>
      <c r="D49" s="205"/>
      <c r="E49" s="205"/>
      <c r="F49" s="205"/>
    </row>
  </sheetData>
  <mergeCells count="27">
    <mergeCell ref="C33:F33"/>
    <mergeCell ref="C46:F46"/>
    <mergeCell ref="C47:F47"/>
    <mergeCell ref="C49:F49"/>
    <mergeCell ref="C35:F35"/>
    <mergeCell ref="C37:F37"/>
    <mergeCell ref="A38:F38"/>
    <mergeCell ref="C42:F42"/>
    <mergeCell ref="C43:F43"/>
    <mergeCell ref="C45:F45"/>
    <mergeCell ref="C36:F36"/>
    <mergeCell ref="C32:F32"/>
    <mergeCell ref="C34:F34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1:F31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00A8-62D0-4825-850C-F12396A64C30}">
  <dimension ref="A1:R49"/>
  <sheetViews>
    <sheetView topLeftCell="A28" workbookViewId="0">
      <selection activeCell="G48" sqref="G4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3599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45290</v>
      </c>
      <c r="C8" s="10" t="s">
        <v>3077</v>
      </c>
      <c r="D8" s="25" t="s">
        <v>3600</v>
      </c>
      <c r="E8" s="10" t="s">
        <v>3601</v>
      </c>
      <c r="F8" s="8"/>
      <c r="G8" s="8">
        <v>133</v>
      </c>
      <c r="H8" s="13">
        <f>G8*19780</f>
        <v>2630740</v>
      </c>
      <c r="I8" s="8"/>
      <c r="J8" s="13">
        <v>1120000</v>
      </c>
      <c r="K8" s="28"/>
      <c r="L8" s="29"/>
      <c r="M8" s="13"/>
      <c r="N8" s="13"/>
      <c r="O8" s="13">
        <f t="shared" ref="O8:O20" si="0">H8+J8+K8+L8+M8+N8</f>
        <v>3750740</v>
      </c>
      <c r="P8" s="13">
        <v>5600000</v>
      </c>
      <c r="Q8" s="13">
        <f t="shared" ref="Q8:Q29" si="1">P8-O8</f>
        <v>1849260</v>
      </c>
      <c r="R8" s="5"/>
    </row>
    <row r="9" spans="1:18" ht="24.75" customHeight="1" x14ac:dyDescent="0.25">
      <c r="A9" s="148">
        <v>2</v>
      </c>
      <c r="B9" s="120">
        <v>45293</v>
      </c>
      <c r="C9" s="10" t="s">
        <v>1107</v>
      </c>
      <c r="D9" s="129" t="s">
        <v>3602</v>
      </c>
      <c r="E9" s="9" t="s">
        <v>3603</v>
      </c>
      <c r="F9" s="117"/>
      <c r="G9" s="8">
        <v>152</v>
      </c>
      <c r="H9" s="13">
        <f t="shared" ref="H9:H14" si="2">G9*19360</f>
        <v>2942720</v>
      </c>
      <c r="I9" s="117"/>
      <c r="J9" s="119">
        <v>1120000</v>
      </c>
      <c r="K9" s="28"/>
      <c r="L9" s="29"/>
      <c r="M9" s="13"/>
      <c r="N9" s="13"/>
      <c r="O9" s="13">
        <f t="shared" si="0"/>
        <v>4062720</v>
      </c>
      <c r="P9" s="13">
        <v>5700000</v>
      </c>
      <c r="Q9" s="13">
        <f t="shared" si="1"/>
        <v>1637280</v>
      </c>
      <c r="R9" s="5"/>
    </row>
    <row r="10" spans="1:18" ht="24.75" customHeight="1" x14ac:dyDescent="0.25">
      <c r="A10" s="148">
        <v>3</v>
      </c>
      <c r="B10" s="120">
        <v>45294</v>
      </c>
      <c r="C10" s="10" t="s">
        <v>404</v>
      </c>
      <c r="D10" s="25" t="s">
        <v>3604</v>
      </c>
      <c r="E10" s="10" t="s">
        <v>3605</v>
      </c>
      <c r="F10" s="8"/>
      <c r="G10" s="8">
        <v>91</v>
      </c>
      <c r="H10" s="13">
        <f t="shared" si="2"/>
        <v>1761760</v>
      </c>
      <c r="I10" s="8"/>
      <c r="J10" s="13">
        <v>980000</v>
      </c>
      <c r="K10" s="28"/>
      <c r="L10" s="29"/>
      <c r="M10" s="13"/>
      <c r="N10" s="13"/>
      <c r="O10" s="13">
        <f t="shared" si="0"/>
        <v>2741760</v>
      </c>
      <c r="P10" s="13">
        <v>5300000</v>
      </c>
      <c r="Q10" s="13">
        <f t="shared" si="1"/>
        <v>2558240</v>
      </c>
      <c r="R10" s="5"/>
    </row>
    <row r="11" spans="1:18" ht="27.75" customHeight="1" x14ac:dyDescent="0.25">
      <c r="A11" s="148">
        <v>4</v>
      </c>
      <c r="B11" s="120">
        <v>45295</v>
      </c>
      <c r="C11" s="10" t="s">
        <v>3606</v>
      </c>
      <c r="D11" s="25" t="s">
        <v>3607</v>
      </c>
      <c r="E11" s="10" t="s">
        <v>3608</v>
      </c>
      <c r="F11" s="8"/>
      <c r="G11" s="8">
        <v>111</v>
      </c>
      <c r="H11" s="13">
        <f t="shared" si="2"/>
        <v>2148960</v>
      </c>
      <c r="I11" s="8"/>
      <c r="J11" s="13">
        <v>770000</v>
      </c>
      <c r="K11" s="28"/>
      <c r="L11" s="29"/>
      <c r="M11" s="13"/>
      <c r="N11" s="13"/>
      <c r="O11" s="13">
        <f t="shared" si="0"/>
        <v>2918960</v>
      </c>
      <c r="P11" s="13">
        <v>4300000</v>
      </c>
      <c r="Q11" s="13">
        <f t="shared" si="1"/>
        <v>1381040</v>
      </c>
      <c r="R11" s="5"/>
    </row>
    <row r="12" spans="1:18" ht="27.75" customHeight="1" x14ac:dyDescent="0.25">
      <c r="A12" s="148">
        <v>5</v>
      </c>
      <c r="B12" s="120">
        <v>45296</v>
      </c>
      <c r="C12" s="10" t="s">
        <v>3087</v>
      </c>
      <c r="D12" s="25" t="s">
        <v>3609</v>
      </c>
      <c r="E12" s="10" t="s">
        <v>3610</v>
      </c>
      <c r="F12" s="8"/>
      <c r="G12" s="8">
        <v>168</v>
      </c>
      <c r="H12" s="13">
        <f t="shared" si="2"/>
        <v>3252480</v>
      </c>
      <c r="I12" s="8"/>
      <c r="J12" s="13">
        <v>1210000</v>
      </c>
      <c r="K12" s="28"/>
      <c r="L12" s="29"/>
      <c r="M12" s="13"/>
      <c r="N12" s="13"/>
      <c r="O12" s="13">
        <f t="shared" si="0"/>
        <v>4462480</v>
      </c>
      <c r="P12" s="13">
        <v>6376852</v>
      </c>
      <c r="Q12" s="13">
        <f t="shared" si="1"/>
        <v>1914372</v>
      </c>
      <c r="R12" s="5"/>
    </row>
    <row r="13" spans="1:18" ht="27.75" customHeight="1" x14ac:dyDescent="0.25">
      <c r="A13" s="148">
        <v>6</v>
      </c>
      <c r="B13" s="120">
        <v>45297</v>
      </c>
      <c r="C13" s="10" t="s">
        <v>407</v>
      </c>
      <c r="D13" s="25" t="s">
        <v>3611</v>
      </c>
      <c r="E13" s="10" t="s">
        <v>3612</v>
      </c>
      <c r="F13" s="8"/>
      <c r="G13" s="8">
        <v>86</v>
      </c>
      <c r="H13" s="13">
        <f t="shared" si="2"/>
        <v>1664960</v>
      </c>
      <c r="I13" s="8"/>
      <c r="J13" s="13">
        <v>1030000</v>
      </c>
      <c r="K13" s="28"/>
      <c r="L13" s="29"/>
      <c r="M13" s="13"/>
      <c r="N13" s="13"/>
      <c r="O13" s="13">
        <f t="shared" si="0"/>
        <v>2694960</v>
      </c>
      <c r="P13" s="13">
        <v>5000000</v>
      </c>
      <c r="Q13" s="13">
        <f t="shared" si="1"/>
        <v>2305040</v>
      </c>
      <c r="R13" s="5"/>
    </row>
    <row r="14" spans="1:18" ht="27.75" customHeight="1" x14ac:dyDescent="0.25">
      <c r="A14" s="148">
        <v>7</v>
      </c>
      <c r="B14" s="149">
        <v>45299</v>
      </c>
      <c r="C14" s="111" t="s">
        <v>3613</v>
      </c>
      <c r="D14" s="112" t="s">
        <v>3614</v>
      </c>
      <c r="E14" s="111" t="s">
        <v>3615</v>
      </c>
      <c r="F14" s="12"/>
      <c r="G14" s="8">
        <v>166</v>
      </c>
      <c r="H14" s="13">
        <f t="shared" si="2"/>
        <v>3213760</v>
      </c>
      <c r="I14" s="8"/>
      <c r="J14" s="13">
        <v>930000</v>
      </c>
      <c r="K14" s="18"/>
      <c r="L14" s="99"/>
      <c r="M14" s="3"/>
      <c r="N14" s="3"/>
      <c r="O14" s="3">
        <f t="shared" si="0"/>
        <v>4143760</v>
      </c>
      <c r="P14" s="3">
        <v>6500000</v>
      </c>
      <c r="Q14" s="13">
        <f t="shared" si="1"/>
        <v>2356240</v>
      </c>
      <c r="R14" s="5"/>
    </row>
    <row r="15" spans="1:18" ht="27.75" customHeight="1" x14ac:dyDescent="0.25">
      <c r="A15" s="148">
        <v>8</v>
      </c>
      <c r="B15" s="120">
        <v>45300</v>
      </c>
      <c r="C15" s="10" t="s">
        <v>3616</v>
      </c>
      <c r="D15" s="25" t="s">
        <v>3617</v>
      </c>
      <c r="E15" s="10" t="s">
        <v>1508</v>
      </c>
      <c r="F15" s="8"/>
      <c r="G15" s="8">
        <v>95</v>
      </c>
      <c r="H15" s="13">
        <f>G15*19700</f>
        <v>1871500</v>
      </c>
      <c r="I15" s="8"/>
      <c r="J15" s="119">
        <v>834000</v>
      </c>
      <c r="K15" s="28"/>
      <c r="L15" s="29"/>
      <c r="M15" s="13"/>
      <c r="N15" s="13"/>
      <c r="O15" s="13">
        <f t="shared" si="0"/>
        <v>2705500</v>
      </c>
      <c r="P15" s="13">
        <v>5500000</v>
      </c>
      <c r="Q15" s="13">
        <f t="shared" si="1"/>
        <v>2794500</v>
      </c>
      <c r="R15" s="5"/>
    </row>
    <row r="16" spans="1:18" ht="27.75" customHeight="1" x14ac:dyDescent="0.25">
      <c r="A16" s="148">
        <v>9</v>
      </c>
      <c r="B16" s="120">
        <v>45303</v>
      </c>
      <c r="C16" s="10" t="s">
        <v>3618</v>
      </c>
      <c r="D16" s="25" t="s">
        <v>3619</v>
      </c>
      <c r="E16" s="10" t="s">
        <v>256</v>
      </c>
      <c r="F16" s="8"/>
      <c r="G16" s="8">
        <v>89</v>
      </c>
      <c r="H16" s="13">
        <f>G16*19700</f>
        <v>1753300</v>
      </c>
      <c r="I16" s="8"/>
      <c r="J16" s="13">
        <v>680000</v>
      </c>
      <c r="K16" s="28"/>
      <c r="L16" s="29"/>
      <c r="M16" s="13"/>
      <c r="N16" s="13"/>
      <c r="O16" s="13">
        <f t="shared" si="0"/>
        <v>2433300</v>
      </c>
      <c r="P16" s="13">
        <v>4481481</v>
      </c>
      <c r="Q16" s="13">
        <f t="shared" si="1"/>
        <v>2048181</v>
      </c>
      <c r="R16" s="5"/>
    </row>
    <row r="17" spans="1:18" ht="27.75" customHeight="1" x14ac:dyDescent="0.25">
      <c r="A17" s="148">
        <v>10</v>
      </c>
      <c r="B17" s="120">
        <v>45303</v>
      </c>
      <c r="C17" s="10" t="s">
        <v>3620</v>
      </c>
      <c r="D17" s="25" t="s">
        <v>3621</v>
      </c>
      <c r="E17" s="10" t="s">
        <v>3622</v>
      </c>
      <c r="F17" s="8"/>
      <c r="G17" s="8">
        <v>135</v>
      </c>
      <c r="H17" s="13">
        <f>G17*19700</f>
        <v>2659500</v>
      </c>
      <c r="I17" s="8"/>
      <c r="J17" s="13">
        <v>680000</v>
      </c>
      <c r="K17" s="28"/>
      <c r="L17" s="29"/>
      <c r="M17" s="13"/>
      <c r="N17" s="13"/>
      <c r="O17" s="13">
        <f t="shared" si="0"/>
        <v>3339500</v>
      </c>
      <c r="P17" s="13">
        <v>5200000</v>
      </c>
      <c r="Q17" s="13">
        <f t="shared" si="1"/>
        <v>1860500</v>
      </c>
      <c r="R17" s="5"/>
    </row>
    <row r="18" spans="1:18" ht="22.5" customHeight="1" x14ac:dyDescent="0.25">
      <c r="A18" s="148">
        <v>11</v>
      </c>
      <c r="B18" s="120">
        <v>45304</v>
      </c>
      <c r="C18" s="10" t="s">
        <v>3623</v>
      </c>
      <c r="D18" s="25" t="s">
        <v>3624</v>
      </c>
      <c r="E18" s="10" t="s">
        <v>3625</v>
      </c>
      <c r="F18" s="8"/>
      <c r="G18" s="8">
        <v>59</v>
      </c>
      <c r="H18" s="13">
        <f>G18*19700</f>
        <v>1162300</v>
      </c>
      <c r="I18" s="8"/>
      <c r="J18" s="13">
        <v>440000</v>
      </c>
      <c r="K18" s="28"/>
      <c r="L18" s="29"/>
      <c r="M18" s="13"/>
      <c r="N18" s="13"/>
      <c r="O18" s="13">
        <f t="shared" si="0"/>
        <v>1602300</v>
      </c>
      <c r="P18" s="13">
        <v>2800000</v>
      </c>
      <c r="Q18" s="13">
        <f t="shared" si="1"/>
        <v>1197700</v>
      </c>
      <c r="R18" s="5"/>
    </row>
    <row r="19" spans="1:18" ht="27" customHeight="1" x14ac:dyDescent="0.25">
      <c r="A19" s="148">
        <v>12</v>
      </c>
      <c r="B19" s="120">
        <v>45307</v>
      </c>
      <c r="C19" s="10" t="s">
        <v>414</v>
      </c>
      <c r="D19" s="25" t="s">
        <v>3626</v>
      </c>
      <c r="E19" s="10" t="s">
        <v>3627</v>
      </c>
      <c r="F19" s="8"/>
      <c r="G19" s="8">
        <v>161</v>
      </c>
      <c r="H19" s="13">
        <f>G19*19700</f>
        <v>3171700</v>
      </c>
      <c r="I19" s="8"/>
      <c r="J19" s="13">
        <v>1247000</v>
      </c>
      <c r="K19" s="28"/>
      <c r="L19" s="29"/>
      <c r="M19" s="13"/>
      <c r="N19" s="13"/>
      <c r="O19" s="13">
        <f t="shared" si="0"/>
        <v>4418700</v>
      </c>
      <c r="P19" s="13">
        <v>6200000</v>
      </c>
      <c r="Q19" s="13">
        <f t="shared" si="1"/>
        <v>1781300</v>
      </c>
      <c r="R19" s="5"/>
    </row>
    <row r="20" spans="1:18" ht="27" customHeight="1" x14ac:dyDescent="0.25">
      <c r="A20" s="148">
        <v>13</v>
      </c>
      <c r="B20" s="120">
        <v>45307</v>
      </c>
      <c r="C20" s="10" t="s">
        <v>3628</v>
      </c>
      <c r="D20" s="25" t="s">
        <v>3629</v>
      </c>
      <c r="E20" s="10" t="s">
        <v>2047</v>
      </c>
      <c r="F20" s="8"/>
      <c r="G20" s="8">
        <v>52</v>
      </c>
      <c r="H20" s="13">
        <f t="shared" ref="H20:H25" si="3">G20*20190</f>
        <v>1049880</v>
      </c>
      <c r="I20" s="8"/>
      <c r="J20" s="13">
        <v>350000</v>
      </c>
      <c r="K20" s="28"/>
      <c r="L20" s="29"/>
      <c r="M20" s="13"/>
      <c r="N20" s="13"/>
      <c r="O20" s="13">
        <f t="shared" si="0"/>
        <v>1399880</v>
      </c>
      <c r="P20" s="13">
        <v>2800000</v>
      </c>
      <c r="Q20" s="13">
        <f t="shared" si="1"/>
        <v>1400120</v>
      </c>
      <c r="R20" s="5"/>
    </row>
    <row r="21" spans="1:18" ht="27" customHeight="1" x14ac:dyDescent="0.25">
      <c r="A21" s="148">
        <v>14</v>
      </c>
      <c r="B21" s="120">
        <v>45308</v>
      </c>
      <c r="C21" s="10" t="s">
        <v>3630</v>
      </c>
      <c r="D21" s="25" t="s">
        <v>3631</v>
      </c>
      <c r="E21" s="10" t="s">
        <v>3632</v>
      </c>
      <c r="F21" s="8"/>
      <c r="G21" s="8">
        <v>124</v>
      </c>
      <c r="H21" s="13">
        <f t="shared" si="3"/>
        <v>2503560</v>
      </c>
      <c r="I21" s="8"/>
      <c r="J21" s="13">
        <v>1380000</v>
      </c>
      <c r="K21" s="28"/>
      <c r="M21" s="13"/>
      <c r="N21" s="13"/>
      <c r="O21" s="13">
        <f>H21+J21+K21+L20+M21+N21</f>
        <v>3883560</v>
      </c>
      <c r="P21" s="13">
        <v>7300000</v>
      </c>
      <c r="Q21" s="13">
        <f t="shared" si="1"/>
        <v>3416440</v>
      </c>
      <c r="R21" s="5"/>
    </row>
    <row r="22" spans="1:18" ht="27" customHeight="1" x14ac:dyDescent="0.25">
      <c r="A22" s="148">
        <v>15</v>
      </c>
      <c r="B22" s="120">
        <v>45310</v>
      </c>
      <c r="C22" s="10" t="s">
        <v>1815</v>
      </c>
      <c r="D22" s="25" t="s">
        <v>3633</v>
      </c>
      <c r="E22" s="10" t="s">
        <v>3634</v>
      </c>
      <c r="F22" s="8"/>
      <c r="G22" s="8">
        <v>82</v>
      </c>
      <c r="H22" s="13">
        <f t="shared" si="3"/>
        <v>1655580</v>
      </c>
      <c r="I22" s="8"/>
      <c r="J22" s="13">
        <v>430000</v>
      </c>
      <c r="K22" s="28"/>
      <c r="L22" s="29"/>
      <c r="M22" s="13"/>
      <c r="N22" s="13"/>
      <c r="O22" s="13">
        <f t="shared" ref="O22:O36" si="4">H22+J22+K22+L22+M22+N22</f>
        <v>2085580</v>
      </c>
      <c r="P22" s="13">
        <v>4200000</v>
      </c>
      <c r="Q22" s="13">
        <f t="shared" si="1"/>
        <v>2114420</v>
      </c>
      <c r="R22" s="5"/>
    </row>
    <row r="23" spans="1:18" ht="27" customHeight="1" x14ac:dyDescent="0.25">
      <c r="A23" s="148">
        <v>16</v>
      </c>
      <c r="B23" s="120">
        <v>45313</v>
      </c>
      <c r="C23" s="10" t="s">
        <v>3635</v>
      </c>
      <c r="D23" s="25" t="s">
        <v>3636</v>
      </c>
      <c r="E23" s="10" t="s">
        <v>3637</v>
      </c>
      <c r="F23" s="8"/>
      <c r="G23" s="8">
        <v>66</v>
      </c>
      <c r="H23" s="13">
        <f t="shared" si="3"/>
        <v>1332540</v>
      </c>
      <c r="I23" s="8"/>
      <c r="J23" s="13">
        <v>440000</v>
      </c>
      <c r="K23" s="28"/>
      <c r="L23" s="29"/>
      <c r="M23" s="13"/>
      <c r="N23" s="13"/>
      <c r="O23" s="13">
        <f t="shared" si="4"/>
        <v>1772540</v>
      </c>
      <c r="P23" s="13">
        <v>3200000</v>
      </c>
      <c r="Q23" s="13">
        <f t="shared" si="1"/>
        <v>1427460</v>
      </c>
      <c r="R23" s="5"/>
    </row>
    <row r="24" spans="1:18" ht="27" customHeight="1" x14ac:dyDescent="0.25">
      <c r="A24" s="148">
        <v>17</v>
      </c>
      <c r="B24" s="120">
        <v>45313</v>
      </c>
      <c r="C24" s="10" t="s">
        <v>3638</v>
      </c>
      <c r="D24" s="25" t="s">
        <v>3639</v>
      </c>
      <c r="E24" s="10" t="s">
        <v>3556</v>
      </c>
      <c r="F24" s="8"/>
      <c r="G24" s="8">
        <v>64</v>
      </c>
      <c r="H24" s="13">
        <f t="shared" si="3"/>
        <v>1292160</v>
      </c>
      <c r="I24" s="8"/>
      <c r="J24" s="13">
        <v>440000</v>
      </c>
      <c r="K24" s="28"/>
      <c r="L24" s="29"/>
      <c r="M24" s="13"/>
      <c r="N24" s="13"/>
      <c r="O24" s="13">
        <f t="shared" si="4"/>
        <v>1732160</v>
      </c>
      <c r="P24" s="13">
        <v>3200000</v>
      </c>
      <c r="Q24" s="13">
        <f t="shared" si="1"/>
        <v>1467840</v>
      </c>
      <c r="R24" s="5"/>
    </row>
    <row r="25" spans="1:18" ht="27" customHeight="1" x14ac:dyDescent="0.25">
      <c r="A25" s="148">
        <v>18</v>
      </c>
      <c r="B25" s="120">
        <v>45314</v>
      </c>
      <c r="C25" s="10" t="s">
        <v>3640</v>
      </c>
      <c r="D25" s="25" t="s">
        <v>3641</v>
      </c>
      <c r="E25" s="10" t="s">
        <v>3642</v>
      </c>
      <c r="F25" s="8"/>
      <c r="G25" s="8">
        <v>92</v>
      </c>
      <c r="H25" s="13">
        <f t="shared" si="3"/>
        <v>1857480</v>
      </c>
      <c r="I25" s="8"/>
      <c r="J25" s="13">
        <v>680000</v>
      </c>
      <c r="K25" s="28"/>
      <c r="L25" s="29"/>
      <c r="M25" s="13"/>
      <c r="N25" s="13"/>
      <c r="O25" s="13">
        <f t="shared" si="4"/>
        <v>2537480</v>
      </c>
      <c r="P25" s="13">
        <v>4200000</v>
      </c>
      <c r="Q25" s="13">
        <f t="shared" si="1"/>
        <v>1662520</v>
      </c>
      <c r="R25" s="5"/>
    </row>
    <row r="26" spans="1:18" ht="27" customHeight="1" x14ac:dyDescent="0.25">
      <c r="A26" s="148">
        <v>19</v>
      </c>
      <c r="B26" s="120">
        <v>45315</v>
      </c>
      <c r="C26" s="10" t="s">
        <v>3643</v>
      </c>
      <c r="D26" s="25" t="s">
        <v>3644</v>
      </c>
      <c r="E26" s="10" t="s">
        <v>1043</v>
      </c>
      <c r="F26" s="8"/>
      <c r="G26" s="8">
        <v>120</v>
      </c>
      <c r="H26" s="13">
        <f>G26*20370</f>
        <v>2444400</v>
      </c>
      <c r="I26" s="8"/>
      <c r="J26" s="13">
        <v>680000</v>
      </c>
      <c r="K26" s="28"/>
      <c r="L26" s="29"/>
      <c r="M26" s="13"/>
      <c r="N26" s="13"/>
      <c r="O26" s="13">
        <f t="shared" si="4"/>
        <v>3124400</v>
      </c>
      <c r="P26" s="13">
        <v>5470370</v>
      </c>
      <c r="Q26" s="13">
        <f t="shared" si="1"/>
        <v>2345970</v>
      </c>
      <c r="R26" s="5"/>
    </row>
    <row r="27" spans="1:18" ht="27" customHeight="1" x14ac:dyDescent="0.25">
      <c r="A27" s="25">
        <v>20</v>
      </c>
      <c r="B27" s="120">
        <v>45316</v>
      </c>
      <c r="C27" s="10" t="s">
        <v>3645</v>
      </c>
      <c r="D27" s="25" t="s">
        <v>3646</v>
      </c>
      <c r="E27" s="10" t="s">
        <v>675</v>
      </c>
      <c r="F27" s="8"/>
      <c r="G27" s="8">
        <v>69</v>
      </c>
      <c r="H27" s="13">
        <f>G27*20370</f>
        <v>1405530</v>
      </c>
      <c r="I27" s="8"/>
      <c r="J27" s="13">
        <v>880000</v>
      </c>
      <c r="K27" s="28"/>
      <c r="L27" s="29"/>
      <c r="M27" s="13"/>
      <c r="N27" s="13"/>
      <c r="O27" s="13">
        <f t="shared" si="4"/>
        <v>2285530</v>
      </c>
      <c r="P27" s="13">
        <v>4000000</v>
      </c>
      <c r="Q27" s="13">
        <f t="shared" si="1"/>
        <v>1714470</v>
      </c>
      <c r="R27" s="5"/>
    </row>
    <row r="28" spans="1:18" ht="22.5" customHeight="1" x14ac:dyDescent="0.25">
      <c r="A28" s="148">
        <v>21</v>
      </c>
      <c r="B28" s="120">
        <v>45317</v>
      </c>
      <c r="C28" s="10" t="s">
        <v>1824</v>
      </c>
      <c r="D28" s="25" t="s">
        <v>3647</v>
      </c>
      <c r="E28" s="10" t="s">
        <v>675</v>
      </c>
      <c r="F28" s="8"/>
      <c r="G28" s="8">
        <v>68</v>
      </c>
      <c r="H28" s="13">
        <f>G28*20370</f>
        <v>1385160</v>
      </c>
      <c r="I28" s="8"/>
      <c r="J28" s="13">
        <v>680000</v>
      </c>
      <c r="K28" s="28"/>
      <c r="L28" s="29"/>
      <c r="M28" s="13"/>
      <c r="N28" s="13"/>
      <c r="O28" s="13">
        <f t="shared" si="4"/>
        <v>2065160</v>
      </c>
      <c r="P28" s="13">
        <v>3700000</v>
      </c>
      <c r="Q28" s="13">
        <f t="shared" si="1"/>
        <v>1634840</v>
      </c>
      <c r="R28" s="5"/>
    </row>
    <row r="29" spans="1:18" ht="22.5" customHeight="1" x14ac:dyDescent="0.25">
      <c r="A29" s="148">
        <v>22</v>
      </c>
      <c r="B29" s="120">
        <v>45318</v>
      </c>
      <c r="C29" s="10" t="s">
        <v>3648</v>
      </c>
      <c r="D29" s="25" t="s">
        <v>3649</v>
      </c>
      <c r="E29" s="10" t="s">
        <v>3650</v>
      </c>
      <c r="F29" s="8"/>
      <c r="G29" s="8">
        <v>61</v>
      </c>
      <c r="H29" s="13">
        <f>G29*20370</f>
        <v>1242570</v>
      </c>
      <c r="I29" s="8"/>
      <c r="J29" s="13">
        <v>430000</v>
      </c>
      <c r="K29" s="28"/>
      <c r="L29" s="29"/>
      <c r="M29" s="13"/>
      <c r="N29" s="13"/>
      <c r="O29" s="13">
        <f t="shared" si="4"/>
        <v>1672570</v>
      </c>
      <c r="P29" s="13">
        <v>3100000</v>
      </c>
      <c r="Q29" s="13">
        <f t="shared" si="1"/>
        <v>1427430</v>
      </c>
      <c r="R29" s="5"/>
    </row>
    <row r="30" spans="1:18" ht="22.5" customHeight="1" x14ac:dyDescent="0.25">
      <c r="A30" s="25"/>
      <c r="B30" s="120"/>
      <c r="C30" s="10"/>
      <c r="D30" s="25"/>
      <c r="E30" s="10"/>
      <c r="F30" s="8"/>
      <c r="G30" s="8"/>
      <c r="H30" s="13"/>
      <c r="I30" s="8"/>
      <c r="J30" s="13"/>
      <c r="K30" s="28"/>
      <c r="L30" s="29"/>
      <c r="M30" s="13"/>
      <c r="N30" s="13"/>
      <c r="O30" s="13">
        <f t="shared" si="4"/>
        <v>0</v>
      </c>
      <c r="P30" s="13"/>
      <c r="Q30" s="13"/>
      <c r="R30" s="5"/>
    </row>
    <row r="31" spans="1:18" ht="24" customHeight="1" x14ac:dyDescent="0.25">
      <c r="A31" s="8"/>
      <c r="B31" s="8"/>
      <c r="C31" s="196" t="s">
        <v>131</v>
      </c>
      <c r="D31" s="197"/>
      <c r="E31" s="197"/>
      <c r="F31" s="198"/>
      <c r="G31" s="8"/>
      <c r="H31" s="13"/>
      <c r="I31" s="8"/>
      <c r="J31" s="13"/>
      <c r="K31" s="28">
        <v>1200000</v>
      </c>
      <c r="L31" s="28"/>
      <c r="M31" s="18"/>
      <c r="N31" s="28"/>
      <c r="O31" s="53">
        <f t="shared" si="4"/>
        <v>1200000</v>
      </c>
      <c r="P31" s="28"/>
      <c r="Q31" s="54"/>
    </row>
    <row r="32" spans="1:18" ht="24" customHeight="1" x14ac:dyDescent="0.25">
      <c r="A32" s="8"/>
      <c r="B32" s="8"/>
      <c r="C32" s="196" t="s">
        <v>3144</v>
      </c>
      <c r="D32" s="197"/>
      <c r="E32" s="197"/>
      <c r="F32" s="198"/>
      <c r="G32" s="8"/>
      <c r="H32" s="13"/>
      <c r="I32" s="8"/>
      <c r="J32" s="13"/>
      <c r="K32" s="28">
        <v>9057050</v>
      </c>
      <c r="L32" s="28"/>
      <c r="M32" s="28"/>
      <c r="N32" s="28"/>
      <c r="O32" s="53">
        <f t="shared" si="4"/>
        <v>9057050</v>
      </c>
      <c r="P32" s="28"/>
      <c r="Q32" s="54"/>
    </row>
    <row r="33" spans="1:17" ht="24" customHeight="1" x14ac:dyDescent="0.25">
      <c r="A33" s="8"/>
      <c r="B33" s="8"/>
      <c r="C33" s="196" t="s">
        <v>3691</v>
      </c>
      <c r="D33" s="197"/>
      <c r="E33" s="197"/>
      <c r="F33" s="198"/>
      <c r="G33" s="8"/>
      <c r="H33" s="13"/>
      <c r="I33" s="8"/>
      <c r="J33" s="13"/>
      <c r="K33" s="28"/>
      <c r="L33" s="28">
        <v>300000</v>
      </c>
      <c r="M33" s="28"/>
      <c r="N33" s="28"/>
      <c r="O33" s="53">
        <f t="shared" si="4"/>
        <v>300000</v>
      </c>
      <c r="P33" s="28"/>
      <c r="Q33" s="54"/>
    </row>
    <row r="34" spans="1:17" ht="24" customHeight="1" x14ac:dyDescent="0.25">
      <c r="A34" s="8"/>
      <c r="B34" s="8"/>
      <c r="C34" s="196" t="s">
        <v>3692</v>
      </c>
      <c r="D34" s="197"/>
      <c r="E34" s="197"/>
      <c r="F34" s="198"/>
      <c r="G34" s="8"/>
      <c r="H34" s="13"/>
      <c r="I34" s="8"/>
      <c r="J34" s="13"/>
      <c r="K34" s="28"/>
      <c r="L34" s="28">
        <v>800000</v>
      </c>
      <c r="M34" s="28"/>
      <c r="N34" s="28"/>
      <c r="O34" s="53">
        <f t="shared" si="4"/>
        <v>800000</v>
      </c>
      <c r="P34" s="28"/>
      <c r="Q34" s="54"/>
    </row>
    <row r="35" spans="1:17" ht="24" customHeight="1" x14ac:dyDescent="0.25">
      <c r="A35" s="8"/>
      <c r="B35" s="8"/>
      <c r="C35" s="196" t="s">
        <v>3693</v>
      </c>
      <c r="D35" s="197"/>
      <c r="E35" s="197"/>
      <c r="F35" s="198"/>
      <c r="G35" s="8"/>
      <c r="H35" s="13"/>
      <c r="I35" s="8"/>
      <c r="J35" s="13"/>
      <c r="K35" s="28"/>
      <c r="L35" s="28"/>
      <c r="M35" s="28"/>
      <c r="N35" s="28">
        <f>13500000/4</f>
        <v>3375000</v>
      </c>
      <c r="O35" s="53">
        <f t="shared" si="4"/>
        <v>3375000</v>
      </c>
      <c r="P35" s="28"/>
      <c r="Q35" s="54"/>
    </row>
    <row r="36" spans="1:17" ht="24" customHeight="1" x14ac:dyDescent="0.25">
      <c r="A36" s="8"/>
      <c r="B36" s="8"/>
      <c r="C36" s="196" t="s">
        <v>3904</v>
      </c>
      <c r="D36" s="197"/>
      <c r="E36" s="197"/>
      <c r="F36" s="198"/>
      <c r="G36" s="8"/>
      <c r="H36" s="13"/>
      <c r="I36" s="8"/>
      <c r="J36" s="13"/>
      <c r="K36" s="28"/>
      <c r="L36" s="28">
        <v>4700000</v>
      </c>
      <c r="M36" s="28"/>
      <c r="N36" s="28"/>
      <c r="O36" s="53">
        <f t="shared" si="4"/>
        <v>4700000</v>
      </c>
      <c r="P36" s="28"/>
      <c r="Q36" s="54"/>
    </row>
    <row r="37" spans="1:17" ht="25.5" customHeight="1" x14ac:dyDescent="0.25">
      <c r="A37" s="8"/>
      <c r="B37" s="8"/>
      <c r="C37" s="191" t="s">
        <v>3699</v>
      </c>
      <c r="D37" s="192"/>
      <c r="E37" s="192"/>
      <c r="F37" s="195"/>
      <c r="G37" s="30"/>
      <c r="H37" s="28"/>
      <c r="I37" s="30"/>
      <c r="J37" s="28"/>
      <c r="K37" s="28">
        <v>8700000</v>
      </c>
      <c r="L37" s="28"/>
      <c r="M37" s="28"/>
      <c r="N37" s="28"/>
      <c r="O37" s="53">
        <f>H37+J37+K37+L37+M37+N37</f>
        <v>8700000</v>
      </c>
      <c r="P37" s="28"/>
      <c r="Q37" s="54"/>
    </row>
    <row r="38" spans="1:17" ht="15" customHeight="1" x14ac:dyDescent="0.25">
      <c r="A38" s="166" t="s">
        <v>19</v>
      </c>
      <c r="B38" s="167"/>
      <c r="C38" s="167"/>
      <c r="D38" s="167"/>
      <c r="E38" s="167"/>
      <c r="F38" s="168"/>
      <c r="G38" s="131">
        <f t="shared" ref="G38:O38" si="5">SUM(G7:G37)</f>
        <v>2244</v>
      </c>
      <c r="H38" s="4">
        <f t="shared" si="5"/>
        <v>44402540</v>
      </c>
      <c r="I38" s="4">
        <f t="shared" si="5"/>
        <v>0</v>
      </c>
      <c r="J38" s="4">
        <f t="shared" si="5"/>
        <v>17431000</v>
      </c>
      <c r="K38" s="4">
        <f t="shared" si="5"/>
        <v>18957050</v>
      </c>
      <c r="L38" s="4">
        <f t="shared" si="5"/>
        <v>5800000</v>
      </c>
      <c r="M38" s="4">
        <f t="shared" si="5"/>
        <v>0</v>
      </c>
      <c r="N38" s="4">
        <f t="shared" si="5"/>
        <v>3375000</v>
      </c>
      <c r="O38" s="4">
        <f t="shared" si="5"/>
        <v>89965590</v>
      </c>
      <c r="P38" s="4">
        <f>SUM(P8:P37)</f>
        <v>104128703</v>
      </c>
      <c r="Q38" s="122">
        <f>P38-O38</f>
        <v>14163113</v>
      </c>
    </row>
    <row r="39" spans="1:17" x14ac:dyDescent="0.25">
      <c r="O39" s="20"/>
      <c r="P39" s="5" t="s">
        <v>1796</v>
      </c>
      <c r="Q39" s="26"/>
    </row>
    <row r="40" spans="1:17" x14ac:dyDescent="0.25">
      <c r="P40" s="21" t="s">
        <v>20</v>
      </c>
      <c r="Q40" s="26">
        <f>Q38</f>
        <v>14163113</v>
      </c>
    </row>
    <row r="41" spans="1:17" x14ac:dyDescent="0.25">
      <c r="C41" s="6" t="s">
        <v>993</v>
      </c>
    </row>
    <row r="42" spans="1:17" x14ac:dyDescent="0.25">
      <c r="C42" s="205"/>
      <c r="D42" s="205"/>
      <c r="E42" s="205"/>
      <c r="F42" s="205"/>
      <c r="H42" s="109"/>
    </row>
    <row r="43" spans="1:17" x14ac:dyDescent="0.25">
      <c r="C43" s="206"/>
      <c r="D43" s="206"/>
      <c r="E43" s="206"/>
      <c r="F43" s="206"/>
      <c r="H43" s="109"/>
    </row>
    <row r="44" spans="1:17" x14ac:dyDescent="0.25">
      <c r="B44" s="6"/>
      <c r="C44" s="110"/>
      <c r="D44" s="110"/>
      <c r="E44" s="110"/>
      <c r="F44" s="110"/>
      <c r="G44" s="133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G47" s="133"/>
      <c r="H47" s="109"/>
      <c r="J47" s="6"/>
      <c r="K47" s="6"/>
      <c r="L47" s="6"/>
      <c r="M47" s="6"/>
      <c r="N47" s="6"/>
      <c r="O47" s="6"/>
      <c r="P47" s="6"/>
      <c r="Q47" s="6"/>
    </row>
    <row r="48" spans="1:17" x14ac:dyDescent="0.2">
      <c r="C48" s="107"/>
      <c r="D48" s="110"/>
      <c r="E48" s="110"/>
      <c r="F48" s="110"/>
      <c r="H48" s="109"/>
    </row>
    <row r="49" spans="3:6" x14ac:dyDescent="0.25">
      <c r="C49" s="205"/>
      <c r="D49" s="205"/>
      <c r="E49" s="205"/>
      <c r="F49" s="205"/>
    </row>
  </sheetData>
  <mergeCells count="27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1:F31"/>
    <mergeCell ref="C32:F32"/>
    <mergeCell ref="C49:F49"/>
    <mergeCell ref="C37:F37"/>
    <mergeCell ref="A38:F38"/>
    <mergeCell ref="C43:F43"/>
    <mergeCell ref="C45:F45"/>
    <mergeCell ref="C46:F46"/>
    <mergeCell ref="C47:F47"/>
    <mergeCell ref="C42:F42"/>
    <mergeCell ref="C33:F33"/>
    <mergeCell ref="C34:F34"/>
    <mergeCell ref="C35:F35"/>
    <mergeCell ref="C36:F3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5F18-FF08-44C7-A879-A1D53B3923C2}">
  <dimension ref="A1:R39"/>
  <sheetViews>
    <sheetView topLeftCell="A12" workbookViewId="0">
      <selection activeCell="J20" sqref="J20:M26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3651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45337</v>
      </c>
      <c r="C8" s="10" t="s">
        <v>3652</v>
      </c>
      <c r="D8" s="25" t="s">
        <v>3723</v>
      </c>
      <c r="E8" s="10" t="s">
        <v>3733</v>
      </c>
      <c r="F8" s="8"/>
      <c r="G8" s="8">
        <v>172</v>
      </c>
      <c r="H8" s="13">
        <f>G8*21360</f>
        <v>3673920</v>
      </c>
      <c r="I8" s="8"/>
      <c r="J8" s="13">
        <v>1120000</v>
      </c>
      <c r="K8" s="28"/>
      <c r="L8" s="29"/>
      <c r="M8" s="13"/>
      <c r="N8" s="13"/>
      <c r="O8" s="13">
        <f t="shared" ref="O8:O18" si="0">H8+J8+K8+L8+M8+N8</f>
        <v>4793920</v>
      </c>
      <c r="P8" s="13">
        <v>7000000</v>
      </c>
      <c r="Q8" s="13">
        <f t="shared" ref="Q8:Q18" si="1">P8-O8</f>
        <v>2206080</v>
      </c>
      <c r="R8" s="5"/>
    </row>
    <row r="9" spans="1:18" ht="24.75" customHeight="1" x14ac:dyDescent="0.25">
      <c r="A9" s="148">
        <v>2</v>
      </c>
      <c r="B9" s="120">
        <v>45337</v>
      </c>
      <c r="C9" s="10" t="s">
        <v>3653</v>
      </c>
      <c r="D9" s="129" t="s">
        <v>3724</v>
      </c>
      <c r="E9" s="9" t="s">
        <v>33</v>
      </c>
      <c r="F9" s="117"/>
      <c r="G9" s="8">
        <v>160</v>
      </c>
      <c r="H9" s="13">
        <f t="shared" ref="H9:H11" si="2">G9*21360</f>
        <v>3417600</v>
      </c>
      <c r="I9" s="117"/>
      <c r="J9" s="119">
        <v>1120000</v>
      </c>
      <c r="K9" s="28"/>
      <c r="L9" s="29"/>
      <c r="M9" s="13"/>
      <c r="N9" s="13"/>
      <c r="O9" s="13">
        <f t="shared" si="0"/>
        <v>4537600</v>
      </c>
      <c r="P9" s="13">
        <v>7833333</v>
      </c>
      <c r="Q9" s="13">
        <f t="shared" si="1"/>
        <v>3295733</v>
      </c>
      <c r="R9" s="5"/>
    </row>
    <row r="10" spans="1:18" ht="24.75" customHeight="1" x14ac:dyDescent="0.25">
      <c r="A10" s="148">
        <v>3</v>
      </c>
      <c r="B10" s="120">
        <v>45338</v>
      </c>
      <c r="C10" s="10" t="s">
        <v>3654</v>
      </c>
      <c r="D10" s="25" t="s">
        <v>3725</v>
      </c>
      <c r="E10" s="10" t="s">
        <v>3734</v>
      </c>
      <c r="F10" s="8"/>
      <c r="G10" s="8">
        <v>68</v>
      </c>
      <c r="H10" s="13">
        <f t="shared" si="2"/>
        <v>1452480</v>
      </c>
      <c r="I10" s="8"/>
      <c r="J10" s="13">
        <v>980000</v>
      </c>
      <c r="K10" s="28"/>
      <c r="L10" s="29"/>
      <c r="M10" s="13"/>
      <c r="N10" s="13"/>
      <c r="O10" s="13">
        <f t="shared" si="0"/>
        <v>2432480</v>
      </c>
      <c r="P10" s="13">
        <v>3300000</v>
      </c>
      <c r="Q10" s="13">
        <f t="shared" si="1"/>
        <v>867520</v>
      </c>
      <c r="R10" s="5"/>
    </row>
    <row r="11" spans="1:18" ht="27.75" customHeight="1" x14ac:dyDescent="0.25">
      <c r="A11" s="148">
        <v>4</v>
      </c>
      <c r="B11" s="120">
        <v>45341</v>
      </c>
      <c r="C11" s="10" t="s">
        <v>472</v>
      </c>
      <c r="D11" s="25" t="s">
        <v>717</v>
      </c>
      <c r="E11" s="10" t="s">
        <v>3601</v>
      </c>
      <c r="F11" s="8"/>
      <c r="G11" s="8">
        <v>144</v>
      </c>
      <c r="H11" s="13">
        <f t="shared" si="2"/>
        <v>3075840</v>
      </c>
      <c r="I11" s="8"/>
      <c r="J11" s="13">
        <v>770000</v>
      </c>
      <c r="K11" s="28"/>
      <c r="L11" s="29"/>
      <c r="M11" s="13"/>
      <c r="N11" s="13"/>
      <c r="O11" s="13">
        <f t="shared" si="0"/>
        <v>3845840</v>
      </c>
      <c r="P11" s="13">
        <v>5800000</v>
      </c>
      <c r="Q11" s="13">
        <f t="shared" si="1"/>
        <v>1954160</v>
      </c>
      <c r="R11" s="5"/>
    </row>
    <row r="12" spans="1:18" ht="27.75" customHeight="1" x14ac:dyDescent="0.25">
      <c r="A12" s="148">
        <v>5</v>
      </c>
      <c r="B12" s="120">
        <v>45342</v>
      </c>
      <c r="C12" s="10" t="s">
        <v>3655</v>
      </c>
      <c r="D12" s="25" t="s">
        <v>3726</v>
      </c>
      <c r="E12" s="10" t="s">
        <v>3735</v>
      </c>
      <c r="F12" s="8"/>
      <c r="G12" s="8">
        <v>131</v>
      </c>
      <c r="H12" s="13">
        <f>G12*20910</f>
        <v>2739210</v>
      </c>
      <c r="I12" s="8"/>
      <c r="J12" s="13">
        <v>1210000</v>
      </c>
      <c r="K12" s="28"/>
      <c r="L12" s="29"/>
      <c r="M12" s="13"/>
      <c r="N12" s="13"/>
      <c r="O12" s="13">
        <f t="shared" si="0"/>
        <v>3949210</v>
      </c>
      <c r="P12" s="13">
        <v>5750000</v>
      </c>
      <c r="Q12" s="13">
        <f t="shared" si="1"/>
        <v>1800790</v>
      </c>
      <c r="R12" s="5"/>
    </row>
    <row r="13" spans="1:18" ht="27.75" customHeight="1" x14ac:dyDescent="0.25">
      <c r="A13" s="148">
        <v>6</v>
      </c>
      <c r="B13" s="120">
        <v>45344</v>
      </c>
      <c r="C13" s="10" t="s">
        <v>474</v>
      </c>
      <c r="D13" s="25" t="s">
        <v>3727</v>
      </c>
      <c r="E13" s="10" t="s">
        <v>3736</v>
      </c>
      <c r="F13" s="8"/>
      <c r="G13" s="8">
        <v>136</v>
      </c>
      <c r="H13" s="13">
        <f t="shared" ref="H13:H17" si="3">G13*20910</f>
        <v>2843760</v>
      </c>
      <c r="I13" s="8"/>
      <c r="J13" s="13">
        <v>1030000</v>
      </c>
      <c r="K13" s="28"/>
      <c r="L13" s="29"/>
      <c r="M13" s="13"/>
      <c r="N13" s="13"/>
      <c r="O13" s="13">
        <f t="shared" si="0"/>
        <v>3873760</v>
      </c>
      <c r="P13" s="13">
        <v>5800000</v>
      </c>
      <c r="Q13" s="13">
        <f t="shared" si="1"/>
        <v>1926240</v>
      </c>
      <c r="R13" s="5"/>
    </row>
    <row r="14" spans="1:18" ht="27.75" customHeight="1" x14ac:dyDescent="0.25">
      <c r="A14" s="148">
        <v>7</v>
      </c>
      <c r="B14" s="149">
        <v>45344</v>
      </c>
      <c r="C14" s="111" t="s">
        <v>475</v>
      </c>
      <c r="D14" s="112" t="s">
        <v>3728</v>
      </c>
      <c r="E14" s="111" t="s">
        <v>3737</v>
      </c>
      <c r="F14" s="12"/>
      <c r="G14" s="8">
        <v>38</v>
      </c>
      <c r="H14" s="13">
        <f t="shared" si="3"/>
        <v>794580</v>
      </c>
      <c r="I14" s="8"/>
      <c r="J14" s="13">
        <v>930000</v>
      </c>
      <c r="K14" s="18"/>
      <c r="L14" s="99"/>
      <c r="M14" s="3"/>
      <c r="N14" s="3"/>
      <c r="O14" s="3">
        <f t="shared" si="0"/>
        <v>1724580</v>
      </c>
      <c r="P14" s="3">
        <v>3132000</v>
      </c>
      <c r="Q14" s="13">
        <f t="shared" si="1"/>
        <v>1407420</v>
      </c>
      <c r="R14" s="5"/>
    </row>
    <row r="15" spans="1:18" ht="27.75" customHeight="1" x14ac:dyDescent="0.25">
      <c r="A15" s="148">
        <v>8</v>
      </c>
      <c r="B15" s="120">
        <v>45345</v>
      </c>
      <c r="C15" s="10" t="s">
        <v>1885</v>
      </c>
      <c r="D15" s="25" t="s">
        <v>3729</v>
      </c>
      <c r="E15" s="10" t="s">
        <v>3671</v>
      </c>
      <c r="F15" s="8"/>
      <c r="G15" s="8">
        <v>77</v>
      </c>
      <c r="H15" s="13">
        <f t="shared" si="3"/>
        <v>1610070</v>
      </c>
      <c r="I15" s="8"/>
      <c r="J15" s="119">
        <v>834000</v>
      </c>
      <c r="K15" s="28"/>
      <c r="L15" s="29"/>
      <c r="M15" s="13"/>
      <c r="N15" s="13"/>
      <c r="O15" s="13">
        <f t="shared" si="0"/>
        <v>2444070</v>
      </c>
      <c r="P15" s="13">
        <v>4000000</v>
      </c>
      <c r="Q15" s="13">
        <f t="shared" si="1"/>
        <v>1555930</v>
      </c>
      <c r="R15" s="5"/>
    </row>
    <row r="16" spans="1:18" ht="27.75" customHeight="1" x14ac:dyDescent="0.25">
      <c r="A16" s="148">
        <v>9</v>
      </c>
      <c r="B16" s="120">
        <v>45348</v>
      </c>
      <c r="C16" s="10" t="s">
        <v>3656</v>
      </c>
      <c r="D16" s="25" t="s">
        <v>3730</v>
      </c>
      <c r="E16" s="10" t="s">
        <v>3738</v>
      </c>
      <c r="F16" s="8"/>
      <c r="G16" s="8">
        <v>128</v>
      </c>
      <c r="H16" s="13">
        <f t="shared" si="3"/>
        <v>2676480</v>
      </c>
      <c r="I16" s="8"/>
      <c r="J16" s="13">
        <v>680000</v>
      </c>
      <c r="K16" s="28"/>
      <c r="L16" s="29"/>
      <c r="M16" s="13"/>
      <c r="N16" s="13"/>
      <c r="O16" s="13">
        <f t="shared" si="0"/>
        <v>3356480</v>
      </c>
      <c r="P16" s="13">
        <v>6100000</v>
      </c>
      <c r="Q16" s="13">
        <f t="shared" si="1"/>
        <v>2743520</v>
      </c>
      <c r="R16" s="5"/>
    </row>
    <row r="17" spans="1:18" ht="27.75" customHeight="1" x14ac:dyDescent="0.25">
      <c r="A17" s="148">
        <v>10</v>
      </c>
      <c r="B17" s="120">
        <v>45349</v>
      </c>
      <c r="C17" s="10" t="s">
        <v>479</v>
      </c>
      <c r="D17" s="25" t="s">
        <v>3731</v>
      </c>
      <c r="E17" s="10" t="s">
        <v>3679</v>
      </c>
      <c r="F17" s="8"/>
      <c r="G17" s="8">
        <v>110</v>
      </c>
      <c r="H17" s="13">
        <f t="shared" si="3"/>
        <v>2300100</v>
      </c>
      <c r="I17" s="8"/>
      <c r="J17" s="13">
        <v>680000</v>
      </c>
      <c r="K17" s="28"/>
      <c r="L17" s="29"/>
      <c r="M17" s="13"/>
      <c r="N17" s="13"/>
      <c r="O17" s="13">
        <f t="shared" si="0"/>
        <v>2980100</v>
      </c>
      <c r="P17" s="13">
        <v>5300000</v>
      </c>
      <c r="Q17" s="13">
        <f t="shared" si="1"/>
        <v>2319900</v>
      </c>
      <c r="R17" s="5"/>
    </row>
    <row r="18" spans="1:18" ht="22.5" customHeight="1" x14ac:dyDescent="0.25">
      <c r="A18" s="148">
        <v>11</v>
      </c>
      <c r="B18" s="120">
        <v>45350</v>
      </c>
      <c r="C18" s="10" t="s">
        <v>3657</v>
      </c>
      <c r="D18" s="25" t="s">
        <v>3732</v>
      </c>
      <c r="E18" s="10" t="s">
        <v>3554</v>
      </c>
      <c r="F18" s="8"/>
      <c r="G18" s="8">
        <v>110</v>
      </c>
      <c r="H18" s="13">
        <f>G18*20770</f>
        <v>2284700</v>
      </c>
      <c r="I18" s="8"/>
      <c r="J18" s="13">
        <v>440000</v>
      </c>
      <c r="K18" s="28"/>
      <c r="L18" s="29"/>
      <c r="M18" s="13"/>
      <c r="N18" s="13"/>
      <c r="O18" s="13">
        <f t="shared" si="0"/>
        <v>2724700</v>
      </c>
      <c r="P18" s="13">
        <v>5300000</v>
      </c>
      <c r="Q18" s="13">
        <f t="shared" si="1"/>
        <v>2575300</v>
      </c>
      <c r="R18" s="5"/>
    </row>
    <row r="19" spans="1:18" ht="22.5" customHeight="1" x14ac:dyDescent="0.25">
      <c r="A19" s="25"/>
      <c r="B19" s="120"/>
      <c r="C19" s="10"/>
      <c r="D19" s="25"/>
      <c r="E19" s="10"/>
      <c r="F19" s="8"/>
      <c r="G19" s="8"/>
      <c r="H19" s="13"/>
      <c r="I19" s="8"/>
      <c r="J19" s="13"/>
      <c r="K19" s="28"/>
      <c r="L19" s="29"/>
      <c r="M19" s="13"/>
      <c r="N19" s="13"/>
      <c r="O19" s="13">
        <f t="shared" ref="O19:O26" si="4">H19+J19+K19+L19+M19+N19</f>
        <v>0</v>
      </c>
      <c r="P19" s="13"/>
      <c r="Q19" s="13"/>
      <c r="R19" s="5"/>
    </row>
    <row r="20" spans="1:18" ht="24" customHeight="1" x14ac:dyDescent="0.25">
      <c r="A20" s="8"/>
      <c r="B20" s="8"/>
      <c r="C20" s="196" t="s">
        <v>131</v>
      </c>
      <c r="D20" s="197"/>
      <c r="E20" s="197"/>
      <c r="F20" s="198"/>
      <c r="G20" s="8"/>
      <c r="H20" s="13"/>
      <c r="I20" s="8"/>
      <c r="J20" s="13"/>
      <c r="K20" s="28">
        <v>1200000</v>
      </c>
      <c r="L20" s="28"/>
      <c r="M20" s="28"/>
      <c r="N20" s="28"/>
      <c r="O20" s="53">
        <f t="shared" si="4"/>
        <v>1200000</v>
      </c>
      <c r="P20" s="28"/>
      <c r="Q20" s="54"/>
    </row>
    <row r="21" spans="1:18" ht="24" customHeight="1" x14ac:dyDescent="0.25">
      <c r="A21" s="8"/>
      <c r="B21" s="8"/>
      <c r="C21" s="196" t="s">
        <v>3144</v>
      </c>
      <c r="D21" s="197"/>
      <c r="E21" s="197"/>
      <c r="F21" s="198"/>
      <c r="G21" s="8"/>
      <c r="H21" s="13"/>
      <c r="I21" s="8"/>
      <c r="J21" s="13"/>
      <c r="K21" s="28">
        <v>4302112</v>
      </c>
      <c r="L21" s="28"/>
      <c r="M21" s="28"/>
      <c r="N21" s="28"/>
      <c r="O21" s="53">
        <f t="shared" si="4"/>
        <v>4302112</v>
      </c>
      <c r="P21" s="28"/>
      <c r="Q21" s="54"/>
    </row>
    <row r="22" spans="1:18" ht="24" customHeight="1" x14ac:dyDescent="0.25">
      <c r="A22" s="8"/>
      <c r="B22" s="8"/>
      <c r="C22" s="196" t="s">
        <v>3694</v>
      </c>
      <c r="D22" s="197"/>
      <c r="E22" s="197"/>
      <c r="F22" s="198"/>
      <c r="G22" s="8"/>
      <c r="H22" s="13"/>
      <c r="I22" s="8"/>
      <c r="J22" s="13"/>
      <c r="K22" s="28"/>
      <c r="L22" s="28">
        <v>2000000</v>
      </c>
      <c r="M22" s="28"/>
      <c r="N22" s="28"/>
      <c r="O22" s="53">
        <f t="shared" si="4"/>
        <v>2000000</v>
      </c>
      <c r="P22" s="28"/>
      <c r="Q22" s="54"/>
    </row>
    <row r="23" spans="1:18" ht="24" customHeight="1" x14ac:dyDescent="0.25">
      <c r="A23" s="8"/>
      <c r="B23" s="8"/>
      <c r="C23" s="196" t="s">
        <v>3695</v>
      </c>
      <c r="D23" s="197"/>
      <c r="E23" s="197"/>
      <c r="F23" s="198"/>
      <c r="G23" s="8"/>
      <c r="H23" s="13"/>
      <c r="I23" s="8"/>
      <c r="J23" s="13"/>
      <c r="K23" s="28"/>
      <c r="L23" s="28">
        <v>200000</v>
      </c>
      <c r="M23" s="28"/>
      <c r="N23" s="28"/>
      <c r="O23" s="53">
        <f t="shared" si="4"/>
        <v>200000</v>
      </c>
      <c r="P23" s="28"/>
      <c r="Q23" s="54"/>
    </row>
    <row r="24" spans="1:18" ht="24" customHeight="1" x14ac:dyDescent="0.25">
      <c r="A24" s="8"/>
      <c r="B24" s="8"/>
      <c r="C24" s="196" t="s">
        <v>3696</v>
      </c>
      <c r="D24" s="197"/>
      <c r="E24" s="197"/>
      <c r="F24" s="198"/>
      <c r="G24" s="8"/>
      <c r="H24" s="13"/>
      <c r="I24" s="8"/>
      <c r="J24" s="13"/>
      <c r="K24" s="28"/>
      <c r="L24" s="28">
        <f>10000000/4</f>
        <v>2500000</v>
      </c>
      <c r="M24" s="28"/>
      <c r="N24" s="28"/>
      <c r="O24" s="53">
        <f t="shared" si="4"/>
        <v>2500000</v>
      </c>
      <c r="P24" s="28"/>
      <c r="Q24" s="54"/>
    </row>
    <row r="25" spans="1:18" ht="24" customHeight="1" x14ac:dyDescent="0.25">
      <c r="A25" s="8"/>
      <c r="B25" s="8"/>
      <c r="C25" s="196" t="s">
        <v>3697</v>
      </c>
      <c r="D25" s="197"/>
      <c r="E25" s="197"/>
      <c r="F25" s="198"/>
      <c r="G25" s="8"/>
      <c r="H25" s="13"/>
      <c r="I25" s="8"/>
      <c r="J25" s="13"/>
      <c r="K25" s="28"/>
      <c r="L25" s="28">
        <f>4224000/4</f>
        <v>1056000</v>
      </c>
      <c r="M25" s="28"/>
      <c r="N25" s="28"/>
      <c r="O25" s="53">
        <f t="shared" si="4"/>
        <v>1056000</v>
      </c>
      <c r="P25" s="28"/>
      <c r="Q25" s="54"/>
    </row>
    <row r="26" spans="1:18" ht="24" customHeight="1" x14ac:dyDescent="0.25">
      <c r="A26" s="8"/>
      <c r="B26" s="8"/>
      <c r="C26" s="196" t="s">
        <v>3698</v>
      </c>
      <c r="D26" s="197"/>
      <c r="E26" s="197"/>
      <c r="F26" s="198"/>
      <c r="G26" s="8"/>
      <c r="H26" s="13"/>
      <c r="I26" s="8"/>
      <c r="J26" s="13"/>
      <c r="K26" s="28"/>
      <c r="L26" s="28">
        <v>918000</v>
      </c>
      <c r="M26" s="28"/>
      <c r="N26" s="28"/>
      <c r="O26" s="53">
        <f t="shared" si="4"/>
        <v>918000</v>
      </c>
      <c r="P26" s="28"/>
      <c r="Q26" s="54"/>
    </row>
    <row r="27" spans="1:18" ht="25.5" customHeight="1" x14ac:dyDescent="0.25">
      <c r="A27" s="8"/>
      <c r="B27" s="8"/>
      <c r="C27" s="191" t="s">
        <v>3700</v>
      </c>
      <c r="D27" s="192"/>
      <c r="E27" s="192"/>
      <c r="F27" s="195"/>
      <c r="G27" s="30"/>
      <c r="H27" s="28"/>
      <c r="I27" s="30"/>
      <c r="J27" s="28"/>
      <c r="K27" s="28">
        <v>7080000</v>
      </c>
      <c r="L27" s="28"/>
      <c r="M27" s="18"/>
      <c r="N27" s="28"/>
      <c r="O27" s="53">
        <f>H27+J27+K27+L27+M27+N27</f>
        <v>7080000</v>
      </c>
      <c r="P27" s="28"/>
      <c r="Q27" s="54"/>
    </row>
    <row r="28" spans="1:18" ht="15" customHeight="1" x14ac:dyDescent="0.25">
      <c r="A28" s="166" t="s">
        <v>19</v>
      </c>
      <c r="B28" s="167"/>
      <c r="C28" s="167"/>
      <c r="D28" s="167"/>
      <c r="E28" s="167"/>
      <c r="F28" s="168"/>
      <c r="G28" s="131">
        <f t="shared" ref="G28:N28" si="5">SUM(G7:G27)</f>
        <v>1274</v>
      </c>
      <c r="H28" s="4">
        <f t="shared" si="5"/>
        <v>26868740</v>
      </c>
      <c r="I28" s="4">
        <f t="shared" si="5"/>
        <v>0</v>
      </c>
      <c r="J28" s="4">
        <f t="shared" si="5"/>
        <v>9794000</v>
      </c>
      <c r="K28" s="4">
        <f t="shared" si="5"/>
        <v>12582112</v>
      </c>
      <c r="L28" s="4">
        <f t="shared" si="5"/>
        <v>6674000</v>
      </c>
      <c r="M28" s="4">
        <f t="shared" si="5"/>
        <v>0</v>
      </c>
      <c r="N28" s="4">
        <f t="shared" si="5"/>
        <v>0</v>
      </c>
      <c r="O28" s="4">
        <f>SUM(O7:O27)</f>
        <v>55918852</v>
      </c>
      <c r="P28" s="4">
        <f>SUM(P8:P27)</f>
        <v>59315333</v>
      </c>
      <c r="Q28" s="122">
        <f>P28-O28</f>
        <v>3396481</v>
      </c>
    </row>
    <row r="29" spans="1:18" x14ac:dyDescent="0.25">
      <c r="O29" s="20"/>
      <c r="P29" s="5" t="s">
        <v>1796</v>
      </c>
      <c r="Q29" s="26"/>
    </row>
    <row r="30" spans="1:18" x14ac:dyDescent="0.25">
      <c r="P30" s="21" t="s">
        <v>20</v>
      </c>
      <c r="Q30" s="26">
        <f>'01.2024'!Q40+'02.2024'!Q28</f>
        <v>17559594</v>
      </c>
    </row>
    <row r="31" spans="1:18" x14ac:dyDescent="0.25">
      <c r="C31" s="6" t="s">
        <v>993</v>
      </c>
    </row>
    <row r="32" spans="1:18" x14ac:dyDescent="0.25">
      <c r="C32" s="205"/>
      <c r="D32" s="205"/>
      <c r="E32" s="205"/>
      <c r="F32" s="205"/>
      <c r="H32" s="109"/>
    </row>
    <row r="33" spans="2:17" x14ac:dyDescent="0.25">
      <c r="C33" s="206"/>
      <c r="D33" s="206"/>
      <c r="E33" s="206"/>
      <c r="F33" s="206"/>
      <c r="H33" s="109"/>
    </row>
    <row r="34" spans="2:17" x14ac:dyDescent="0.25">
      <c r="B34" s="6"/>
      <c r="C34" s="110"/>
      <c r="D34" s="110"/>
      <c r="E34" s="110"/>
      <c r="F34" s="110"/>
      <c r="G34" s="133"/>
      <c r="H34" s="109"/>
    </row>
    <row r="35" spans="2:17" x14ac:dyDescent="0.25">
      <c r="B35" s="6"/>
      <c r="C35" s="206"/>
      <c r="D35" s="206"/>
      <c r="E35" s="206"/>
      <c r="F35" s="206"/>
      <c r="H35" s="109"/>
    </row>
    <row r="36" spans="2:17" x14ac:dyDescent="0.25">
      <c r="B36" s="6"/>
      <c r="C36" s="206"/>
      <c r="D36" s="206"/>
      <c r="E36" s="206"/>
      <c r="F36" s="206"/>
      <c r="H36" s="109"/>
    </row>
    <row r="37" spans="2:17" x14ac:dyDescent="0.25">
      <c r="B37" s="6"/>
      <c r="C37" s="206"/>
      <c r="D37" s="206"/>
      <c r="E37" s="206"/>
      <c r="F37" s="206"/>
      <c r="G37" s="133"/>
      <c r="H37" s="109"/>
      <c r="J37" s="6"/>
      <c r="K37" s="6"/>
      <c r="L37" s="6"/>
      <c r="M37" s="6"/>
      <c r="N37" s="6"/>
      <c r="O37" s="6"/>
      <c r="P37" s="6"/>
      <c r="Q37" s="6"/>
    </row>
    <row r="38" spans="2:17" x14ac:dyDescent="0.2">
      <c r="C38" s="107"/>
      <c r="D38" s="110"/>
      <c r="E38" s="110"/>
      <c r="F38" s="110"/>
      <c r="H38" s="109"/>
    </row>
    <row r="39" spans="2:17" x14ac:dyDescent="0.25">
      <c r="C39" s="205"/>
      <c r="D39" s="205"/>
      <c r="E39" s="205"/>
      <c r="F39" s="205"/>
    </row>
  </sheetData>
  <mergeCells count="28">
    <mergeCell ref="C33:F33"/>
    <mergeCell ref="C35:F35"/>
    <mergeCell ref="C36:F36"/>
    <mergeCell ref="C37:F37"/>
    <mergeCell ref="C39:F39"/>
    <mergeCell ref="C32:F32"/>
    <mergeCell ref="O5:O6"/>
    <mergeCell ref="P5:P6"/>
    <mergeCell ref="Q5:Q6"/>
    <mergeCell ref="C20:F20"/>
    <mergeCell ref="C21:F21"/>
    <mergeCell ref="C22:F22"/>
    <mergeCell ref="C23:F23"/>
    <mergeCell ref="C24:F24"/>
    <mergeCell ref="C25:F25"/>
    <mergeCell ref="C27:F27"/>
    <mergeCell ref="A28:F28"/>
    <mergeCell ref="C26:F26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1D2-6404-4135-9CDC-210FE854C037}">
  <dimension ref="A1:R50"/>
  <sheetViews>
    <sheetView topLeftCell="A20" workbookViewId="0">
      <selection activeCell="J32" sqref="J32:M3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3739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45355</v>
      </c>
      <c r="C8" s="10" t="s">
        <v>2657</v>
      </c>
      <c r="D8" s="25" t="s">
        <v>3701</v>
      </c>
      <c r="E8" s="10" t="s">
        <v>3671</v>
      </c>
      <c r="F8" s="8"/>
      <c r="G8" s="8">
        <v>77</v>
      </c>
      <c r="H8" s="13">
        <f>G8*20770</f>
        <v>1599290</v>
      </c>
      <c r="I8" s="8"/>
      <c r="J8" s="13">
        <v>680000</v>
      </c>
      <c r="K8" s="28"/>
      <c r="L8" s="29"/>
      <c r="M8" s="13"/>
      <c r="N8" s="13"/>
      <c r="O8" s="13">
        <f>SUM(H8:N8)</f>
        <v>2279290</v>
      </c>
      <c r="P8" s="13">
        <v>4000000</v>
      </c>
      <c r="Q8" s="13">
        <f>P8-O8</f>
        <v>1720710</v>
      </c>
      <c r="R8" s="5"/>
    </row>
    <row r="9" spans="1:18" ht="24.75" customHeight="1" x14ac:dyDescent="0.25">
      <c r="A9" s="148">
        <v>2</v>
      </c>
      <c r="B9" s="120">
        <v>45355</v>
      </c>
      <c r="C9" s="10" t="s">
        <v>501</v>
      </c>
      <c r="D9" s="129" t="s">
        <v>3702</v>
      </c>
      <c r="E9" s="9" t="s">
        <v>3672</v>
      </c>
      <c r="F9" s="117"/>
      <c r="G9" s="8">
        <v>138</v>
      </c>
      <c r="H9" s="13">
        <f t="shared" ref="H9:H10" si="0">G9*20770</f>
        <v>2866260</v>
      </c>
      <c r="I9" s="117"/>
      <c r="J9" s="119">
        <v>1120000</v>
      </c>
      <c r="K9" s="28"/>
      <c r="L9" s="29"/>
      <c r="M9" s="13"/>
      <c r="N9" s="13"/>
      <c r="O9" s="13">
        <f t="shared" ref="O9:O30" si="1">SUM(H9:N9)</f>
        <v>3986260</v>
      </c>
      <c r="P9" s="13">
        <v>5800000</v>
      </c>
      <c r="Q9" s="13">
        <f>P9-O9</f>
        <v>1813740</v>
      </c>
      <c r="R9" s="5"/>
    </row>
    <row r="10" spans="1:18" ht="24.75" customHeight="1" x14ac:dyDescent="0.25">
      <c r="A10" s="148">
        <v>3</v>
      </c>
      <c r="B10" s="120">
        <v>45356</v>
      </c>
      <c r="C10" s="10" t="s">
        <v>3658</v>
      </c>
      <c r="D10" s="25" t="s">
        <v>3703</v>
      </c>
      <c r="E10" s="10" t="s">
        <v>3673</v>
      </c>
      <c r="F10" s="8"/>
      <c r="G10" s="8">
        <v>110</v>
      </c>
      <c r="H10" s="13">
        <f t="shared" si="0"/>
        <v>2284700</v>
      </c>
      <c r="I10" s="8"/>
      <c r="J10" s="13">
        <v>850000</v>
      </c>
      <c r="K10" s="28"/>
      <c r="L10" s="29"/>
      <c r="M10" s="13"/>
      <c r="N10" s="13"/>
      <c r="O10" s="13">
        <f t="shared" si="1"/>
        <v>3134700</v>
      </c>
      <c r="P10" s="13">
        <v>5200000</v>
      </c>
      <c r="Q10" s="13">
        <f t="shared" ref="Q10:Q30" si="2">P10-O10</f>
        <v>2065300</v>
      </c>
      <c r="R10" s="5"/>
    </row>
    <row r="11" spans="1:18" ht="27.75" customHeight="1" x14ac:dyDescent="0.25">
      <c r="A11" s="148">
        <v>4</v>
      </c>
      <c r="B11" s="120">
        <v>45357</v>
      </c>
      <c r="C11" s="10" t="s">
        <v>3659</v>
      </c>
      <c r="D11" s="25" t="s">
        <v>3704</v>
      </c>
      <c r="E11" s="10" t="s">
        <v>3674</v>
      </c>
      <c r="F11" s="8"/>
      <c r="G11" s="8">
        <v>135</v>
      </c>
      <c r="H11" s="13">
        <f>G11*20470</f>
        <v>2763450</v>
      </c>
      <c r="I11" s="8"/>
      <c r="J11" s="13">
        <v>1120000</v>
      </c>
      <c r="K11" s="28"/>
      <c r="L11" s="29"/>
      <c r="M11" s="13"/>
      <c r="N11" s="13"/>
      <c r="O11" s="13">
        <f t="shared" si="1"/>
        <v>3883450</v>
      </c>
      <c r="P11" s="13">
        <v>5800000</v>
      </c>
      <c r="Q11" s="13">
        <f t="shared" si="2"/>
        <v>1916550</v>
      </c>
      <c r="R11" s="5"/>
    </row>
    <row r="12" spans="1:18" ht="27.75" customHeight="1" x14ac:dyDescent="0.25">
      <c r="A12" s="148">
        <v>5</v>
      </c>
      <c r="B12" s="120">
        <v>45358</v>
      </c>
      <c r="C12" s="10" t="s">
        <v>3660</v>
      </c>
      <c r="D12" s="25" t="s">
        <v>3705</v>
      </c>
      <c r="E12" s="10" t="s">
        <v>3675</v>
      </c>
      <c r="F12" s="8"/>
      <c r="G12" s="8">
        <v>200</v>
      </c>
      <c r="H12" s="13">
        <f t="shared" ref="H12:H14" si="3">G12*20470</f>
        <v>4094000</v>
      </c>
      <c r="I12" s="8"/>
      <c r="J12" s="13">
        <v>930000</v>
      </c>
      <c r="K12" s="28"/>
      <c r="L12" s="29"/>
      <c r="M12" s="13"/>
      <c r="N12" s="13"/>
      <c r="O12" s="13">
        <f t="shared" si="1"/>
        <v>5024000</v>
      </c>
      <c r="P12" s="13">
        <v>7300000</v>
      </c>
      <c r="Q12" s="13">
        <f t="shared" si="2"/>
        <v>2276000</v>
      </c>
      <c r="R12" s="5"/>
    </row>
    <row r="13" spans="1:18" ht="27.75" customHeight="1" x14ac:dyDescent="0.25">
      <c r="A13" s="148">
        <v>6</v>
      </c>
      <c r="B13" s="120">
        <v>45360</v>
      </c>
      <c r="C13" s="10" t="s">
        <v>505</v>
      </c>
      <c r="D13" s="25" t="s">
        <v>3706</v>
      </c>
      <c r="E13" s="10" t="s">
        <v>3676</v>
      </c>
      <c r="F13" s="8"/>
      <c r="G13" s="8">
        <v>124</v>
      </c>
      <c r="H13" s="13">
        <f t="shared" si="3"/>
        <v>2538280</v>
      </c>
      <c r="I13" s="8"/>
      <c r="J13" s="13">
        <v>1085000</v>
      </c>
      <c r="K13" s="28"/>
      <c r="L13" s="29"/>
      <c r="M13" s="13"/>
      <c r="N13" s="13"/>
      <c r="O13" s="13">
        <f t="shared" si="1"/>
        <v>3623280</v>
      </c>
      <c r="P13" s="13">
        <v>5800000</v>
      </c>
      <c r="Q13" s="13">
        <f t="shared" si="2"/>
        <v>2176720</v>
      </c>
      <c r="R13" s="5"/>
    </row>
    <row r="14" spans="1:18" ht="27.75" customHeight="1" x14ac:dyDescent="0.25">
      <c r="A14" s="148">
        <v>7</v>
      </c>
      <c r="B14" s="149">
        <v>45362</v>
      </c>
      <c r="C14" s="111" t="s">
        <v>506</v>
      </c>
      <c r="D14" s="112" t="s">
        <v>3707</v>
      </c>
      <c r="E14" s="111" t="s">
        <v>3677</v>
      </c>
      <c r="F14" s="12"/>
      <c r="G14" s="8">
        <v>128</v>
      </c>
      <c r="H14" s="13">
        <f t="shared" si="3"/>
        <v>2620160</v>
      </c>
      <c r="I14" s="8"/>
      <c r="J14" s="13">
        <v>980000</v>
      </c>
      <c r="K14" s="18"/>
      <c r="L14" s="99"/>
      <c r="M14" s="3"/>
      <c r="N14" s="3"/>
      <c r="O14" s="13">
        <f t="shared" si="1"/>
        <v>3600160</v>
      </c>
      <c r="P14" s="13">
        <v>5300000</v>
      </c>
      <c r="Q14" s="13">
        <f t="shared" si="2"/>
        <v>1699840</v>
      </c>
      <c r="R14" s="5"/>
    </row>
    <row r="15" spans="1:18" ht="27.75" customHeight="1" x14ac:dyDescent="0.25">
      <c r="A15" s="148">
        <v>8</v>
      </c>
      <c r="B15" s="120">
        <v>45363</v>
      </c>
      <c r="C15" s="10" t="s">
        <v>508</v>
      </c>
      <c r="D15" s="25" t="s">
        <v>3708</v>
      </c>
      <c r="E15" s="10" t="s">
        <v>3678</v>
      </c>
      <c r="F15" s="8"/>
      <c r="G15" s="8">
        <v>215</v>
      </c>
      <c r="H15" s="13">
        <f>G15*20540</f>
        <v>4416100</v>
      </c>
      <c r="I15" s="8"/>
      <c r="J15" s="119">
        <v>990000</v>
      </c>
      <c r="K15" s="28"/>
      <c r="L15" s="29"/>
      <c r="M15" s="13"/>
      <c r="N15" s="13"/>
      <c r="O15" s="13">
        <f t="shared" si="1"/>
        <v>5406100</v>
      </c>
      <c r="P15" s="13">
        <v>7500000</v>
      </c>
      <c r="Q15" s="13">
        <f t="shared" si="2"/>
        <v>2093900</v>
      </c>
      <c r="R15" s="5"/>
    </row>
    <row r="16" spans="1:18" ht="27.75" customHeight="1" x14ac:dyDescent="0.25">
      <c r="A16" s="148">
        <v>9</v>
      </c>
      <c r="B16" s="120">
        <v>45364</v>
      </c>
      <c r="C16" s="10" t="s">
        <v>3661</v>
      </c>
      <c r="D16" s="25" t="s">
        <v>3709</v>
      </c>
      <c r="E16" s="10" t="s">
        <v>3679</v>
      </c>
      <c r="F16" s="8"/>
      <c r="G16" s="8">
        <v>118</v>
      </c>
      <c r="H16" s="13">
        <f t="shared" ref="H16:H20" si="4">G16*20540</f>
        <v>2423720</v>
      </c>
      <c r="I16" s="8"/>
      <c r="J16" s="13">
        <v>850000</v>
      </c>
      <c r="K16" s="28"/>
      <c r="L16" s="29"/>
      <c r="M16" s="13"/>
      <c r="N16" s="13"/>
      <c r="O16" s="13">
        <f t="shared" si="1"/>
        <v>3273720</v>
      </c>
      <c r="P16" s="13">
        <v>5300000</v>
      </c>
      <c r="Q16" s="13">
        <f t="shared" si="2"/>
        <v>2026280</v>
      </c>
      <c r="R16" s="5"/>
    </row>
    <row r="17" spans="1:18" ht="27.75" customHeight="1" x14ac:dyDescent="0.25">
      <c r="A17" s="148">
        <v>10</v>
      </c>
      <c r="B17" s="120">
        <v>45366</v>
      </c>
      <c r="C17" s="10" t="s">
        <v>3662</v>
      </c>
      <c r="D17" s="25" t="s">
        <v>3710</v>
      </c>
      <c r="E17" s="10" t="s">
        <v>3680</v>
      </c>
      <c r="F17" s="8"/>
      <c r="G17" s="8">
        <v>121</v>
      </c>
      <c r="H17" s="13">
        <f t="shared" si="4"/>
        <v>2485340</v>
      </c>
      <c r="I17" s="8"/>
      <c r="J17" s="13">
        <v>980000</v>
      </c>
      <c r="K17" s="28"/>
      <c r="L17" s="29"/>
      <c r="M17" s="13"/>
      <c r="N17" s="13"/>
      <c r="O17" s="13">
        <f t="shared" si="1"/>
        <v>3465340</v>
      </c>
      <c r="P17" s="13">
        <v>5500000</v>
      </c>
      <c r="Q17" s="13">
        <f t="shared" si="2"/>
        <v>2034660</v>
      </c>
      <c r="R17" s="5"/>
    </row>
    <row r="18" spans="1:18" ht="22.5" customHeight="1" x14ac:dyDescent="0.25">
      <c r="A18" s="148">
        <v>11</v>
      </c>
      <c r="B18" s="120">
        <v>45366</v>
      </c>
      <c r="C18" s="10" t="s">
        <v>3663</v>
      </c>
      <c r="D18" s="25" t="s">
        <v>3711</v>
      </c>
      <c r="E18" s="10" t="s">
        <v>3681</v>
      </c>
      <c r="F18" s="8"/>
      <c r="G18" s="8">
        <v>152</v>
      </c>
      <c r="H18" s="13">
        <f t="shared" si="4"/>
        <v>3122080</v>
      </c>
      <c r="I18" s="8"/>
      <c r="J18" s="13">
        <v>1070000</v>
      </c>
      <c r="K18" s="28"/>
      <c r="L18" s="29"/>
      <c r="M18" s="13"/>
      <c r="N18" s="13"/>
      <c r="O18" s="13">
        <f t="shared" si="1"/>
        <v>4192080</v>
      </c>
      <c r="P18" s="13">
        <v>6000000</v>
      </c>
      <c r="Q18" s="13">
        <f t="shared" si="2"/>
        <v>1807920</v>
      </c>
      <c r="R18" s="5"/>
    </row>
    <row r="19" spans="1:18" ht="22.5" customHeight="1" x14ac:dyDescent="0.25">
      <c r="A19" s="148">
        <v>12</v>
      </c>
      <c r="B19" s="120">
        <v>45369</v>
      </c>
      <c r="C19" s="10" t="s">
        <v>512</v>
      </c>
      <c r="D19" s="25" t="s">
        <v>3712</v>
      </c>
      <c r="E19" s="10" t="s">
        <v>3682</v>
      </c>
      <c r="F19" s="8"/>
      <c r="G19" s="8">
        <v>170</v>
      </c>
      <c r="H19" s="13">
        <f t="shared" si="4"/>
        <v>3491800</v>
      </c>
      <c r="I19" s="8"/>
      <c r="J19" s="13">
        <v>1300000</v>
      </c>
      <c r="K19" s="28"/>
      <c r="L19" s="29"/>
      <c r="M19" s="13"/>
      <c r="N19" s="13"/>
      <c r="O19" s="13">
        <f t="shared" si="1"/>
        <v>4791800</v>
      </c>
      <c r="P19" s="13">
        <v>7200000</v>
      </c>
      <c r="Q19" s="13">
        <f t="shared" si="2"/>
        <v>2408200</v>
      </c>
      <c r="R19" s="5"/>
    </row>
    <row r="20" spans="1:18" ht="22.5" customHeight="1" x14ac:dyDescent="0.25">
      <c r="A20" s="148">
        <v>13</v>
      </c>
      <c r="B20" s="120">
        <v>45369</v>
      </c>
      <c r="C20" s="10" t="s">
        <v>513</v>
      </c>
      <c r="D20" s="25" t="s">
        <v>3713</v>
      </c>
      <c r="E20" s="10" t="s">
        <v>3683</v>
      </c>
      <c r="F20" s="8"/>
      <c r="G20" s="8">
        <v>141</v>
      </c>
      <c r="H20" s="13">
        <f t="shared" si="4"/>
        <v>2896140</v>
      </c>
      <c r="I20" s="8"/>
      <c r="J20" s="13">
        <v>1070000</v>
      </c>
      <c r="K20" s="28"/>
      <c r="L20" s="29"/>
      <c r="M20" s="13"/>
      <c r="N20" s="13"/>
      <c r="O20" s="13">
        <f t="shared" si="1"/>
        <v>3966140</v>
      </c>
      <c r="P20" s="13">
        <v>5900000</v>
      </c>
      <c r="Q20" s="13">
        <f t="shared" si="2"/>
        <v>1933860</v>
      </c>
      <c r="R20" s="5"/>
    </row>
    <row r="21" spans="1:18" ht="22.5" customHeight="1" x14ac:dyDescent="0.25">
      <c r="A21" s="148">
        <v>14</v>
      </c>
      <c r="B21" s="120">
        <v>45370</v>
      </c>
      <c r="C21" s="10" t="s">
        <v>3664</v>
      </c>
      <c r="D21" s="25" t="s">
        <v>3714</v>
      </c>
      <c r="E21" s="10" t="s">
        <v>3684</v>
      </c>
      <c r="F21" s="8"/>
      <c r="G21" s="8">
        <v>129</v>
      </c>
      <c r="H21" s="13">
        <f>G21*21010</f>
        <v>2710290</v>
      </c>
      <c r="I21" s="8"/>
      <c r="J21" s="13">
        <v>1070000</v>
      </c>
      <c r="K21" s="28"/>
      <c r="L21" s="29"/>
      <c r="M21" s="13"/>
      <c r="N21" s="13"/>
      <c r="O21" s="13">
        <f t="shared" si="1"/>
        <v>3780290</v>
      </c>
      <c r="P21" s="13">
        <v>5700000</v>
      </c>
      <c r="Q21" s="13">
        <f t="shared" si="2"/>
        <v>1919710</v>
      </c>
      <c r="R21" s="5"/>
    </row>
    <row r="22" spans="1:18" ht="22.5" customHeight="1" x14ac:dyDescent="0.25">
      <c r="A22" s="148">
        <v>15</v>
      </c>
      <c r="B22" s="120">
        <v>45371</v>
      </c>
      <c r="C22" s="10" t="s">
        <v>3665</v>
      </c>
      <c r="D22" s="25" t="s">
        <v>3715</v>
      </c>
      <c r="E22" s="10" t="s">
        <v>3685</v>
      </c>
      <c r="F22" s="8"/>
      <c r="G22" s="8">
        <v>80</v>
      </c>
      <c r="H22" s="13">
        <f t="shared" ref="H22:H26" si="5">G22*21010</f>
        <v>1680800</v>
      </c>
      <c r="I22" s="8"/>
      <c r="J22" s="13">
        <v>430000</v>
      </c>
      <c r="K22" s="28"/>
      <c r="L22" s="29"/>
      <c r="M22" s="13"/>
      <c r="N22" s="13"/>
      <c r="O22" s="13">
        <f t="shared" si="1"/>
        <v>2110800</v>
      </c>
      <c r="P22" s="13">
        <v>4200000</v>
      </c>
      <c r="Q22" s="13">
        <f t="shared" si="2"/>
        <v>2089200</v>
      </c>
      <c r="R22" s="5"/>
    </row>
    <row r="23" spans="1:18" ht="22.5" customHeight="1" x14ac:dyDescent="0.25">
      <c r="A23" s="148">
        <v>16</v>
      </c>
      <c r="B23" s="120">
        <v>45372</v>
      </c>
      <c r="C23" s="10" t="s">
        <v>1943</v>
      </c>
      <c r="D23" s="25" t="s">
        <v>3716</v>
      </c>
      <c r="E23" s="10" t="s">
        <v>3686</v>
      </c>
      <c r="F23" s="8"/>
      <c r="G23" s="8">
        <v>32</v>
      </c>
      <c r="H23" s="13">
        <f t="shared" si="5"/>
        <v>672320</v>
      </c>
      <c r="I23" s="8"/>
      <c r="J23" s="13">
        <v>430000</v>
      </c>
      <c r="K23" s="28"/>
      <c r="L23" s="29"/>
      <c r="M23" s="13"/>
      <c r="N23" s="13"/>
      <c r="O23" s="13">
        <f t="shared" si="1"/>
        <v>1102320</v>
      </c>
      <c r="P23" s="13">
        <v>2700000</v>
      </c>
      <c r="Q23" s="13">
        <f t="shared" si="2"/>
        <v>1597680</v>
      </c>
      <c r="R23" s="5"/>
    </row>
    <row r="24" spans="1:18" ht="22.5" customHeight="1" x14ac:dyDescent="0.25">
      <c r="A24" s="148">
        <v>17</v>
      </c>
      <c r="B24" s="120">
        <v>45374</v>
      </c>
      <c r="C24" s="10" t="s">
        <v>517</v>
      </c>
      <c r="D24" s="25" t="s">
        <v>3717</v>
      </c>
      <c r="E24" s="10" t="s">
        <v>3687</v>
      </c>
      <c r="F24" s="8"/>
      <c r="G24" s="8">
        <v>169</v>
      </c>
      <c r="H24" s="13">
        <f t="shared" si="5"/>
        <v>3550690</v>
      </c>
      <c r="I24" s="8"/>
      <c r="J24" s="13">
        <v>1252000</v>
      </c>
      <c r="K24" s="28"/>
      <c r="L24" s="29"/>
      <c r="M24" s="13"/>
      <c r="N24" s="13"/>
      <c r="O24" s="13">
        <f t="shared" si="1"/>
        <v>4802690</v>
      </c>
      <c r="P24" s="13">
        <v>7000000</v>
      </c>
      <c r="Q24" s="13">
        <f t="shared" si="2"/>
        <v>2197310</v>
      </c>
      <c r="R24" s="5"/>
    </row>
    <row r="25" spans="1:18" ht="22.5" customHeight="1" x14ac:dyDescent="0.25">
      <c r="A25" s="148">
        <v>18</v>
      </c>
      <c r="B25" s="120">
        <v>45376</v>
      </c>
      <c r="C25" s="10" t="s">
        <v>3666</v>
      </c>
      <c r="D25" s="25" t="s">
        <v>3718</v>
      </c>
      <c r="E25" s="10" t="s">
        <v>3688</v>
      </c>
      <c r="F25" s="8"/>
      <c r="G25" s="8">
        <v>176</v>
      </c>
      <c r="H25" s="13">
        <f t="shared" si="5"/>
        <v>3697760</v>
      </c>
      <c r="I25" s="8"/>
      <c r="J25" s="13">
        <v>990000</v>
      </c>
      <c r="K25" s="28"/>
      <c r="L25" s="29"/>
      <c r="M25" s="13"/>
      <c r="N25" s="13"/>
      <c r="O25" s="13">
        <f t="shared" si="1"/>
        <v>4687760</v>
      </c>
      <c r="P25" s="13">
        <v>6700000</v>
      </c>
      <c r="Q25" s="13">
        <f t="shared" si="2"/>
        <v>2012240</v>
      </c>
      <c r="R25" s="5"/>
    </row>
    <row r="26" spans="1:18" ht="22.5" customHeight="1" x14ac:dyDescent="0.25">
      <c r="A26" s="148">
        <v>19</v>
      </c>
      <c r="B26" s="120">
        <v>45377</v>
      </c>
      <c r="C26" s="10" t="s">
        <v>3667</v>
      </c>
      <c r="D26" s="25" t="s">
        <v>3719</v>
      </c>
      <c r="E26" s="10" t="s">
        <v>3642</v>
      </c>
      <c r="F26" s="8"/>
      <c r="G26" s="8">
        <v>144</v>
      </c>
      <c r="H26" s="13">
        <f t="shared" si="5"/>
        <v>3025440</v>
      </c>
      <c r="I26" s="8"/>
      <c r="J26" s="13">
        <v>1120000</v>
      </c>
      <c r="K26" s="28"/>
      <c r="L26" s="29"/>
      <c r="M26" s="13"/>
      <c r="N26" s="13"/>
      <c r="O26" s="13">
        <f t="shared" si="1"/>
        <v>4145440</v>
      </c>
      <c r="P26" s="13">
        <v>4400000</v>
      </c>
      <c r="Q26" s="13">
        <f t="shared" si="2"/>
        <v>254560</v>
      </c>
      <c r="R26" s="5"/>
    </row>
    <row r="27" spans="1:18" ht="22.5" customHeight="1" x14ac:dyDescent="0.25">
      <c r="A27" s="148">
        <v>20</v>
      </c>
      <c r="B27" s="120">
        <v>45378</v>
      </c>
      <c r="C27" s="10" t="s">
        <v>3668</v>
      </c>
      <c r="D27" s="25" t="s">
        <v>3719</v>
      </c>
      <c r="E27" s="10" t="s">
        <v>2589</v>
      </c>
      <c r="F27" s="8"/>
      <c r="G27" s="8"/>
      <c r="H27" s="13"/>
      <c r="I27" s="8"/>
      <c r="J27" s="13">
        <v>2220000</v>
      </c>
      <c r="K27" s="28"/>
      <c r="L27" s="29"/>
      <c r="M27" s="13"/>
      <c r="N27" s="13"/>
      <c r="O27" s="13">
        <f t="shared" si="1"/>
        <v>2220000</v>
      </c>
      <c r="P27" s="13">
        <v>2320000</v>
      </c>
      <c r="Q27" s="13">
        <f t="shared" si="2"/>
        <v>100000</v>
      </c>
      <c r="R27" s="5"/>
    </row>
    <row r="28" spans="1:18" ht="22.5" customHeight="1" x14ac:dyDescent="0.25">
      <c r="A28" s="148">
        <v>21</v>
      </c>
      <c r="B28" s="120">
        <v>45378</v>
      </c>
      <c r="C28" s="10" t="s">
        <v>520</v>
      </c>
      <c r="D28" s="25" t="s">
        <v>3720</v>
      </c>
      <c r="E28" s="10" t="s">
        <v>112</v>
      </c>
      <c r="F28" s="8"/>
      <c r="G28" s="8">
        <v>237</v>
      </c>
      <c r="H28" s="13">
        <f>G28*20690</f>
        <v>4903530</v>
      </c>
      <c r="I28" s="8"/>
      <c r="J28" s="13">
        <v>1120000</v>
      </c>
      <c r="K28" s="28"/>
      <c r="L28" s="29"/>
      <c r="M28" s="13"/>
      <c r="N28" s="13"/>
      <c r="O28" s="13">
        <f t="shared" si="1"/>
        <v>6023530</v>
      </c>
      <c r="P28" s="13">
        <v>12870370</v>
      </c>
      <c r="Q28" s="13">
        <f t="shared" si="2"/>
        <v>6846840</v>
      </c>
      <c r="R28" s="5"/>
    </row>
    <row r="29" spans="1:18" ht="22.5" customHeight="1" x14ac:dyDescent="0.25">
      <c r="A29" s="148">
        <v>22</v>
      </c>
      <c r="B29" s="120">
        <v>45379</v>
      </c>
      <c r="C29" s="10" t="s">
        <v>3669</v>
      </c>
      <c r="D29" s="25" t="s">
        <v>3721</v>
      </c>
      <c r="E29" s="10" t="s">
        <v>3689</v>
      </c>
      <c r="F29" s="8"/>
      <c r="G29" s="8">
        <v>135</v>
      </c>
      <c r="H29" s="13">
        <f t="shared" ref="H29:H30" si="6">G29*20690</f>
        <v>2793150</v>
      </c>
      <c r="I29" s="8"/>
      <c r="J29" s="13">
        <v>1030000</v>
      </c>
      <c r="K29" s="28"/>
      <c r="L29" s="29"/>
      <c r="M29" s="13"/>
      <c r="N29" s="13"/>
      <c r="O29" s="13">
        <f t="shared" si="1"/>
        <v>3823150</v>
      </c>
      <c r="P29" s="13">
        <v>5800000</v>
      </c>
      <c r="Q29" s="13">
        <f t="shared" si="2"/>
        <v>1976850</v>
      </c>
      <c r="R29" s="5"/>
    </row>
    <row r="30" spans="1:18" ht="22.5" customHeight="1" x14ac:dyDescent="0.25">
      <c r="A30" s="148">
        <v>23</v>
      </c>
      <c r="B30" s="120">
        <v>45380</v>
      </c>
      <c r="C30" s="10" t="s">
        <v>3670</v>
      </c>
      <c r="D30" s="25" t="s">
        <v>3722</v>
      </c>
      <c r="E30" s="10" t="s">
        <v>3690</v>
      </c>
      <c r="F30" s="8"/>
      <c r="G30" s="8">
        <v>130</v>
      </c>
      <c r="H30" s="13">
        <f t="shared" si="6"/>
        <v>2689700</v>
      </c>
      <c r="I30" s="8"/>
      <c r="J30" s="13">
        <v>1350000</v>
      </c>
      <c r="K30" s="28"/>
      <c r="L30" s="29"/>
      <c r="M30" s="13"/>
      <c r="N30" s="13"/>
      <c r="O30" s="13">
        <f t="shared" si="1"/>
        <v>4039700</v>
      </c>
      <c r="P30" s="13">
        <v>5500000</v>
      </c>
      <c r="Q30" s="13">
        <f t="shared" si="2"/>
        <v>1460300</v>
      </c>
      <c r="R30" s="5"/>
    </row>
    <row r="31" spans="1:18" ht="24" customHeight="1" x14ac:dyDescent="0.25">
      <c r="A31" s="8"/>
      <c r="B31" s="8"/>
      <c r="C31" s="196" t="s">
        <v>131</v>
      </c>
      <c r="D31" s="197"/>
      <c r="E31" s="197"/>
      <c r="F31" s="198"/>
      <c r="G31" s="8"/>
      <c r="H31" s="13"/>
      <c r="I31" s="8"/>
      <c r="J31" s="13"/>
      <c r="K31" s="28">
        <v>1200000</v>
      </c>
      <c r="L31" s="28"/>
      <c r="M31" s="18"/>
      <c r="N31" s="28"/>
      <c r="O31" s="53">
        <f t="shared" ref="O31:O37" si="7">H31+J31+K31+L31+M31+N31</f>
        <v>1200000</v>
      </c>
      <c r="P31" s="28"/>
      <c r="Q31" s="54"/>
    </row>
    <row r="32" spans="1:18" ht="24" customHeight="1" x14ac:dyDescent="0.25">
      <c r="A32" s="8"/>
      <c r="B32" s="8"/>
      <c r="C32" s="196" t="s">
        <v>3144</v>
      </c>
      <c r="D32" s="197"/>
      <c r="E32" s="197"/>
      <c r="F32" s="198"/>
      <c r="G32" s="8"/>
      <c r="H32" s="13"/>
      <c r="I32" s="8"/>
      <c r="J32" s="13"/>
      <c r="K32" s="28">
        <v>8583398</v>
      </c>
      <c r="L32" s="28"/>
      <c r="M32" s="28"/>
      <c r="N32" s="28"/>
      <c r="O32" s="53">
        <f>H32+J32+K32+L32+M32+N32</f>
        <v>8583398</v>
      </c>
      <c r="P32" s="28"/>
      <c r="Q32" s="54"/>
    </row>
    <row r="33" spans="1:17" ht="24" customHeight="1" x14ac:dyDescent="0.25">
      <c r="A33" s="8"/>
      <c r="B33" s="8"/>
      <c r="C33" s="196" t="s">
        <v>3740</v>
      </c>
      <c r="D33" s="197"/>
      <c r="E33" s="197"/>
      <c r="F33" s="198"/>
      <c r="G33" s="8"/>
      <c r="H33" s="13"/>
      <c r="I33" s="8"/>
      <c r="J33" s="13"/>
      <c r="K33" s="28"/>
      <c r="L33" s="28">
        <v>200000</v>
      </c>
      <c r="M33" s="28"/>
      <c r="N33" s="28"/>
      <c r="O33" s="53">
        <f>H33+J33+K33+L33+M33+N33</f>
        <v>200000</v>
      </c>
      <c r="P33" s="28"/>
      <c r="Q33" s="54"/>
    </row>
    <row r="34" spans="1:17" ht="24" customHeight="1" x14ac:dyDescent="0.25">
      <c r="A34" s="8"/>
      <c r="B34" s="8"/>
      <c r="C34" s="196" t="s">
        <v>3741</v>
      </c>
      <c r="D34" s="197"/>
      <c r="E34" s="197"/>
      <c r="F34" s="198"/>
      <c r="G34" s="8"/>
      <c r="H34" s="13"/>
      <c r="I34" s="8"/>
      <c r="J34" s="13"/>
      <c r="K34" s="28"/>
      <c r="L34" s="28">
        <v>8895000</v>
      </c>
      <c r="M34" s="28"/>
      <c r="N34" s="28"/>
      <c r="O34" s="53">
        <f>H34+J34+K34+L34+M34+N34</f>
        <v>8895000</v>
      </c>
      <c r="P34" s="28"/>
      <c r="Q34" s="54"/>
    </row>
    <row r="35" spans="1:17" ht="24" customHeight="1" x14ac:dyDescent="0.25">
      <c r="A35" s="8"/>
      <c r="B35" s="8"/>
      <c r="C35" s="196" t="s">
        <v>3742</v>
      </c>
      <c r="D35" s="197"/>
      <c r="E35" s="197"/>
      <c r="F35" s="198"/>
      <c r="G35" s="8"/>
      <c r="H35" s="13"/>
      <c r="I35" s="8"/>
      <c r="J35" s="13"/>
      <c r="K35" s="28"/>
      <c r="L35" s="28">
        <v>120000</v>
      </c>
      <c r="M35" s="28"/>
      <c r="N35" s="28"/>
      <c r="O35" s="53">
        <f>H35+J35+K35+L35+M35+N35</f>
        <v>120000</v>
      </c>
      <c r="P35" s="28"/>
      <c r="Q35" s="54"/>
    </row>
    <row r="36" spans="1:17" ht="24" customHeight="1" x14ac:dyDescent="0.25">
      <c r="A36" s="8"/>
      <c r="B36" s="8"/>
      <c r="C36" s="196" t="s">
        <v>3743</v>
      </c>
      <c r="D36" s="197"/>
      <c r="E36" s="197"/>
      <c r="F36" s="198"/>
      <c r="G36" s="8"/>
      <c r="H36" s="13"/>
      <c r="I36" s="8"/>
      <c r="J36" s="13"/>
      <c r="K36" s="28"/>
      <c r="L36" s="28">
        <v>5508000</v>
      </c>
      <c r="M36" s="28"/>
      <c r="N36" s="28"/>
      <c r="O36" s="53">
        <f>H36+J36+K36+L36+M36+N36</f>
        <v>5508000</v>
      </c>
      <c r="P36" s="28"/>
      <c r="Q36" s="54"/>
    </row>
    <row r="37" spans="1:17" ht="24" customHeight="1" x14ac:dyDescent="0.25">
      <c r="A37" s="8"/>
      <c r="B37" s="8"/>
      <c r="C37" s="196" t="s">
        <v>3900</v>
      </c>
      <c r="D37" s="197"/>
      <c r="E37" s="197"/>
      <c r="F37" s="198"/>
      <c r="G37" s="8"/>
      <c r="H37" s="13"/>
      <c r="I37" s="8"/>
      <c r="J37" s="13"/>
      <c r="K37" s="28"/>
      <c r="L37" s="28">
        <v>1880000</v>
      </c>
      <c r="M37" s="28"/>
      <c r="N37" s="28"/>
      <c r="O37" s="53">
        <f t="shared" si="7"/>
        <v>1880000</v>
      </c>
      <c r="P37" s="28"/>
      <c r="Q37" s="54"/>
    </row>
    <row r="38" spans="1:17" ht="25.5" customHeight="1" x14ac:dyDescent="0.25">
      <c r="A38" s="8"/>
      <c r="B38" s="8"/>
      <c r="C38" s="191" t="s">
        <v>2763</v>
      </c>
      <c r="D38" s="192"/>
      <c r="E38" s="192"/>
      <c r="F38" s="195"/>
      <c r="G38" s="30"/>
      <c r="H38" s="28"/>
      <c r="I38" s="30"/>
      <c r="J38" s="28"/>
      <c r="K38" s="28">
        <v>9000000</v>
      </c>
      <c r="L38" s="28"/>
      <c r="M38" s="28"/>
      <c r="N38" s="28"/>
      <c r="O38" s="53">
        <f>H38+J38+K38+L38+M38+N38</f>
        <v>9000000</v>
      </c>
      <c r="P38" s="28"/>
      <c r="Q38" s="54"/>
    </row>
    <row r="39" spans="1:17" ht="15" customHeight="1" x14ac:dyDescent="0.25">
      <c r="A39" s="166" t="s">
        <v>19</v>
      </c>
      <c r="B39" s="167"/>
      <c r="C39" s="167"/>
      <c r="D39" s="167"/>
      <c r="E39" s="167"/>
      <c r="F39" s="168"/>
      <c r="G39" s="131">
        <f t="shared" ref="G39:O39" si="8">SUM(G7:G38)</f>
        <v>3061</v>
      </c>
      <c r="H39" s="4">
        <f t="shared" si="8"/>
        <v>63325000</v>
      </c>
      <c r="I39" s="4">
        <f t="shared" si="8"/>
        <v>0</v>
      </c>
      <c r="J39" s="4">
        <f t="shared" si="8"/>
        <v>24037000</v>
      </c>
      <c r="K39" s="4">
        <f t="shared" si="8"/>
        <v>18783398</v>
      </c>
      <c r="L39" s="4">
        <f t="shared" si="8"/>
        <v>16603000</v>
      </c>
      <c r="M39" s="4">
        <f t="shared" si="8"/>
        <v>0</v>
      </c>
      <c r="N39" s="4">
        <f t="shared" si="8"/>
        <v>0</v>
      </c>
      <c r="O39" s="4">
        <f t="shared" si="8"/>
        <v>122748398</v>
      </c>
      <c r="P39" s="4">
        <f>SUM(P8:P38)</f>
        <v>133790370</v>
      </c>
      <c r="Q39" s="122">
        <f>P39-O39</f>
        <v>11041972</v>
      </c>
    </row>
    <row r="40" spans="1:17" x14ac:dyDescent="0.25">
      <c r="O40" s="20"/>
      <c r="P40" s="5" t="s">
        <v>1796</v>
      </c>
      <c r="Q40" s="26"/>
    </row>
    <row r="41" spans="1:17" x14ac:dyDescent="0.25">
      <c r="P41" s="21" t="s">
        <v>20</v>
      </c>
      <c r="Q41" s="26">
        <f>'02.2024'!Q30+'03.2024'!Q39</f>
        <v>28601566</v>
      </c>
    </row>
    <row r="42" spans="1:17" x14ac:dyDescent="0.25">
      <c r="C42" s="6" t="s">
        <v>993</v>
      </c>
    </row>
    <row r="43" spans="1:17" x14ac:dyDescent="0.25">
      <c r="C43" s="205"/>
      <c r="D43" s="205"/>
      <c r="E43" s="205"/>
      <c r="F43" s="205"/>
      <c r="H43" s="109"/>
    </row>
    <row r="44" spans="1:17" x14ac:dyDescent="0.25">
      <c r="C44" s="206"/>
      <c r="D44" s="206"/>
      <c r="E44" s="206"/>
      <c r="F44" s="206"/>
      <c r="H44" s="109"/>
    </row>
    <row r="45" spans="1:17" x14ac:dyDescent="0.25">
      <c r="B45" s="6"/>
      <c r="C45" s="110"/>
      <c r="D45" s="110"/>
      <c r="E45" s="110"/>
      <c r="F45" s="110"/>
      <c r="G45" s="133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H47" s="109"/>
    </row>
    <row r="48" spans="1:17" x14ac:dyDescent="0.25">
      <c r="B48" s="6"/>
      <c r="C48" s="206"/>
      <c r="D48" s="206"/>
      <c r="E48" s="206"/>
      <c r="F48" s="206"/>
      <c r="G48" s="133"/>
      <c r="H48" s="109"/>
      <c r="J48" s="6"/>
      <c r="K48" s="6"/>
      <c r="L48" s="6"/>
      <c r="M48" s="6"/>
      <c r="N48" s="6"/>
      <c r="O48" s="6"/>
      <c r="P48" s="6"/>
      <c r="Q48" s="6"/>
    </row>
    <row r="49" spans="3:8" x14ac:dyDescent="0.2">
      <c r="C49" s="107"/>
      <c r="D49" s="110"/>
      <c r="E49" s="110"/>
      <c r="F49" s="110"/>
      <c r="H49" s="109"/>
    </row>
    <row r="50" spans="3:8" x14ac:dyDescent="0.25">
      <c r="C50" s="205"/>
      <c r="D50" s="205"/>
      <c r="E50" s="205"/>
      <c r="F50" s="205"/>
    </row>
  </sheetData>
  <mergeCells count="28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43:F43"/>
    <mergeCell ref="O5:O6"/>
    <mergeCell ref="P5:P6"/>
    <mergeCell ref="Q5:Q6"/>
    <mergeCell ref="C31:F31"/>
    <mergeCell ref="C32:F32"/>
    <mergeCell ref="C33:F33"/>
    <mergeCell ref="C34:F34"/>
    <mergeCell ref="C35:F35"/>
    <mergeCell ref="C36:F36"/>
    <mergeCell ref="C38:F38"/>
    <mergeCell ref="A39:F39"/>
    <mergeCell ref="C37:F37"/>
    <mergeCell ref="C44:F44"/>
    <mergeCell ref="C46:F46"/>
    <mergeCell ref="C47:F47"/>
    <mergeCell ref="C48:F48"/>
    <mergeCell ref="C50:F50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4138-A40F-4A9B-A506-F9C40D5AB2AD}">
  <dimension ref="A1:R49"/>
  <sheetViews>
    <sheetView topLeftCell="A19" workbookViewId="0">
      <selection activeCell="J29" sqref="J29:N36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3744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45383</v>
      </c>
      <c r="C8" s="10" t="s">
        <v>572</v>
      </c>
      <c r="D8" s="25" t="s">
        <v>3759</v>
      </c>
      <c r="E8" s="10" t="s">
        <v>3778</v>
      </c>
      <c r="F8" s="8"/>
      <c r="G8" s="8">
        <v>173</v>
      </c>
      <c r="H8" s="13">
        <f>G8*20690</f>
        <v>3579370</v>
      </c>
      <c r="I8" s="8"/>
      <c r="J8" s="13">
        <v>1350000</v>
      </c>
      <c r="K8" s="28"/>
      <c r="L8" s="29"/>
      <c r="M8" s="13"/>
      <c r="N8" s="13"/>
      <c r="O8" s="13">
        <f>SUM(H8:N8)</f>
        <v>4929370</v>
      </c>
      <c r="P8" s="13">
        <v>7200000</v>
      </c>
      <c r="Q8" s="13">
        <f>P8-O8</f>
        <v>2270630</v>
      </c>
      <c r="R8" s="5"/>
    </row>
    <row r="9" spans="1:18" ht="24.75" customHeight="1" x14ac:dyDescent="0.25">
      <c r="A9" s="148">
        <v>2</v>
      </c>
      <c r="B9" s="120">
        <v>45383</v>
      </c>
      <c r="C9" s="10" t="s">
        <v>3745</v>
      </c>
      <c r="D9" s="129" t="s">
        <v>3760</v>
      </c>
      <c r="E9" s="9" t="s">
        <v>3779</v>
      </c>
      <c r="F9" s="117"/>
      <c r="G9" s="8">
        <v>171</v>
      </c>
      <c r="H9" s="13">
        <f>G9*20690</f>
        <v>3537990</v>
      </c>
      <c r="I9" s="117"/>
      <c r="J9" s="119">
        <v>1425000</v>
      </c>
      <c r="K9" s="28"/>
      <c r="L9" s="29"/>
      <c r="M9" s="13"/>
      <c r="N9" s="13"/>
      <c r="O9" s="13">
        <f t="shared" ref="O9:O28" si="0">SUM(H9:N9)</f>
        <v>4962990</v>
      </c>
      <c r="P9" s="13">
        <v>7000000</v>
      </c>
      <c r="Q9" s="13">
        <f>P9-O9</f>
        <v>2037010</v>
      </c>
      <c r="R9" s="5"/>
    </row>
    <row r="10" spans="1:18" ht="24.75" customHeight="1" x14ac:dyDescent="0.25">
      <c r="A10" s="148">
        <v>3</v>
      </c>
      <c r="B10" s="120">
        <v>45385</v>
      </c>
      <c r="C10" s="10" t="s">
        <v>575</v>
      </c>
      <c r="D10" s="25" t="s">
        <v>3761</v>
      </c>
      <c r="E10" s="10" t="s">
        <v>112</v>
      </c>
      <c r="F10" s="8"/>
      <c r="G10" s="8">
        <v>233</v>
      </c>
      <c r="H10" s="13">
        <f>G10*20980</f>
        <v>4888340</v>
      </c>
      <c r="I10" s="8"/>
      <c r="J10" s="13">
        <v>2220000</v>
      </c>
      <c r="K10" s="28"/>
      <c r="L10" s="29"/>
      <c r="M10" s="13"/>
      <c r="N10" s="13"/>
      <c r="O10" s="13">
        <f t="shared" si="0"/>
        <v>7108340</v>
      </c>
      <c r="P10" s="13">
        <v>12870370</v>
      </c>
      <c r="Q10" s="13">
        <f t="shared" ref="Q10:Q28" si="1">P10-O10</f>
        <v>5762030</v>
      </c>
      <c r="R10" s="5"/>
    </row>
    <row r="11" spans="1:18" ht="27.75" customHeight="1" x14ac:dyDescent="0.25">
      <c r="A11" s="148">
        <v>4</v>
      </c>
      <c r="B11" s="120">
        <v>45386</v>
      </c>
      <c r="C11" s="10" t="s">
        <v>3746</v>
      </c>
      <c r="D11" s="25" t="s">
        <v>3762</v>
      </c>
      <c r="E11" s="10" t="s">
        <v>3780</v>
      </c>
      <c r="F11" s="8"/>
      <c r="G11" s="8">
        <v>146</v>
      </c>
      <c r="H11" s="13">
        <f t="shared" ref="H11:H14" si="2">G11*20980</f>
        <v>3063080</v>
      </c>
      <c r="I11" s="8"/>
      <c r="J11" s="13">
        <v>1120000</v>
      </c>
      <c r="K11" s="28"/>
      <c r="L11" s="29"/>
      <c r="M11" s="13"/>
      <c r="N11" s="13"/>
      <c r="O11" s="13">
        <f t="shared" si="0"/>
        <v>4183080</v>
      </c>
      <c r="P11" s="13">
        <v>5800000</v>
      </c>
      <c r="Q11" s="13">
        <f t="shared" si="1"/>
        <v>1616920</v>
      </c>
      <c r="R11" s="5"/>
    </row>
    <row r="12" spans="1:18" ht="27.75" customHeight="1" x14ac:dyDescent="0.25">
      <c r="A12" s="148">
        <v>5</v>
      </c>
      <c r="B12" s="120">
        <v>45387</v>
      </c>
      <c r="C12" s="10" t="s">
        <v>2001</v>
      </c>
      <c r="D12" s="25" t="s">
        <v>3763</v>
      </c>
      <c r="E12" s="10" t="s">
        <v>2593</v>
      </c>
      <c r="F12" s="8"/>
      <c r="G12" s="8">
        <v>96</v>
      </c>
      <c r="H12" s="13">
        <f t="shared" si="2"/>
        <v>2014080</v>
      </c>
      <c r="I12" s="8"/>
      <c r="J12" s="13">
        <v>430000</v>
      </c>
      <c r="K12" s="28"/>
      <c r="L12" s="29"/>
      <c r="M12" s="13"/>
      <c r="N12" s="13"/>
      <c r="O12" s="13">
        <f t="shared" si="0"/>
        <v>2444080</v>
      </c>
      <c r="P12" s="13">
        <v>4300000</v>
      </c>
      <c r="Q12" s="13">
        <f t="shared" si="1"/>
        <v>1855920</v>
      </c>
      <c r="R12" s="5"/>
    </row>
    <row r="13" spans="1:18" ht="27.75" customHeight="1" x14ac:dyDescent="0.25">
      <c r="A13" s="148">
        <v>6</v>
      </c>
      <c r="B13" s="120">
        <v>45390</v>
      </c>
      <c r="C13" s="10" t="s">
        <v>2730</v>
      </c>
      <c r="D13" s="25" t="s">
        <v>3764</v>
      </c>
      <c r="E13" s="10" t="s">
        <v>121</v>
      </c>
      <c r="F13" s="8"/>
      <c r="G13" s="8">
        <v>253</v>
      </c>
      <c r="H13" s="13">
        <f t="shared" si="2"/>
        <v>5307940</v>
      </c>
      <c r="I13" s="8"/>
      <c r="J13" s="13">
        <v>2520000</v>
      </c>
      <c r="K13" s="28"/>
      <c r="L13" s="29"/>
      <c r="M13" s="13"/>
      <c r="N13" s="13"/>
      <c r="O13" s="13">
        <f t="shared" si="0"/>
        <v>7827940</v>
      </c>
      <c r="P13" s="13">
        <v>13000000</v>
      </c>
      <c r="Q13" s="13">
        <f t="shared" si="1"/>
        <v>5172060</v>
      </c>
      <c r="R13" s="5"/>
    </row>
    <row r="14" spans="1:18" ht="27.75" customHeight="1" x14ac:dyDescent="0.25">
      <c r="A14" s="148">
        <v>7</v>
      </c>
      <c r="B14" s="149">
        <v>45390</v>
      </c>
      <c r="C14" s="111" t="s">
        <v>3747</v>
      </c>
      <c r="D14" s="112" t="s">
        <v>3764</v>
      </c>
      <c r="E14" s="111" t="s">
        <v>3781</v>
      </c>
      <c r="F14" s="12"/>
      <c r="G14" s="8"/>
      <c r="H14" s="13">
        <f t="shared" si="2"/>
        <v>0</v>
      </c>
      <c r="I14" s="8"/>
      <c r="J14" s="13">
        <v>730000</v>
      </c>
      <c r="K14" s="18"/>
      <c r="L14" s="99"/>
      <c r="M14" s="3"/>
      <c r="N14" s="3"/>
      <c r="O14" s="13">
        <f t="shared" si="0"/>
        <v>730000</v>
      </c>
      <c r="P14" s="13">
        <v>2300000</v>
      </c>
      <c r="Q14" s="13">
        <f t="shared" si="1"/>
        <v>1570000</v>
      </c>
      <c r="R14" s="5"/>
    </row>
    <row r="15" spans="1:18" ht="27.75" customHeight="1" x14ac:dyDescent="0.25">
      <c r="A15" s="148">
        <v>8</v>
      </c>
      <c r="B15" s="120">
        <v>45391</v>
      </c>
      <c r="C15" s="10" t="s">
        <v>3748</v>
      </c>
      <c r="D15" s="25" t="s">
        <v>3765</v>
      </c>
      <c r="E15" s="10" t="s">
        <v>1287</v>
      </c>
      <c r="F15" s="8"/>
      <c r="G15" s="8">
        <v>88</v>
      </c>
      <c r="H15" s="13">
        <f>10*20980+78*21610</f>
        <v>1895380</v>
      </c>
      <c r="I15" s="8"/>
      <c r="J15" s="119">
        <v>2220000</v>
      </c>
      <c r="K15" s="28"/>
      <c r="L15" s="29"/>
      <c r="M15" s="13"/>
      <c r="N15" s="13"/>
      <c r="O15" s="13">
        <f t="shared" si="0"/>
        <v>4115380</v>
      </c>
      <c r="P15" s="13">
        <v>3189259</v>
      </c>
      <c r="Q15" s="13">
        <f t="shared" si="1"/>
        <v>-926121</v>
      </c>
      <c r="R15" s="5"/>
    </row>
    <row r="16" spans="1:18" ht="27.75" customHeight="1" x14ac:dyDescent="0.25">
      <c r="A16" s="148">
        <v>9</v>
      </c>
      <c r="B16" s="120">
        <v>45392</v>
      </c>
      <c r="C16" s="10" t="s">
        <v>3749</v>
      </c>
      <c r="D16" s="25" t="s">
        <v>3765</v>
      </c>
      <c r="E16" s="10" t="s">
        <v>3782</v>
      </c>
      <c r="F16" s="8"/>
      <c r="G16" s="8"/>
      <c r="H16" s="13"/>
      <c r="I16" s="8"/>
      <c r="J16" s="13">
        <v>980000</v>
      </c>
      <c r="K16" s="28"/>
      <c r="L16" s="29"/>
      <c r="M16" s="13"/>
      <c r="N16" s="13"/>
      <c r="O16" s="13">
        <f t="shared" si="0"/>
        <v>980000</v>
      </c>
      <c r="P16" s="13">
        <v>1700000</v>
      </c>
      <c r="Q16" s="13">
        <f t="shared" si="1"/>
        <v>720000</v>
      </c>
      <c r="R16" s="5"/>
    </row>
    <row r="17" spans="1:18" ht="27.75" customHeight="1" x14ac:dyDescent="0.25">
      <c r="A17" s="148">
        <v>10</v>
      </c>
      <c r="B17" s="120">
        <v>45392</v>
      </c>
      <c r="C17" s="10" t="s">
        <v>3750</v>
      </c>
      <c r="D17" s="25" t="s">
        <v>3766</v>
      </c>
      <c r="E17" s="10" t="s">
        <v>112</v>
      </c>
      <c r="F17" s="8"/>
      <c r="G17" s="8">
        <v>233</v>
      </c>
      <c r="H17" s="13">
        <f>G17*21610</f>
        <v>5035130</v>
      </c>
      <c r="I17" s="8"/>
      <c r="J17" s="13">
        <v>680000</v>
      </c>
      <c r="K17" s="28"/>
      <c r="L17" s="29"/>
      <c r="M17" s="13"/>
      <c r="N17" s="13"/>
      <c r="O17" s="13">
        <f t="shared" si="0"/>
        <v>5715130</v>
      </c>
      <c r="P17" s="13">
        <v>12870370</v>
      </c>
      <c r="Q17" s="13">
        <f t="shared" si="1"/>
        <v>7155240</v>
      </c>
      <c r="R17" s="5"/>
    </row>
    <row r="18" spans="1:18" ht="22.5" customHeight="1" x14ac:dyDescent="0.25">
      <c r="A18" s="148">
        <v>11</v>
      </c>
      <c r="B18" s="120">
        <v>45394</v>
      </c>
      <c r="C18" s="10" t="s">
        <v>582</v>
      </c>
      <c r="D18" s="25" t="s">
        <v>3767</v>
      </c>
      <c r="E18" s="10" t="s">
        <v>3783</v>
      </c>
      <c r="F18" s="8"/>
      <c r="G18" s="8">
        <v>110</v>
      </c>
      <c r="H18" s="13">
        <f t="shared" ref="H18:H21" si="3">G18*21610</f>
        <v>2377100</v>
      </c>
      <c r="I18" s="8"/>
      <c r="J18" s="13">
        <v>1070000</v>
      </c>
      <c r="K18" s="28"/>
      <c r="L18" s="29"/>
      <c r="M18" s="13"/>
      <c r="N18" s="13"/>
      <c r="O18" s="13">
        <f t="shared" si="0"/>
        <v>3447100</v>
      </c>
      <c r="P18" s="13">
        <v>5300000</v>
      </c>
      <c r="Q18" s="13">
        <f t="shared" si="1"/>
        <v>1852900</v>
      </c>
      <c r="R18" s="5"/>
    </row>
    <row r="19" spans="1:18" ht="22.5" customHeight="1" x14ac:dyDescent="0.25">
      <c r="A19" s="148">
        <v>12</v>
      </c>
      <c r="B19" s="120">
        <v>45394</v>
      </c>
      <c r="C19" s="10" t="s">
        <v>3751</v>
      </c>
      <c r="D19" s="25" t="s">
        <v>3768</v>
      </c>
      <c r="E19" s="10" t="s">
        <v>3784</v>
      </c>
      <c r="F19" s="8"/>
      <c r="G19" s="8">
        <v>88</v>
      </c>
      <c r="H19" s="13">
        <f t="shared" si="3"/>
        <v>1901680</v>
      </c>
      <c r="I19" s="8"/>
      <c r="J19" s="13">
        <v>430000</v>
      </c>
      <c r="K19" s="28"/>
      <c r="L19" s="29"/>
      <c r="M19" s="13"/>
      <c r="N19" s="13"/>
      <c r="O19" s="13">
        <f t="shared" si="0"/>
        <v>2331680</v>
      </c>
      <c r="P19" s="13">
        <v>4100000</v>
      </c>
      <c r="Q19" s="13">
        <f t="shared" si="1"/>
        <v>1768320</v>
      </c>
      <c r="R19" s="5"/>
    </row>
    <row r="20" spans="1:18" ht="22.5" customHeight="1" x14ac:dyDescent="0.25">
      <c r="A20" s="148">
        <v>13</v>
      </c>
      <c r="B20" s="120">
        <v>45396</v>
      </c>
      <c r="C20" s="10" t="s">
        <v>3752</v>
      </c>
      <c r="D20" s="25" t="s">
        <v>3769</v>
      </c>
      <c r="E20" s="10" t="s">
        <v>3785</v>
      </c>
      <c r="F20" s="8"/>
      <c r="G20" s="8">
        <v>151</v>
      </c>
      <c r="H20" s="13">
        <f t="shared" si="3"/>
        <v>3263110</v>
      </c>
      <c r="I20" s="8"/>
      <c r="J20" s="13">
        <v>2220000</v>
      </c>
      <c r="K20" s="28"/>
      <c r="L20" s="29"/>
      <c r="M20" s="13"/>
      <c r="N20" s="13"/>
      <c r="O20" s="13">
        <f t="shared" si="0"/>
        <v>5483110</v>
      </c>
      <c r="P20" s="13">
        <v>5900000</v>
      </c>
      <c r="Q20" s="13">
        <f t="shared" si="1"/>
        <v>416890</v>
      </c>
      <c r="R20" s="5"/>
    </row>
    <row r="21" spans="1:18" ht="22.5" customHeight="1" x14ac:dyDescent="0.25">
      <c r="A21" s="148">
        <v>14</v>
      </c>
      <c r="B21" s="120">
        <v>45427</v>
      </c>
      <c r="C21" s="10" t="s">
        <v>3753</v>
      </c>
      <c r="D21" s="25" t="s">
        <v>3770</v>
      </c>
      <c r="E21" s="10" t="s">
        <v>2593</v>
      </c>
      <c r="F21" s="8"/>
      <c r="G21" s="8">
        <v>95</v>
      </c>
      <c r="H21" s="13">
        <f t="shared" si="3"/>
        <v>2052950</v>
      </c>
      <c r="I21" s="8"/>
      <c r="J21" s="13">
        <v>440000</v>
      </c>
      <c r="K21" s="28"/>
      <c r="L21" s="29"/>
      <c r="M21" s="13"/>
      <c r="N21" s="13"/>
      <c r="O21" s="13">
        <f t="shared" si="0"/>
        <v>2492950</v>
      </c>
      <c r="P21" s="13">
        <v>4100000</v>
      </c>
      <c r="Q21" s="13">
        <f t="shared" si="1"/>
        <v>1607050</v>
      </c>
      <c r="R21" s="5"/>
    </row>
    <row r="22" spans="1:18" ht="22.5" customHeight="1" x14ac:dyDescent="0.25">
      <c r="A22" s="148">
        <v>15</v>
      </c>
      <c r="B22" s="120">
        <v>45398</v>
      </c>
      <c r="C22" s="10" t="s">
        <v>3754</v>
      </c>
      <c r="D22" s="25" t="s">
        <v>3771</v>
      </c>
      <c r="E22" s="10" t="s">
        <v>121</v>
      </c>
      <c r="F22" s="8"/>
      <c r="G22" s="8">
        <v>228</v>
      </c>
      <c r="H22" s="13">
        <f>10*21610+218*21440</f>
        <v>4890020</v>
      </c>
      <c r="I22" s="8"/>
      <c r="J22" s="13">
        <v>1030000</v>
      </c>
      <c r="K22" s="28"/>
      <c r="L22" s="29"/>
      <c r="M22" s="13"/>
      <c r="N22" s="13"/>
      <c r="O22" s="13">
        <f t="shared" si="0"/>
        <v>5920020</v>
      </c>
      <c r="P22" s="13">
        <v>12272727</v>
      </c>
      <c r="Q22" s="13">
        <f t="shared" si="1"/>
        <v>6352707</v>
      </c>
      <c r="R22" s="5"/>
    </row>
    <row r="23" spans="1:18" ht="22.5" customHeight="1" x14ac:dyDescent="0.25">
      <c r="A23" s="148">
        <v>16</v>
      </c>
      <c r="B23" s="120">
        <v>45399</v>
      </c>
      <c r="C23" s="10" t="s">
        <v>3755</v>
      </c>
      <c r="D23" s="25" t="s">
        <v>3772</v>
      </c>
      <c r="E23" s="10" t="s">
        <v>3686</v>
      </c>
      <c r="F23" s="8"/>
      <c r="G23" s="8">
        <v>32</v>
      </c>
      <c r="H23" s="13">
        <f>G23*21440</f>
        <v>686080</v>
      </c>
      <c r="I23" s="8"/>
      <c r="J23" s="13">
        <v>1030000</v>
      </c>
      <c r="K23" s="28"/>
      <c r="L23" s="29"/>
      <c r="M23" s="13"/>
      <c r="N23" s="13"/>
      <c r="O23" s="13">
        <f t="shared" si="0"/>
        <v>1716080</v>
      </c>
      <c r="P23" s="13">
        <v>2700000</v>
      </c>
      <c r="Q23" s="13">
        <f t="shared" si="1"/>
        <v>983920</v>
      </c>
      <c r="R23" s="5"/>
    </row>
    <row r="24" spans="1:18" ht="22.5" customHeight="1" x14ac:dyDescent="0.25">
      <c r="A24" s="148">
        <v>17</v>
      </c>
      <c r="B24" s="120">
        <v>45402</v>
      </c>
      <c r="C24" s="10" t="s">
        <v>3756</v>
      </c>
      <c r="D24" s="25" t="s">
        <v>3773</v>
      </c>
      <c r="E24" s="10" t="s">
        <v>3786</v>
      </c>
      <c r="F24" s="8"/>
      <c r="G24" s="8">
        <v>128</v>
      </c>
      <c r="H24" s="13">
        <f t="shared" ref="H24:H26" si="4">G24*21440</f>
        <v>2744320</v>
      </c>
      <c r="I24" s="8"/>
      <c r="J24" s="13">
        <v>2220000</v>
      </c>
      <c r="K24" s="28"/>
      <c r="L24" s="29"/>
      <c r="M24" s="13"/>
      <c r="N24" s="13"/>
      <c r="O24" s="13">
        <f t="shared" si="0"/>
        <v>4964320</v>
      </c>
      <c r="P24" s="13">
        <v>5900000</v>
      </c>
      <c r="Q24" s="13">
        <f t="shared" si="1"/>
        <v>935680</v>
      </c>
      <c r="R24" s="5"/>
    </row>
    <row r="25" spans="1:18" ht="22.5" customHeight="1" x14ac:dyDescent="0.25">
      <c r="A25" s="148">
        <v>18</v>
      </c>
      <c r="B25" s="120">
        <v>45404</v>
      </c>
      <c r="C25" s="10" t="s">
        <v>589</v>
      </c>
      <c r="D25" s="25" t="s">
        <v>3774</v>
      </c>
      <c r="E25" s="10" t="s">
        <v>3787</v>
      </c>
      <c r="F25" s="8"/>
      <c r="G25" s="8">
        <v>147</v>
      </c>
      <c r="H25" s="13">
        <f t="shared" si="4"/>
        <v>3151680</v>
      </c>
      <c r="I25" s="8"/>
      <c r="J25" s="13">
        <v>680000</v>
      </c>
      <c r="K25" s="28"/>
      <c r="L25" s="29"/>
      <c r="M25" s="13"/>
      <c r="N25" s="13"/>
      <c r="O25" s="13">
        <f t="shared" si="0"/>
        <v>3831680</v>
      </c>
      <c r="P25" s="13">
        <v>6050000</v>
      </c>
      <c r="Q25" s="13">
        <f t="shared" si="1"/>
        <v>2218320</v>
      </c>
      <c r="R25" s="5"/>
    </row>
    <row r="26" spans="1:18" ht="22.5" customHeight="1" x14ac:dyDescent="0.25">
      <c r="A26" s="148">
        <v>19</v>
      </c>
      <c r="B26" s="120">
        <v>45404</v>
      </c>
      <c r="C26" s="10" t="s">
        <v>590</v>
      </c>
      <c r="D26" s="25" t="s">
        <v>3775</v>
      </c>
      <c r="E26" s="10" t="s">
        <v>112</v>
      </c>
      <c r="F26" s="8"/>
      <c r="G26" s="8">
        <v>233</v>
      </c>
      <c r="H26" s="13">
        <f t="shared" si="4"/>
        <v>4995520</v>
      </c>
      <c r="I26" s="8"/>
      <c r="J26" s="13">
        <v>1070000</v>
      </c>
      <c r="K26" s="28"/>
      <c r="L26" s="29"/>
      <c r="M26" s="13"/>
      <c r="N26" s="13"/>
      <c r="O26" s="13">
        <f t="shared" si="0"/>
        <v>6065520</v>
      </c>
      <c r="P26" s="13">
        <v>12870370</v>
      </c>
      <c r="Q26" s="13">
        <f t="shared" si="1"/>
        <v>6804850</v>
      </c>
      <c r="R26" s="5"/>
    </row>
    <row r="27" spans="1:18" ht="22.5" customHeight="1" x14ac:dyDescent="0.25">
      <c r="A27" s="148">
        <v>20</v>
      </c>
      <c r="B27" s="120">
        <v>45405</v>
      </c>
      <c r="C27" s="10" t="s">
        <v>3757</v>
      </c>
      <c r="D27" s="25" t="s">
        <v>3776</v>
      </c>
      <c r="E27" s="10" t="s">
        <v>1043</v>
      </c>
      <c r="F27" s="8"/>
      <c r="G27" s="8">
        <v>120</v>
      </c>
      <c r="H27" s="13">
        <f>G27*20710</f>
        <v>2485200</v>
      </c>
      <c r="I27" s="8"/>
      <c r="J27" s="13">
        <v>1120000</v>
      </c>
      <c r="K27" s="28"/>
      <c r="L27" s="29"/>
      <c r="M27" s="13"/>
      <c r="N27" s="13"/>
      <c r="O27" s="13">
        <f t="shared" si="0"/>
        <v>3605200</v>
      </c>
      <c r="P27" s="13">
        <v>5570370</v>
      </c>
      <c r="Q27" s="13">
        <f t="shared" si="1"/>
        <v>1965170</v>
      </c>
      <c r="R27" s="5"/>
    </row>
    <row r="28" spans="1:18" ht="22.5" customHeight="1" x14ac:dyDescent="0.25">
      <c r="A28" s="148">
        <v>21</v>
      </c>
      <c r="B28" s="120">
        <v>45411</v>
      </c>
      <c r="C28" s="10" t="s">
        <v>3758</v>
      </c>
      <c r="D28" s="25" t="s">
        <v>3777</v>
      </c>
      <c r="E28" s="10" t="s">
        <v>3690</v>
      </c>
      <c r="F28" s="8"/>
      <c r="G28" s="8">
        <v>119</v>
      </c>
      <c r="H28" s="13">
        <f>G28*20710</f>
        <v>2464490</v>
      </c>
      <c r="I28" s="8"/>
      <c r="J28" s="13">
        <v>980000</v>
      </c>
      <c r="K28" s="28"/>
      <c r="L28" s="29"/>
      <c r="M28" s="13"/>
      <c r="N28" s="13"/>
      <c r="O28" s="13">
        <f t="shared" si="0"/>
        <v>3444490</v>
      </c>
      <c r="P28" s="13">
        <v>5500000</v>
      </c>
      <c r="Q28" s="13">
        <f t="shared" si="1"/>
        <v>2055510</v>
      </c>
      <c r="R28" s="5"/>
    </row>
    <row r="29" spans="1:18" ht="24" customHeight="1" x14ac:dyDescent="0.25">
      <c r="A29" s="8"/>
      <c r="B29" s="8"/>
      <c r="C29" s="196" t="s">
        <v>131</v>
      </c>
      <c r="D29" s="197"/>
      <c r="E29" s="197"/>
      <c r="F29" s="198"/>
      <c r="G29" s="8"/>
      <c r="H29" s="13"/>
      <c r="I29" s="8"/>
      <c r="J29" s="13"/>
      <c r="K29" s="28">
        <v>1200000</v>
      </c>
      <c r="L29" s="28"/>
      <c r="M29" s="28"/>
      <c r="N29" s="28"/>
      <c r="O29" s="53">
        <f t="shared" ref="O29:O37" si="5">H29+J29+K29+L29+M29+N29</f>
        <v>1200000</v>
      </c>
      <c r="P29" s="28"/>
      <c r="Q29" s="54"/>
    </row>
    <row r="30" spans="1:18" ht="24" customHeight="1" x14ac:dyDescent="0.25">
      <c r="A30" s="8"/>
      <c r="B30" s="8"/>
      <c r="C30" s="196" t="s">
        <v>3144</v>
      </c>
      <c r="D30" s="197"/>
      <c r="E30" s="197"/>
      <c r="F30" s="198"/>
      <c r="G30" s="8"/>
      <c r="H30" s="13"/>
      <c r="I30" s="8"/>
      <c r="J30" s="13"/>
      <c r="K30" s="28">
        <f>6203000+137000</f>
        <v>6340000</v>
      </c>
      <c r="L30" s="28"/>
      <c r="M30" s="28"/>
      <c r="N30" s="28"/>
      <c r="O30" s="53">
        <f t="shared" si="5"/>
        <v>6340000</v>
      </c>
      <c r="P30" s="28"/>
      <c r="Q30" s="54"/>
    </row>
    <row r="31" spans="1:18" ht="24" customHeight="1" x14ac:dyDescent="0.25">
      <c r="A31" s="8"/>
      <c r="B31" s="8"/>
      <c r="C31" s="196" t="s">
        <v>3896</v>
      </c>
      <c r="D31" s="197"/>
      <c r="E31" s="197"/>
      <c r="F31" s="198"/>
      <c r="G31" s="8"/>
      <c r="H31" s="13"/>
      <c r="I31" s="8"/>
      <c r="J31" s="13"/>
      <c r="K31" s="28"/>
      <c r="L31" s="28">
        <v>475200</v>
      </c>
      <c r="M31" s="28"/>
      <c r="N31" s="28"/>
      <c r="O31" s="53">
        <f t="shared" si="5"/>
        <v>475200</v>
      </c>
      <c r="P31" s="28"/>
      <c r="Q31" s="54"/>
    </row>
    <row r="32" spans="1:18" ht="24" customHeight="1" x14ac:dyDescent="0.25">
      <c r="A32" s="8"/>
      <c r="B32" s="8"/>
      <c r="C32" s="196" t="s">
        <v>3897</v>
      </c>
      <c r="D32" s="197"/>
      <c r="E32" s="197"/>
      <c r="F32" s="198"/>
      <c r="G32" s="8"/>
      <c r="H32" s="13"/>
      <c r="I32" s="8"/>
      <c r="J32" s="13"/>
      <c r="K32" s="28"/>
      <c r="L32" s="28">
        <v>400000</v>
      </c>
      <c r="M32" s="28"/>
      <c r="N32" s="28"/>
      <c r="O32" s="53">
        <f t="shared" si="5"/>
        <v>400000</v>
      </c>
      <c r="P32" s="28"/>
      <c r="Q32" s="54"/>
    </row>
    <row r="33" spans="1:17" ht="24" customHeight="1" x14ac:dyDescent="0.25">
      <c r="A33" s="8"/>
      <c r="B33" s="8"/>
      <c r="C33" s="196" t="s">
        <v>3898</v>
      </c>
      <c r="D33" s="197"/>
      <c r="E33" s="197"/>
      <c r="F33" s="198"/>
      <c r="G33" s="8"/>
      <c r="H33" s="13"/>
      <c r="I33" s="8"/>
      <c r="J33" s="13"/>
      <c r="K33" s="28"/>
      <c r="L33" s="28"/>
      <c r="M33" s="28">
        <v>11600000</v>
      </c>
      <c r="N33" s="28"/>
      <c r="O33" s="53">
        <f t="shared" si="5"/>
        <v>11600000</v>
      </c>
      <c r="P33" s="28"/>
      <c r="Q33" s="54"/>
    </row>
    <row r="34" spans="1:17" ht="24" customHeight="1" x14ac:dyDescent="0.25">
      <c r="A34" s="8"/>
      <c r="B34" s="8"/>
      <c r="C34" s="196" t="s">
        <v>3902</v>
      </c>
      <c r="D34" s="197"/>
      <c r="E34" s="197"/>
      <c r="F34" s="198"/>
      <c r="G34" s="8"/>
      <c r="H34" s="13"/>
      <c r="I34" s="8"/>
      <c r="J34" s="13"/>
      <c r="K34" s="28"/>
      <c r="L34" s="28">
        <v>950000</v>
      </c>
      <c r="M34" s="28"/>
      <c r="N34" s="28"/>
      <c r="O34" s="53">
        <f t="shared" si="5"/>
        <v>950000</v>
      </c>
      <c r="P34" s="28"/>
      <c r="Q34" s="54"/>
    </row>
    <row r="35" spans="1:17" ht="24" customHeight="1" x14ac:dyDescent="0.25">
      <c r="A35" s="8"/>
      <c r="B35" s="8"/>
      <c r="C35" s="196" t="s">
        <v>3903</v>
      </c>
      <c r="D35" s="197"/>
      <c r="E35" s="197"/>
      <c r="F35" s="198"/>
      <c r="G35" s="8"/>
      <c r="H35" s="13"/>
      <c r="I35" s="8"/>
      <c r="J35" s="13"/>
      <c r="K35" s="28"/>
      <c r="L35" s="28">
        <v>10300000</v>
      </c>
      <c r="M35" s="28"/>
      <c r="N35" s="28"/>
      <c r="O35" s="53">
        <f t="shared" si="5"/>
        <v>10300000</v>
      </c>
      <c r="P35" s="28"/>
      <c r="Q35" s="54"/>
    </row>
    <row r="36" spans="1:17" ht="24" customHeight="1" x14ac:dyDescent="0.25">
      <c r="A36" s="8"/>
      <c r="B36" s="8"/>
      <c r="C36" s="196" t="s">
        <v>4156</v>
      </c>
      <c r="D36" s="197"/>
      <c r="E36" s="197"/>
      <c r="F36" s="198"/>
      <c r="G36" s="8"/>
      <c r="H36" s="13"/>
      <c r="I36" s="8"/>
      <c r="J36" s="13"/>
      <c r="K36" s="28"/>
      <c r="L36" s="28">
        <v>500000</v>
      </c>
      <c r="M36" s="28"/>
      <c r="N36" s="28"/>
      <c r="O36" s="53">
        <f t="shared" si="5"/>
        <v>500000</v>
      </c>
      <c r="P36" s="28"/>
      <c r="Q36" s="54"/>
    </row>
    <row r="37" spans="1:17" ht="25.5" customHeight="1" x14ac:dyDescent="0.25">
      <c r="A37" s="8"/>
      <c r="B37" s="8"/>
      <c r="C37" s="191" t="s">
        <v>2763</v>
      </c>
      <c r="D37" s="192"/>
      <c r="E37" s="192"/>
      <c r="F37" s="195"/>
      <c r="G37" s="30"/>
      <c r="H37" s="28"/>
      <c r="I37" s="30"/>
      <c r="J37" s="28"/>
      <c r="K37" s="28">
        <v>9000000</v>
      </c>
      <c r="L37" s="28"/>
      <c r="M37" s="18"/>
      <c r="N37" s="28"/>
      <c r="O37" s="53">
        <f t="shared" si="5"/>
        <v>9000000</v>
      </c>
      <c r="P37" s="28"/>
      <c r="Q37" s="54"/>
    </row>
    <row r="38" spans="1:17" ht="15" customHeight="1" x14ac:dyDescent="0.25">
      <c r="A38" s="166" t="s">
        <v>19</v>
      </c>
      <c r="B38" s="167"/>
      <c r="C38" s="167"/>
      <c r="D38" s="167"/>
      <c r="E38" s="167"/>
      <c r="F38" s="168"/>
      <c r="G38" s="131">
        <f t="shared" ref="G38:O38" si="6">SUM(G7:G37)</f>
        <v>2844</v>
      </c>
      <c r="H38" s="4">
        <f t="shared" si="6"/>
        <v>60333460</v>
      </c>
      <c r="I38" s="4">
        <f t="shared" si="6"/>
        <v>0</v>
      </c>
      <c r="J38" s="4">
        <f t="shared" si="6"/>
        <v>25965000</v>
      </c>
      <c r="K38" s="4">
        <f t="shared" si="6"/>
        <v>16540000</v>
      </c>
      <c r="L38" s="4">
        <f t="shared" si="6"/>
        <v>12625200</v>
      </c>
      <c r="M38" s="4">
        <f t="shared" si="6"/>
        <v>11600000</v>
      </c>
      <c r="N38" s="4">
        <f t="shared" si="6"/>
        <v>0</v>
      </c>
      <c r="O38" s="4">
        <f t="shared" si="6"/>
        <v>127063660</v>
      </c>
      <c r="P38" s="4">
        <f>SUM(P8:P37)</f>
        <v>140493466</v>
      </c>
      <c r="Q38" s="122">
        <f>P38-O38</f>
        <v>13429806</v>
      </c>
    </row>
    <row r="39" spans="1:17" x14ac:dyDescent="0.25">
      <c r="O39" s="20"/>
      <c r="P39" s="5" t="s">
        <v>1796</v>
      </c>
      <c r="Q39" s="26"/>
    </row>
    <row r="40" spans="1:17" x14ac:dyDescent="0.25">
      <c r="P40" s="21" t="s">
        <v>20</v>
      </c>
      <c r="Q40" s="26">
        <f>'03.2024'!Q41+'04.2024'!Q38</f>
        <v>42031372</v>
      </c>
    </row>
    <row r="41" spans="1:17" x14ac:dyDescent="0.25">
      <c r="C41" s="6" t="s">
        <v>993</v>
      </c>
    </row>
    <row r="42" spans="1:17" x14ac:dyDescent="0.25">
      <c r="C42" s="205"/>
      <c r="D42" s="205"/>
      <c r="E42" s="205"/>
      <c r="F42" s="205"/>
      <c r="H42" s="109"/>
    </row>
    <row r="43" spans="1:17" x14ac:dyDescent="0.25">
      <c r="C43" s="206"/>
      <c r="D43" s="206"/>
      <c r="E43" s="206"/>
      <c r="F43" s="206"/>
      <c r="H43" s="109"/>
    </row>
    <row r="44" spans="1:17" x14ac:dyDescent="0.25">
      <c r="B44" s="6"/>
      <c r="C44" s="110"/>
      <c r="D44" s="110"/>
      <c r="E44" s="110"/>
      <c r="F44" s="110"/>
      <c r="G44" s="133"/>
      <c r="H44" s="109"/>
    </row>
    <row r="45" spans="1:17" x14ac:dyDescent="0.25">
      <c r="B45" s="6"/>
      <c r="C45" s="206"/>
      <c r="D45" s="206"/>
      <c r="E45" s="206"/>
      <c r="F45" s="206"/>
      <c r="H45" s="109"/>
    </row>
    <row r="46" spans="1:17" x14ac:dyDescent="0.25">
      <c r="B46" s="6"/>
      <c r="C46" s="206"/>
      <c r="D46" s="206"/>
      <c r="E46" s="206"/>
      <c r="F46" s="206"/>
      <c r="H46" s="109"/>
    </row>
    <row r="47" spans="1:17" x14ac:dyDescent="0.25">
      <c r="B47" s="6"/>
      <c r="C47" s="206"/>
      <c r="D47" s="206"/>
      <c r="E47" s="206"/>
      <c r="F47" s="206"/>
      <c r="G47" s="133"/>
      <c r="H47" s="109"/>
      <c r="J47" s="6"/>
      <c r="K47" s="6"/>
      <c r="L47" s="6"/>
      <c r="M47" s="6"/>
      <c r="N47" s="6"/>
      <c r="O47" s="6"/>
      <c r="P47" s="6"/>
      <c r="Q47" s="6"/>
    </row>
    <row r="48" spans="1:17" x14ac:dyDescent="0.2">
      <c r="C48" s="107"/>
      <c r="D48" s="110"/>
      <c r="E48" s="110"/>
      <c r="F48" s="110"/>
      <c r="H48" s="109"/>
    </row>
    <row r="49" spans="3:6" x14ac:dyDescent="0.25">
      <c r="C49" s="205"/>
      <c r="D49" s="205"/>
      <c r="E49" s="205"/>
      <c r="F49" s="205"/>
    </row>
  </sheetData>
  <mergeCells count="29">
    <mergeCell ref="C31:F31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29:F29"/>
    <mergeCell ref="C30:F30"/>
    <mergeCell ref="C32:F32"/>
    <mergeCell ref="C33:F33"/>
    <mergeCell ref="C37:F37"/>
    <mergeCell ref="A38:F38"/>
    <mergeCell ref="C42:F42"/>
    <mergeCell ref="C34:F34"/>
    <mergeCell ref="C35:F35"/>
    <mergeCell ref="C36:F36"/>
    <mergeCell ref="C43:F43"/>
    <mergeCell ref="C45:F45"/>
    <mergeCell ref="C46:F46"/>
    <mergeCell ref="C47:F47"/>
    <mergeCell ref="C49:F49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A9A7-1F8B-4B84-BA7B-E3F515FFF0A3}">
  <dimension ref="A1:R47"/>
  <sheetViews>
    <sheetView topLeftCell="A19" workbookViewId="0">
      <selection activeCell="J33" sqref="J33:N34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3788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45413</v>
      </c>
      <c r="C8" s="10" t="s">
        <v>632</v>
      </c>
      <c r="D8" s="25" t="s">
        <v>3803</v>
      </c>
      <c r="E8" s="10" t="s">
        <v>3827</v>
      </c>
      <c r="F8" s="8"/>
      <c r="G8" s="8">
        <v>176</v>
      </c>
      <c r="H8" s="13">
        <f>G8*20600</f>
        <v>3625600</v>
      </c>
      <c r="I8" s="8"/>
      <c r="J8" s="13">
        <v>1120000</v>
      </c>
      <c r="K8" s="28"/>
      <c r="L8" s="29"/>
      <c r="M8" s="13"/>
      <c r="N8" s="13"/>
      <c r="O8" s="13">
        <f>SUM(H8:N8)</f>
        <v>4745600</v>
      </c>
      <c r="P8" s="13">
        <v>6350000</v>
      </c>
      <c r="Q8" s="13">
        <f>P8-O8</f>
        <v>1604400</v>
      </c>
      <c r="R8" s="5"/>
    </row>
    <row r="9" spans="1:18" ht="24.75" customHeight="1" x14ac:dyDescent="0.25">
      <c r="A9" s="148">
        <v>2</v>
      </c>
      <c r="B9" s="120">
        <v>45414</v>
      </c>
      <c r="C9" s="10" t="s">
        <v>633</v>
      </c>
      <c r="D9" s="129" t="s">
        <v>3804</v>
      </c>
      <c r="E9" s="9" t="s">
        <v>3828</v>
      </c>
      <c r="F9" s="117"/>
      <c r="G9" s="8">
        <v>135</v>
      </c>
      <c r="H9" s="13">
        <f t="shared" ref="H9:H13" si="0">G9*20600</f>
        <v>2781000</v>
      </c>
      <c r="I9" s="117"/>
      <c r="J9" s="119">
        <v>980000</v>
      </c>
      <c r="K9" s="28"/>
      <c r="L9" s="29"/>
      <c r="M9" s="13"/>
      <c r="N9" s="13"/>
      <c r="O9" s="13">
        <f t="shared" ref="O9:O31" si="1">SUM(H9:N9)</f>
        <v>3761000</v>
      </c>
      <c r="P9" s="13">
        <v>5800000</v>
      </c>
      <c r="Q9" s="13">
        <f>P9-O9</f>
        <v>2039000</v>
      </c>
      <c r="R9" s="5"/>
    </row>
    <row r="10" spans="1:18" ht="24.75" customHeight="1" x14ac:dyDescent="0.25">
      <c r="A10" s="148">
        <v>3</v>
      </c>
      <c r="B10" s="120">
        <v>45415</v>
      </c>
      <c r="C10" s="10" t="s">
        <v>3789</v>
      </c>
      <c r="D10" s="25" t="s">
        <v>3805</v>
      </c>
      <c r="E10" s="10" t="s">
        <v>3829</v>
      </c>
      <c r="F10" s="8"/>
      <c r="G10" s="8">
        <v>152</v>
      </c>
      <c r="H10" s="13">
        <f t="shared" si="0"/>
        <v>3131200</v>
      </c>
      <c r="I10" s="8"/>
      <c r="J10" s="13">
        <v>1000000</v>
      </c>
      <c r="K10" s="28"/>
      <c r="L10" s="29"/>
      <c r="M10" s="13"/>
      <c r="N10" s="13"/>
      <c r="O10" s="13">
        <f t="shared" si="1"/>
        <v>4131200</v>
      </c>
      <c r="P10" s="13">
        <v>6900000</v>
      </c>
      <c r="Q10" s="13">
        <f t="shared" ref="Q10:Q31" si="2">P10-O10</f>
        <v>2768800</v>
      </c>
      <c r="R10" s="5"/>
    </row>
    <row r="11" spans="1:18" ht="27.75" customHeight="1" x14ac:dyDescent="0.25">
      <c r="A11" s="148">
        <v>4</v>
      </c>
      <c r="B11" s="120">
        <v>45418</v>
      </c>
      <c r="C11" s="10" t="s">
        <v>3790</v>
      </c>
      <c r="D11" s="25" t="s">
        <v>3806</v>
      </c>
      <c r="E11" s="10" t="s">
        <v>3830</v>
      </c>
      <c r="F11" s="8"/>
      <c r="G11" s="8">
        <v>171</v>
      </c>
      <c r="H11" s="13">
        <f t="shared" si="0"/>
        <v>3522600</v>
      </c>
      <c r="I11" s="8"/>
      <c r="J11" s="13">
        <v>1274800</v>
      </c>
      <c r="K11" s="28"/>
      <c r="L11" s="29"/>
      <c r="M11" s="13"/>
      <c r="N11" s="13"/>
      <c r="O11" s="13">
        <f t="shared" si="1"/>
        <v>4797400</v>
      </c>
      <c r="P11" s="13">
        <v>7000000</v>
      </c>
      <c r="Q11" s="13">
        <f t="shared" si="2"/>
        <v>2202600</v>
      </c>
      <c r="R11" s="5"/>
    </row>
    <row r="12" spans="1:18" ht="27.75" customHeight="1" x14ac:dyDescent="0.25">
      <c r="A12" s="148">
        <v>5</v>
      </c>
      <c r="B12" s="120">
        <v>45418</v>
      </c>
      <c r="C12" s="10" t="s">
        <v>3791</v>
      </c>
      <c r="D12" s="25" t="s">
        <v>3807</v>
      </c>
      <c r="E12" s="10" t="s">
        <v>3831</v>
      </c>
      <c r="F12" s="8"/>
      <c r="G12" s="8">
        <v>139</v>
      </c>
      <c r="H12" s="13">
        <f t="shared" si="0"/>
        <v>2863400</v>
      </c>
      <c r="I12" s="8"/>
      <c r="J12" s="13">
        <v>1070000</v>
      </c>
      <c r="K12" s="28"/>
      <c r="L12" s="29"/>
      <c r="M12" s="13"/>
      <c r="N12" s="13"/>
      <c r="O12" s="13">
        <f t="shared" si="1"/>
        <v>3933400</v>
      </c>
      <c r="P12" s="13">
        <v>6000000</v>
      </c>
      <c r="Q12" s="13">
        <f t="shared" si="2"/>
        <v>2066600</v>
      </c>
      <c r="R12" s="5"/>
    </row>
    <row r="13" spans="1:18" ht="27.75" customHeight="1" x14ac:dyDescent="0.25">
      <c r="A13" s="148">
        <v>6</v>
      </c>
      <c r="B13" s="120">
        <v>45419</v>
      </c>
      <c r="C13" s="10" t="s">
        <v>637</v>
      </c>
      <c r="D13" s="25" t="s">
        <v>3808</v>
      </c>
      <c r="E13" s="10" t="s">
        <v>2469</v>
      </c>
      <c r="F13" s="8"/>
      <c r="G13" s="8">
        <v>125</v>
      </c>
      <c r="H13" s="13">
        <f t="shared" si="0"/>
        <v>2575000</v>
      </c>
      <c r="I13" s="8"/>
      <c r="J13" s="13">
        <v>1120000</v>
      </c>
      <c r="K13" s="28"/>
      <c r="L13" s="29"/>
      <c r="M13" s="13"/>
      <c r="N13" s="13"/>
      <c r="O13" s="13">
        <f t="shared" si="1"/>
        <v>3695000</v>
      </c>
      <c r="P13" s="13">
        <v>5800000</v>
      </c>
      <c r="Q13" s="13">
        <f t="shared" si="2"/>
        <v>2105000</v>
      </c>
      <c r="R13" s="5"/>
    </row>
    <row r="14" spans="1:18" ht="27.75" customHeight="1" x14ac:dyDescent="0.25">
      <c r="A14" s="148">
        <v>7</v>
      </c>
      <c r="B14" s="149">
        <v>45420</v>
      </c>
      <c r="C14" s="111" t="s">
        <v>3792</v>
      </c>
      <c r="D14" s="112" t="s">
        <v>3809</v>
      </c>
      <c r="E14" s="111" t="s">
        <v>3601</v>
      </c>
      <c r="F14" s="12"/>
      <c r="G14" s="8">
        <v>133</v>
      </c>
      <c r="H14" s="13">
        <f>G14*19840</f>
        <v>2638720</v>
      </c>
      <c r="I14" s="8"/>
      <c r="J14" s="13">
        <v>1120000</v>
      </c>
      <c r="K14" s="18"/>
      <c r="L14" s="99"/>
      <c r="M14" s="3"/>
      <c r="N14" s="3"/>
      <c r="O14" s="13">
        <f t="shared" si="1"/>
        <v>3758720</v>
      </c>
      <c r="P14" s="13">
        <v>5800000</v>
      </c>
      <c r="Q14" s="13">
        <f t="shared" si="2"/>
        <v>2041280</v>
      </c>
      <c r="R14" s="5"/>
    </row>
    <row r="15" spans="1:18" ht="27.75" customHeight="1" x14ac:dyDescent="0.25">
      <c r="A15" s="148">
        <v>8</v>
      </c>
      <c r="B15" s="120">
        <v>45421</v>
      </c>
      <c r="C15" s="10" t="s">
        <v>3793</v>
      </c>
      <c r="D15" s="25" t="s">
        <v>3810</v>
      </c>
      <c r="E15" s="10" t="s">
        <v>3601</v>
      </c>
      <c r="F15" s="8"/>
      <c r="G15" s="8">
        <v>133</v>
      </c>
      <c r="H15" s="13">
        <f t="shared" ref="H15:H19" si="3">G15*19840</f>
        <v>2638720</v>
      </c>
      <c r="I15" s="8"/>
      <c r="J15" s="119">
        <v>1120000</v>
      </c>
      <c r="K15" s="28"/>
      <c r="L15" s="29"/>
      <c r="M15" s="13"/>
      <c r="N15" s="13"/>
      <c r="O15" s="13">
        <f t="shared" si="1"/>
        <v>3758720</v>
      </c>
      <c r="P15" s="13">
        <v>5800000</v>
      </c>
      <c r="Q15" s="13">
        <f t="shared" si="2"/>
        <v>2041280</v>
      </c>
      <c r="R15" s="5"/>
    </row>
    <row r="16" spans="1:18" ht="27.75" customHeight="1" x14ac:dyDescent="0.25">
      <c r="A16" s="148">
        <v>9</v>
      </c>
      <c r="B16" s="120">
        <v>45422</v>
      </c>
      <c r="C16" s="10" t="s">
        <v>3794</v>
      </c>
      <c r="D16" s="25" t="s">
        <v>3811</v>
      </c>
      <c r="E16" s="10" t="s">
        <v>3832</v>
      </c>
      <c r="F16" s="8"/>
      <c r="G16" s="8">
        <v>84</v>
      </c>
      <c r="H16" s="13">
        <f t="shared" si="3"/>
        <v>1666560</v>
      </c>
      <c r="I16" s="8"/>
      <c r="J16" s="13">
        <v>680000</v>
      </c>
      <c r="K16" s="28"/>
      <c r="L16" s="29"/>
      <c r="M16" s="13"/>
      <c r="N16" s="13"/>
      <c r="O16" s="13">
        <f t="shared" si="1"/>
        <v>2346560</v>
      </c>
      <c r="P16" s="13">
        <v>4600000</v>
      </c>
      <c r="Q16" s="13">
        <f t="shared" si="2"/>
        <v>2253440</v>
      </c>
      <c r="R16" s="5"/>
    </row>
    <row r="17" spans="1:18" ht="27.75" customHeight="1" x14ac:dyDescent="0.25">
      <c r="A17" s="148">
        <v>10</v>
      </c>
      <c r="B17" s="120">
        <v>45423</v>
      </c>
      <c r="C17" s="10" t="s">
        <v>640</v>
      </c>
      <c r="D17" s="25" t="s">
        <v>3812</v>
      </c>
      <c r="E17" s="10" t="s">
        <v>3833</v>
      </c>
      <c r="F17" s="8"/>
      <c r="G17" s="8">
        <v>122</v>
      </c>
      <c r="H17" s="13">
        <f t="shared" si="3"/>
        <v>2420480</v>
      </c>
      <c r="I17" s="8"/>
      <c r="J17" s="13">
        <v>1120000</v>
      </c>
      <c r="K17" s="28"/>
      <c r="L17" s="29"/>
      <c r="M17" s="13"/>
      <c r="N17" s="13"/>
      <c r="O17" s="13">
        <f t="shared" si="1"/>
        <v>3540480</v>
      </c>
      <c r="P17" s="13">
        <v>5500000</v>
      </c>
      <c r="Q17" s="13">
        <f t="shared" si="2"/>
        <v>1959520</v>
      </c>
      <c r="R17" s="5"/>
    </row>
    <row r="18" spans="1:18" ht="22.5" customHeight="1" x14ac:dyDescent="0.25">
      <c r="A18" s="148">
        <v>11</v>
      </c>
      <c r="B18" s="120">
        <v>45425</v>
      </c>
      <c r="C18" s="10" t="s">
        <v>3795</v>
      </c>
      <c r="D18" s="25" t="s">
        <v>3813</v>
      </c>
      <c r="E18" s="10" t="s">
        <v>3834</v>
      </c>
      <c r="F18" s="8"/>
      <c r="G18" s="8">
        <v>128</v>
      </c>
      <c r="H18" s="13">
        <f t="shared" si="3"/>
        <v>2539520</v>
      </c>
      <c r="I18" s="8"/>
      <c r="J18" s="13">
        <v>995000</v>
      </c>
      <c r="K18" s="28"/>
      <c r="L18" s="29"/>
      <c r="M18" s="13"/>
      <c r="N18" s="13"/>
      <c r="O18" s="13">
        <f t="shared" si="1"/>
        <v>3534520</v>
      </c>
      <c r="P18" s="13">
        <v>5800000</v>
      </c>
      <c r="Q18" s="13">
        <f t="shared" si="2"/>
        <v>2265480</v>
      </c>
      <c r="R18" s="5"/>
    </row>
    <row r="19" spans="1:18" ht="22.5" customHeight="1" x14ac:dyDescent="0.25">
      <c r="A19" s="148">
        <v>12</v>
      </c>
      <c r="B19" s="120">
        <v>45426</v>
      </c>
      <c r="C19" s="10" t="s">
        <v>1305</v>
      </c>
      <c r="D19" s="25" t="s">
        <v>3814</v>
      </c>
      <c r="E19" s="10" t="s">
        <v>3835</v>
      </c>
      <c r="F19" s="8"/>
      <c r="G19" s="8">
        <v>99</v>
      </c>
      <c r="H19" s="13">
        <f t="shared" si="3"/>
        <v>1964160</v>
      </c>
      <c r="I19" s="8"/>
      <c r="J19" s="13">
        <v>680000</v>
      </c>
      <c r="K19" s="28"/>
      <c r="L19" s="29"/>
      <c r="M19" s="13"/>
      <c r="N19" s="13"/>
      <c r="O19" s="13">
        <f t="shared" si="1"/>
        <v>2644160</v>
      </c>
      <c r="P19" s="13">
        <v>4500000</v>
      </c>
      <c r="Q19" s="13">
        <f t="shared" si="2"/>
        <v>1855840</v>
      </c>
      <c r="R19" s="5"/>
    </row>
    <row r="20" spans="1:18" ht="22.5" customHeight="1" x14ac:dyDescent="0.25">
      <c r="A20" s="148">
        <v>13</v>
      </c>
      <c r="B20" s="120">
        <v>45427</v>
      </c>
      <c r="C20" s="10" t="s">
        <v>3796</v>
      </c>
      <c r="D20" s="25" t="s">
        <v>3815</v>
      </c>
      <c r="E20" s="10" t="s">
        <v>112</v>
      </c>
      <c r="F20" s="8"/>
      <c r="G20" s="8">
        <v>233</v>
      </c>
      <c r="H20" s="13">
        <f>G20*19870</f>
        <v>4629710</v>
      </c>
      <c r="I20" s="8"/>
      <c r="J20" s="13">
        <v>2220000</v>
      </c>
      <c r="K20" s="28"/>
      <c r="L20" s="29"/>
      <c r="M20" s="13"/>
      <c r="N20" s="13"/>
      <c r="O20" s="13">
        <f t="shared" si="1"/>
        <v>6849710</v>
      </c>
      <c r="P20" s="13">
        <v>12870370</v>
      </c>
      <c r="Q20" s="13">
        <f t="shared" si="2"/>
        <v>6020660</v>
      </c>
      <c r="R20" s="5"/>
    </row>
    <row r="21" spans="1:18" ht="22.5" customHeight="1" x14ac:dyDescent="0.25">
      <c r="A21" s="148">
        <v>14</v>
      </c>
      <c r="B21" s="120">
        <v>45428</v>
      </c>
      <c r="C21" s="10" t="s">
        <v>3797</v>
      </c>
      <c r="D21" s="25" t="s">
        <v>3816</v>
      </c>
      <c r="E21" s="10" t="s">
        <v>2045</v>
      </c>
      <c r="F21" s="8"/>
      <c r="G21" s="8">
        <v>324</v>
      </c>
      <c r="H21" s="13">
        <f t="shared" ref="H21:H24" si="4">G21*19870</f>
        <v>6437880</v>
      </c>
      <c r="I21" s="8"/>
      <c r="J21" s="13">
        <v>3300000</v>
      </c>
      <c r="K21" s="28"/>
      <c r="L21" s="29"/>
      <c r="M21" s="13"/>
      <c r="N21" s="13"/>
      <c r="O21" s="13">
        <f t="shared" si="1"/>
        <v>9737880</v>
      </c>
      <c r="P21" s="13">
        <v>17129630</v>
      </c>
      <c r="Q21" s="13">
        <f t="shared" si="2"/>
        <v>7391750</v>
      </c>
      <c r="R21" s="5"/>
    </row>
    <row r="22" spans="1:18" ht="22.5" customHeight="1" x14ac:dyDescent="0.25">
      <c r="A22" s="148">
        <v>15</v>
      </c>
      <c r="B22" s="120">
        <v>45432</v>
      </c>
      <c r="C22" s="10" t="s">
        <v>3798</v>
      </c>
      <c r="D22" s="25" t="s">
        <v>3817</v>
      </c>
      <c r="E22" s="10" t="s">
        <v>3836</v>
      </c>
      <c r="F22" s="8"/>
      <c r="G22" s="8">
        <v>70</v>
      </c>
      <c r="H22" s="13">
        <f t="shared" si="4"/>
        <v>1390900</v>
      </c>
      <c r="I22" s="8"/>
      <c r="J22" s="13">
        <v>440000</v>
      </c>
      <c r="K22" s="28"/>
      <c r="L22" s="29"/>
      <c r="M22" s="13"/>
      <c r="N22" s="13"/>
      <c r="O22" s="13">
        <f t="shared" si="1"/>
        <v>1830900</v>
      </c>
      <c r="P22" s="13">
        <v>3090000</v>
      </c>
      <c r="Q22" s="13">
        <f t="shared" si="2"/>
        <v>1259100</v>
      </c>
      <c r="R22" s="5"/>
    </row>
    <row r="23" spans="1:18" ht="22.5" customHeight="1" x14ac:dyDescent="0.25">
      <c r="A23" s="148">
        <v>16</v>
      </c>
      <c r="B23" s="120">
        <v>45432</v>
      </c>
      <c r="C23" s="10" t="s">
        <v>3799</v>
      </c>
      <c r="D23" s="25" t="s">
        <v>3818</v>
      </c>
      <c r="E23" s="10" t="s">
        <v>3837</v>
      </c>
      <c r="F23" s="8"/>
      <c r="G23" s="8">
        <v>124</v>
      </c>
      <c r="H23" s="13">
        <f t="shared" si="4"/>
        <v>2463880</v>
      </c>
      <c r="I23" s="8"/>
      <c r="J23" s="13">
        <v>850000</v>
      </c>
      <c r="K23" s="28"/>
      <c r="L23" s="29"/>
      <c r="M23" s="13"/>
      <c r="N23" s="13"/>
      <c r="O23" s="13">
        <f t="shared" si="1"/>
        <v>3313880</v>
      </c>
      <c r="P23" s="13">
        <v>5600000</v>
      </c>
      <c r="Q23" s="13">
        <f t="shared" si="2"/>
        <v>2286120</v>
      </c>
      <c r="R23" s="5"/>
    </row>
    <row r="24" spans="1:18" ht="22.5" customHeight="1" x14ac:dyDescent="0.25">
      <c r="A24" s="148">
        <v>17</v>
      </c>
      <c r="B24" s="120">
        <v>45433</v>
      </c>
      <c r="C24" s="10" t="s">
        <v>3800</v>
      </c>
      <c r="D24" s="25" t="s">
        <v>3819</v>
      </c>
      <c r="E24" s="10" t="s">
        <v>3838</v>
      </c>
      <c r="F24" s="8"/>
      <c r="G24" s="8">
        <v>133</v>
      </c>
      <c r="H24" s="13">
        <f t="shared" si="4"/>
        <v>2642710</v>
      </c>
      <c r="I24" s="8"/>
      <c r="J24" s="13">
        <v>1120000</v>
      </c>
      <c r="K24" s="28"/>
      <c r="L24" s="29"/>
      <c r="M24" s="13"/>
      <c r="N24" s="13"/>
      <c r="O24" s="13">
        <f t="shared" si="1"/>
        <v>3762710</v>
      </c>
      <c r="P24" s="13">
        <v>5800000</v>
      </c>
      <c r="Q24" s="13">
        <f t="shared" si="2"/>
        <v>2037290</v>
      </c>
      <c r="R24" s="5"/>
    </row>
    <row r="25" spans="1:18" ht="22.5" customHeight="1" x14ac:dyDescent="0.25">
      <c r="A25" s="148">
        <v>18</v>
      </c>
      <c r="B25" s="120">
        <v>45434</v>
      </c>
      <c r="C25" s="10" t="s">
        <v>3801</v>
      </c>
      <c r="D25" s="25" t="s">
        <v>3820</v>
      </c>
      <c r="E25" s="10" t="s">
        <v>1662</v>
      </c>
      <c r="F25" s="8"/>
      <c r="G25" s="8">
        <v>75</v>
      </c>
      <c r="H25" s="13">
        <f t="shared" ref="H25:H29" si="5">G25*19830</f>
        <v>1487250</v>
      </c>
      <c r="I25" s="8"/>
      <c r="J25" s="13">
        <v>430000</v>
      </c>
      <c r="K25" s="28"/>
      <c r="L25" s="29"/>
      <c r="M25" s="13"/>
      <c r="N25" s="13"/>
      <c r="O25" s="13">
        <f t="shared" si="1"/>
        <v>1917250</v>
      </c>
      <c r="P25" s="13">
        <v>3100000</v>
      </c>
      <c r="Q25" s="13">
        <f t="shared" si="2"/>
        <v>1182750</v>
      </c>
      <c r="R25" s="5"/>
    </row>
    <row r="26" spans="1:18" ht="22.5" customHeight="1" x14ac:dyDescent="0.25">
      <c r="A26" s="148">
        <v>19</v>
      </c>
      <c r="B26" s="120">
        <v>45436</v>
      </c>
      <c r="C26" s="10" t="s">
        <v>3802</v>
      </c>
      <c r="D26" s="25" t="s">
        <v>3821</v>
      </c>
      <c r="E26" s="10" t="s">
        <v>1097</v>
      </c>
      <c r="F26" s="8"/>
      <c r="G26" s="8">
        <v>57</v>
      </c>
      <c r="H26" s="13">
        <f t="shared" si="5"/>
        <v>1130310</v>
      </c>
      <c r="I26" s="8"/>
      <c r="J26" s="13">
        <v>430000</v>
      </c>
      <c r="K26" s="28"/>
      <c r="L26" s="29"/>
      <c r="M26" s="13"/>
      <c r="N26" s="13"/>
      <c r="O26" s="13">
        <f t="shared" si="1"/>
        <v>1560310</v>
      </c>
      <c r="P26" s="13">
        <v>3200000</v>
      </c>
      <c r="Q26" s="13">
        <f t="shared" si="2"/>
        <v>1639690</v>
      </c>
      <c r="R26" s="5"/>
    </row>
    <row r="27" spans="1:18" ht="22.5" customHeight="1" x14ac:dyDescent="0.25">
      <c r="A27" s="148">
        <v>20</v>
      </c>
      <c r="B27" s="120">
        <v>45436</v>
      </c>
      <c r="C27" s="10" t="s">
        <v>2069</v>
      </c>
      <c r="D27" s="25" t="s">
        <v>3822</v>
      </c>
      <c r="E27" s="10" t="s">
        <v>3839</v>
      </c>
      <c r="F27" s="8"/>
      <c r="G27" s="8">
        <v>74</v>
      </c>
      <c r="H27" s="13">
        <f t="shared" si="5"/>
        <v>1467420</v>
      </c>
      <c r="I27" s="8"/>
      <c r="J27" s="13">
        <v>680000</v>
      </c>
      <c r="K27" s="28"/>
      <c r="L27" s="29"/>
      <c r="M27" s="13"/>
      <c r="N27" s="13"/>
      <c r="O27" s="13">
        <f t="shared" si="1"/>
        <v>2147420</v>
      </c>
      <c r="P27" s="13">
        <v>4000000</v>
      </c>
      <c r="Q27" s="13">
        <f t="shared" si="2"/>
        <v>1852580</v>
      </c>
      <c r="R27" s="5"/>
    </row>
    <row r="28" spans="1:18" ht="22.5" customHeight="1" x14ac:dyDescent="0.25">
      <c r="A28" s="148">
        <v>21</v>
      </c>
      <c r="B28" s="120">
        <v>45438</v>
      </c>
      <c r="C28" s="10" t="s">
        <v>646</v>
      </c>
      <c r="D28" s="25" t="s">
        <v>3823</v>
      </c>
      <c r="E28" s="10" t="s">
        <v>3601</v>
      </c>
      <c r="F28" s="8"/>
      <c r="G28" s="8">
        <v>134</v>
      </c>
      <c r="H28" s="13">
        <f t="shared" si="5"/>
        <v>2657220</v>
      </c>
      <c r="I28" s="8"/>
      <c r="J28" s="13">
        <v>1120000</v>
      </c>
      <c r="K28" s="28"/>
      <c r="L28" s="29"/>
      <c r="M28" s="13"/>
      <c r="N28" s="13"/>
      <c r="O28" s="13">
        <f t="shared" si="1"/>
        <v>3777220</v>
      </c>
      <c r="P28" s="13">
        <v>6000000</v>
      </c>
      <c r="Q28" s="13">
        <f t="shared" si="2"/>
        <v>2222780</v>
      </c>
      <c r="R28" s="5"/>
    </row>
    <row r="29" spans="1:18" ht="22.5" customHeight="1" x14ac:dyDescent="0.25">
      <c r="A29" s="154">
        <v>22</v>
      </c>
      <c r="B29" s="120">
        <v>45439</v>
      </c>
      <c r="C29" s="75" t="s">
        <v>647</v>
      </c>
      <c r="D29" s="25" t="s">
        <v>3824</v>
      </c>
      <c r="E29" s="10" t="s">
        <v>3840</v>
      </c>
      <c r="F29" s="8"/>
      <c r="G29" s="8">
        <v>132</v>
      </c>
      <c r="H29" s="13">
        <f t="shared" si="5"/>
        <v>2617560</v>
      </c>
      <c r="I29" s="8"/>
      <c r="J29" s="13">
        <v>1120000</v>
      </c>
      <c r="K29" s="28"/>
      <c r="L29" s="29"/>
      <c r="M29" s="13"/>
      <c r="N29" s="13"/>
      <c r="O29" s="13">
        <f t="shared" si="1"/>
        <v>3737560</v>
      </c>
      <c r="P29" s="13">
        <v>5800000</v>
      </c>
      <c r="Q29" s="13">
        <f t="shared" si="2"/>
        <v>2062440</v>
      </c>
      <c r="R29" s="5"/>
    </row>
    <row r="30" spans="1:18" ht="22.5" customHeight="1" x14ac:dyDescent="0.25">
      <c r="A30" s="154">
        <v>23</v>
      </c>
      <c r="B30" s="120">
        <v>45440</v>
      </c>
      <c r="C30" s="75" t="s">
        <v>648</v>
      </c>
      <c r="D30" s="25" t="s">
        <v>3825</v>
      </c>
      <c r="E30" s="10" t="s">
        <v>3841</v>
      </c>
      <c r="F30" s="8"/>
      <c r="G30" s="8">
        <v>129</v>
      </c>
      <c r="H30" s="13">
        <f>G30*19740</f>
        <v>2546460</v>
      </c>
      <c r="I30" s="8"/>
      <c r="J30" s="13">
        <v>790000</v>
      </c>
      <c r="K30" s="28"/>
      <c r="L30" s="29"/>
      <c r="M30" s="13"/>
      <c r="N30" s="13"/>
      <c r="O30" s="13">
        <f t="shared" si="1"/>
        <v>3336460</v>
      </c>
      <c r="P30" s="13">
        <v>5800000</v>
      </c>
      <c r="Q30" s="13">
        <f t="shared" si="2"/>
        <v>2463540</v>
      </c>
      <c r="R30" s="5"/>
    </row>
    <row r="31" spans="1:18" ht="22.5" customHeight="1" x14ac:dyDescent="0.25">
      <c r="A31" s="154">
        <v>24</v>
      </c>
      <c r="B31" s="120">
        <v>45441</v>
      </c>
      <c r="C31" s="75" t="s">
        <v>649</v>
      </c>
      <c r="D31" s="25" t="s">
        <v>3826</v>
      </c>
      <c r="E31" s="10" t="s">
        <v>3842</v>
      </c>
      <c r="F31" s="8"/>
      <c r="G31" s="8">
        <v>141</v>
      </c>
      <c r="H31" s="13">
        <f>G31*19740</f>
        <v>2783340</v>
      </c>
      <c r="I31" s="8"/>
      <c r="J31" s="13">
        <v>1195000</v>
      </c>
      <c r="K31" s="28"/>
      <c r="L31" s="29"/>
      <c r="M31" s="13"/>
      <c r="N31" s="13"/>
      <c r="O31" s="13">
        <f t="shared" si="1"/>
        <v>3978340</v>
      </c>
      <c r="P31" s="13">
        <v>5700000</v>
      </c>
      <c r="Q31" s="13">
        <f t="shared" si="2"/>
        <v>1721660</v>
      </c>
      <c r="R31" s="5"/>
    </row>
    <row r="32" spans="1:18" ht="24" customHeight="1" x14ac:dyDescent="0.25">
      <c r="A32" s="8"/>
      <c r="B32" s="8"/>
      <c r="C32" s="196" t="s">
        <v>131</v>
      </c>
      <c r="D32" s="197"/>
      <c r="E32" s="197"/>
      <c r="F32" s="198"/>
      <c r="G32" s="8"/>
      <c r="H32" s="13"/>
      <c r="I32" s="8"/>
      <c r="J32" s="13"/>
      <c r="K32" s="28">
        <v>1200000</v>
      </c>
      <c r="L32" s="28"/>
      <c r="M32" s="18"/>
      <c r="N32" s="28"/>
      <c r="O32" s="53">
        <f t="shared" ref="O32:O34" si="6">H32+J32+K32+L32+M32+N32</f>
        <v>1200000</v>
      </c>
      <c r="P32" s="28"/>
      <c r="Q32" s="54"/>
    </row>
    <row r="33" spans="1:17" ht="24" customHeight="1" x14ac:dyDescent="0.25">
      <c r="A33" s="8"/>
      <c r="B33" s="8"/>
      <c r="C33" s="196" t="s">
        <v>3144</v>
      </c>
      <c r="D33" s="197"/>
      <c r="E33" s="197"/>
      <c r="F33" s="198"/>
      <c r="G33" s="8"/>
      <c r="H33" s="13"/>
      <c r="I33" s="8"/>
      <c r="J33" s="13"/>
      <c r="K33" s="28">
        <v>9313424</v>
      </c>
      <c r="L33" s="28"/>
      <c r="M33" s="28"/>
      <c r="N33" s="28"/>
      <c r="O33" s="53">
        <f t="shared" si="6"/>
        <v>9313424</v>
      </c>
      <c r="P33" s="28"/>
      <c r="Q33" s="54"/>
    </row>
    <row r="34" spans="1:17" ht="24" customHeight="1" x14ac:dyDescent="0.25">
      <c r="A34" s="8"/>
      <c r="B34" s="8"/>
      <c r="C34" s="196" t="s">
        <v>3899</v>
      </c>
      <c r="D34" s="197"/>
      <c r="E34" s="197"/>
      <c r="F34" s="198"/>
      <c r="G34" s="8"/>
      <c r="H34" s="13"/>
      <c r="I34" s="8"/>
      <c r="J34" s="13"/>
      <c r="K34" s="28"/>
      <c r="L34" s="28"/>
      <c r="M34" s="28">
        <v>9600000</v>
      </c>
      <c r="N34" s="28"/>
      <c r="O34" s="53">
        <f t="shared" si="6"/>
        <v>9600000</v>
      </c>
      <c r="P34" s="28"/>
      <c r="Q34" s="54"/>
    </row>
    <row r="35" spans="1:17" ht="25.5" customHeight="1" x14ac:dyDescent="0.25">
      <c r="A35" s="8"/>
      <c r="B35" s="8"/>
      <c r="C35" s="191" t="s">
        <v>3379</v>
      </c>
      <c r="D35" s="192"/>
      <c r="E35" s="192"/>
      <c r="F35" s="195"/>
      <c r="G35" s="30"/>
      <c r="H35" s="28"/>
      <c r="I35" s="30"/>
      <c r="J35" s="28"/>
      <c r="K35" s="28">
        <v>9300000</v>
      </c>
      <c r="L35" s="28"/>
      <c r="M35" s="18"/>
      <c r="N35" s="28"/>
      <c r="O35" s="53">
        <f>H35+J35+K35+L35+M35+N35</f>
        <v>9300000</v>
      </c>
      <c r="P35" s="28"/>
      <c r="Q35" s="54"/>
    </row>
    <row r="36" spans="1:17" ht="15" customHeight="1" x14ac:dyDescent="0.25">
      <c r="A36" s="166" t="s">
        <v>19</v>
      </c>
      <c r="B36" s="167"/>
      <c r="C36" s="167"/>
      <c r="D36" s="167"/>
      <c r="E36" s="167"/>
      <c r="F36" s="168"/>
      <c r="G36" s="131">
        <f t="shared" ref="G36:O36" si="7">SUM(G7:G35)</f>
        <v>3223</v>
      </c>
      <c r="H36" s="4">
        <f t="shared" si="7"/>
        <v>64621600</v>
      </c>
      <c r="I36" s="4">
        <f t="shared" si="7"/>
        <v>0</v>
      </c>
      <c r="J36" s="4">
        <f t="shared" si="7"/>
        <v>25974800</v>
      </c>
      <c r="K36" s="4">
        <f t="shared" si="7"/>
        <v>19813424</v>
      </c>
      <c r="L36" s="4">
        <f t="shared" si="7"/>
        <v>0</v>
      </c>
      <c r="M36" s="4">
        <f t="shared" si="7"/>
        <v>9600000</v>
      </c>
      <c r="N36" s="4">
        <f t="shared" si="7"/>
        <v>0</v>
      </c>
      <c r="O36" s="4">
        <f t="shared" si="7"/>
        <v>120009824</v>
      </c>
      <c r="P36" s="4">
        <f>SUM(P8:P35)</f>
        <v>147940000</v>
      </c>
      <c r="Q36" s="122">
        <f>P36-O36</f>
        <v>27930176</v>
      </c>
    </row>
    <row r="37" spans="1:17" x14ac:dyDescent="0.25">
      <c r="O37" s="20"/>
      <c r="P37" s="5" t="s">
        <v>1796</v>
      </c>
      <c r="Q37" s="26"/>
    </row>
    <row r="38" spans="1:17" x14ac:dyDescent="0.25">
      <c r="P38" s="21" t="s">
        <v>20</v>
      </c>
      <c r="Q38" s="26">
        <f>'04.2024'!Q40+'05.2024'!Q36</f>
        <v>69961548</v>
      </c>
    </row>
    <row r="39" spans="1:17" x14ac:dyDescent="0.25">
      <c r="C39" s="6" t="s">
        <v>993</v>
      </c>
    </row>
    <row r="40" spans="1:17" x14ac:dyDescent="0.25">
      <c r="C40" s="205"/>
      <c r="D40" s="205"/>
      <c r="E40" s="205"/>
      <c r="F40" s="205"/>
      <c r="H40" s="109"/>
    </row>
    <row r="41" spans="1:17" x14ac:dyDescent="0.25">
      <c r="C41" s="206"/>
      <c r="D41" s="206"/>
      <c r="E41" s="206"/>
      <c r="F41" s="206"/>
      <c r="H41" s="109"/>
    </row>
    <row r="42" spans="1:17" x14ac:dyDescent="0.25">
      <c r="B42" s="6"/>
      <c r="C42" s="110"/>
      <c r="D42" s="110"/>
      <c r="E42" s="110"/>
      <c r="F42" s="110"/>
      <c r="G42" s="133"/>
      <c r="H42" s="109"/>
    </row>
    <row r="43" spans="1:17" x14ac:dyDescent="0.25">
      <c r="B43" s="6"/>
      <c r="C43" s="206"/>
      <c r="D43" s="206"/>
      <c r="E43" s="206"/>
      <c r="F43" s="206"/>
      <c r="H43" s="109"/>
    </row>
    <row r="44" spans="1:17" x14ac:dyDescent="0.25">
      <c r="B44" s="6"/>
      <c r="C44" s="206"/>
      <c r="D44" s="206"/>
      <c r="E44" s="206"/>
      <c r="F44" s="206"/>
      <c r="H44" s="109"/>
    </row>
    <row r="45" spans="1:17" x14ac:dyDescent="0.25">
      <c r="B45" s="6"/>
      <c r="C45" s="206"/>
      <c r="D45" s="206"/>
      <c r="E45" s="206"/>
      <c r="F45" s="206"/>
      <c r="G45" s="133"/>
      <c r="H45" s="109"/>
      <c r="J45" s="6"/>
      <c r="K45" s="6"/>
      <c r="L45" s="6"/>
      <c r="M45" s="6"/>
      <c r="N45" s="6"/>
      <c r="O45" s="6"/>
      <c r="P45" s="6"/>
      <c r="Q45" s="6"/>
    </row>
    <row r="46" spans="1:17" x14ac:dyDescent="0.2">
      <c r="C46" s="107"/>
      <c r="D46" s="110"/>
      <c r="E46" s="110"/>
      <c r="F46" s="110"/>
      <c r="H46" s="109"/>
    </row>
    <row r="47" spans="1:17" x14ac:dyDescent="0.25">
      <c r="C47" s="205"/>
      <c r="D47" s="205"/>
      <c r="E47" s="205"/>
      <c r="F47" s="205"/>
    </row>
  </sheetData>
  <mergeCells count="24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40:F40"/>
    <mergeCell ref="O5:O6"/>
    <mergeCell ref="P5:P6"/>
    <mergeCell ref="Q5:Q6"/>
    <mergeCell ref="C32:F32"/>
    <mergeCell ref="C33:F33"/>
    <mergeCell ref="C34:F34"/>
    <mergeCell ref="C35:F35"/>
    <mergeCell ref="A36:F36"/>
    <mergeCell ref="C41:F41"/>
    <mergeCell ref="C43:F43"/>
    <mergeCell ref="C44:F44"/>
    <mergeCell ref="C45:F45"/>
    <mergeCell ref="C47:F47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0EF7-C29F-4C5C-B9A2-4836B9755FBC}">
  <dimension ref="A1:R53"/>
  <sheetViews>
    <sheetView topLeftCell="A26" workbookViewId="0">
      <selection activeCell="J36" sqref="J36:M40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3895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s="16" customFormat="1" x14ac:dyDescent="0.25">
      <c r="A7" s="8"/>
      <c r="B7" s="22"/>
      <c r="C7" s="9"/>
      <c r="D7" s="10"/>
      <c r="E7" s="11"/>
      <c r="F7" s="12"/>
      <c r="G7" s="13"/>
      <c r="H7" s="14"/>
      <c r="I7" s="14"/>
      <c r="J7" s="3"/>
      <c r="K7" s="3"/>
      <c r="L7" s="3"/>
      <c r="M7" s="3"/>
      <c r="N7" s="3"/>
      <c r="O7" s="15"/>
      <c r="P7" s="55"/>
      <c r="Q7" s="15"/>
    </row>
    <row r="8" spans="1:18" ht="27.75" customHeight="1" x14ac:dyDescent="0.25">
      <c r="A8" s="148">
        <v>1</v>
      </c>
      <c r="B8" s="120">
        <v>45444</v>
      </c>
      <c r="C8" s="10" t="s">
        <v>3220</v>
      </c>
      <c r="D8" s="25" t="s">
        <v>3875</v>
      </c>
      <c r="E8" s="10" t="s">
        <v>3862</v>
      </c>
      <c r="F8" s="8"/>
      <c r="G8" s="8">
        <v>95</v>
      </c>
      <c r="H8" s="13">
        <f>G8*19740</f>
        <v>1875300</v>
      </c>
      <c r="I8" s="8"/>
      <c r="J8" s="13">
        <v>905000</v>
      </c>
      <c r="K8" s="28"/>
      <c r="L8" s="29"/>
      <c r="M8" s="13"/>
      <c r="N8" s="13"/>
      <c r="O8" s="13">
        <f>SUM(H8:N8)</f>
        <v>2780300</v>
      </c>
      <c r="P8" s="13">
        <v>5300000</v>
      </c>
      <c r="Q8" s="13">
        <f>P8-O8</f>
        <v>2519700</v>
      </c>
      <c r="R8" s="5"/>
    </row>
    <row r="9" spans="1:18" ht="24.75" customHeight="1" x14ac:dyDescent="0.25">
      <c r="A9" s="148">
        <v>2</v>
      </c>
      <c r="B9" s="120">
        <v>45446</v>
      </c>
      <c r="C9" s="10" t="s">
        <v>3843</v>
      </c>
      <c r="D9" s="129" t="s">
        <v>3876</v>
      </c>
      <c r="E9" s="9" t="s">
        <v>3601</v>
      </c>
      <c r="F9" s="117"/>
      <c r="G9" s="8">
        <v>133</v>
      </c>
      <c r="H9" s="13">
        <f t="shared" ref="H9" si="0">G9*19740</f>
        <v>2625420</v>
      </c>
      <c r="I9" s="117"/>
      <c r="J9" s="119">
        <v>1120000</v>
      </c>
      <c r="K9" s="28"/>
      <c r="L9" s="29"/>
      <c r="M9" s="13"/>
      <c r="N9" s="13"/>
      <c r="O9" s="13">
        <f t="shared" ref="O9:O34" si="1">SUM(H9:N9)</f>
        <v>3745420</v>
      </c>
      <c r="P9" s="13">
        <v>6000000</v>
      </c>
      <c r="Q9" s="13">
        <f>P9-O9</f>
        <v>2254580</v>
      </c>
      <c r="R9" s="5"/>
    </row>
    <row r="10" spans="1:18" ht="24.75" customHeight="1" x14ac:dyDescent="0.25">
      <c r="A10" s="148">
        <v>3</v>
      </c>
      <c r="B10" s="120">
        <v>45447</v>
      </c>
      <c r="C10" s="10" t="s">
        <v>3221</v>
      </c>
      <c r="D10" s="25" t="s">
        <v>3877</v>
      </c>
      <c r="E10" s="10" t="s">
        <v>3863</v>
      </c>
      <c r="F10" s="8"/>
      <c r="G10" s="8">
        <v>143</v>
      </c>
      <c r="H10" s="13">
        <f>G10*19420</f>
        <v>2777060</v>
      </c>
      <c r="I10" s="8"/>
      <c r="J10" s="13">
        <v>1120000</v>
      </c>
      <c r="K10" s="28"/>
      <c r="L10" s="29"/>
      <c r="M10" s="13"/>
      <c r="N10" s="13"/>
      <c r="O10" s="13">
        <f t="shared" si="1"/>
        <v>3897060</v>
      </c>
      <c r="P10" s="13">
        <v>5800000</v>
      </c>
      <c r="Q10" s="13">
        <f t="shared" ref="Q10:Q34" si="2">P10-O10</f>
        <v>1902940</v>
      </c>
      <c r="R10" s="5"/>
    </row>
    <row r="11" spans="1:18" ht="27.75" customHeight="1" x14ac:dyDescent="0.25">
      <c r="A11" s="148">
        <v>4</v>
      </c>
      <c r="B11" s="120">
        <v>45448</v>
      </c>
      <c r="C11" s="10" t="s">
        <v>3844</v>
      </c>
      <c r="D11" s="25" t="s">
        <v>3878</v>
      </c>
      <c r="E11" s="10" t="s">
        <v>121</v>
      </c>
      <c r="F11" s="8"/>
      <c r="G11" s="8">
        <v>224</v>
      </c>
      <c r="H11" s="13">
        <f t="shared" ref="H11:H13" si="3">G11*19420</f>
        <v>4350080</v>
      </c>
      <c r="I11" s="8"/>
      <c r="J11" s="13">
        <v>2220000</v>
      </c>
      <c r="K11" s="28"/>
      <c r="L11" s="29"/>
      <c r="M11" s="13"/>
      <c r="N11" s="13"/>
      <c r="O11" s="13">
        <f t="shared" si="1"/>
        <v>6570080</v>
      </c>
      <c r="P11" s="13">
        <v>11388889</v>
      </c>
      <c r="Q11" s="13">
        <f t="shared" si="2"/>
        <v>4818809</v>
      </c>
      <c r="R11" s="5"/>
    </row>
    <row r="12" spans="1:18" ht="27.75" customHeight="1" x14ac:dyDescent="0.25">
      <c r="A12" s="148">
        <v>5</v>
      </c>
      <c r="B12" s="120">
        <v>45449</v>
      </c>
      <c r="C12" s="10" t="s">
        <v>691</v>
      </c>
      <c r="D12" s="25" t="s">
        <v>3879</v>
      </c>
      <c r="E12" s="10" t="s">
        <v>33</v>
      </c>
      <c r="F12" s="8"/>
      <c r="G12" s="8">
        <v>160</v>
      </c>
      <c r="H12" s="13">
        <f t="shared" si="3"/>
        <v>3107200</v>
      </c>
      <c r="I12" s="8"/>
      <c r="J12" s="13">
        <v>1470000</v>
      </c>
      <c r="K12" s="28"/>
      <c r="L12" s="29"/>
      <c r="M12" s="13"/>
      <c r="N12" s="13"/>
      <c r="O12" s="13">
        <f t="shared" si="1"/>
        <v>4577200</v>
      </c>
      <c r="P12" s="13">
        <v>8203704</v>
      </c>
      <c r="Q12" s="13">
        <f t="shared" si="2"/>
        <v>3626504</v>
      </c>
      <c r="R12" s="5"/>
    </row>
    <row r="13" spans="1:18" ht="27.75" customHeight="1" x14ac:dyDescent="0.25">
      <c r="A13" s="148">
        <v>6</v>
      </c>
      <c r="B13" s="120">
        <v>45450</v>
      </c>
      <c r="C13" s="10" t="s">
        <v>3845</v>
      </c>
      <c r="D13" s="25" t="s">
        <v>3880</v>
      </c>
      <c r="E13" s="10" t="s">
        <v>3864</v>
      </c>
      <c r="F13" s="8"/>
      <c r="G13" s="8">
        <v>106</v>
      </c>
      <c r="H13" s="13">
        <f t="shared" si="3"/>
        <v>2058520</v>
      </c>
      <c r="I13" s="8"/>
      <c r="J13" s="13">
        <v>770000</v>
      </c>
      <c r="K13" s="28"/>
      <c r="L13" s="29"/>
      <c r="M13" s="13"/>
      <c r="N13" s="13"/>
      <c r="O13" s="13">
        <f t="shared" si="1"/>
        <v>2828520</v>
      </c>
      <c r="P13" s="13">
        <v>4700000</v>
      </c>
      <c r="Q13" s="13">
        <f t="shared" si="2"/>
        <v>1871480</v>
      </c>
      <c r="R13" s="5"/>
    </row>
    <row r="14" spans="1:18" ht="27.75" customHeight="1" x14ac:dyDescent="0.25">
      <c r="A14" s="148">
        <v>7</v>
      </c>
      <c r="B14" s="149">
        <v>45451</v>
      </c>
      <c r="C14" s="111" t="s">
        <v>3846</v>
      </c>
      <c r="D14" s="112" t="s">
        <v>2628</v>
      </c>
      <c r="E14" s="111" t="s">
        <v>3865</v>
      </c>
      <c r="F14" s="12"/>
      <c r="G14" s="8">
        <v>83</v>
      </c>
      <c r="H14" s="13">
        <f>G14*19640</f>
        <v>1630120</v>
      </c>
      <c r="I14" s="8"/>
      <c r="J14" s="13">
        <v>680000</v>
      </c>
      <c r="K14" s="18"/>
      <c r="L14" s="99"/>
      <c r="M14" s="3"/>
      <c r="N14" s="3"/>
      <c r="O14" s="13">
        <f t="shared" si="1"/>
        <v>2310120</v>
      </c>
      <c r="P14" s="13">
        <v>3790000</v>
      </c>
      <c r="Q14" s="13">
        <f t="shared" si="2"/>
        <v>1479880</v>
      </c>
      <c r="R14" s="5"/>
    </row>
    <row r="15" spans="1:18" ht="27.75" customHeight="1" x14ac:dyDescent="0.25">
      <c r="A15" s="148">
        <v>8</v>
      </c>
      <c r="B15" s="120">
        <v>45453</v>
      </c>
      <c r="C15" s="10" t="s">
        <v>3847</v>
      </c>
      <c r="D15" s="25" t="s">
        <v>361</v>
      </c>
      <c r="E15" s="10" t="s">
        <v>3866</v>
      </c>
      <c r="F15" s="8"/>
      <c r="G15" s="8">
        <v>134</v>
      </c>
      <c r="H15" s="13">
        <f t="shared" ref="H15:H22" si="4">G15*19640</f>
        <v>2631760</v>
      </c>
      <c r="I15" s="8"/>
      <c r="J15" s="119">
        <v>1330000</v>
      </c>
      <c r="K15" s="28"/>
      <c r="L15" s="29"/>
      <c r="M15" s="13"/>
      <c r="N15" s="13"/>
      <c r="O15" s="13">
        <f t="shared" si="1"/>
        <v>3961760</v>
      </c>
      <c r="P15" s="13">
        <v>2670000</v>
      </c>
      <c r="Q15" s="13">
        <f t="shared" si="2"/>
        <v>-1291760</v>
      </c>
      <c r="R15" s="5"/>
    </row>
    <row r="16" spans="1:18" ht="27.75" customHeight="1" x14ac:dyDescent="0.25">
      <c r="A16" s="148">
        <v>9</v>
      </c>
      <c r="B16" s="120">
        <v>45454</v>
      </c>
      <c r="C16" s="10" t="s">
        <v>3848</v>
      </c>
      <c r="D16" s="25" t="s">
        <v>361</v>
      </c>
      <c r="E16" s="10" t="s">
        <v>3867</v>
      </c>
      <c r="F16" s="8"/>
      <c r="G16" s="8"/>
      <c r="H16" s="13">
        <f t="shared" si="4"/>
        <v>0</v>
      </c>
      <c r="I16" s="8"/>
      <c r="J16" s="13">
        <v>850000</v>
      </c>
      <c r="K16" s="28"/>
      <c r="L16" s="29"/>
      <c r="M16" s="13"/>
      <c r="N16" s="13"/>
      <c r="O16" s="13">
        <f t="shared" si="1"/>
        <v>850000</v>
      </c>
      <c r="P16" s="13">
        <v>5200000</v>
      </c>
      <c r="Q16" s="13">
        <f t="shared" si="2"/>
        <v>4350000</v>
      </c>
      <c r="R16" s="5"/>
    </row>
    <row r="17" spans="1:18" ht="27.75" customHeight="1" x14ac:dyDescent="0.25">
      <c r="A17" s="148">
        <v>10</v>
      </c>
      <c r="B17" s="120">
        <v>45454</v>
      </c>
      <c r="C17" s="10" t="s">
        <v>694</v>
      </c>
      <c r="D17" s="25" t="s">
        <v>3881</v>
      </c>
      <c r="E17" s="10" t="s">
        <v>3868</v>
      </c>
      <c r="F17" s="8"/>
      <c r="G17" s="8">
        <v>107</v>
      </c>
      <c r="H17" s="13">
        <f t="shared" si="4"/>
        <v>2101480</v>
      </c>
      <c r="I17" s="8"/>
      <c r="J17" s="13"/>
      <c r="K17" s="28"/>
      <c r="L17" s="29"/>
      <c r="M17" s="13"/>
      <c r="N17" s="13"/>
      <c r="O17" s="13">
        <f t="shared" si="1"/>
        <v>2101480</v>
      </c>
      <c r="P17" s="13">
        <v>5200000</v>
      </c>
      <c r="Q17" s="13">
        <f t="shared" si="2"/>
        <v>3098520</v>
      </c>
      <c r="R17" s="5"/>
    </row>
    <row r="18" spans="1:18" ht="22.5" customHeight="1" x14ac:dyDescent="0.25">
      <c r="A18" s="148">
        <v>11</v>
      </c>
      <c r="B18" s="120">
        <v>45455</v>
      </c>
      <c r="C18" s="10" t="s">
        <v>3849</v>
      </c>
      <c r="D18" s="25" t="s">
        <v>3882</v>
      </c>
      <c r="E18" s="10" t="s">
        <v>2045</v>
      </c>
      <c r="F18" s="8"/>
      <c r="G18" s="8">
        <v>320</v>
      </c>
      <c r="H18" s="13">
        <f t="shared" si="4"/>
        <v>6284800</v>
      </c>
      <c r="I18" s="8"/>
      <c r="J18" s="13">
        <v>3300000</v>
      </c>
      <c r="K18" s="28"/>
      <c r="L18" s="29"/>
      <c r="M18" s="13"/>
      <c r="N18" s="13"/>
      <c r="O18" s="13">
        <f t="shared" si="1"/>
        <v>9584800</v>
      </c>
      <c r="P18" s="13">
        <v>17129630</v>
      </c>
      <c r="Q18" s="13">
        <f t="shared" si="2"/>
        <v>7544830</v>
      </c>
      <c r="R18" s="5"/>
    </row>
    <row r="19" spans="1:18" ht="22.5" customHeight="1" x14ac:dyDescent="0.25">
      <c r="A19" s="148">
        <v>12</v>
      </c>
      <c r="B19" s="120">
        <v>45457</v>
      </c>
      <c r="C19" s="10" t="s">
        <v>3850</v>
      </c>
      <c r="D19" s="25" t="s">
        <v>3883</v>
      </c>
      <c r="E19" s="10" t="s">
        <v>3839</v>
      </c>
      <c r="F19" s="8"/>
      <c r="G19" s="8">
        <v>92</v>
      </c>
      <c r="H19" s="13">
        <f t="shared" si="4"/>
        <v>1806880</v>
      </c>
      <c r="I19" s="8"/>
      <c r="J19" s="13">
        <v>680000</v>
      </c>
      <c r="K19" s="28"/>
      <c r="L19" s="29"/>
      <c r="M19" s="13"/>
      <c r="N19" s="13"/>
      <c r="O19" s="13">
        <f t="shared" si="1"/>
        <v>2486880</v>
      </c>
      <c r="P19" s="13">
        <v>4300000</v>
      </c>
      <c r="Q19" s="13">
        <f t="shared" si="2"/>
        <v>1813120</v>
      </c>
      <c r="R19" s="5"/>
    </row>
    <row r="20" spans="1:18" ht="22.5" customHeight="1" x14ac:dyDescent="0.25">
      <c r="A20" s="148">
        <v>13</v>
      </c>
      <c r="B20" s="120">
        <v>45460</v>
      </c>
      <c r="C20" s="10" t="s">
        <v>3851</v>
      </c>
      <c r="D20" s="25" t="s">
        <v>3884</v>
      </c>
      <c r="E20" s="10" t="s">
        <v>3869</v>
      </c>
      <c r="F20" s="8"/>
      <c r="G20" s="8">
        <v>138</v>
      </c>
      <c r="H20" s="13">
        <f t="shared" si="4"/>
        <v>2710320</v>
      </c>
      <c r="I20" s="8"/>
      <c r="J20" s="13">
        <v>1030000</v>
      </c>
      <c r="K20" s="28"/>
      <c r="L20" s="29"/>
      <c r="M20" s="13"/>
      <c r="N20" s="13"/>
      <c r="O20" s="13">
        <f t="shared" si="1"/>
        <v>3740320</v>
      </c>
      <c r="P20" s="13">
        <v>6000000</v>
      </c>
      <c r="Q20" s="13">
        <f t="shared" si="2"/>
        <v>2259680</v>
      </c>
      <c r="R20" s="5"/>
    </row>
    <row r="21" spans="1:18" ht="22.5" customHeight="1" x14ac:dyDescent="0.25">
      <c r="A21" s="148">
        <v>14</v>
      </c>
      <c r="B21" s="120">
        <v>45460</v>
      </c>
      <c r="C21" s="10" t="s">
        <v>698</v>
      </c>
      <c r="D21" s="25" t="s">
        <v>3885</v>
      </c>
      <c r="E21" s="10" t="s">
        <v>3558</v>
      </c>
      <c r="F21" s="8"/>
      <c r="G21" s="8">
        <v>120</v>
      </c>
      <c r="H21" s="13">
        <f t="shared" si="4"/>
        <v>2356800</v>
      </c>
      <c r="I21" s="8"/>
      <c r="J21" s="13">
        <v>850000</v>
      </c>
      <c r="K21" s="28"/>
      <c r="L21" s="29"/>
      <c r="M21" s="13"/>
      <c r="N21" s="13"/>
      <c r="O21" s="13">
        <f t="shared" si="1"/>
        <v>3206800</v>
      </c>
      <c r="P21" s="13">
        <v>5258519</v>
      </c>
      <c r="Q21" s="13">
        <f t="shared" si="2"/>
        <v>2051719</v>
      </c>
      <c r="R21" s="5"/>
    </row>
    <row r="22" spans="1:18" ht="22.5" customHeight="1" x14ac:dyDescent="0.25">
      <c r="A22" s="148">
        <v>15</v>
      </c>
      <c r="B22" s="120">
        <v>45461</v>
      </c>
      <c r="C22" s="10" t="s">
        <v>3224</v>
      </c>
      <c r="D22" s="25" t="s">
        <v>3886</v>
      </c>
      <c r="E22" s="10" t="s">
        <v>3870</v>
      </c>
      <c r="F22" s="8"/>
      <c r="G22" s="8">
        <v>70</v>
      </c>
      <c r="H22" s="13">
        <f t="shared" si="4"/>
        <v>1374800</v>
      </c>
      <c r="I22" s="8"/>
      <c r="J22" s="13">
        <v>640000</v>
      </c>
      <c r="K22" s="28"/>
      <c r="L22" s="29"/>
      <c r="M22" s="13"/>
      <c r="N22" s="13"/>
      <c r="O22" s="13">
        <f t="shared" si="1"/>
        <v>2014800</v>
      </c>
      <c r="P22" s="13">
        <v>3400000</v>
      </c>
      <c r="Q22" s="13">
        <f t="shared" si="2"/>
        <v>1385200</v>
      </c>
      <c r="R22" s="5"/>
    </row>
    <row r="23" spans="1:18" ht="22.5" customHeight="1" x14ac:dyDescent="0.25">
      <c r="A23" s="148">
        <v>16</v>
      </c>
      <c r="B23" s="120">
        <v>45462</v>
      </c>
      <c r="C23" s="10" t="s">
        <v>700</v>
      </c>
      <c r="D23" s="25" t="s">
        <v>3887</v>
      </c>
      <c r="E23" s="10" t="s">
        <v>3360</v>
      </c>
      <c r="F23" s="8"/>
      <c r="G23" s="8">
        <v>237</v>
      </c>
      <c r="H23" s="13">
        <f>G23*20360</f>
        <v>4825320</v>
      </c>
      <c r="I23" s="8"/>
      <c r="J23" s="13">
        <v>2020000</v>
      </c>
      <c r="K23" s="28"/>
      <c r="L23" s="29"/>
      <c r="M23" s="13"/>
      <c r="N23" s="13"/>
      <c r="O23" s="13">
        <f t="shared" si="1"/>
        <v>6845320</v>
      </c>
      <c r="P23" s="13">
        <v>12000000</v>
      </c>
      <c r="Q23" s="13">
        <f t="shared" si="2"/>
        <v>5154680</v>
      </c>
      <c r="R23" s="5"/>
    </row>
    <row r="24" spans="1:18" ht="22.5" customHeight="1" x14ac:dyDescent="0.25">
      <c r="A24" s="148">
        <v>17</v>
      </c>
      <c r="B24" s="120">
        <v>45463</v>
      </c>
      <c r="C24" s="10" t="s">
        <v>3852</v>
      </c>
      <c r="D24" s="25" t="s">
        <v>3888</v>
      </c>
      <c r="E24" s="10" t="s">
        <v>2586</v>
      </c>
      <c r="F24" s="8"/>
      <c r="G24" s="8">
        <v>122</v>
      </c>
      <c r="H24" s="13">
        <f t="shared" ref="H24:H29" si="5">G24*20360</f>
        <v>2483920</v>
      </c>
      <c r="I24" s="8"/>
      <c r="J24" s="13"/>
      <c r="K24" s="28"/>
      <c r="L24" s="29"/>
      <c r="M24" s="13"/>
      <c r="N24" s="13"/>
      <c r="O24" s="13">
        <f t="shared" si="1"/>
        <v>2483920</v>
      </c>
      <c r="P24" s="13">
        <v>3011482</v>
      </c>
      <c r="Q24" s="13">
        <f t="shared" si="2"/>
        <v>527562</v>
      </c>
      <c r="R24" s="5"/>
    </row>
    <row r="25" spans="1:18" ht="22.5" customHeight="1" x14ac:dyDescent="0.25">
      <c r="A25" s="148">
        <v>18</v>
      </c>
      <c r="B25" s="120">
        <v>45463</v>
      </c>
      <c r="C25" s="10" t="s">
        <v>3853</v>
      </c>
      <c r="D25" s="25" t="s">
        <v>3888</v>
      </c>
      <c r="E25" s="10" t="s">
        <v>1544</v>
      </c>
      <c r="F25" s="8"/>
      <c r="G25" s="8"/>
      <c r="H25" s="13">
        <f t="shared" si="5"/>
        <v>0</v>
      </c>
      <c r="I25" s="8"/>
      <c r="J25" s="13">
        <v>980000</v>
      </c>
      <c r="K25" s="28"/>
      <c r="L25" s="29"/>
      <c r="M25" s="13"/>
      <c r="N25" s="13"/>
      <c r="O25" s="13">
        <f t="shared" si="1"/>
        <v>980000</v>
      </c>
      <c r="P25" s="13">
        <v>3461259</v>
      </c>
      <c r="Q25" s="13">
        <f t="shared" si="2"/>
        <v>2481259</v>
      </c>
      <c r="R25" s="5"/>
    </row>
    <row r="26" spans="1:18" ht="22.5" customHeight="1" x14ac:dyDescent="0.25">
      <c r="A26" s="148">
        <v>19</v>
      </c>
      <c r="B26" s="120">
        <v>45464</v>
      </c>
      <c r="C26" s="10" t="s">
        <v>3225</v>
      </c>
      <c r="D26" s="25" t="s">
        <v>3889</v>
      </c>
      <c r="E26" s="10" t="s">
        <v>2593</v>
      </c>
      <c r="F26" s="8"/>
      <c r="G26" s="8">
        <v>93</v>
      </c>
      <c r="H26" s="13">
        <f t="shared" si="5"/>
        <v>1893480</v>
      </c>
      <c r="I26" s="8"/>
      <c r="J26" s="13">
        <v>430000</v>
      </c>
      <c r="K26" s="28"/>
      <c r="L26" s="29"/>
      <c r="M26" s="13"/>
      <c r="N26" s="13"/>
      <c r="O26" s="13">
        <f t="shared" si="1"/>
        <v>2323480</v>
      </c>
      <c r="P26" s="13">
        <v>4100000</v>
      </c>
      <c r="Q26" s="13">
        <f t="shared" si="2"/>
        <v>1776520</v>
      </c>
      <c r="R26" s="5"/>
    </row>
    <row r="27" spans="1:18" ht="22.5" customHeight="1" x14ac:dyDescent="0.25">
      <c r="A27" s="148">
        <v>20</v>
      </c>
      <c r="B27" s="120">
        <v>45466</v>
      </c>
      <c r="C27" s="10" t="s">
        <v>3854</v>
      </c>
      <c r="D27" s="25" t="s">
        <v>3890</v>
      </c>
      <c r="E27" s="10" t="s">
        <v>2586</v>
      </c>
      <c r="F27" s="8"/>
      <c r="G27" s="8">
        <v>117</v>
      </c>
      <c r="H27" s="13">
        <f t="shared" si="5"/>
        <v>2382120</v>
      </c>
      <c r="I27" s="8"/>
      <c r="J27" s="13">
        <v>1120000</v>
      </c>
      <c r="K27" s="28"/>
      <c r="L27" s="29"/>
      <c r="M27" s="13"/>
      <c r="N27" s="13"/>
      <c r="O27" s="13">
        <f t="shared" si="1"/>
        <v>3502120</v>
      </c>
      <c r="P27" s="13">
        <v>3161481</v>
      </c>
      <c r="Q27" s="13">
        <f t="shared" si="2"/>
        <v>-340639</v>
      </c>
      <c r="R27" s="5"/>
    </row>
    <row r="28" spans="1:18" ht="22.5" customHeight="1" x14ac:dyDescent="0.25">
      <c r="A28" s="148">
        <v>21</v>
      </c>
      <c r="B28" s="120">
        <v>45466</v>
      </c>
      <c r="C28" s="10" t="s">
        <v>3855</v>
      </c>
      <c r="D28" s="25" t="s">
        <v>3890</v>
      </c>
      <c r="E28" s="10" t="s">
        <v>1479</v>
      </c>
      <c r="F28" s="8"/>
      <c r="G28" s="8"/>
      <c r="H28" s="13">
        <f t="shared" si="5"/>
        <v>0</v>
      </c>
      <c r="I28" s="8"/>
      <c r="J28" s="13"/>
      <c r="K28" s="28"/>
      <c r="L28" s="29"/>
      <c r="M28" s="13"/>
      <c r="N28" s="13"/>
      <c r="O28" s="13">
        <f t="shared" si="1"/>
        <v>0</v>
      </c>
      <c r="P28" s="13">
        <v>2320000</v>
      </c>
      <c r="Q28" s="13">
        <f t="shared" si="2"/>
        <v>2320000</v>
      </c>
      <c r="R28" s="5"/>
    </row>
    <row r="29" spans="1:18" ht="22.5" customHeight="1" x14ac:dyDescent="0.25">
      <c r="A29" s="154">
        <v>22</v>
      </c>
      <c r="B29" s="120">
        <v>45467</v>
      </c>
      <c r="C29" s="75" t="s">
        <v>3856</v>
      </c>
      <c r="D29" s="25" t="s">
        <v>3891</v>
      </c>
      <c r="E29" s="10" t="s">
        <v>3871</v>
      </c>
      <c r="F29" s="8"/>
      <c r="G29" s="8">
        <v>40</v>
      </c>
      <c r="H29" s="13">
        <f t="shared" si="5"/>
        <v>814400</v>
      </c>
      <c r="I29" s="8"/>
      <c r="J29" s="13">
        <v>360000</v>
      </c>
      <c r="K29" s="28"/>
      <c r="L29" s="29"/>
      <c r="M29" s="13"/>
      <c r="N29" s="13"/>
      <c r="O29" s="13">
        <f t="shared" si="1"/>
        <v>1174400</v>
      </c>
      <c r="P29" s="13">
        <v>2398519</v>
      </c>
      <c r="Q29" s="13">
        <f t="shared" si="2"/>
        <v>1224119</v>
      </c>
      <c r="R29" s="5"/>
    </row>
    <row r="30" spans="1:18" ht="22.5" customHeight="1" x14ac:dyDescent="0.25">
      <c r="A30" s="154">
        <v>23</v>
      </c>
      <c r="B30" s="120">
        <v>45468</v>
      </c>
      <c r="C30" s="75" t="s">
        <v>3857</v>
      </c>
      <c r="D30" s="25" t="s">
        <v>3892</v>
      </c>
      <c r="E30" s="10" t="s">
        <v>2045</v>
      </c>
      <c r="F30" s="8"/>
      <c r="G30" s="8">
        <v>320</v>
      </c>
      <c r="H30" s="13">
        <f>G30*20680</f>
        <v>6617600</v>
      </c>
      <c r="I30" s="8"/>
      <c r="J30" s="13">
        <v>3300000</v>
      </c>
      <c r="K30" s="28"/>
      <c r="L30" s="29"/>
      <c r="M30" s="13"/>
      <c r="N30" s="13"/>
      <c r="O30" s="13">
        <f t="shared" si="1"/>
        <v>9917600</v>
      </c>
      <c r="P30" s="13">
        <v>17129630</v>
      </c>
      <c r="Q30" s="13">
        <f t="shared" si="2"/>
        <v>7212030</v>
      </c>
      <c r="R30" s="5"/>
    </row>
    <row r="31" spans="1:18" ht="22.5" customHeight="1" x14ac:dyDescent="0.25">
      <c r="A31" s="154">
        <v>24</v>
      </c>
      <c r="B31" s="120">
        <v>45470</v>
      </c>
      <c r="C31" s="75" t="s">
        <v>3858</v>
      </c>
      <c r="D31" s="25" t="s">
        <v>3893</v>
      </c>
      <c r="E31" s="10" t="s">
        <v>3872</v>
      </c>
      <c r="F31" s="8"/>
      <c r="G31" s="8">
        <v>158</v>
      </c>
      <c r="H31" s="13">
        <f t="shared" ref="H31:H33" si="6">G31*20680</f>
        <v>3267440</v>
      </c>
      <c r="I31" s="8"/>
      <c r="J31" s="13">
        <v>1350000</v>
      </c>
      <c r="K31" s="28"/>
      <c r="L31" s="29"/>
      <c r="M31" s="13"/>
      <c r="N31" s="13"/>
      <c r="O31" s="13">
        <f t="shared" si="1"/>
        <v>4617440</v>
      </c>
      <c r="P31" s="13">
        <v>3400000</v>
      </c>
      <c r="Q31" s="13">
        <f t="shared" si="2"/>
        <v>-1217440</v>
      </c>
      <c r="R31" s="5"/>
    </row>
    <row r="32" spans="1:18" ht="22.5" customHeight="1" x14ac:dyDescent="0.25">
      <c r="A32" s="154">
        <v>25</v>
      </c>
      <c r="B32" s="120">
        <v>45471</v>
      </c>
      <c r="C32" s="10" t="s">
        <v>3859</v>
      </c>
      <c r="D32" s="25" t="s">
        <v>3893</v>
      </c>
      <c r="E32" s="10" t="s">
        <v>3873</v>
      </c>
      <c r="F32" s="8"/>
      <c r="G32" s="8"/>
      <c r="H32" s="13">
        <f t="shared" si="6"/>
        <v>0</v>
      </c>
      <c r="I32" s="8"/>
      <c r="J32" s="13"/>
      <c r="K32" s="28"/>
      <c r="L32" s="29"/>
      <c r="M32" s="13"/>
      <c r="N32" s="13"/>
      <c r="O32" s="13">
        <f t="shared" si="1"/>
        <v>0</v>
      </c>
      <c r="P32" s="13">
        <v>5145000</v>
      </c>
      <c r="Q32" s="13">
        <f t="shared" si="2"/>
        <v>5145000</v>
      </c>
      <c r="R32" s="5"/>
    </row>
    <row r="33" spans="1:18" ht="22.5" customHeight="1" x14ac:dyDescent="0.25">
      <c r="A33" s="154">
        <v>26</v>
      </c>
      <c r="B33" s="120">
        <v>45471</v>
      </c>
      <c r="C33" s="10" t="s">
        <v>3860</v>
      </c>
      <c r="D33" s="25" t="s">
        <v>3894</v>
      </c>
      <c r="E33" s="10" t="s">
        <v>2991</v>
      </c>
      <c r="F33" s="8"/>
      <c r="G33" s="8">
        <v>129</v>
      </c>
      <c r="H33" s="13">
        <f t="shared" si="6"/>
        <v>2667720</v>
      </c>
      <c r="I33" s="8"/>
      <c r="J33" s="13">
        <v>1084000</v>
      </c>
      <c r="K33" s="28"/>
      <c r="L33" s="29"/>
      <c r="M33" s="13"/>
      <c r="N33" s="13"/>
      <c r="O33" s="13">
        <f t="shared" si="1"/>
        <v>3751720</v>
      </c>
      <c r="P33" s="13">
        <v>3620000</v>
      </c>
      <c r="Q33" s="13">
        <f t="shared" si="2"/>
        <v>-131720</v>
      </c>
      <c r="R33" s="5"/>
    </row>
    <row r="34" spans="1:18" ht="22.5" customHeight="1" x14ac:dyDescent="0.25">
      <c r="A34" s="154">
        <v>27</v>
      </c>
      <c r="B34" s="120">
        <v>45471</v>
      </c>
      <c r="C34" s="10" t="s">
        <v>3861</v>
      </c>
      <c r="D34" s="25" t="s">
        <v>3894</v>
      </c>
      <c r="E34" s="10" t="s">
        <v>3874</v>
      </c>
      <c r="F34" s="8"/>
      <c r="G34" s="8"/>
      <c r="H34" s="13"/>
      <c r="I34" s="8"/>
      <c r="J34" s="13"/>
      <c r="K34" s="28"/>
      <c r="L34" s="29"/>
      <c r="M34" s="13"/>
      <c r="N34" s="13"/>
      <c r="O34" s="13">
        <f t="shared" si="1"/>
        <v>0</v>
      </c>
      <c r="P34" s="13">
        <v>2810000</v>
      </c>
      <c r="Q34" s="13">
        <f t="shared" si="2"/>
        <v>2810000</v>
      </c>
      <c r="R34" s="5"/>
    </row>
    <row r="35" spans="1:18" ht="24" customHeight="1" x14ac:dyDescent="0.25">
      <c r="A35" s="8"/>
      <c r="B35" s="8"/>
      <c r="C35" s="196" t="s">
        <v>131</v>
      </c>
      <c r="D35" s="197"/>
      <c r="E35" s="197"/>
      <c r="F35" s="198"/>
      <c r="G35" s="8"/>
      <c r="H35" s="13"/>
      <c r="I35" s="8"/>
      <c r="J35" s="13"/>
      <c r="K35" s="28">
        <v>1200000</v>
      </c>
      <c r="L35" s="28"/>
      <c r="M35" s="18"/>
      <c r="N35" s="28"/>
      <c r="O35" s="53">
        <f t="shared" ref="O35:O40" si="7">H35+J35+K35+L35+M35+N35</f>
        <v>1200000</v>
      </c>
      <c r="P35" s="28"/>
      <c r="Q35" s="54"/>
    </row>
    <row r="36" spans="1:18" ht="24" customHeight="1" x14ac:dyDescent="0.25">
      <c r="A36" s="8"/>
      <c r="B36" s="8"/>
      <c r="C36" s="196" t="s">
        <v>3144</v>
      </c>
      <c r="D36" s="197"/>
      <c r="E36" s="197"/>
      <c r="F36" s="198"/>
      <c r="G36" s="8"/>
      <c r="H36" s="13"/>
      <c r="I36" s="8"/>
      <c r="J36" s="13"/>
      <c r="K36" s="28">
        <v>7252948</v>
      </c>
      <c r="L36" s="28"/>
      <c r="M36" s="28"/>
      <c r="N36" s="28"/>
      <c r="O36" s="53">
        <f t="shared" si="7"/>
        <v>7252948</v>
      </c>
      <c r="P36" s="28"/>
      <c r="Q36" s="54"/>
    </row>
    <row r="37" spans="1:18" ht="24" customHeight="1" x14ac:dyDescent="0.25">
      <c r="A37" s="8"/>
      <c r="B37" s="8"/>
      <c r="C37" s="196" t="s">
        <v>3901</v>
      </c>
      <c r="D37" s="197"/>
      <c r="E37" s="197"/>
      <c r="F37" s="198"/>
      <c r="G37" s="8"/>
      <c r="H37" s="13"/>
      <c r="I37" s="8"/>
      <c r="J37" s="13"/>
      <c r="K37" s="28"/>
      <c r="L37" s="28">
        <v>626400</v>
      </c>
      <c r="M37" s="28"/>
      <c r="N37" s="28"/>
      <c r="O37" s="53">
        <f t="shared" si="7"/>
        <v>626400</v>
      </c>
      <c r="P37" s="28"/>
      <c r="Q37" s="54"/>
    </row>
    <row r="38" spans="1:18" ht="24" customHeight="1" x14ac:dyDescent="0.25">
      <c r="A38" s="8"/>
      <c r="B38" s="8"/>
      <c r="C38" s="196" t="s">
        <v>4117</v>
      </c>
      <c r="D38" s="197"/>
      <c r="E38" s="197"/>
      <c r="F38" s="198"/>
      <c r="G38" s="8"/>
      <c r="H38" s="13"/>
      <c r="I38" s="8"/>
      <c r="J38" s="13"/>
      <c r="K38" s="28"/>
      <c r="L38" s="28">
        <v>5280000</v>
      </c>
      <c r="M38" s="28"/>
      <c r="N38" s="28"/>
      <c r="O38" s="53">
        <f t="shared" si="7"/>
        <v>5280000</v>
      </c>
      <c r="P38" s="28"/>
      <c r="Q38" s="54"/>
    </row>
    <row r="39" spans="1:18" ht="24" customHeight="1" x14ac:dyDescent="0.25">
      <c r="A39" s="8"/>
      <c r="B39" s="8"/>
      <c r="C39" s="196" t="s">
        <v>4129</v>
      </c>
      <c r="D39" s="197"/>
      <c r="E39" s="197"/>
      <c r="F39" s="198"/>
      <c r="G39" s="8"/>
      <c r="H39" s="13"/>
      <c r="I39" s="8"/>
      <c r="J39" s="13"/>
      <c r="K39" s="28"/>
      <c r="L39" s="28">
        <v>2050000</v>
      </c>
      <c r="M39" s="28"/>
      <c r="N39" s="28"/>
      <c r="O39" s="53">
        <f t="shared" si="7"/>
        <v>2050000</v>
      </c>
      <c r="P39" s="28"/>
      <c r="Q39" s="54"/>
    </row>
    <row r="40" spans="1:18" ht="24" customHeight="1" x14ac:dyDescent="0.25">
      <c r="A40" s="8"/>
      <c r="B40" s="8"/>
      <c r="C40" s="196" t="s">
        <v>4130</v>
      </c>
      <c r="D40" s="197"/>
      <c r="E40" s="197"/>
      <c r="F40" s="198"/>
      <c r="G40" s="8"/>
      <c r="H40" s="13"/>
      <c r="I40" s="8"/>
      <c r="J40" s="13"/>
      <c r="K40" s="28"/>
      <c r="L40" s="28">
        <v>3100000</v>
      </c>
      <c r="M40" s="28"/>
      <c r="N40" s="28"/>
      <c r="O40" s="53">
        <f t="shared" si="7"/>
        <v>3100000</v>
      </c>
      <c r="P40" s="28"/>
      <c r="Q40" s="54"/>
    </row>
    <row r="41" spans="1:18" ht="25.5" customHeight="1" x14ac:dyDescent="0.25">
      <c r="A41" s="8"/>
      <c r="B41" s="8"/>
      <c r="C41" s="191" t="s">
        <v>2763</v>
      </c>
      <c r="D41" s="192"/>
      <c r="E41" s="192"/>
      <c r="F41" s="195"/>
      <c r="G41" s="30"/>
      <c r="H41" s="28"/>
      <c r="I41" s="30"/>
      <c r="J41" s="28"/>
      <c r="K41" s="28">
        <v>9000000</v>
      </c>
      <c r="L41" s="28"/>
      <c r="M41" s="18"/>
      <c r="N41" s="28"/>
      <c r="O41" s="53">
        <f>H41+J41+K41+L41+M41+N41</f>
        <v>9000000</v>
      </c>
      <c r="P41" s="28"/>
      <c r="Q41" s="54"/>
    </row>
    <row r="42" spans="1:18" ht="15" customHeight="1" x14ac:dyDescent="0.25">
      <c r="A42" s="166" t="s">
        <v>19</v>
      </c>
      <c r="B42" s="167"/>
      <c r="C42" s="167"/>
      <c r="D42" s="167"/>
      <c r="E42" s="167"/>
      <c r="F42" s="168"/>
      <c r="G42" s="131">
        <f t="shared" ref="G42:O42" si="8">SUM(G7:G41)</f>
        <v>3141</v>
      </c>
      <c r="H42" s="4">
        <f t="shared" si="8"/>
        <v>62642540</v>
      </c>
      <c r="I42" s="4">
        <f t="shared" si="8"/>
        <v>0</v>
      </c>
      <c r="J42" s="4">
        <f t="shared" si="8"/>
        <v>27609000</v>
      </c>
      <c r="K42" s="4">
        <f t="shared" si="8"/>
        <v>17452948</v>
      </c>
      <c r="L42" s="4">
        <f t="shared" si="8"/>
        <v>11056400</v>
      </c>
      <c r="M42" s="4">
        <f t="shared" si="8"/>
        <v>0</v>
      </c>
      <c r="N42" s="4">
        <f t="shared" si="8"/>
        <v>0</v>
      </c>
      <c r="O42" s="4">
        <f t="shared" si="8"/>
        <v>118760888</v>
      </c>
      <c r="P42" s="4">
        <f>SUM(P8:P41)</f>
        <v>156898113</v>
      </c>
      <c r="Q42" s="122">
        <f>P42-O42</f>
        <v>38137225</v>
      </c>
    </row>
    <row r="43" spans="1:18" x14ac:dyDescent="0.25">
      <c r="O43" s="20"/>
      <c r="P43" s="5" t="s">
        <v>1796</v>
      </c>
      <c r="Q43" s="26"/>
    </row>
    <row r="44" spans="1:18" x14ac:dyDescent="0.25">
      <c r="P44" s="21" t="s">
        <v>20</v>
      </c>
      <c r="Q44" s="26">
        <f>'05.2024'!Q38+'06.2024'!Q42</f>
        <v>108098773</v>
      </c>
    </row>
    <row r="45" spans="1:18" x14ac:dyDescent="0.25">
      <c r="C45" s="6" t="s">
        <v>993</v>
      </c>
    </row>
    <row r="46" spans="1:18" x14ac:dyDescent="0.25">
      <c r="C46" s="205"/>
      <c r="D46" s="205"/>
      <c r="E46" s="205"/>
      <c r="F46" s="205"/>
      <c r="H46" s="109"/>
    </row>
    <row r="47" spans="1:18" x14ac:dyDescent="0.25">
      <c r="C47" s="206"/>
      <c r="D47" s="206"/>
      <c r="E47" s="206"/>
      <c r="F47" s="206"/>
      <c r="H47" s="109"/>
    </row>
    <row r="48" spans="1:18" x14ac:dyDescent="0.25">
      <c r="B48" s="6"/>
      <c r="C48" s="110"/>
      <c r="D48" s="110"/>
      <c r="E48" s="110"/>
      <c r="F48" s="110"/>
      <c r="G48" s="133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G51" s="133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27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C46:F46"/>
    <mergeCell ref="O5:O6"/>
    <mergeCell ref="P5:P6"/>
    <mergeCell ref="Q5:Q6"/>
    <mergeCell ref="C35:F35"/>
    <mergeCell ref="C36:F36"/>
    <mergeCell ref="C37:F37"/>
    <mergeCell ref="C41:F41"/>
    <mergeCell ref="A42:F42"/>
    <mergeCell ref="C38:F38"/>
    <mergeCell ref="C39:F39"/>
    <mergeCell ref="C40:F40"/>
    <mergeCell ref="C47:F47"/>
    <mergeCell ref="C49:F49"/>
    <mergeCell ref="C50:F50"/>
    <mergeCell ref="C51:F51"/>
    <mergeCell ref="C53:F53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9311-C6EA-4FC0-AACC-7072EBBC5EC3}">
  <dimension ref="A1:R59"/>
  <sheetViews>
    <sheetView topLeftCell="A32" workbookViewId="0">
      <selection activeCell="H46" sqref="H46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3905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ht="27.75" customHeight="1" x14ac:dyDescent="0.25">
      <c r="A7" s="148">
        <v>1</v>
      </c>
      <c r="B7" s="120">
        <v>45474</v>
      </c>
      <c r="C7" s="10" t="s">
        <v>3906</v>
      </c>
      <c r="D7" s="25" t="s">
        <v>3941</v>
      </c>
      <c r="E7" s="10" t="s">
        <v>3925</v>
      </c>
      <c r="F7" s="8"/>
      <c r="G7" s="8">
        <v>125</v>
      </c>
      <c r="H7" s="13">
        <f>G7*20680</f>
        <v>2585000</v>
      </c>
      <c r="I7" s="8"/>
      <c r="J7" s="13">
        <v>1220000</v>
      </c>
      <c r="K7" s="28"/>
      <c r="L7" s="29"/>
      <c r="M7" s="13"/>
      <c r="N7" s="13"/>
      <c r="O7" s="13">
        <f>SUM(H7:N7)</f>
        <v>3805000</v>
      </c>
      <c r="P7" s="13">
        <v>4403334</v>
      </c>
      <c r="Q7" s="13">
        <f>P7-O7</f>
        <v>598334</v>
      </c>
      <c r="R7" s="5"/>
    </row>
    <row r="8" spans="1:18" ht="24.75" customHeight="1" x14ac:dyDescent="0.25">
      <c r="A8" s="148">
        <v>2</v>
      </c>
      <c r="B8" s="120">
        <v>45474</v>
      </c>
      <c r="C8" s="10" t="s">
        <v>3907</v>
      </c>
      <c r="D8" s="129" t="s">
        <v>3941</v>
      </c>
      <c r="E8" s="9" t="s">
        <v>3874</v>
      </c>
      <c r="F8" s="117"/>
      <c r="G8" s="8"/>
      <c r="H8" s="13"/>
      <c r="I8" s="117"/>
      <c r="J8" s="119"/>
      <c r="K8" s="28"/>
      <c r="L8" s="29"/>
      <c r="M8" s="13"/>
      <c r="N8" s="13"/>
      <c r="O8" s="13">
        <f t="shared" ref="O8:O38" si="0">SUM(H8:N8)</f>
        <v>0</v>
      </c>
      <c r="P8" s="13">
        <v>2394074</v>
      </c>
      <c r="Q8" s="13">
        <f>P8-O8</f>
        <v>2394074</v>
      </c>
      <c r="R8" s="5"/>
    </row>
    <row r="9" spans="1:18" ht="24.75" customHeight="1" x14ac:dyDescent="0.25">
      <c r="A9" s="148">
        <v>3</v>
      </c>
      <c r="B9" s="120">
        <v>45475</v>
      </c>
      <c r="C9" s="10" t="s">
        <v>3268</v>
      </c>
      <c r="D9" s="25" t="s">
        <v>3942</v>
      </c>
      <c r="E9" s="10" t="s">
        <v>1043</v>
      </c>
      <c r="F9" s="8"/>
      <c r="G9" s="8">
        <v>120</v>
      </c>
      <c r="H9" s="13">
        <f>55*21170+65*21170</f>
        <v>2540400</v>
      </c>
      <c r="I9" s="8"/>
      <c r="J9" s="13">
        <v>680000</v>
      </c>
      <c r="K9" s="28"/>
      <c r="L9" s="29"/>
      <c r="M9" s="13"/>
      <c r="N9" s="13"/>
      <c r="O9" s="13">
        <f t="shared" si="0"/>
        <v>3220400</v>
      </c>
      <c r="P9" s="13">
        <v>5300000</v>
      </c>
      <c r="Q9" s="13">
        <f t="shared" ref="Q9:Q38" si="1">P9-O9</f>
        <v>2079600</v>
      </c>
      <c r="R9" s="5"/>
    </row>
    <row r="10" spans="1:18" ht="27.75" customHeight="1" x14ac:dyDescent="0.25">
      <c r="A10" s="148">
        <v>4</v>
      </c>
      <c r="B10" s="120">
        <v>45476</v>
      </c>
      <c r="C10" s="10" t="s">
        <v>752</v>
      </c>
      <c r="D10" s="25" t="s">
        <v>3943</v>
      </c>
      <c r="E10" s="10" t="s">
        <v>121</v>
      </c>
      <c r="F10" s="8"/>
      <c r="G10" s="8">
        <v>227</v>
      </c>
      <c r="H10" s="13">
        <f>G10*21170</f>
        <v>4805590</v>
      </c>
      <c r="I10" s="8"/>
      <c r="J10" s="13">
        <v>2220000</v>
      </c>
      <c r="K10" s="28"/>
      <c r="L10" s="29"/>
      <c r="M10" s="13"/>
      <c r="N10" s="13"/>
      <c r="O10" s="13">
        <f t="shared" si="0"/>
        <v>7025590</v>
      </c>
      <c r="P10" s="13">
        <v>11388889</v>
      </c>
      <c r="Q10" s="13">
        <f t="shared" si="1"/>
        <v>4363299</v>
      </c>
      <c r="R10" s="5"/>
    </row>
    <row r="11" spans="1:18" ht="27.75" customHeight="1" x14ac:dyDescent="0.25">
      <c r="A11" s="148">
        <v>5</v>
      </c>
      <c r="B11" s="120">
        <v>45477</v>
      </c>
      <c r="C11" s="10" t="s">
        <v>3270</v>
      </c>
      <c r="D11" s="25" t="s">
        <v>3944</v>
      </c>
      <c r="E11" s="10" t="s">
        <v>3926</v>
      </c>
      <c r="F11" s="8"/>
      <c r="G11" s="8">
        <v>96</v>
      </c>
      <c r="H11" s="13">
        <f t="shared" ref="H11:H15" si="2">G11*21170</f>
        <v>2032320</v>
      </c>
      <c r="I11" s="8"/>
      <c r="J11" s="13">
        <v>595000</v>
      </c>
      <c r="K11" s="28"/>
      <c r="L11" s="29"/>
      <c r="M11" s="13"/>
      <c r="N11" s="13"/>
      <c r="O11" s="13">
        <f t="shared" si="0"/>
        <v>2627320</v>
      </c>
      <c r="P11" s="13">
        <v>4400000</v>
      </c>
      <c r="Q11" s="13">
        <f t="shared" si="1"/>
        <v>1772680</v>
      </c>
      <c r="R11" s="5"/>
    </row>
    <row r="12" spans="1:18" ht="27.75" customHeight="1" x14ac:dyDescent="0.25">
      <c r="A12" s="148">
        <v>6</v>
      </c>
      <c r="B12" s="120">
        <v>45478</v>
      </c>
      <c r="C12" s="10" t="s">
        <v>3908</v>
      </c>
      <c r="D12" s="25" t="s">
        <v>3945</v>
      </c>
      <c r="E12" s="10" t="s">
        <v>3927</v>
      </c>
      <c r="F12" s="8"/>
      <c r="G12" s="8">
        <v>160</v>
      </c>
      <c r="H12" s="13">
        <f t="shared" si="2"/>
        <v>3387200</v>
      </c>
      <c r="I12" s="8"/>
      <c r="J12" s="13">
        <v>1475000</v>
      </c>
      <c r="K12" s="28"/>
      <c r="L12" s="29"/>
      <c r="M12" s="13"/>
      <c r="N12" s="13"/>
      <c r="O12" s="13">
        <f t="shared" si="0"/>
        <v>4862200</v>
      </c>
      <c r="P12" s="13">
        <v>3810000</v>
      </c>
      <c r="Q12" s="13">
        <f t="shared" si="1"/>
        <v>-1052200</v>
      </c>
      <c r="R12" s="5"/>
    </row>
    <row r="13" spans="1:18" ht="27.75" customHeight="1" x14ac:dyDescent="0.25">
      <c r="A13" s="148">
        <v>7</v>
      </c>
      <c r="B13" s="149">
        <v>45478</v>
      </c>
      <c r="C13" s="111" t="s">
        <v>3909</v>
      </c>
      <c r="D13" s="112" t="s">
        <v>3945</v>
      </c>
      <c r="E13" s="111" t="s">
        <v>3873</v>
      </c>
      <c r="F13" s="12"/>
      <c r="G13" s="8"/>
      <c r="H13" s="13">
        <f t="shared" si="2"/>
        <v>0</v>
      </c>
      <c r="I13" s="8"/>
      <c r="J13" s="13"/>
      <c r="K13" s="18"/>
      <c r="L13" s="99"/>
      <c r="M13" s="3"/>
      <c r="N13" s="3"/>
      <c r="O13" s="13">
        <f t="shared" si="0"/>
        <v>0</v>
      </c>
      <c r="P13" s="13">
        <v>4417000</v>
      </c>
      <c r="Q13" s="13">
        <f t="shared" si="1"/>
        <v>4417000</v>
      </c>
      <c r="R13" s="5"/>
    </row>
    <row r="14" spans="1:18" ht="27.75" customHeight="1" x14ac:dyDescent="0.25">
      <c r="A14" s="148">
        <v>8</v>
      </c>
      <c r="B14" s="120">
        <v>45479</v>
      </c>
      <c r="C14" s="10" t="s">
        <v>3910</v>
      </c>
      <c r="D14" s="25" t="s">
        <v>3946</v>
      </c>
      <c r="E14" s="10" t="s">
        <v>3928</v>
      </c>
      <c r="F14" s="8"/>
      <c r="G14" s="8">
        <v>101</v>
      </c>
      <c r="H14" s="13">
        <f t="shared" si="2"/>
        <v>2138170</v>
      </c>
      <c r="I14" s="8"/>
      <c r="J14" s="119">
        <v>730000</v>
      </c>
      <c r="K14" s="28"/>
      <c r="L14" s="29"/>
      <c r="M14" s="13"/>
      <c r="N14" s="13"/>
      <c r="O14" s="13">
        <f t="shared" si="0"/>
        <v>2868170</v>
      </c>
      <c r="P14" s="13">
        <v>5300000</v>
      </c>
      <c r="Q14" s="13">
        <f t="shared" si="1"/>
        <v>2431830</v>
      </c>
      <c r="R14" s="5"/>
    </row>
    <row r="15" spans="1:18" ht="27.75" customHeight="1" x14ac:dyDescent="0.25">
      <c r="A15" s="148">
        <v>9</v>
      </c>
      <c r="B15" s="120">
        <v>45481</v>
      </c>
      <c r="C15" s="10" t="s">
        <v>762</v>
      </c>
      <c r="D15" s="25" t="s">
        <v>3947</v>
      </c>
      <c r="E15" s="10" t="s">
        <v>3690</v>
      </c>
      <c r="F15" s="8"/>
      <c r="G15" s="8">
        <v>128</v>
      </c>
      <c r="H15" s="13">
        <f t="shared" si="2"/>
        <v>2709760</v>
      </c>
      <c r="I15" s="8"/>
      <c r="J15" s="13">
        <v>1120000</v>
      </c>
      <c r="K15" s="28"/>
      <c r="L15" s="29"/>
      <c r="M15" s="13"/>
      <c r="N15" s="13"/>
      <c r="O15" s="13">
        <f t="shared" si="0"/>
        <v>3829760</v>
      </c>
      <c r="P15" s="13">
        <v>5750000</v>
      </c>
      <c r="Q15" s="13">
        <f t="shared" si="1"/>
        <v>1920240</v>
      </c>
      <c r="R15" s="5"/>
    </row>
    <row r="16" spans="1:18" ht="27.75" customHeight="1" x14ac:dyDescent="0.25">
      <c r="A16" s="148">
        <v>10</v>
      </c>
      <c r="B16" s="120">
        <v>45482</v>
      </c>
      <c r="C16" s="10" t="s">
        <v>764</v>
      </c>
      <c r="D16" s="25" t="s">
        <v>3948</v>
      </c>
      <c r="E16" s="10" t="s">
        <v>3929</v>
      </c>
      <c r="F16" s="8"/>
      <c r="G16" s="8">
        <v>139</v>
      </c>
      <c r="H16" s="13">
        <f>G16*21170</f>
        <v>2942630</v>
      </c>
      <c r="I16" s="8"/>
      <c r="J16" s="13">
        <v>1120000</v>
      </c>
      <c r="K16" s="28"/>
      <c r="L16" s="29"/>
      <c r="M16" s="13"/>
      <c r="N16" s="13"/>
      <c r="O16" s="13">
        <f t="shared" si="0"/>
        <v>4062630</v>
      </c>
      <c r="P16" s="13">
        <v>6000000</v>
      </c>
      <c r="Q16" s="13">
        <f t="shared" si="1"/>
        <v>1937370</v>
      </c>
      <c r="R16" s="5"/>
    </row>
    <row r="17" spans="1:18" ht="22.5" customHeight="1" x14ac:dyDescent="0.25">
      <c r="A17" s="148">
        <v>11</v>
      </c>
      <c r="B17" s="120">
        <v>45483</v>
      </c>
      <c r="C17" s="10" t="s">
        <v>3273</v>
      </c>
      <c r="D17" s="25" t="s">
        <v>3949</v>
      </c>
      <c r="E17" s="10" t="s">
        <v>112</v>
      </c>
      <c r="F17" s="8"/>
      <c r="G17" s="8">
        <v>233</v>
      </c>
      <c r="H17" s="13">
        <f>G17*20830</f>
        <v>4853390</v>
      </c>
      <c r="I17" s="8"/>
      <c r="J17" s="13">
        <v>2220000</v>
      </c>
      <c r="K17" s="28"/>
      <c r="L17" s="29"/>
      <c r="M17" s="13"/>
      <c r="N17" s="13"/>
      <c r="O17" s="13">
        <f t="shared" si="0"/>
        <v>7073390</v>
      </c>
      <c r="P17" s="13">
        <v>12870370</v>
      </c>
      <c r="Q17" s="13">
        <f t="shared" si="1"/>
        <v>5796980</v>
      </c>
      <c r="R17" s="5"/>
    </row>
    <row r="18" spans="1:18" ht="22.5" customHeight="1" x14ac:dyDescent="0.25">
      <c r="A18" s="148">
        <v>12</v>
      </c>
      <c r="B18" s="120">
        <v>45484</v>
      </c>
      <c r="C18" s="10" t="s">
        <v>3911</v>
      </c>
      <c r="D18" s="25" t="s">
        <v>3950</v>
      </c>
      <c r="E18" s="10" t="s">
        <v>3366</v>
      </c>
      <c r="F18" s="8"/>
      <c r="G18" s="8">
        <v>132</v>
      </c>
      <c r="H18" s="13">
        <f t="shared" ref="H18:H22" si="3">G18*20830</f>
        <v>2749560</v>
      </c>
      <c r="I18" s="8"/>
      <c r="J18" s="13">
        <v>640000</v>
      </c>
      <c r="K18" s="28"/>
      <c r="L18" s="29"/>
      <c r="M18" s="13"/>
      <c r="N18" s="13"/>
      <c r="O18" s="13">
        <f t="shared" si="0"/>
        <v>3389560</v>
      </c>
      <c r="P18" s="13">
        <v>6300000</v>
      </c>
      <c r="Q18" s="13">
        <f t="shared" si="1"/>
        <v>2910440</v>
      </c>
      <c r="R18" s="5"/>
    </row>
    <row r="19" spans="1:18" ht="22.5" customHeight="1" x14ac:dyDescent="0.25">
      <c r="A19" s="148">
        <v>13</v>
      </c>
      <c r="B19" s="120">
        <v>45485</v>
      </c>
      <c r="C19" s="10" t="s">
        <v>771</v>
      </c>
      <c r="D19" s="25" t="s">
        <v>3951</v>
      </c>
      <c r="E19" s="10" t="s">
        <v>3930</v>
      </c>
      <c r="F19" s="8"/>
      <c r="G19" s="8">
        <v>129</v>
      </c>
      <c r="H19" s="13">
        <f t="shared" si="3"/>
        <v>2687070</v>
      </c>
      <c r="I19" s="8"/>
      <c r="J19" s="13">
        <v>1070000</v>
      </c>
      <c r="K19" s="28"/>
      <c r="L19" s="29"/>
      <c r="M19" s="13"/>
      <c r="N19" s="13"/>
      <c r="O19" s="13">
        <f t="shared" si="0"/>
        <v>3757070</v>
      </c>
      <c r="P19" s="13">
        <v>6150000</v>
      </c>
      <c r="Q19" s="13">
        <f t="shared" si="1"/>
        <v>2392930</v>
      </c>
      <c r="R19" s="5"/>
    </row>
    <row r="20" spans="1:18" ht="22.5" customHeight="1" x14ac:dyDescent="0.25">
      <c r="A20" s="148">
        <v>14</v>
      </c>
      <c r="B20" s="120">
        <v>45487</v>
      </c>
      <c r="C20" s="10" t="s">
        <v>3912</v>
      </c>
      <c r="D20" s="25" t="s">
        <v>3952</v>
      </c>
      <c r="E20" s="10" t="s">
        <v>3931</v>
      </c>
      <c r="F20" s="8"/>
      <c r="G20" s="8">
        <v>137</v>
      </c>
      <c r="H20" s="13">
        <f t="shared" si="3"/>
        <v>2853710</v>
      </c>
      <c r="I20" s="8"/>
      <c r="J20" s="13">
        <v>1170000</v>
      </c>
      <c r="K20" s="28"/>
      <c r="L20" s="29"/>
      <c r="M20" s="13"/>
      <c r="N20" s="13"/>
      <c r="O20" s="13">
        <f t="shared" si="0"/>
        <v>4023710</v>
      </c>
      <c r="P20" s="13">
        <v>4301482</v>
      </c>
      <c r="Q20" s="13">
        <f t="shared" si="1"/>
        <v>277772</v>
      </c>
      <c r="R20" s="5"/>
    </row>
    <row r="21" spans="1:18" ht="22.5" customHeight="1" x14ac:dyDescent="0.25">
      <c r="A21" s="148">
        <v>15</v>
      </c>
      <c r="B21" s="120">
        <v>45487</v>
      </c>
      <c r="C21" s="10" t="s">
        <v>3913</v>
      </c>
      <c r="D21" s="25" t="s">
        <v>3952</v>
      </c>
      <c r="E21" s="10" t="s">
        <v>1475</v>
      </c>
      <c r="F21" s="8"/>
      <c r="G21" s="8"/>
      <c r="H21" s="13">
        <f t="shared" si="3"/>
        <v>0</v>
      </c>
      <c r="I21" s="8"/>
      <c r="J21" s="13"/>
      <c r="K21" s="28"/>
      <c r="L21" s="29"/>
      <c r="M21" s="13"/>
      <c r="N21" s="13"/>
      <c r="O21" s="13">
        <f t="shared" si="0"/>
        <v>0</v>
      </c>
      <c r="P21" s="13">
        <v>2320000</v>
      </c>
      <c r="Q21" s="13">
        <f t="shared" si="1"/>
        <v>2320000</v>
      </c>
      <c r="R21" s="5"/>
    </row>
    <row r="22" spans="1:18" ht="22.5" customHeight="1" x14ac:dyDescent="0.25">
      <c r="A22" s="148">
        <v>16</v>
      </c>
      <c r="B22" s="120">
        <v>45488</v>
      </c>
      <c r="C22" s="10" t="s">
        <v>3914</v>
      </c>
      <c r="D22" s="25" t="s">
        <v>3953</v>
      </c>
      <c r="E22" s="10" t="s">
        <v>3932</v>
      </c>
      <c r="F22" s="8"/>
      <c r="G22" s="8">
        <v>131</v>
      </c>
      <c r="H22" s="13">
        <f t="shared" si="3"/>
        <v>2728730</v>
      </c>
      <c r="I22" s="8"/>
      <c r="J22" s="13">
        <v>1120000</v>
      </c>
      <c r="K22" s="28"/>
      <c r="L22" s="29"/>
      <c r="M22" s="13"/>
      <c r="N22" s="13"/>
      <c r="O22" s="13">
        <f t="shared" si="0"/>
        <v>3848730</v>
      </c>
      <c r="P22" s="13">
        <v>5600000</v>
      </c>
      <c r="Q22" s="13">
        <f t="shared" si="1"/>
        <v>1751270</v>
      </c>
      <c r="R22" s="5"/>
    </row>
    <row r="23" spans="1:18" ht="22.5" customHeight="1" x14ac:dyDescent="0.25">
      <c r="A23" s="148">
        <v>17</v>
      </c>
      <c r="B23" s="120">
        <v>45490</v>
      </c>
      <c r="C23" s="10" t="s">
        <v>778</v>
      </c>
      <c r="D23" s="25" t="s">
        <v>3954</v>
      </c>
      <c r="E23" s="10" t="s">
        <v>33</v>
      </c>
      <c r="F23" s="8"/>
      <c r="G23" s="8">
        <v>160</v>
      </c>
      <c r="H23" s="13">
        <f>G23*20500</f>
        <v>3280000</v>
      </c>
      <c r="I23" s="8"/>
      <c r="J23" s="13">
        <v>1470000</v>
      </c>
      <c r="K23" s="28"/>
      <c r="L23" s="29"/>
      <c r="M23" s="13"/>
      <c r="N23" s="13"/>
      <c r="O23" s="13">
        <f t="shared" si="0"/>
        <v>4750000</v>
      </c>
      <c r="P23" s="13">
        <v>8203704</v>
      </c>
      <c r="Q23" s="13">
        <f t="shared" si="1"/>
        <v>3453704</v>
      </c>
      <c r="R23" s="5"/>
    </row>
    <row r="24" spans="1:18" ht="22.5" customHeight="1" x14ac:dyDescent="0.25">
      <c r="A24" s="148">
        <v>18</v>
      </c>
      <c r="B24" s="120">
        <v>45491</v>
      </c>
      <c r="C24" s="10" t="s">
        <v>2875</v>
      </c>
      <c r="D24" s="25" t="s">
        <v>3955</v>
      </c>
      <c r="E24" s="10" t="s">
        <v>3933</v>
      </c>
      <c r="F24" s="8"/>
      <c r="G24" s="8">
        <v>137</v>
      </c>
      <c r="H24" s="13">
        <f t="shared" ref="H24:H31" si="4">G24*20500</f>
        <v>2808500</v>
      </c>
      <c r="I24" s="8"/>
      <c r="J24" s="13">
        <v>680000</v>
      </c>
      <c r="K24" s="28"/>
      <c r="L24" s="29"/>
      <c r="M24" s="13"/>
      <c r="N24" s="13"/>
      <c r="O24" s="13">
        <f t="shared" si="0"/>
        <v>3488500</v>
      </c>
      <c r="P24" s="13">
        <v>5600000</v>
      </c>
      <c r="Q24" s="13">
        <f t="shared" si="1"/>
        <v>2111500</v>
      </c>
      <c r="R24" s="5"/>
    </row>
    <row r="25" spans="1:18" ht="22.5" customHeight="1" x14ac:dyDescent="0.25">
      <c r="A25" s="148">
        <v>19</v>
      </c>
      <c r="B25" s="120">
        <v>45492</v>
      </c>
      <c r="C25" s="10" t="s">
        <v>3915</v>
      </c>
      <c r="D25" s="25" t="s">
        <v>3956</v>
      </c>
      <c r="E25" s="10" t="s">
        <v>2046</v>
      </c>
      <c r="F25" s="8"/>
      <c r="G25" s="8">
        <v>128</v>
      </c>
      <c r="H25" s="13">
        <f t="shared" si="4"/>
        <v>2624000</v>
      </c>
      <c r="I25" s="8"/>
      <c r="J25" s="13">
        <v>1120000</v>
      </c>
      <c r="K25" s="28"/>
      <c r="L25" s="29"/>
      <c r="M25" s="13"/>
      <c r="N25" s="13"/>
      <c r="O25" s="13">
        <f t="shared" si="0"/>
        <v>3744000</v>
      </c>
      <c r="P25" s="13">
        <v>3420000</v>
      </c>
      <c r="Q25" s="13">
        <f t="shared" si="1"/>
        <v>-324000</v>
      </c>
      <c r="R25" s="5"/>
    </row>
    <row r="26" spans="1:18" ht="22.5" customHeight="1" x14ac:dyDescent="0.25">
      <c r="A26" s="148">
        <v>20</v>
      </c>
      <c r="B26" s="120">
        <v>45492</v>
      </c>
      <c r="C26" s="10" t="s">
        <v>3916</v>
      </c>
      <c r="D26" s="25" t="s">
        <v>3956</v>
      </c>
      <c r="E26" s="10" t="s">
        <v>3874</v>
      </c>
      <c r="F26" s="8"/>
      <c r="G26" s="8"/>
      <c r="H26" s="13">
        <f t="shared" si="4"/>
        <v>0</v>
      </c>
      <c r="I26" s="8"/>
      <c r="J26" s="13"/>
      <c r="K26" s="28"/>
      <c r="L26" s="29"/>
      <c r="M26" s="13"/>
      <c r="N26" s="13"/>
      <c r="O26" s="13">
        <f t="shared" si="0"/>
        <v>0</v>
      </c>
      <c r="P26" s="13">
        <v>2394074</v>
      </c>
      <c r="Q26" s="13">
        <f t="shared" si="1"/>
        <v>2394074</v>
      </c>
      <c r="R26" s="5"/>
    </row>
    <row r="27" spans="1:18" ht="22.5" customHeight="1" x14ac:dyDescent="0.25">
      <c r="A27" s="148">
        <v>21</v>
      </c>
      <c r="B27" s="120">
        <v>45493</v>
      </c>
      <c r="C27" s="10" t="s">
        <v>1439</v>
      </c>
      <c r="D27" s="25" t="s">
        <v>3957</v>
      </c>
      <c r="E27" s="10" t="s">
        <v>2593</v>
      </c>
      <c r="F27" s="8"/>
      <c r="G27" s="8">
        <v>97</v>
      </c>
      <c r="H27" s="13">
        <f t="shared" si="4"/>
        <v>1988500</v>
      </c>
      <c r="I27" s="8"/>
      <c r="J27" s="13">
        <v>430000</v>
      </c>
      <c r="K27" s="28"/>
      <c r="L27" s="29"/>
      <c r="M27" s="13"/>
      <c r="N27" s="13"/>
      <c r="O27" s="13">
        <f t="shared" si="0"/>
        <v>2418500</v>
      </c>
      <c r="P27" s="13">
        <v>4100000</v>
      </c>
      <c r="Q27" s="13">
        <f t="shared" si="1"/>
        <v>1681500</v>
      </c>
      <c r="R27" s="5"/>
    </row>
    <row r="28" spans="1:18" ht="22.5" customHeight="1" x14ac:dyDescent="0.25">
      <c r="A28" s="154">
        <v>22</v>
      </c>
      <c r="B28" s="120">
        <v>45495</v>
      </c>
      <c r="C28" s="75" t="s">
        <v>3917</v>
      </c>
      <c r="D28" s="25" t="s">
        <v>3958</v>
      </c>
      <c r="E28" s="10" t="s">
        <v>1178</v>
      </c>
      <c r="F28" s="8"/>
      <c r="G28" s="8">
        <v>65</v>
      </c>
      <c r="H28" s="13">
        <f t="shared" si="4"/>
        <v>1332500</v>
      </c>
      <c r="I28" s="8"/>
      <c r="J28" s="13">
        <v>650000</v>
      </c>
      <c r="K28" s="28"/>
      <c r="L28" s="29"/>
      <c r="M28" s="13"/>
      <c r="N28" s="13"/>
      <c r="O28" s="13">
        <f t="shared" si="0"/>
        <v>1982500</v>
      </c>
      <c r="P28" s="13">
        <v>2760000</v>
      </c>
      <c r="Q28" s="13">
        <f t="shared" si="1"/>
        <v>777500</v>
      </c>
      <c r="R28" s="5"/>
    </row>
    <row r="29" spans="1:18" ht="22.5" customHeight="1" x14ac:dyDescent="0.25">
      <c r="A29" s="154">
        <v>23</v>
      </c>
      <c r="B29" s="120">
        <v>45495</v>
      </c>
      <c r="C29" s="75" t="s">
        <v>3918</v>
      </c>
      <c r="D29" s="25" t="s">
        <v>3958</v>
      </c>
      <c r="E29" s="10" t="s">
        <v>3934</v>
      </c>
      <c r="F29" s="8"/>
      <c r="G29" s="8"/>
      <c r="H29" s="13">
        <f t="shared" si="4"/>
        <v>0</v>
      </c>
      <c r="I29" s="8"/>
      <c r="J29" s="13"/>
      <c r="K29" s="28"/>
      <c r="L29" s="29"/>
      <c r="M29" s="13"/>
      <c r="N29" s="13"/>
      <c r="O29" s="13">
        <f t="shared" si="0"/>
        <v>0</v>
      </c>
      <c r="P29" s="13">
        <v>2250000</v>
      </c>
      <c r="Q29" s="13">
        <f t="shared" si="1"/>
        <v>2250000</v>
      </c>
      <c r="R29" s="5"/>
    </row>
    <row r="30" spans="1:18" ht="22.5" customHeight="1" x14ac:dyDescent="0.25">
      <c r="A30" s="154">
        <v>24</v>
      </c>
      <c r="B30" s="120">
        <v>45496</v>
      </c>
      <c r="C30" s="75" t="s">
        <v>3919</v>
      </c>
      <c r="D30" s="25" t="s">
        <v>3959</v>
      </c>
      <c r="E30" s="10" t="s">
        <v>3935</v>
      </c>
      <c r="F30" s="8"/>
      <c r="G30" s="8">
        <v>169</v>
      </c>
      <c r="H30" s="13">
        <f t="shared" si="4"/>
        <v>3464500</v>
      </c>
      <c r="I30" s="8"/>
      <c r="J30" s="13">
        <v>970000</v>
      </c>
      <c r="K30" s="28"/>
      <c r="L30" s="29"/>
      <c r="M30" s="13"/>
      <c r="N30" s="13"/>
      <c r="O30" s="13">
        <f t="shared" si="0"/>
        <v>4434500</v>
      </c>
      <c r="P30" s="13">
        <v>7500000</v>
      </c>
      <c r="Q30" s="13">
        <f t="shared" si="1"/>
        <v>3065500</v>
      </c>
      <c r="R30" s="5"/>
    </row>
    <row r="31" spans="1:18" ht="22.5" customHeight="1" x14ac:dyDescent="0.25">
      <c r="A31" s="154">
        <v>25</v>
      </c>
      <c r="B31" s="120">
        <v>45497</v>
      </c>
      <c r="C31" s="10" t="s">
        <v>1443</v>
      </c>
      <c r="D31" s="25" t="s">
        <v>3960</v>
      </c>
      <c r="E31" s="10" t="s">
        <v>3936</v>
      </c>
      <c r="F31" s="8"/>
      <c r="G31" s="8">
        <v>124</v>
      </c>
      <c r="H31" s="13">
        <f t="shared" si="4"/>
        <v>2542000</v>
      </c>
      <c r="I31" s="8"/>
      <c r="J31" s="13">
        <v>1050000</v>
      </c>
      <c r="K31" s="28"/>
      <c r="L31" s="29"/>
      <c r="M31" s="13"/>
      <c r="N31" s="13"/>
      <c r="O31" s="13">
        <f t="shared" si="0"/>
        <v>3592000</v>
      </c>
      <c r="P31" s="13">
        <v>4529259</v>
      </c>
      <c r="Q31" s="13">
        <f t="shared" si="1"/>
        <v>937259</v>
      </c>
      <c r="R31" s="5"/>
    </row>
    <row r="32" spans="1:18" ht="22.5" customHeight="1" x14ac:dyDescent="0.25">
      <c r="A32" s="154">
        <v>26</v>
      </c>
      <c r="B32" s="120">
        <v>45497</v>
      </c>
      <c r="C32" s="10" t="s">
        <v>3920</v>
      </c>
      <c r="D32" s="25" t="s">
        <v>3960</v>
      </c>
      <c r="E32" s="10" t="s">
        <v>3937</v>
      </c>
      <c r="F32" s="8"/>
      <c r="G32" s="8"/>
      <c r="H32" s="13"/>
      <c r="I32" s="8"/>
      <c r="J32" s="13"/>
      <c r="K32" s="28"/>
      <c r="L32" s="29"/>
      <c r="M32" s="13"/>
      <c r="N32" s="13"/>
      <c r="O32" s="13">
        <f t="shared" si="0"/>
        <v>0</v>
      </c>
      <c r="P32" s="13">
        <v>2320000</v>
      </c>
      <c r="Q32" s="13">
        <f t="shared" si="1"/>
        <v>2320000</v>
      </c>
      <c r="R32" s="5"/>
    </row>
    <row r="33" spans="1:18" ht="22.5" customHeight="1" x14ac:dyDescent="0.25">
      <c r="A33" s="154">
        <v>27</v>
      </c>
      <c r="B33" s="120">
        <v>45498</v>
      </c>
      <c r="C33" s="10" t="s">
        <v>3921</v>
      </c>
      <c r="D33" s="25" t="s">
        <v>3961</v>
      </c>
      <c r="E33" s="10" t="s">
        <v>2593</v>
      </c>
      <c r="F33" s="8"/>
      <c r="G33" s="8">
        <v>90</v>
      </c>
      <c r="H33" s="13">
        <f>G33*20190</f>
        <v>1817100</v>
      </c>
      <c r="I33" s="8"/>
      <c r="J33" s="13">
        <v>430000</v>
      </c>
      <c r="K33" s="28"/>
      <c r="L33" s="29"/>
      <c r="M33" s="13"/>
      <c r="N33" s="13"/>
      <c r="O33" s="13">
        <f t="shared" si="0"/>
        <v>2247100</v>
      </c>
      <c r="P33" s="13">
        <v>3800000</v>
      </c>
      <c r="Q33" s="13">
        <f t="shared" si="1"/>
        <v>1552900</v>
      </c>
      <c r="R33" s="5"/>
    </row>
    <row r="34" spans="1:18" ht="22.5" customHeight="1" x14ac:dyDescent="0.25">
      <c r="A34" s="154">
        <v>28</v>
      </c>
      <c r="B34" s="120">
        <v>45499</v>
      </c>
      <c r="C34" s="10" t="s">
        <v>3922</v>
      </c>
      <c r="D34" s="25" t="s">
        <v>3962</v>
      </c>
      <c r="E34" s="10" t="s">
        <v>3938</v>
      </c>
      <c r="F34" s="8"/>
      <c r="G34" s="8">
        <v>324</v>
      </c>
      <c r="H34" s="13">
        <f t="shared" ref="H34:H38" si="5">G34*20190</f>
        <v>6541560</v>
      </c>
      <c r="I34" s="8"/>
      <c r="J34" s="13">
        <v>2187000</v>
      </c>
      <c r="K34" s="28"/>
      <c r="L34" s="29"/>
      <c r="M34" s="13"/>
      <c r="N34" s="13"/>
      <c r="O34" s="13">
        <f t="shared" si="0"/>
        <v>8728560</v>
      </c>
      <c r="P34" s="13">
        <v>17129630</v>
      </c>
      <c r="Q34" s="13">
        <f t="shared" si="1"/>
        <v>8401070</v>
      </c>
      <c r="R34" s="5"/>
    </row>
    <row r="35" spans="1:18" ht="22.5" customHeight="1" x14ac:dyDescent="0.25">
      <c r="A35" s="154">
        <v>29</v>
      </c>
      <c r="B35" s="120">
        <v>45500</v>
      </c>
      <c r="C35" s="10" t="s">
        <v>3923</v>
      </c>
      <c r="D35" s="25" t="s">
        <v>3963</v>
      </c>
      <c r="E35" s="10" t="s">
        <v>1043</v>
      </c>
      <c r="F35" s="8"/>
      <c r="G35" s="8">
        <v>120</v>
      </c>
      <c r="H35" s="13">
        <f t="shared" si="5"/>
        <v>2422800</v>
      </c>
      <c r="I35" s="8"/>
      <c r="J35" s="13">
        <v>680000</v>
      </c>
      <c r="K35" s="28"/>
      <c r="L35" s="29"/>
      <c r="M35" s="13"/>
      <c r="N35" s="13"/>
      <c r="O35" s="13">
        <f t="shared" si="0"/>
        <v>3102800</v>
      </c>
      <c r="P35" s="13">
        <v>5570370</v>
      </c>
      <c r="Q35" s="13">
        <f t="shared" si="1"/>
        <v>2467570</v>
      </c>
      <c r="R35" s="5"/>
    </row>
    <row r="36" spans="1:18" ht="22.5" customHeight="1" x14ac:dyDescent="0.25">
      <c r="A36" s="154">
        <v>30</v>
      </c>
      <c r="B36" s="120">
        <v>45501</v>
      </c>
      <c r="C36" s="10" t="s">
        <v>803</v>
      </c>
      <c r="D36" s="25" t="s">
        <v>3964</v>
      </c>
      <c r="E36" s="10" t="s">
        <v>3939</v>
      </c>
      <c r="F36" s="8"/>
      <c r="G36" s="8">
        <v>90</v>
      </c>
      <c r="H36" s="13">
        <f t="shared" si="5"/>
        <v>1817100</v>
      </c>
      <c r="I36" s="8"/>
      <c r="J36" s="13">
        <v>680000</v>
      </c>
      <c r="K36" s="28"/>
      <c r="L36" s="29"/>
      <c r="M36" s="13"/>
      <c r="N36" s="13"/>
      <c r="O36" s="13">
        <f t="shared" si="0"/>
        <v>2497100</v>
      </c>
      <c r="P36" s="13">
        <v>4200000</v>
      </c>
      <c r="Q36" s="13">
        <f t="shared" si="1"/>
        <v>1702900</v>
      </c>
      <c r="R36" s="5"/>
    </row>
    <row r="37" spans="1:18" ht="22.5" customHeight="1" x14ac:dyDescent="0.25">
      <c r="A37" s="154">
        <v>31</v>
      </c>
      <c r="B37" s="120">
        <v>45503</v>
      </c>
      <c r="C37" s="10" t="s">
        <v>3924</v>
      </c>
      <c r="D37" s="25" t="s">
        <v>3965</v>
      </c>
      <c r="E37" s="10" t="s">
        <v>3940</v>
      </c>
      <c r="F37" s="8"/>
      <c r="G37" s="8">
        <v>261</v>
      </c>
      <c r="H37" s="13">
        <f t="shared" si="5"/>
        <v>5269590</v>
      </c>
      <c r="I37" s="8"/>
      <c r="J37" s="13">
        <v>2520000</v>
      </c>
      <c r="K37" s="28"/>
      <c r="L37" s="29"/>
      <c r="M37" s="13"/>
      <c r="N37" s="13"/>
      <c r="O37" s="13">
        <f t="shared" si="0"/>
        <v>7789590</v>
      </c>
      <c r="P37" s="13">
        <v>14888889</v>
      </c>
      <c r="Q37" s="13">
        <f t="shared" si="1"/>
        <v>7099299</v>
      </c>
      <c r="R37" s="5"/>
    </row>
    <row r="38" spans="1:18" ht="22.5" customHeight="1" x14ac:dyDescent="0.25">
      <c r="A38" s="154">
        <v>32</v>
      </c>
      <c r="B38" s="120">
        <v>45504</v>
      </c>
      <c r="C38" s="10" t="s">
        <v>3281</v>
      </c>
      <c r="D38" s="25" t="s">
        <v>3966</v>
      </c>
      <c r="E38" s="10" t="s">
        <v>1043</v>
      </c>
      <c r="F38" s="8"/>
      <c r="G38" s="8">
        <v>120</v>
      </c>
      <c r="H38" s="13">
        <f t="shared" si="5"/>
        <v>2422800</v>
      </c>
      <c r="I38" s="8"/>
      <c r="J38" s="13">
        <v>680000</v>
      </c>
      <c r="K38" s="28"/>
      <c r="L38" s="29"/>
      <c r="M38" s="13"/>
      <c r="N38" s="13"/>
      <c r="O38" s="13">
        <f t="shared" si="0"/>
        <v>3102800</v>
      </c>
      <c r="P38" s="13">
        <v>5570370</v>
      </c>
      <c r="Q38" s="13">
        <f t="shared" si="1"/>
        <v>2467570</v>
      </c>
      <c r="R38" s="5"/>
    </row>
    <row r="39" spans="1:18" ht="24" customHeight="1" x14ac:dyDescent="0.25">
      <c r="A39" s="8"/>
      <c r="B39" s="8"/>
      <c r="C39" s="196" t="s">
        <v>131</v>
      </c>
      <c r="D39" s="197"/>
      <c r="E39" s="197"/>
      <c r="F39" s="198"/>
      <c r="G39" s="8"/>
      <c r="H39" s="13"/>
      <c r="I39" s="8"/>
      <c r="J39" s="13"/>
      <c r="K39" s="28">
        <v>1200000</v>
      </c>
      <c r="L39" s="28"/>
      <c r="M39" s="18"/>
      <c r="N39" s="28"/>
      <c r="O39" s="53">
        <f t="shared" ref="O39:O46" si="6">H39+J39+K39+L39+M39+N39</f>
        <v>1200000</v>
      </c>
      <c r="P39" s="28"/>
      <c r="Q39" s="54"/>
    </row>
    <row r="40" spans="1:18" ht="24" customHeight="1" x14ac:dyDescent="0.25">
      <c r="A40" s="8"/>
      <c r="B40" s="8"/>
      <c r="C40" s="196" t="s">
        <v>3144</v>
      </c>
      <c r="D40" s="197"/>
      <c r="E40" s="197"/>
      <c r="F40" s="198"/>
      <c r="G40" s="8"/>
      <c r="H40" s="13"/>
      <c r="I40" s="8"/>
      <c r="J40" s="13"/>
      <c r="K40" s="28">
        <v>11549574</v>
      </c>
      <c r="L40" s="28"/>
      <c r="M40" s="28"/>
      <c r="N40" s="28"/>
      <c r="O40" s="53">
        <f t="shared" si="6"/>
        <v>11549574</v>
      </c>
      <c r="P40" s="28"/>
      <c r="Q40" s="54"/>
    </row>
    <row r="41" spans="1:18" ht="24" customHeight="1" x14ac:dyDescent="0.25">
      <c r="A41" s="8"/>
      <c r="B41" s="8"/>
      <c r="C41" s="196" t="s">
        <v>4116</v>
      </c>
      <c r="D41" s="197"/>
      <c r="E41" s="197"/>
      <c r="F41" s="198"/>
      <c r="G41" s="8"/>
      <c r="H41" s="13"/>
      <c r="I41" s="8"/>
      <c r="J41" s="13"/>
      <c r="K41" s="28"/>
      <c r="L41" s="28">
        <v>490000</v>
      </c>
      <c r="M41" s="28"/>
      <c r="N41" s="28"/>
      <c r="O41" s="53">
        <f t="shared" si="6"/>
        <v>490000</v>
      </c>
      <c r="P41" s="28"/>
      <c r="Q41" s="54"/>
    </row>
    <row r="42" spans="1:18" ht="24" customHeight="1" x14ac:dyDescent="0.25">
      <c r="A42" s="8"/>
      <c r="B42" s="8"/>
      <c r="C42" s="196" t="s">
        <v>4122</v>
      </c>
      <c r="D42" s="197"/>
      <c r="E42" s="197"/>
      <c r="F42" s="198"/>
      <c r="G42" s="8"/>
      <c r="H42" s="13"/>
      <c r="I42" s="8"/>
      <c r="J42" s="13"/>
      <c r="K42" s="28"/>
      <c r="L42" s="28">
        <v>9200000</v>
      </c>
      <c r="M42" s="28"/>
      <c r="N42" s="28"/>
      <c r="O42" s="53">
        <f t="shared" si="6"/>
        <v>9200000</v>
      </c>
      <c r="P42" s="28"/>
      <c r="Q42" s="54"/>
    </row>
    <row r="43" spans="1:18" ht="24" customHeight="1" x14ac:dyDescent="0.25">
      <c r="A43" s="8"/>
      <c r="B43" s="8"/>
      <c r="C43" s="196" t="s">
        <v>4123</v>
      </c>
      <c r="D43" s="197"/>
      <c r="E43" s="197"/>
      <c r="F43" s="198"/>
      <c r="G43" s="8"/>
      <c r="H43" s="13"/>
      <c r="I43" s="8"/>
      <c r="J43" s="13"/>
      <c r="K43" s="28"/>
      <c r="L43" s="28"/>
      <c r="M43" s="28">
        <v>5970000</v>
      </c>
      <c r="N43" s="28"/>
      <c r="O43" s="53">
        <f t="shared" si="6"/>
        <v>5970000</v>
      </c>
      <c r="P43" s="28"/>
      <c r="Q43" s="54"/>
    </row>
    <row r="44" spans="1:18" ht="24" customHeight="1" x14ac:dyDescent="0.25">
      <c r="A44" s="8"/>
      <c r="B44" s="8"/>
      <c r="C44" s="196" t="s">
        <v>4131</v>
      </c>
      <c r="D44" s="197"/>
      <c r="E44" s="197"/>
      <c r="F44" s="198"/>
      <c r="G44" s="8"/>
      <c r="H44" s="13"/>
      <c r="I44" s="8"/>
      <c r="J44" s="13"/>
      <c r="K44" s="28"/>
      <c r="L44" s="28">
        <v>550000</v>
      </c>
      <c r="M44" s="28"/>
      <c r="N44" s="28"/>
      <c r="O44" s="53">
        <f t="shared" si="6"/>
        <v>550000</v>
      </c>
      <c r="P44" s="28"/>
      <c r="Q44" s="54"/>
    </row>
    <row r="45" spans="1:18" ht="24" customHeight="1" x14ac:dyDescent="0.25">
      <c r="A45" s="8"/>
      <c r="B45" s="8"/>
      <c r="C45" s="196" t="s">
        <v>4132</v>
      </c>
      <c r="D45" s="197"/>
      <c r="E45" s="197"/>
      <c r="F45" s="198"/>
      <c r="G45" s="8"/>
      <c r="H45" s="13"/>
      <c r="I45" s="8"/>
      <c r="J45" s="13"/>
      <c r="K45" s="28"/>
      <c r="L45" s="28">
        <v>3560000</v>
      </c>
      <c r="M45" s="28"/>
      <c r="N45" s="28"/>
      <c r="O45" s="53">
        <f t="shared" si="6"/>
        <v>3560000</v>
      </c>
      <c r="P45" s="28"/>
      <c r="Q45" s="54"/>
    </row>
    <row r="46" spans="1:18" ht="24" customHeight="1" x14ac:dyDescent="0.25">
      <c r="A46" s="8"/>
      <c r="B46" s="8"/>
      <c r="C46" s="219" t="s">
        <v>4133</v>
      </c>
      <c r="D46" s="220"/>
      <c r="E46" s="220"/>
      <c r="F46" s="221"/>
      <c r="G46" s="8"/>
      <c r="H46" s="13"/>
      <c r="I46" s="8"/>
      <c r="J46" s="13"/>
      <c r="K46" s="28"/>
      <c r="L46" s="28">
        <v>600000</v>
      </c>
      <c r="M46" s="28"/>
      <c r="N46" s="28"/>
      <c r="O46" s="53">
        <f t="shared" si="6"/>
        <v>600000</v>
      </c>
      <c r="P46" s="28"/>
      <c r="Q46" s="54"/>
    </row>
    <row r="47" spans="1:18" ht="25.5" customHeight="1" x14ac:dyDescent="0.25">
      <c r="A47" s="8"/>
      <c r="B47" s="8"/>
      <c r="C47" s="191" t="s">
        <v>2763</v>
      </c>
      <c r="D47" s="192"/>
      <c r="E47" s="192"/>
      <c r="F47" s="195"/>
      <c r="G47" s="30"/>
      <c r="H47" s="28"/>
      <c r="I47" s="30"/>
      <c r="J47" s="28"/>
      <c r="K47" s="28">
        <v>9000000</v>
      </c>
      <c r="L47" s="28"/>
      <c r="M47" s="18"/>
      <c r="N47" s="28"/>
      <c r="O47" s="53">
        <f>H47+J47+K47+L47+M47+N47</f>
        <v>9000000</v>
      </c>
      <c r="P47" s="28"/>
      <c r="Q47" s="54"/>
    </row>
    <row r="48" spans="1:18" ht="15" customHeight="1" x14ac:dyDescent="0.25">
      <c r="A48" s="166" t="s">
        <v>19</v>
      </c>
      <c r="B48" s="167"/>
      <c r="C48" s="167"/>
      <c r="D48" s="167"/>
      <c r="E48" s="167"/>
      <c r="F48" s="168"/>
      <c r="G48" s="131">
        <f t="shared" ref="G48:P48" si="7">SUM(G7:G47)</f>
        <v>3743</v>
      </c>
      <c r="H48" s="4">
        <f t="shared" si="7"/>
        <v>77344480</v>
      </c>
      <c r="I48" s="4">
        <f t="shared" si="7"/>
        <v>0</v>
      </c>
      <c r="J48" s="4">
        <f t="shared" si="7"/>
        <v>28927000</v>
      </c>
      <c r="K48" s="4">
        <f t="shared" si="7"/>
        <v>21749574</v>
      </c>
      <c r="L48" s="4">
        <f t="shared" si="7"/>
        <v>14400000</v>
      </c>
      <c r="M48" s="4">
        <f t="shared" si="7"/>
        <v>5970000</v>
      </c>
      <c r="N48" s="4">
        <f t="shared" si="7"/>
        <v>0</v>
      </c>
      <c r="O48" s="4">
        <f t="shared" si="7"/>
        <v>148391054</v>
      </c>
      <c r="P48" s="4">
        <f t="shared" si="7"/>
        <v>184941445</v>
      </c>
      <c r="Q48" s="122">
        <f>P48-O48</f>
        <v>36550391</v>
      </c>
    </row>
    <row r="49" spans="2:17" x14ac:dyDescent="0.25">
      <c r="O49" s="20"/>
      <c r="P49" s="5" t="s">
        <v>1796</v>
      </c>
      <c r="Q49" s="26"/>
    </row>
    <row r="50" spans="2:17" x14ac:dyDescent="0.25">
      <c r="P50" s="21" t="s">
        <v>20</v>
      </c>
      <c r="Q50" s="26">
        <f>'06.2024'!Q44+'07.2024'!Q48</f>
        <v>144649164</v>
      </c>
    </row>
    <row r="51" spans="2:17" x14ac:dyDescent="0.25">
      <c r="C51" s="6" t="s">
        <v>993</v>
      </c>
    </row>
    <row r="52" spans="2:17" x14ac:dyDescent="0.25">
      <c r="C52" s="205"/>
      <c r="D52" s="205"/>
      <c r="E52" s="205"/>
      <c r="F52" s="205"/>
      <c r="H52" s="109"/>
    </row>
    <row r="53" spans="2:17" x14ac:dyDescent="0.25">
      <c r="C53" s="206"/>
      <c r="D53" s="206"/>
      <c r="E53" s="206"/>
      <c r="F53" s="206"/>
      <c r="H53" s="109"/>
    </row>
    <row r="54" spans="2:17" x14ac:dyDescent="0.25">
      <c r="B54" s="6"/>
      <c r="C54" s="110"/>
      <c r="D54" s="110"/>
      <c r="E54" s="110"/>
      <c r="F54" s="110"/>
      <c r="G54" s="133"/>
      <c r="H54" s="109"/>
    </row>
    <row r="55" spans="2:17" x14ac:dyDescent="0.25">
      <c r="B55" s="6"/>
      <c r="C55" s="206"/>
      <c r="D55" s="206"/>
      <c r="E55" s="206"/>
      <c r="F55" s="206"/>
      <c r="H55" s="109"/>
    </row>
    <row r="56" spans="2:17" x14ac:dyDescent="0.25">
      <c r="B56" s="6"/>
      <c r="C56" s="206"/>
      <c r="D56" s="206"/>
      <c r="E56" s="206"/>
      <c r="F56" s="206"/>
      <c r="H56" s="109"/>
    </row>
    <row r="57" spans="2:17" x14ac:dyDescent="0.25">
      <c r="B57" s="6"/>
      <c r="C57" s="206"/>
      <c r="D57" s="206"/>
      <c r="E57" s="206"/>
      <c r="F57" s="206"/>
      <c r="G57" s="133"/>
      <c r="H57" s="109"/>
      <c r="J57" s="6"/>
      <c r="K57" s="6"/>
      <c r="L57" s="6"/>
      <c r="M57" s="6"/>
      <c r="N57" s="6"/>
      <c r="O57" s="6"/>
      <c r="P57" s="6"/>
      <c r="Q57" s="6"/>
    </row>
    <row r="58" spans="2:17" x14ac:dyDescent="0.2">
      <c r="C58" s="107"/>
      <c r="D58" s="110"/>
      <c r="E58" s="110"/>
      <c r="F58" s="110"/>
      <c r="H58" s="109"/>
    </row>
    <row r="59" spans="2:17" x14ac:dyDescent="0.25">
      <c r="C59" s="205"/>
      <c r="D59" s="205"/>
      <c r="E59" s="205"/>
      <c r="F59" s="205"/>
    </row>
  </sheetData>
  <mergeCells count="29">
    <mergeCell ref="C42:F42"/>
    <mergeCell ref="C43:F43"/>
    <mergeCell ref="C44:F44"/>
    <mergeCell ref="C45:F45"/>
    <mergeCell ref="C46:F46"/>
    <mergeCell ref="C41:F41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9:F39"/>
    <mergeCell ref="C40:F40"/>
    <mergeCell ref="A48:F48"/>
    <mergeCell ref="C47:F47"/>
    <mergeCell ref="C57:F57"/>
    <mergeCell ref="C59:F59"/>
    <mergeCell ref="C52:F52"/>
    <mergeCell ref="C53:F53"/>
    <mergeCell ref="C55:F55"/>
    <mergeCell ref="C56:F5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51CC-A75E-4831-B16E-4A2D94EDC39B}">
  <dimension ref="A1:R61"/>
  <sheetViews>
    <sheetView topLeftCell="A32" workbookViewId="0">
      <selection activeCell="J35" sqref="J35:M4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4024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ht="27.75" customHeight="1" x14ac:dyDescent="0.25">
      <c r="A7" s="148">
        <v>1</v>
      </c>
      <c r="B7" s="120">
        <v>45505</v>
      </c>
      <c r="C7" s="10" t="s">
        <v>3322</v>
      </c>
      <c r="D7" s="25" t="s">
        <v>3993</v>
      </c>
      <c r="E7" s="10" t="s">
        <v>4016</v>
      </c>
      <c r="F7" s="8"/>
      <c r="G7" s="8">
        <v>106</v>
      </c>
      <c r="H7" s="13">
        <f>G7*19870</f>
        <v>2106220</v>
      </c>
      <c r="I7" s="8"/>
      <c r="J7" s="13">
        <v>1105000</v>
      </c>
      <c r="K7" s="28"/>
      <c r="L7" s="29"/>
      <c r="M7" s="13"/>
      <c r="N7" s="13"/>
      <c r="O7" s="13">
        <f>SUM(H7:N7)</f>
        <v>3211220</v>
      </c>
      <c r="P7" s="13">
        <v>5500000</v>
      </c>
      <c r="Q7" s="13">
        <f>P7-O7</f>
        <v>2288780</v>
      </c>
      <c r="R7" s="5"/>
    </row>
    <row r="8" spans="1:18" ht="24.75" customHeight="1" x14ac:dyDescent="0.25">
      <c r="A8" s="148">
        <v>2</v>
      </c>
      <c r="B8" s="120">
        <v>45506</v>
      </c>
      <c r="C8" s="10" t="s">
        <v>3967</v>
      </c>
      <c r="D8" s="129" t="s">
        <v>3994</v>
      </c>
      <c r="E8" s="9" t="s">
        <v>619</v>
      </c>
      <c r="F8" s="117"/>
      <c r="G8" s="8">
        <v>74</v>
      </c>
      <c r="H8" s="13">
        <f t="shared" ref="H8:H12" si="0">G8*19870</f>
        <v>1470380</v>
      </c>
      <c r="I8" s="117"/>
      <c r="J8" s="119">
        <v>680000</v>
      </c>
      <c r="K8" s="28"/>
      <c r="L8" s="29"/>
      <c r="M8" s="13"/>
      <c r="N8" s="13"/>
      <c r="O8" s="13">
        <f t="shared" ref="O8:O33" si="1">SUM(H8:N8)</f>
        <v>2150380</v>
      </c>
      <c r="P8" s="13">
        <v>3919259</v>
      </c>
      <c r="Q8" s="13">
        <f>P8-O8</f>
        <v>1768879</v>
      </c>
      <c r="R8" s="5"/>
    </row>
    <row r="9" spans="1:18" ht="24.75" customHeight="1" x14ac:dyDescent="0.25">
      <c r="A9" s="148">
        <v>3</v>
      </c>
      <c r="B9" s="120">
        <v>45509</v>
      </c>
      <c r="C9" s="10" t="s">
        <v>3968</v>
      </c>
      <c r="D9" s="25" t="s">
        <v>3995</v>
      </c>
      <c r="E9" s="10" t="s">
        <v>4017</v>
      </c>
      <c r="F9" s="8"/>
      <c r="G9" s="8">
        <v>137</v>
      </c>
      <c r="H9" s="13">
        <f t="shared" si="0"/>
        <v>2722190</v>
      </c>
      <c r="I9" s="8"/>
      <c r="J9" s="13">
        <v>980000</v>
      </c>
      <c r="K9" s="28"/>
      <c r="L9" s="29"/>
      <c r="M9" s="13"/>
      <c r="N9" s="13"/>
      <c r="O9" s="13">
        <f t="shared" si="1"/>
        <v>3702190</v>
      </c>
      <c r="P9" s="13">
        <v>4500000</v>
      </c>
      <c r="Q9" s="13">
        <f t="shared" ref="Q9:Q33" si="2">P9-O9</f>
        <v>797810</v>
      </c>
      <c r="R9" s="5"/>
    </row>
    <row r="10" spans="1:18" ht="27.75" customHeight="1" x14ac:dyDescent="0.25">
      <c r="A10" s="148">
        <v>4</v>
      </c>
      <c r="B10" s="120">
        <v>45509</v>
      </c>
      <c r="C10" s="10" t="s">
        <v>3969</v>
      </c>
      <c r="D10" s="25" t="s">
        <v>3995</v>
      </c>
      <c r="E10" s="10" t="s">
        <v>1544</v>
      </c>
      <c r="F10" s="8"/>
      <c r="G10" s="8"/>
      <c r="H10" s="13">
        <f t="shared" si="0"/>
        <v>0</v>
      </c>
      <c r="I10" s="8"/>
      <c r="J10" s="13"/>
      <c r="K10" s="28"/>
      <c r="L10" s="29"/>
      <c r="M10" s="13"/>
      <c r="N10" s="13"/>
      <c r="O10" s="13">
        <f t="shared" si="1"/>
        <v>0</v>
      </c>
      <c r="P10" s="13">
        <v>3461259</v>
      </c>
      <c r="Q10" s="13">
        <f t="shared" si="2"/>
        <v>3461259</v>
      </c>
      <c r="R10" s="5"/>
    </row>
    <row r="11" spans="1:18" ht="27.75" customHeight="1" x14ac:dyDescent="0.25">
      <c r="A11" s="148">
        <v>5</v>
      </c>
      <c r="B11" s="120">
        <v>45510</v>
      </c>
      <c r="C11" s="10" t="s">
        <v>3970</v>
      </c>
      <c r="D11" s="25" t="s">
        <v>3996</v>
      </c>
      <c r="E11" s="10" t="s">
        <v>1177</v>
      </c>
      <c r="F11" s="8"/>
      <c r="G11" s="8">
        <v>80</v>
      </c>
      <c r="H11" s="13">
        <f t="shared" si="0"/>
        <v>1589600</v>
      </c>
      <c r="I11" s="8"/>
      <c r="J11" s="13">
        <v>680000</v>
      </c>
      <c r="K11" s="28"/>
      <c r="L11" s="29"/>
      <c r="M11" s="13"/>
      <c r="N11" s="13"/>
      <c r="O11" s="13">
        <f t="shared" si="1"/>
        <v>2269600</v>
      </c>
      <c r="P11" s="13">
        <v>3919259</v>
      </c>
      <c r="Q11" s="13">
        <f t="shared" si="2"/>
        <v>1649659</v>
      </c>
      <c r="R11" s="5"/>
    </row>
    <row r="12" spans="1:18" ht="27.75" customHeight="1" x14ac:dyDescent="0.25">
      <c r="A12" s="148">
        <v>6</v>
      </c>
      <c r="B12" s="120">
        <v>45511</v>
      </c>
      <c r="C12" s="10" t="s">
        <v>3971</v>
      </c>
      <c r="D12" s="25" t="s">
        <v>3997</v>
      </c>
      <c r="E12" s="10" t="s">
        <v>4018</v>
      </c>
      <c r="F12" s="8"/>
      <c r="G12" s="8">
        <v>70</v>
      </c>
      <c r="H12" s="13">
        <f t="shared" si="0"/>
        <v>1390900</v>
      </c>
      <c r="I12" s="8"/>
      <c r="J12" s="13">
        <v>640000</v>
      </c>
      <c r="K12" s="28"/>
      <c r="L12" s="29"/>
      <c r="M12" s="13"/>
      <c r="N12" s="13"/>
      <c r="O12" s="13">
        <f t="shared" si="1"/>
        <v>2030900</v>
      </c>
      <c r="P12" s="13">
        <v>3500000</v>
      </c>
      <c r="Q12" s="13">
        <f t="shared" si="2"/>
        <v>1469100</v>
      </c>
      <c r="R12" s="5"/>
    </row>
    <row r="13" spans="1:18" ht="27.75" customHeight="1" x14ac:dyDescent="0.25">
      <c r="A13" s="148">
        <v>7</v>
      </c>
      <c r="B13" s="149">
        <v>45512</v>
      </c>
      <c r="C13" s="111" t="s">
        <v>3972</v>
      </c>
      <c r="D13" s="112" t="s">
        <v>3998</v>
      </c>
      <c r="E13" s="111" t="s">
        <v>4019</v>
      </c>
      <c r="F13" s="12"/>
      <c r="G13" s="8">
        <v>78</v>
      </c>
      <c r="H13" s="13">
        <f>G13*19140</f>
        <v>1492920</v>
      </c>
      <c r="I13" s="8"/>
      <c r="J13" s="13">
        <v>740000</v>
      </c>
      <c r="K13" s="18"/>
      <c r="L13" s="99"/>
      <c r="M13" s="3"/>
      <c r="N13" s="3"/>
      <c r="O13" s="13">
        <f t="shared" si="1"/>
        <v>2232920</v>
      </c>
      <c r="P13" s="13">
        <v>2670000</v>
      </c>
      <c r="Q13" s="13">
        <f t="shared" si="2"/>
        <v>437080</v>
      </c>
      <c r="R13" s="5"/>
    </row>
    <row r="14" spans="1:18" ht="27.75" customHeight="1" x14ac:dyDescent="0.25">
      <c r="A14" s="148">
        <v>8</v>
      </c>
      <c r="B14" s="120">
        <v>45512</v>
      </c>
      <c r="C14" s="10" t="s">
        <v>3973</v>
      </c>
      <c r="D14" s="25" t="s">
        <v>3998</v>
      </c>
      <c r="E14" s="10" t="s">
        <v>4020</v>
      </c>
      <c r="F14" s="8"/>
      <c r="G14" s="8"/>
      <c r="H14" s="13">
        <f t="shared" ref="H14:H19" si="3">G14*19140</f>
        <v>0</v>
      </c>
      <c r="I14" s="8"/>
      <c r="J14" s="119"/>
      <c r="K14" s="28"/>
      <c r="L14" s="29"/>
      <c r="M14" s="13"/>
      <c r="N14" s="13"/>
      <c r="O14" s="13">
        <f t="shared" si="1"/>
        <v>0</v>
      </c>
      <c r="P14" s="13">
        <v>1500000</v>
      </c>
      <c r="Q14" s="13">
        <f t="shared" si="2"/>
        <v>1500000</v>
      </c>
      <c r="R14" s="5"/>
    </row>
    <row r="15" spans="1:18" ht="27.75" customHeight="1" x14ac:dyDescent="0.25">
      <c r="A15" s="148">
        <v>9</v>
      </c>
      <c r="B15" s="120">
        <v>45513</v>
      </c>
      <c r="C15" s="10" t="s">
        <v>3974</v>
      </c>
      <c r="D15" s="25" t="s">
        <v>3999</v>
      </c>
      <c r="E15" s="10" t="s">
        <v>679</v>
      </c>
      <c r="F15" s="8"/>
      <c r="G15" s="8">
        <v>87</v>
      </c>
      <c r="H15" s="13">
        <f t="shared" si="3"/>
        <v>1665180</v>
      </c>
      <c r="I15" s="8"/>
      <c r="J15" s="13">
        <v>680000</v>
      </c>
      <c r="K15" s="28"/>
      <c r="L15" s="29"/>
      <c r="M15" s="13"/>
      <c r="N15" s="13"/>
      <c r="O15" s="13">
        <f t="shared" si="1"/>
        <v>2345180</v>
      </c>
      <c r="P15" s="13">
        <v>4400000</v>
      </c>
      <c r="Q15" s="13">
        <f t="shared" si="2"/>
        <v>2054820</v>
      </c>
      <c r="R15" s="5"/>
    </row>
    <row r="16" spans="1:18" ht="27.75" customHeight="1" x14ac:dyDescent="0.25">
      <c r="A16" s="148">
        <v>10</v>
      </c>
      <c r="B16" s="120">
        <v>45514</v>
      </c>
      <c r="C16" s="10" t="s">
        <v>3975</v>
      </c>
      <c r="D16" s="25" t="s">
        <v>4000</v>
      </c>
      <c r="E16" s="10" t="s">
        <v>4021</v>
      </c>
      <c r="F16" s="8"/>
      <c r="G16" s="8">
        <v>92</v>
      </c>
      <c r="H16" s="13">
        <f t="shared" si="3"/>
        <v>1760880</v>
      </c>
      <c r="I16" s="8"/>
      <c r="J16" s="13">
        <v>555000</v>
      </c>
      <c r="K16" s="28"/>
      <c r="L16" s="29"/>
      <c r="M16" s="13"/>
      <c r="N16" s="13"/>
      <c r="O16" s="13">
        <f t="shared" si="1"/>
        <v>2315880</v>
      </c>
      <c r="P16" s="13">
        <v>4600000</v>
      </c>
      <c r="Q16" s="13">
        <f t="shared" si="2"/>
        <v>2284120</v>
      </c>
      <c r="R16" s="5"/>
    </row>
    <row r="17" spans="1:18" ht="22.5" customHeight="1" x14ac:dyDescent="0.25">
      <c r="A17" s="148">
        <v>11</v>
      </c>
      <c r="B17" s="120">
        <v>45516</v>
      </c>
      <c r="C17" s="10" t="s">
        <v>3976</v>
      </c>
      <c r="D17" s="25" t="s">
        <v>4001</v>
      </c>
      <c r="E17" s="10" t="s">
        <v>4022</v>
      </c>
      <c r="F17" s="8"/>
      <c r="G17" s="8">
        <v>89</v>
      </c>
      <c r="H17" s="13">
        <f t="shared" si="3"/>
        <v>1703460</v>
      </c>
      <c r="I17" s="8"/>
      <c r="J17" s="13">
        <v>840000</v>
      </c>
      <c r="K17" s="28"/>
      <c r="L17" s="29"/>
      <c r="M17" s="13"/>
      <c r="N17" s="13"/>
      <c r="O17" s="13">
        <f t="shared" si="1"/>
        <v>2543460</v>
      </c>
      <c r="P17" s="13">
        <v>3307778</v>
      </c>
      <c r="Q17" s="13">
        <f t="shared" si="2"/>
        <v>764318</v>
      </c>
      <c r="R17" s="5"/>
    </row>
    <row r="18" spans="1:18" ht="22.5" customHeight="1" x14ac:dyDescent="0.25">
      <c r="A18" s="148">
        <v>12</v>
      </c>
      <c r="B18" s="120">
        <v>45516</v>
      </c>
      <c r="C18" s="10" t="s">
        <v>3977</v>
      </c>
      <c r="D18" s="25" t="s">
        <v>4001</v>
      </c>
      <c r="E18" s="10" t="s">
        <v>4020</v>
      </c>
      <c r="F18" s="8"/>
      <c r="G18" s="8"/>
      <c r="H18" s="13">
        <f>G18*19140</f>
        <v>0</v>
      </c>
      <c r="I18" s="8"/>
      <c r="J18" s="13"/>
      <c r="K18" s="28"/>
      <c r="L18" s="29"/>
      <c r="M18" s="13"/>
      <c r="N18" s="13"/>
      <c r="O18" s="13">
        <f t="shared" si="1"/>
        <v>0</v>
      </c>
      <c r="P18" s="13">
        <v>1912593</v>
      </c>
      <c r="Q18" s="13">
        <f t="shared" si="2"/>
        <v>1912593</v>
      </c>
      <c r="R18" s="5"/>
    </row>
    <row r="19" spans="1:18" ht="22.5" customHeight="1" x14ac:dyDescent="0.25">
      <c r="A19" s="148">
        <v>13</v>
      </c>
      <c r="B19" s="120">
        <v>45517</v>
      </c>
      <c r="C19" s="10" t="s">
        <v>3978</v>
      </c>
      <c r="D19" s="25" t="s">
        <v>4002</v>
      </c>
      <c r="E19" s="10" t="s">
        <v>2991</v>
      </c>
      <c r="F19" s="8"/>
      <c r="G19" s="8">
        <v>89</v>
      </c>
      <c r="H19" s="13">
        <f t="shared" si="3"/>
        <v>1703460</v>
      </c>
      <c r="I19" s="8"/>
      <c r="J19" s="13">
        <v>680000</v>
      </c>
      <c r="K19" s="28"/>
      <c r="L19" s="29"/>
      <c r="M19" s="13"/>
      <c r="N19" s="13"/>
      <c r="O19" s="13">
        <f t="shared" si="1"/>
        <v>2383460</v>
      </c>
      <c r="P19" s="13">
        <v>3620000</v>
      </c>
      <c r="Q19" s="13">
        <f t="shared" si="2"/>
        <v>1236540</v>
      </c>
      <c r="R19" s="5"/>
    </row>
    <row r="20" spans="1:18" ht="22.5" customHeight="1" x14ac:dyDescent="0.25">
      <c r="A20" s="148">
        <v>14</v>
      </c>
      <c r="B20" s="120">
        <v>45518</v>
      </c>
      <c r="C20" s="10" t="s">
        <v>3979</v>
      </c>
      <c r="D20" s="25" t="s">
        <v>4003</v>
      </c>
      <c r="E20" s="10" t="s">
        <v>675</v>
      </c>
      <c r="F20" s="8"/>
      <c r="G20" s="8">
        <v>115</v>
      </c>
      <c r="H20" s="13">
        <f>G20*19230</f>
        <v>2211450</v>
      </c>
      <c r="I20" s="8"/>
      <c r="J20" s="13">
        <v>1120000</v>
      </c>
      <c r="K20" s="28"/>
      <c r="L20" s="29"/>
      <c r="M20" s="13"/>
      <c r="N20" s="13"/>
      <c r="O20" s="13">
        <f t="shared" si="1"/>
        <v>3331450</v>
      </c>
      <c r="P20" s="13">
        <v>3280000</v>
      </c>
      <c r="Q20" s="13">
        <f t="shared" si="2"/>
        <v>-51450</v>
      </c>
      <c r="R20" s="5"/>
    </row>
    <row r="21" spans="1:18" ht="22.5" customHeight="1" x14ac:dyDescent="0.25">
      <c r="A21" s="148">
        <v>15</v>
      </c>
      <c r="B21" s="120">
        <v>45518</v>
      </c>
      <c r="C21" s="10" t="s">
        <v>3980</v>
      </c>
      <c r="D21" s="25" t="s">
        <v>4003</v>
      </c>
      <c r="E21" s="10" t="s">
        <v>2589</v>
      </c>
      <c r="F21" s="8"/>
      <c r="G21" s="8"/>
      <c r="H21" s="13">
        <f t="shared" ref="H21:H27" si="4">G21*19230</f>
        <v>0</v>
      </c>
      <c r="I21" s="8"/>
      <c r="J21" s="13"/>
      <c r="K21" s="28"/>
      <c r="L21" s="29"/>
      <c r="M21" s="13"/>
      <c r="N21" s="13"/>
      <c r="O21" s="13">
        <f t="shared" si="1"/>
        <v>0</v>
      </c>
      <c r="P21" s="13">
        <v>2320000</v>
      </c>
      <c r="Q21" s="13">
        <f t="shared" si="2"/>
        <v>2320000</v>
      </c>
      <c r="R21" s="5"/>
    </row>
    <row r="22" spans="1:18" ht="22.5" customHeight="1" x14ac:dyDescent="0.25">
      <c r="A22" s="148">
        <v>16</v>
      </c>
      <c r="B22" s="120">
        <v>45519</v>
      </c>
      <c r="C22" s="10" t="s">
        <v>3981</v>
      </c>
      <c r="D22" s="25" t="s">
        <v>4004</v>
      </c>
      <c r="E22" s="10" t="s">
        <v>1661</v>
      </c>
      <c r="F22" s="8"/>
      <c r="G22" s="8">
        <v>111</v>
      </c>
      <c r="H22" s="13">
        <f t="shared" si="4"/>
        <v>2134530</v>
      </c>
      <c r="I22" s="8"/>
      <c r="J22" s="13">
        <v>770000</v>
      </c>
      <c r="K22" s="28"/>
      <c r="L22" s="29"/>
      <c r="M22" s="13"/>
      <c r="N22" s="13"/>
      <c r="O22" s="13">
        <f t="shared" si="1"/>
        <v>2904530</v>
      </c>
      <c r="P22" s="13">
        <v>5000000</v>
      </c>
      <c r="Q22" s="13">
        <f t="shared" si="2"/>
        <v>2095470</v>
      </c>
      <c r="R22" s="5"/>
    </row>
    <row r="23" spans="1:18" ht="22.5" customHeight="1" x14ac:dyDescent="0.25">
      <c r="A23" s="148">
        <v>17</v>
      </c>
      <c r="B23" s="120">
        <v>45520</v>
      </c>
      <c r="C23" s="10" t="s">
        <v>3982</v>
      </c>
      <c r="D23" s="25" t="s">
        <v>4005</v>
      </c>
      <c r="E23" s="10" t="s">
        <v>112</v>
      </c>
      <c r="F23" s="8"/>
      <c r="G23" s="8">
        <v>233</v>
      </c>
      <c r="H23" s="13">
        <f t="shared" si="4"/>
        <v>4480590</v>
      </c>
      <c r="I23" s="8"/>
      <c r="J23" s="13">
        <v>2220000</v>
      </c>
      <c r="K23" s="28"/>
      <c r="L23" s="29"/>
      <c r="M23" s="13"/>
      <c r="N23" s="13"/>
      <c r="O23" s="13">
        <f t="shared" si="1"/>
        <v>6700590</v>
      </c>
      <c r="P23" s="13">
        <v>12870370</v>
      </c>
      <c r="Q23" s="13">
        <f t="shared" si="2"/>
        <v>6169780</v>
      </c>
      <c r="R23" s="5"/>
    </row>
    <row r="24" spans="1:18" ht="22.5" customHeight="1" x14ac:dyDescent="0.25">
      <c r="A24" s="148">
        <v>18</v>
      </c>
      <c r="B24" s="120">
        <v>45521</v>
      </c>
      <c r="C24" s="10" t="s">
        <v>3983</v>
      </c>
      <c r="D24" s="25" t="s">
        <v>4006</v>
      </c>
      <c r="E24" s="10" t="s">
        <v>1287</v>
      </c>
      <c r="F24" s="8"/>
      <c r="G24" s="8">
        <v>68</v>
      </c>
      <c r="H24" s="13">
        <f t="shared" si="4"/>
        <v>1307640</v>
      </c>
      <c r="I24" s="8"/>
      <c r="J24" s="13">
        <v>440000</v>
      </c>
      <c r="K24" s="28"/>
      <c r="L24" s="29"/>
      <c r="M24" s="13"/>
      <c r="N24" s="13"/>
      <c r="O24" s="13">
        <f t="shared" si="1"/>
        <v>1747640</v>
      </c>
      <c r="P24" s="13">
        <v>3200000</v>
      </c>
      <c r="Q24" s="13">
        <f t="shared" si="2"/>
        <v>1452360</v>
      </c>
      <c r="R24" s="5"/>
    </row>
    <row r="25" spans="1:18" ht="22.5" customHeight="1" x14ac:dyDescent="0.25">
      <c r="A25" s="148">
        <v>19</v>
      </c>
      <c r="B25" s="120">
        <v>45523</v>
      </c>
      <c r="C25" s="10" t="s">
        <v>3984</v>
      </c>
      <c r="D25" s="25" t="s">
        <v>4007</v>
      </c>
      <c r="E25" s="10" t="s">
        <v>1287</v>
      </c>
      <c r="F25" s="8"/>
      <c r="G25" s="8">
        <v>66</v>
      </c>
      <c r="H25" s="13">
        <f t="shared" si="4"/>
        <v>1269180</v>
      </c>
      <c r="I25" s="8"/>
      <c r="J25" s="13">
        <v>440000</v>
      </c>
      <c r="K25" s="28"/>
      <c r="L25" s="29"/>
      <c r="M25" s="13"/>
      <c r="N25" s="13"/>
      <c r="O25" s="13">
        <f t="shared" si="1"/>
        <v>1709180</v>
      </c>
      <c r="P25" s="13">
        <v>3189259</v>
      </c>
      <c r="Q25" s="13">
        <f t="shared" si="2"/>
        <v>1480079</v>
      </c>
      <c r="R25" s="5"/>
    </row>
    <row r="26" spans="1:18" ht="22.5" customHeight="1" x14ac:dyDescent="0.25">
      <c r="A26" s="148">
        <v>20</v>
      </c>
      <c r="B26" s="120">
        <v>45524</v>
      </c>
      <c r="C26" s="10" t="s">
        <v>3985</v>
      </c>
      <c r="D26" s="25" t="s">
        <v>4008</v>
      </c>
      <c r="E26" s="10" t="s">
        <v>1287</v>
      </c>
      <c r="F26" s="8"/>
      <c r="G26" s="8">
        <v>61</v>
      </c>
      <c r="H26" s="13">
        <f t="shared" si="4"/>
        <v>1173030</v>
      </c>
      <c r="I26" s="8"/>
      <c r="J26" s="13">
        <v>440000</v>
      </c>
      <c r="K26" s="28"/>
      <c r="L26" s="29"/>
      <c r="M26" s="13"/>
      <c r="N26" s="13"/>
      <c r="O26" s="13">
        <f t="shared" si="1"/>
        <v>1613030</v>
      </c>
      <c r="P26" s="13">
        <v>2920741</v>
      </c>
      <c r="Q26" s="13">
        <f t="shared" si="2"/>
        <v>1307711</v>
      </c>
      <c r="R26" s="5"/>
    </row>
    <row r="27" spans="1:18" ht="22.5" customHeight="1" x14ac:dyDescent="0.25">
      <c r="A27" s="148">
        <v>21</v>
      </c>
      <c r="B27" s="120">
        <v>45525</v>
      </c>
      <c r="C27" s="10" t="s">
        <v>3986</v>
      </c>
      <c r="D27" s="25" t="s">
        <v>4009</v>
      </c>
      <c r="E27" s="10" t="s">
        <v>33</v>
      </c>
      <c r="F27" s="8"/>
      <c r="G27" s="8">
        <v>160</v>
      </c>
      <c r="H27" s="13">
        <f t="shared" si="4"/>
        <v>3076800</v>
      </c>
      <c r="I27" s="8"/>
      <c r="J27" s="13">
        <v>1470000</v>
      </c>
      <c r="K27" s="28"/>
      <c r="L27" s="29"/>
      <c r="M27" s="13"/>
      <c r="N27" s="13"/>
      <c r="O27" s="13">
        <f t="shared" si="1"/>
        <v>4546800</v>
      </c>
      <c r="P27" s="13">
        <v>8203704</v>
      </c>
      <c r="Q27" s="13">
        <f t="shared" si="2"/>
        <v>3656904</v>
      </c>
      <c r="R27" s="5"/>
    </row>
    <row r="28" spans="1:18" ht="22.5" customHeight="1" x14ac:dyDescent="0.25">
      <c r="A28" s="154">
        <v>22</v>
      </c>
      <c r="B28" s="120">
        <v>45526</v>
      </c>
      <c r="C28" s="75" t="s">
        <v>3987</v>
      </c>
      <c r="D28" s="25" t="s">
        <v>4010</v>
      </c>
      <c r="E28" s="10" t="s">
        <v>1542</v>
      </c>
      <c r="F28" s="8"/>
      <c r="G28" s="8">
        <v>96</v>
      </c>
      <c r="H28" s="13">
        <f>G28*18770</f>
        <v>1801920</v>
      </c>
      <c r="I28" s="8"/>
      <c r="J28" s="13">
        <v>680000</v>
      </c>
      <c r="K28" s="28"/>
      <c r="L28" s="29"/>
      <c r="M28" s="13"/>
      <c r="N28" s="13"/>
      <c r="O28" s="13">
        <f t="shared" si="1"/>
        <v>2481920</v>
      </c>
      <c r="P28" s="13">
        <v>4500000</v>
      </c>
      <c r="Q28" s="13">
        <f t="shared" si="2"/>
        <v>2018080</v>
      </c>
      <c r="R28" s="5"/>
    </row>
    <row r="29" spans="1:18" ht="22.5" customHeight="1" x14ac:dyDescent="0.25">
      <c r="A29" s="154">
        <v>23</v>
      </c>
      <c r="B29" s="120">
        <v>45527</v>
      </c>
      <c r="C29" s="75" t="s">
        <v>3988</v>
      </c>
      <c r="D29" s="25" t="s">
        <v>4011</v>
      </c>
      <c r="E29" s="10" t="s">
        <v>3367</v>
      </c>
      <c r="F29" s="8"/>
      <c r="G29" s="8">
        <v>159</v>
      </c>
      <c r="H29" s="13">
        <f t="shared" ref="H29:H31" si="5">G29*18770</f>
        <v>2984430</v>
      </c>
      <c r="I29" s="8"/>
      <c r="J29" s="13">
        <v>1470000</v>
      </c>
      <c r="K29" s="28"/>
      <c r="L29" s="29"/>
      <c r="M29" s="13"/>
      <c r="N29" s="13"/>
      <c r="O29" s="13">
        <f t="shared" si="1"/>
        <v>4454430</v>
      </c>
      <c r="P29" s="13">
        <v>7000000</v>
      </c>
      <c r="Q29" s="13">
        <f t="shared" si="2"/>
        <v>2545570</v>
      </c>
      <c r="R29" s="5"/>
    </row>
    <row r="30" spans="1:18" ht="22.5" customHeight="1" x14ac:dyDescent="0.25">
      <c r="A30" s="154">
        <v>24</v>
      </c>
      <c r="B30" s="120">
        <v>45531</v>
      </c>
      <c r="C30" s="75" t="s">
        <v>3989</v>
      </c>
      <c r="D30" s="25" t="s">
        <v>4012</v>
      </c>
      <c r="E30" s="10" t="s">
        <v>4023</v>
      </c>
      <c r="F30" s="8"/>
      <c r="G30" s="8">
        <v>5</v>
      </c>
      <c r="H30" s="13">
        <f t="shared" si="5"/>
        <v>93850</v>
      </c>
      <c r="I30" s="8"/>
      <c r="J30" s="13">
        <v>300000</v>
      </c>
      <c r="K30" s="28"/>
      <c r="L30" s="29"/>
      <c r="M30" s="13"/>
      <c r="N30" s="13"/>
      <c r="O30" s="13">
        <f t="shared" si="1"/>
        <v>393850</v>
      </c>
      <c r="P30" s="13">
        <v>1500000</v>
      </c>
      <c r="Q30" s="13">
        <f t="shared" si="2"/>
        <v>1106150</v>
      </c>
      <c r="R30" s="5"/>
    </row>
    <row r="31" spans="1:18" ht="22.5" customHeight="1" x14ac:dyDescent="0.25">
      <c r="A31" s="154">
        <v>25</v>
      </c>
      <c r="B31" s="120">
        <v>45532</v>
      </c>
      <c r="C31" s="10" t="s">
        <v>3990</v>
      </c>
      <c r="D31" s="25" t="s">
        <v>4013</v>
      </c>
      <c r="E31" s="10" t="s">
        <v>121</v>
      </c>
      <c r="F31" s="8"/>
      <c r="G31" s="8">
        <v>224</v>
      </c>
      <c r="H31" s="13">
        <f t="shared" si="5"/>
        <v>4204480</v>
      </c>
      <c r="I31" s="8"/>
      <c r="J31" s="13">
        <v>2220000</v>
      </c>
      <c r="K31" s="28"/>
      <c r="L31" s="29"/>
      <c r="M31" s="13"/>
      <c r="N31" s="13"/>
      <c r="O31" s="13">
        <f t="shared" si="1"/>
        <v>6424480</v>
      </c>
      <c r="P31" s="13">
        <v>11111111</v>
      </c>
      <c r="Q31" s="13">
        <f t="shared" si="2"/>
        <v>4686631</v>
      </c>
      <c r="R31" s="5"/>
    </row>
    <row r="32" spans="1:18" ht="22.5" customHeight="1" x14ac:dyDescent="0.25">
      <c r="A32" s="154">
        <v>26</v>
      </c>
      <c r="B32" s="120">
        <v>45533</v>
      </c>
      <c r="C32" s="10" t="s">
        <v>3991</v>
      </c>
      <c r="D32" s="25" t="s">
        <v>4014</v>
      </c>
      <c r="E32" s="10" t="s">
        <v>2045</v>
      </c>
      <c r="F32" s="8"/>
      <c r="G32" s="8">
        <v>324</v>
      </c>
      <c r="H32" s="13">
        <f>G32*18470</f>
        <v>5984280</v>
      </c>
      <c r="I32" s="8"/>
      <c r="J32" s="13">
        <v>3300000</v>
      </c>
      <c r="K32" s="28"/>
      <c r="L32" s="29"/>
      <c r="M32" s="13"/>
      <c r="N32" s="13"/>
      <c r="O32" s="13">
        <f t="shared" si="1"/>
        <v>9284280</v>
      </c>
      <c r="P32" s="13">
        <v>16666667</v>
      </c>
      <c r="Q32" s="13">
        <f t="shared" si="2"/>
        <v>7382387</v>
      </c>
      <c r="R32" s="5"/>
    </row>
    <row r="33" spans="1:18" ht="22.5" customHeight="1" x14ac:dyDescent="0.25">
      <c r="A33" s="154">
        <v>27</v>
      </c>
      <c r="B33" s="120">
        <v>45535</v>
      </c>
      <c r="C33" s="10" t="s">
        <v>3992</v>
      </c>
      <c r="D33" s="25" t="s">
        <v>4015</v>
      </c>
      <c r="E33" s="10" t="s">
        <v>741</v>
      </c>
      <c r="F33" s="8"/>
      <c r="G33" s="8">
        <v>91</v>
      </c>
      <c r="H33" s="13">
        <f>G33*18470</f>
        <v>1680770</v>
      </c>
      <c r="I33" s="8"/>
      <c r="J33" s="13">
        <v>680000</v>
      </c>
      <c r="K33" s="28"/>
      <c r="L33" s="29"/>
      <c r="M33" s="13"/>
      <c r="N33" s="13"/>
      <c r="O33" s="13">
        <f t="shared" si="1"/>
        <v>2360770</v>
      </c>
      <c r="P33" s="13">
        <v>4500000</v>
      </c>
      <c r="Q33" s="13">
        <f t="shared" si="2"/>
        <v>2139230</v>
      </c>
      <c r="R33" s="5"/>
    </row>
    <row r="34" spans="1:18" ht="24" customHeight="1" x14ac:dyDescent="0.25">
      <c r="A34" s="8"/>
      <c r="B34" s="8"/>
      <c r="C34" s="196" t="s">
        <v>131</v>
      </c>
      <c r="D34" s="197"/>
      <c r="E34" s="197"/>
      <c r="F34" s="198"/>
      <c r="G34" s="8"/>
      <c r="H34" s="13"/>
      <c r="I34" s="8"/>
      <c r="J34" s="13"/>
      <c r="K34" s="28">
        <v>1200000</v>
      </c>
      <c r="L34" s="28"/>
      <c r="M34" s="18"/>
      <c r="N34" s="28"/>
      <c r="O34" s="53">
        <f t="shared" ref="O34:O48" si="6">H34+J34+K34+L34+M34+N34</f>
        <v>1200000</v>
      </c>
      <c r="P34" s="28"/>
      <c r="Q34" s="54"/>
    </row>
    <row r="35" spans="1:18" ht="24" customHeight="1" x14ac:dyDescent="0.25">
      <c r="A35" s="8"/>
      <c r="B35" s="8"/>
      <c r="C35" s="196" t="s">
        <v>3144</v>
      </c>
      <c r="D35" s="197"/>
      <c r="E35" s="197"/>
      <c r="F35" s="198"/>
      <c r="G35" s="8"/>
      <c r="H35" s="13"/>
      <c r="I35" s="8"/>
      <c r="J35" s="13"/>
      <c r="K35" s="28">
        <v>7699512</v>
      </c>
      <c r="L35" s="28"/>
      <c r="M35" s="28"/>
      <c r="N35" s="28"/>
      <c r="O35" s="53">
        <f t="shared" si="6"/>
        <v>7699512</v>
      </c>
      <c r="P35" s="28"/>
      <c r="Q35" s="54"/>
    </row>
    <row r="36" spans="1:18" ht="24" customHeight="1" x14ac:dyDescent="0.25">
      <c r="A36" s="8"/>
      <c r="B36" s="8"/>
      <c r="C36" s="196" t="s">
        <v>4118</v>
      </c>
      <c r="D36" s="197"/>
      <c r="E36" s="197"/>
      <c r="F36" s="198"/>
      <c r="G36" s="8"/>
      <c r="H36" s="13"/>
      <c r="I36" s="8"/>
      <c r="J36" s="13"/>
      <c r="K36" s="28"/>
      <c r="L36" s="28">
        <v>1200000</v>
      </c>
      <c r="M36" s="28"/>
      <c r="N36" s="28"/>
      <c r="O36" s="53">
        <f t="shared" si="6"/>
        <v>1200000</v>
      </c>
      <c r="P36" s="28"/>
      <c r="Q36" s="54"/>
    </row>
    <row r="37" spans="1:18" ht="24" customHeight="1" x14ac:dyDescent="0.25">
      <c r="A37" s="8"/>
      <c r="B37" s="8"/>
      <c r="C37" s="196" t="s">
        <v>4119</v>
      </c>
      <c r="D37" s="197"/>
      <c r="E37" s="197"/>
      <c r="F37" s="127"/>
      <c r="G37" s="8"/>
      <c r="H37" s="13"/>
      <c r="I37" s="8"/>
      <c r="J37" s="13"/>
      <c r="K37" s="28"/>
      <c r="L37" s="28">
        <v>1350000</v>
      </c>
      <c r="M37" s="28"/>
      <c r="N37" s="28"/>
      <c r="O37" s="53">
        <f t="shared" si="6"/>
        <v>1350000</v>
      </c>
      <c r="P37" s="28"/>
      <c r="Q37" s="54"/>
    </row>
    <row r="38" spans="1:18" ht="24" customHeight="1" x14ac:dyDescent="0.25">
      <c r="A38" s="8"/>
      <c r="B38" s="8"/>
      <c r="C38" s="196" t="s">
        <v>4120</v>
      </c>
      <c r="D38" s="197"/>
      <c r="E38" s="197"/>
      <c r="F38" s="198"/>
      <c r="G38" s="8"/>
      <c r="H38" s="13"/>
      <c r="I38" s="8"/>
      <c r="J38" s="13"/>
      <c r="K38" s="28"/>
      <c r="L38" s="28">
        <v>100000</v>
      </c>
      <c r="M38" s="28"/>
      <c r="N38" s="28"/>
      <c r="O38" s="53">
        <f t="shared" si="6"/>
        <v>100000</v>
      </c>
      <c r="P38" s="28"/>
      <c r="Q38" s="54"/>
    </row>
    <row r="39" spans="1:18" ht="24" customHeight="1" x14ac:dyDescent="0.25">
      <c r="A39" s="8"/>
      <c r="B39" s="8"/>
      <c r="C39" s="196" t="s">
        <v>4121</v>
      </c>
      <c r="D39" s="197"/>
      <c r="E39" s="197"/>
      <c r="F39" s="198"/>
      <c r="G39" s="8"/>
      <c r="H39" s="13"/>
      <c r="I39" s="8"/>
      <c r="J39" s="13"/>
      <c r="K39" s="28"/>
      <c r="L39" s="28">
        <v>800000</v>
      </c>
      <c r="M39" s="28"/>
      <c r="N39" s="28"/>
      <c r="O39" s="53">
        <f t="shared" si="6"/>
        <v>800000</v>
      </c>
      <c r="P39" s="28"/>
      <c r="Q39" s="54"/>
    </row>
    <row r="40" spans="1:18" ht="24" customHeight="1" x14ac:dyDescent="0.25">
      <c r="A40" s="8"/>
      <c r="B40" s="8"/>
      <c r="C40" s="196" t="s">
        <v>4124</v>
      </c>
      <c r="D40" s="197"/>
      <c r="E40" s="197"/>
      <c r="F40" s="198"/>
      <c r="G40" s="8"/>
      <c r="H40" s="13"/>
      <c r="I40" s="8"/>
      <c r="J40" s="13"/>
      <c r="K40" s="28"/>
      <c r="L40" s="28"/>
      <c r="M40" s="28">
        <v>340000</v>
      </c>
      <c r="N40" s="28"/>
      <c r="O40" s="53">
        <f t="shared" si="6"/>
        <v>340000</v>
      </c>
      <c r="P40" s="28"/>
      <c r="Q40" s="54"/>
    </row>
    <row r="41" spans="1:18" ht="24" customHeight="1" x14ac:dyDescent="0.25">
      <c r="A41" s="8"/>
      <c r="B41" s="8"/>
      <c r="C41" s="196" t="s">
        <v>4125</v>
      </c>
      <c r="D41" s="197"/>
      <c r="E41" s="197"/>
      <c r="F41" s="198"/>
      <c r="G41" s="8"/>
      <c r="H41" s="13"/>
      <c r="I41" s="8"/>
      <c r="J41" s="13"/>
      <c r="K41" s="28"/>
      <c r="L41" s="28">
        <v>600000</v>
      </c>
      <c r="M41" s="28"/>
      <c r="N41" s="28"/>
      <c r="O41" s="53">
        <f t="shared" si="6"/>
        <v>600000</v>
      </c>
      <c r="P41" s="28"/>
      <c r="Q41" s="54"/>
    </row>
    <row r="42" spans="1:18" ht="24" customHeight="1" x14ac:dyDescent="0.25">
      <c r="A42" s="8"/>
      <c r="B42" s="8"/>
      <c r="C42" s="196" t="s">
        <v>4126</v>
      </c>
      <c r="D42" s="197"/>
      <c r="E42" s="197"/>
      <c r="F42" s="198"/>
      <c r="G42" s="8"/>
      <c r="H42" s="13"/>
      <c r="I42" s="8"/>
      <c r="J42" s="13"/>
      <c r="K42" s="28"/>
      <c r="L42" s="28"/>
      <c r="M42" s="28">
        <v>11800000</v>
      </c>
      <c r="N42" s="28"/>
      <c r="O42" s="53">
        <f t="shared" si="6"/>
        <v>11800000</v>
      </c>
      <c r="P42" s="28"/>
      <c r="Q42" s="54"/>
    </row>
    <row r="43" spans="1:18" ht="24" customHeight="1" x14ac:dyDescent="0.25">
      <c r="A43" s="8"/>
      <c r="B43" s="8"/>
      <c r="C43" s="196" t="s">
        <v>4127</v>
      </c>
      <c r="D43" s="197"/>
      <c r="E43" s="197"/>
      <c r="F43" s="198"/>
      <c r="G43" s="8"/>
      <c r="H43" s="13"/>
      <c r="I43" s="8"/>
      <c r="J43" s="13"/>
      <c r="K43" s="28"/>
      <c r="L43" s="28">
        <v>400000</v>
      </c>
      <c r="M43" s="28"/>
      <c r="N43" s="28"/>
      <c r="O43" s="53">
        <f t="shared" si="6"/>
        <v>400000</v>
      </c>
      <c r="P43" s="28"/>
      <c r="Q43" s="54"/>
    </row>
    <row r="44" spans="1:18" ht="24" customHeight="1" x14ac:dyDescent="0.25">
      <c r="A44" s="8"/>
      <c r="B44" s="8"/>
      <c r="C44" s="196" t="s">
        <v>4128</v>
      </c>
      <c r="D44" s="197"/>
      <c r="E44" s="197"/>
      <c r="F44" s="198"/>
      <c r="G44" s="8"/>
      <c r="H44" s="13"/>
      <c r="I44" s="8"/>
      <c r="J44" s="13"/>
      <c r="K44" s="28"/>
      <c r="L44" s="28">
        <v>200000</v>
      </c>
      <c r="M44" s="28"/>
      <c r="N44" s="28"/>
      <c r="O44" s="53">
        <f t="shared" si="6"/>
        <v>200000</v>
      </c>
      <c r="P44" s="28"/>
      <c r="Q44" s="54"/>
    </row>
    <row r="45" spans="1:18" ht="24" customHeight="1" x14ac:dyDescent="0.25">
      <c r="A45" s="8"/>
      <c r="B45" s="8"/>
      <c r="C45" s="196" t="s">
        <v>4137</v>
      </c>
      <c r="D45" s="197"/>
      <c r="E45" s="197"/>
      <c r="F45" s="198"/>
      <c r="G45" s="8"/>
      <c r="H45" s="13"/>
      <c r="I45" s="8"/>
      <c r="J45" s="13"/>
      <c r="K45" s="28"/>
      <c r="L45" s="28">
        <v>1900000</v>
      </c>
      <c r="M45" s="28"/>
      <c r="N45" s="28"/>
      <c r="O45" s="53">
        <f t="shared" si="6"/>
        <v>1900000</v>
      </c>
      <c r="P45" s="28"/>
      <c r="Q45" s="54"/>
    </row>
    <row r="46" spans="1:18" ht="24" customHeight="1" x14ac:dyDescent="0.25">
      <c r="A46" s="8"/>
      <c r="B46" s="8"/>
      <c r="C46" s="196" t="s">
        <v>4138</v>
      </c>
      <c r="D46" s="197"/>
      <c r="E46" s="197"/>
      <c r="F46" s="198"/>
      <c r="G46" s="8"/>
      <c r="H46" s="13"/>
      <c r="I46" s="8"/>
      <c r="J46" s="13"/>
      <c r="K46" s="28"/>
      <c r="L46" s="28">
        <v>100000</v>
      </c>
      <c r="M46" s="28"/>
      <c r="N46" s="28"/>
      <c r="O46" s="53">
        <f t="shared" si="6"/>
        <v>100000</v>
      </c>
      <c r="P46" s="28"/>
      <c r="Q46" s="54"/>
    </row>
    <row r="47" spans="1:18" ht="24" customHeight="1" x14ac:dyDescent="0.25">
      <c r="A47" s="8"/>
      <c r="B47" s="8"/>
      <c r="C47" s="196" t="s">
        <v>4145</v>
      </c>
      <c r="D47" s="197"/>
      <c r="E47" s="197"/>
      <c r="F47" s="198"/>
      <c r="G47" s="8"/>
      <c r="H47" s="13"/>
      <c r="I47" s="8"/>
      <c r="J47" s="13"/>
      <c r="K47" s="28"/>
      <c r="L47" s="28">
        <v>6700000</v>
      </c>
      <c r="M47" s="28"/>
      <c r="N47" s="28"/>
      <c r="O47" s="53">
        <f t="shared" si="6"/>
        <v>6700000</v>
      </c>
      <c r="P47" s="28"/>
      <c r="Q47" s="54"/>
    </row>
    <row r="48" spans="1:18" ht="24" customHeight="1" x14ac:dyDescent="0.25">
      <c r="A48" s="8"/>
      <c r="B48" s="8"/>
      <c r="C48" s="196" t="s">
        <v>4146</v>
      </c>
      <c r="D48" s="197"/>
      <c r="E48" s="197"/>
      <c r="F48" s="198"/>
      <c r="G48" s="8"/>
      <c r="H48" s="13"/>
      <c r="I48" s="8"/>
      <c r="J48" s="13"/>
      <c r="K48" s="28"/>
      <c r="L48" s="28">
        <v>200000</v>
      </c>
      <c r="M48" s="28"/>
      <c r="N48" s="28"/>
      <c r="O48" s="53">
        <f t="shared" si="6"/>
        <v>200000</v>
      </c>
      <c r="P48" s="28"/>
      <c r="Q48" s="54"/>
    </row>
    <row r="49" spans="1:17" ht="25.5" customHeight="1" x14ac:dyDescent="0.25">
      <c r="A49" s="8"/>
      <c r="B49" s="8"/>
      <c r="C49" s="191" t="s">
        <v>4170</v>
      </c>
      <c r="D49" s="192"/>
      <c r="E49" s="192"/>
      <c r="F49" s="195"/>
      <c r="G49" s="30"/>
      <c r="H49" s="28"/>
      <c r="I49" s="30"/>
      <c r="J49" s="28"/>
      <c r="K49" s="28">
        <v>8400000</v>
      </c>
      <c r="L49" s="28"/>
      <c r="M49" s="18"/>
      <c r="N49" s="28"/>
      <c r="O49" s="53">
        <f>H49+J49+K49+L49+M49+N49</f>
        <v>8400000</v>
      </c>
      <c r="P49" s="28"/>
      <c r="Q49" s="54"/>
    </row>
    <row r="50" spans="1:17" ht="15" customHeight="1" x14ac:dyDescent="0.25">
      <c r="A50" s="166" t="s">
        <v>19</v>
      </c>
      <c r="B50" s="167"/>
      <c r="C50" s="167"/>
      <c r="D50" s="167"/>
      <c r="E50" s="167"/>
      <c r="F50" s="168"/>
      <c r="G50" s="131">
        <f t="shared" ref="G50:P50" si="7">SUM(G7:G49)</f>
        <v>2615</v>
      </c>
      <c r="H50" s="4">
        <f t="shared" si="7"/>
        <v>50008140</v>
      </c>
      <c r="I50" s="4">
        <f t="shared" si="7"/>
        <v>0</v>
      </c>
      <c r="J50" s="4">
        <f t="shared" si="7"/>
        <v>23130000</v>
      </c>
      <c r="K50" s="4">
        <f t="shared" si="7"/>
        <v>17299512</v>
      </c>
      <c r="L50" s="4">
        <f t="shared" si="7"/>
        <v>13550000</v>
      </c>
      <c r="M50" s="4">
        <f t="shared" si="7"/>
        <v>12140000</v>
      </c>
      <c r="N50" s="4">
        <f t="shared" si="7"/>
        <v>0</v>
      </c>
      <c r="O50" s="4">
        <f t="shared" si="7"/>
        <v>116127652</v>
      </c>
      <c r="P50" s="4">
        <f t="shared" si="7"/>
        <v>133072000</v>
      </c>
      <c r="Q50" s="122">
        <f>P50-O50</f>
        <v>16944348</v>
      </c>
    </row>
    <row r="51" spans="1:17" x14ac:dyDescent="0.25">
      <c r="O51" s="20"/>
      <c r="P51" s="5" t="s">
        <v>1796</v>
      </c>
      <c r="Q51" s="26"/>
    </row>
    <row r="52" spans="1:17" x14ac:dyDescent="0.25">
      <c r="P52" s="21" t="s">
        <v>20</v>
      </c>
      <c r="Q52" s="26">
        <f>'07.2024'!Q50+'08.2024'!Q50</f>
        <v>161593512</v>
      </c>
    </row>
    <row r="53" spans="1:17" x14ac:dyDescent="0.25">
      <c r="C53" s="6" t="s">
        <v>993</v>
      </c>
    </row>
    <row r="54" spans="1:17" x14ac:dyDescent="0.25">
      <c r="C54" s="205"/>
      <c r="D54" s="205"/>
      <c r="E54" s="205"/>
      <c r="F54" s="205"/>
      <c r="H54" s="109"/>
    </row>
    <row r="55" spans="1:17" x14ac:dyDescent="0.25">
      <c r="C55" s="206"/>
      <c r="D55" s="206"/>
      <c r="E55" s="206"/>
      <c r="F55" s="206"/>
      <c r="H55" s="109"/>
    </row>
    <row r="56" spans="1:17" x14ac:dyDescent="0.25">
      <c r="B56" s="6"/>
      <c r="C56" s="110"/>
      <c r="D56" s="110"/>
      <c r="E56" s="110"/>
      <c r="F56" s="110"/>
      <c r="G56" s="133"/>
      <c r="H56" s="109"/>
    </row>
    <row r="57" spans="1:17" x14ac:dyDescent="0.25">
      <c r="B57" s="6"/>
      <c r="C57" s="206"/>
      <c r="D57" s="206"/>
      <c r="E57" s="206"/>
      <c r="F57" s="206"/>
      <c r="H57" s="109"/>
    </row>
    <row r="58" spans="1:17" x14ac:dyDescent="0.25">
      <c r="B58" s="6"/>
      <c r="C58" s="206"/>
      <c r="D58" s="206"/>
      <c r="E58" s="206"/>
      <c r="F58" s="206"/>
      <c r="H58" s="109"/>
    </row>
    <row r="59" spans="1:17" x14ac:dyDescent="0.25">
      <c r="B59" s="6"/>
      <c r="C59" s="206"/>
      <c r="D59" s="206"/>
      <c r="E59" s="206"/>
      <c r="F59" s="206"/>
      <c r="G59" s="133"/>
      <c r="H59" s="109"/>
      <c r="J59" s="6"/>
      <c r="K59" s="6"/>
      <c r="L59" s="6"/>
      <c r="M59" s="6"/>
      <c r="N59" s="6"/>
      <c r="O59" s="6"/>
      <c r="P59" s="6"/>
      <c r="Q59" s="6"/>
    </row>
    <row r="60" spans="1:17" x14ac:dyDescent="0.2">
      <c r="C60" s="107"/>
      <c r="D60" s="110"/>
      <c r="E60" s="110"/>
      <c r="F60" s="110"/>
      <c r="H60" s="109"/>
    </row>
    <row r="61" spans="1:17" x14ac:dyDescent="0.25">
      <c r="C61" s="205"/>
      <c r="D61" s="205"/>
      <c r="E61" s="205"/>
      <c r="F61" s="205"/>
    </row>
  </sheetData>
  <mergeCells count="36"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4:F34"/>
    <mergeCell ref="C35:F35"/>
    <mergeCell ref="C37:E37"/>
    <mergeCell ref="C38:F38"/>
    <mergeCell ref="C59:F59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36:F36"/>
    <mergeCell ref="C61:F61"/>
    <mergeCell ref="C49:F49"/>
    <mergeCell ref="A50:F50"/>
    <mergeCell ref="C54:F54"/>
    <mergeCell ref="C55:F55"/>
    <mergeCell ref="C57:F57"/>
    <mergeCell ref="C58:F58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4029-26B9-4CF0-920A-0AA51BFBACA4}">
  <dimension ref="A1:R62"/>
  <sheetViews>
    <sheetView topLeftCell="A36" workbookViewId="0">
      <selection activeCell="O27" sqref="O27:O2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4025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ht="27.75" customHeight="1" x14ac:dyDescent="0.25">
      <c r="A7" s="148">
        <v>1</v>
      </c>
      <c r="B7" s="120">
        <v>45539</v>
      </c>
      <c r="C7" s="10" t="s">
        <v>4026</v>
      </c>
      <c r="D7" s="25" t="s">
        <v>4051</v>
      </c>
      <c r="E7" s="10" t="s">
        <v>1395</v>
      </c>
      <c r="F7" s="8"/>
      <c r="G7" s="8">
        <v>78</v>
      </c>
      <c r="H7" s="13">
        <f>G7*18090</f>
        <v>1411020</v>
      </c>
      <c r="I7" s="8"/>
      <c r="J7" s="13">
        <v>1130000</v>
      </c>
      <c r="K7" s="28"/>
      <c r="L7" s="29"/>
      <c r="M7" s="13"/>
      <c r="N7" s="13"/>
      <c r="O7" s="13">
        <f>SUM(H7:N7)</f>
        <v>2541020</v>
      </c>
      <c r="P7" s="13">
        <v>4660000</v>
      </c>
      <c r="Q7" s="13">
        <f>P7-O7</f>
        <v>2118980</v>
      </c>
      <c r="R7" s="5"/>
    </row>
    <row r="8" spans="1:18" ht="24.75" customHeight="1" x14ac:dyDescent="0.25">
      <c r="A8" s="148">
        <v>2</v>
      </c>
      <c r="B8" s="120">
        <v>45541</v>
      </c>
      <c r="C8" s="10" t="s">
        <v>4027</v>
      </c>
      <c r="D8" s="129" t="s">
        <v>4052</v>
      </c>
      <c r="E8" s="9" t="s">
        <v>258</v>
      </c>
      <c r="F8" s="117"/>
      <c r="G8" s="8">
        <v>160</v>
      </c>
      <c r="H8" s="13">
        <f t="shared" ref="H8:H11" si="0">G8*18090</f>
        <v>2894400</v>
      </c>
      <c r="I8" s="117"/>
      <c r="J8" s="119">
        <v>1470000</v>
      </c>
      <c r="K8" s="28"/>
      <c r="L8" s="29"/>
      <c r="M8" s="13"/>
      <c r="N8" s="13"/>
      <c r="O8" s="13">
        <f t="shared" ref="O8:O25" si="1">SUM(H8:N8)</f>
        <v>4364400</v>
      </c>
      <c r="P8" s="13">
        <v>9722222</v>
      </c>
      <c r="Q8" s="13">
        <f>P8-O8</f>
        <v>5357822</v>
      </c>
      <c r="R8" s="5"/>
    </row>
    <row r="9" spans="1:18" ht="24.75" customHeight="1" x14ac:dyDescent="0.25">
      <c r="A9" s="148">
        <v>3</v>
      </c>
      <c r="B9" s="120">
        <v>45542</v>
      </c>
      <c r="C9" s="10" t="s">
        <v>4028</v>
      </c>
      <c r="D9" s="25" t="s">
        <v>4053</v>
      </c>
      <c r="E9" s="10" t="s">
        <v>33</v>
      </c>
      <c r="F9" s="8"/>
      <c r="G9" s="8">
        <v>160</v>
      </c>
      <c r="H9" s="13">
        <f t="shared" si="0"/>
        <v>2894400</v>
      </c>
      <c r="I9" s="8"/>
      <c r="J9" s="13">
        <v>1470000</v>
      </c>
      <c r="K9" s="28"/>
      <c r="L9" s="29"/>
      <c r="M9" s="13"/>
      <c r="N9" s="13"/>
      <c r="O9" s="13">
        <f t="shared" si="1"/>
        <v>4364400</v>
      </c>
      <c r="P9" s="13">
        <v>7833333</v>
      </c>
      <c r="Q9" s="13">
        <f t="shared" ref="Q9:Q25" si="2">P9-O9</f>
        <v>3468933</v>
      </c>
      <c r="R9" s="5"/>
    </row>
    <row r="10" spans="1:18" ht="27.75" customHeight="1" x14ac:dyDescent="0.25">
      <c r="A10" s="148">
        <v>4</v>
      </c>
      <c r="B10" s="120">
        <v>45545</v>
      </c>
      <c r="C10" s="10" t="s">
        <v>4029</v>
      </c>
      <c r="D10" s="25" t="s">
        <v>4054</v>
      </c>
      <c r="E10" s="10" t="s">
        <v>3535</v>
      </c>
      <c r="F10" s="8"/>
      <c r="G10" s="8">
        <v>87</v>
      </c>
      <c r="H10" s="13">
        <f t="shared" si="0"/>
        <v>1573830</v>
      </c>
      <c r="I10" s="8"/>
      <c r="J10" s="13">
        <v>680000</v>
      </c>
      <c r="K10" s="28"/>
      <c r="L10" s="29"/>
      <c r="M10" s="13"/>
      <c r="N10" s="13"/>
      <c r="O10" s="13">
        <f t="shared" si="1"/>
        <v>2253830</v>
      </c>
      <c r="P10" s="13">
        <v>4300000</v>
      </c>
      <c r="Q10" s="13">
        <f t="shared" si="2"/>
        <v>2046170</v>
      </c>
      <c r="R10" s="5"/>
    </row>
    <row r="11" spans="1:18" ht="27.75" customHeight="1" x14ac:dyDescent="0.25">
      <c r="A11" s="148">
        <v>5</v>
      </c>
      <c r="B11" s="120">
        <v>45546</v>
      </c>
      <c r="C11" s="10" t="s">
        <v>4030</v>
      </c>
      <c r="D11" s="25" t="s">
        <v>4055</v>
      </c>
      <c r="E11" s="10" t="s">
        <v>1177</v>
      </c>
      <c r="F11" s="8"/>
      <c r="G11" s="8">
        <v>97</v>
      </c>
      <c r="H11" s="13">
        <f t="shared" si="0"/>
        <v>1754730</v>
      </c>
      <c r="I11" s="8"/>
      <c r="J11" s="13">
        <v>680000</v>
      </c>
      <c r="K11" s="28"/>
      <c r="L11" s="29"/>
      <c r="M11" s="13"/>
      <c r="N11" s="13"/>
      <c r="O11" s="13">
        <f t="shared" si="1"/>
        <v>2434730</v>
      </c>
      <c r="P11" s="13">
        <v>4000000</v>
      </c>
      <c r="Q11" s="13">
        <f t="shared" si="2"/>
        <v>1565270</v>
      </c>
      <c r="R11" s="5"/>
    </row>
    <row r="12" spans="1:18" ht="27.75" customHeight="1" x14ac:dyDescent="0.25">
      <c r="A12" s="148">
        <v>6</v>
      </c>
      <c r="B12" s="120">
        <v>45547</v>
      </c>
      <c r="C12" s="10" t="s">
        <v>4031</v>
      </c>
      <c r="D12" s="25" t="s">
        <v>4056</v>
      </c>
      <c r="E12" s="10" t="s">
        <v>1043</v>
      </c>
      <c r="F12" s="8"/>
      <c r="G12" s="8">
        <v>120</v>
      </c>
      <c r="H12" s="13">
        <f>G12*17160</f>
        <v>2059200</v>
      </c>
      <c r="I12" s="8"/>
      <c r="J12" s="13">
        <v>680000</v>
      </c>
      <c r="K12" s="28"/>
      <c r="L12" s="29"/>
      <c r="M12" s="13"/>
      <c r="N12" s="13"/>
      <c r="O12" s="13">
        <f t="shared" si="1"/>
        <v>2739200</v>
      </c>
      <c r="P12" s="13">
        <v>5370370</v>
      </c>
      <c r="Q12" s="13">
        <f t="shared" si="2"/>
        <v>2631170</v>
      </c>
      <c r="R12" s="5"/>
    </row>
    <row r="13" spans="1:18" ht="27.75" customHeight="1" x14ac:dyDescent="0.25">
      <c r="A13" s="148">
        <v>7</v>
      </c>
      <c r="B13" s="149">
        <v>45548</v>
      </c>
      <c r="C13" s="111" t="s">
        <v>4032</v>
      </c>
      <c r="D13" s="112" t="s">
        <v>4057</v>
      </c>
      <c r="E13" s="111" t="s">
        <v>2590</v>
      </c>
      <c r="F13" s="12"/>
      <c r="G13" s="8">
        <v>65</v>
      </c>
      <c r="H13" s="13">
        <f t="shared" ref="H13:H18" si="3">G13*17160</f>
        <v>1115400</v>
      </c>
      <c r="I13" s="8"/>
      <c r="J13" s="13">
        <v>680000</v>
      </c>
      <c r="K13" s="18"/>
      <c r="L13" s="99"/>
      <c r="M13" s="3"/>
      <c r="N13" s="3"/>
      <c r="O13" s="13">
        <f t="shared" si="1"/>
        <v>1795400</v>
      </c>
      <c r="P13" s="13">
        <v>3011481</v>
      </c>
      <c r="Q13" s="13">
        <f t="shared" si="2"/>
        <v>1216081</v>
      </c>
      <c r="R13" s="5"/>
    </row>
    <row r="14" spans="1:18" ht="27.75" customHeight="1" x14ac:dyDescent="0.25">
      <c r="A14" s="148">
        <v>8</v>
      </c>
      <c r="B14" s="120">
        <v>45552</v>
      </c>
      <c r="C14" s="10" t="s">
        <v>4033</v>
      </c>
      <c r="D14" s="25" t="s">
        <v>4058</v>
      </c>
      <c r="E14" s="10" t="s">
        <v>4045</v>
      </c>
      <c r="F14" s="8"/>
      <c r="G14" s="8">
        <v>200</v>
      </c>
      <c r="H14" s="13">
        <f t="shared" si="3"/>
        <v>3432000</v>
      </c>
      <c r="I14" s="8"/>
      <c r="J14" s="119">
        <v>1744000</v>
      </c>
      <c r="K14" s="28"/>
      <c r="L14" s="29"/>
      <c r="M14" s="13"/>
      <c r="N14" s="13"/>
      <c r="O14" s="13">
        <f t="shared" si="1"/>
        <v>5176000</v>
      </c>
      <c r="P14" s="13">
        <v>3420000</v>
      </c>
      <c r="Q14" s="13">
        <f t="shared" si="2"/>
        <v>-1756000</v>
      </c>
      <c r="R14" s="5"/>
    </row>
    <row r="15" spans="1:18" ht="27.75" customHeight="1" x14ac:dyDescent="0.25">
      <c r="A15" s="148">
        <v>9</v>
      </c>
      <c r="B15" s="120">
        <v>45552</v>
      </c>
      <c r="C15" s="10" t="s">
        <v>4034</v>
      </c>
      <c r="D15" s="25" t="s">
        <v>4058</v>
      </c>
      <c r="E15" s="10" t="s">
        <v>1761</v>
      </c>
      <c r="F15" s="8"/>
      <c r="G15" s="8"/>
      <c r="H15" s="13">
        <f t="shared" si="3"/>
        <v>0</v>
      </c>
      <c r="I15" s="8"/>
      <c r="J15" s="13"/>
      <c r="K15" s="28"/>
      <c r="L15" s="29"/>
      <c r="M15" s="13"/>
      <c r="N15" s="13"/>
      <c r="O15" s="13">
        <f t="shared" si="1"/>
        <v>0</v>
      </c>
      <c r="P15" s="13">
        <v>5050000</v>
      </c>
      <c r="Q15" s="13">
        <f t="shared" si="2"/>
        <v>5050000</v>
      </c>
      <c r="R15" s="5"/>
    </row>
    <row r="16" spans="1:18" ht="27.75" customHeight="1" x14ac:dyDescent="0.25">
      <c r="A16" s="148">
        <v>10</v>
      </c>
      <c r="B16" s="120">
        <v>45553</v>
      </c>
      <c r="C16" s="10" t="s">
        <v>4035</v>
      </c>
      <c r="D16" s="25" t="s">
        <v>4059</v>
      </c>
      <c r="E16" s="10" t="s">
        <v>1043</v>
      </c>
      <c r="F16" s="8"/>
      <c r="G16" s="8">
        <v>120</v>
      </c>
      <c r="H16" s="13">
        <f t="shared" si="3"/>
        <v>2059200</v>
      </c>
      <c r="I16" s="8"/>
      <c r="J16" s="13">
        <v>680000</v>
      </c>
      <c r="K16" s="28"/>
      <c r="L16" s="29"/>
      <c r="M16" s="13"/>
      <c r="N16" s="13"/>
      <c r="O16" s="13">
        <f t="shared" si="1"/>
        <v>2739200</v>
      </c>
      <c r="P16" s="13">
        <v>5270370</v>
      </c>
      <c r="Q16" s="13">
        <f t="shared" si="2"/>
        <v>2531170</v>
      </c>
      <c r="R16" s="5"/>
    </row>
    <row r="17" spans="1:18" ht="22.5" customHeight="1" x14ac:dyDescent="0.25">
      <c r="A17" s="148">
        <v>11</v>
      </c>
      <c r="B17" s="120">
        <v>45554</v>
      </c>
      <c r="C17" s="10" t="s">
        <v>4036</v>
      </c>
      <c r="D17" s="25" t="s">
        <v>4060</v>
      </c>
      <c r="E17" s="10" t="s">
        <v>4019</v>
      </c>
      <c r="F17" s="8"/>
      <c r="G17" s="8">
        <v>57</v>
      </c>
      <c r="H17" s="13">
        <f t="shared" si="3"/>
        <v>978120</v>
      </c>
      <c r="I17" s="8"/>
      <c r="J17" s="13">
        <v>440000</v>
      </c>
      <c r="K17" s="28"/>
      <c r="L17" s="29"/>
      <c r="M17" s="13"/>
      <c r="N17" s="13"/>
      <c r="O17" s="13">
        <f t="shared" si="1"/>
        <v>1418120</v>
      </c>
      <c r="P17" s="13">
        <v>2570000</v>
      </c>
      <c r="Q17" s="13">
        <f t="shared" si="2"/>
        <v>1151880</v>
      </c>
      <c r="R17" s="5"/>
    </row>
    <row r="18" spans="1:18" ht="22.5" customHeight="1" x14ac:dyDescent="0.25">
      <c r="A18" s="148">
        <v>12</v>
      </c>
      <c r="B18" s="120">
        <v>45556</v>
      </c>
      <c r="C18" s="10" t="s">
        <v>4037</v>
      </c>
      <c r="D18" s="25" t="s">
        <v>4061</v>
      </c>
      <c r="E18" s="10" t="s">
        <v>1043</v>
      </c>
      <c r="F18" s="8"/>
      <c r="G18" s="8">
        <v>120</v>
      </c>
      <c r="H18" s="13">
        <f t="shared" si="3"/>
        <v>2059200</v>
      </c>
      <c r="I18" s="8"/>
      <c r="J18" s="13">
        <v>680000</v>
      </c>
      <c r="K18" s="28"/>
      <c r="L18" s="29"/>
      <c r="M18" s="13"/>
      <c r="N18" s="13"/>
      <c r="O18" s="13">
        <f t="shared" si="1"/>
        <v>2739200</v>
      </c>
      <c r="P18" s="13">
        <v>5270370</v>
      </c>
      <c r="Q18" s="13">
        <f t="shared" si="2"/>
        <v>2531170</v>
      </c>
      <c r="R18" s="5"/>
    </row>
    <row r="19" spans="1:18" ht="22.5" customHeight="1" x14ac:dyDescent="0.25">
      <c r="A19" s="148">
        <v>13</v>
      </c>
      <c r="B19" s="120">
        <v>45558</v>
      </c>
      <c r="C19" s="10" t="s">
        <v>4038</v>
      </c>
      <c r="D19" s="25" t="s">
        <v>4062</v>
      </c>
      <c r="E19" s="10" t="s">
        <v>4046</v>
      </c>
      <c r="F19" s="8"/>
      <c r="G19" s="8">
        <v>72</v>
      </c>
      <c r="H19" s="13">
        <f>G19*17040</f>
        <v>1226880</v>
      </c>
      <c r="I19" s="8"/>
      <c r="J19" s="13">
        <v>780000</v>
      </c>
      <c r="K19" s="28"/>
      <c r="L19" s="29"/>
      <c r="M19" s="13"/>
      <c r="N19" s="13"/>
      <c r="O19" s="13">
        <f t="shared" si="1"/>
        <v>2006880</v>
      </c>
      <c r="P19" s="13">
        <v>3298519</v>
      </c>
      <c r="Q19" s="13">
        <f t="shared" si="2"/>
        <v>1291639</v>
      </c>
      <c r="R19" s="5"/>
    </row>
    <row r="20" spans="1:18" ht="22.5" customHeight="1" x14ac:dyDescent="0.25">
      <c r="A20" s="148">
        <v>14</v>
      </c>
      <c r="B20" s="120">
        <v>45559</v>
      </c>
      <c r="C20" s="10" t="s">
        <v>4039</v>
      </c>
      <c r="D20" s="25" t="s">
        <v>4063</v>
      </c>
      <c r="E20" s="10" t="s">
        <v>4047</v>
      </c>
      <c r="F20" s="8"/>
      <c r="G20" s="8">
        <v>121</v>
      </c>
      <c r="H20" s="13">
        <f t="shared" ref="H20:H21" si="4">G20*17040</f>
        <v>2061840</v>
      </c>
      <c r="I20" s="8"/>
      <c r="J20" s="13">
        <v>1030000</v>
      </c>
      <c r="K20" s="28"/>
      <c r="L20" s="29"/>
      <c r="M20" s="13"/>
      <c r="N20" s="13"/>
      <c r="O20" s="13">
        <f t="shared" si="1"/>
        <v>3091840</v>
      </c>
      <c r="P20" s="13">
        <v>6000000</v>
      </c>
      <c r="Q20" s="13">
        <f t="shared" si="2"/>
        <v>2908160</v>
      </c>
      <c r="R20" s="5"/>
    </row>
    <row r="21" spans="1:18" ht="22.5" customHeight="1" x14ac:dyDescent="0.25">
      <c r="A21" s="148">
        <v>15</v>
      </c>
      <c r="B21" s="120">
        <v>45560</v>
      </c>
      <c r="C21" s="10" t="s">
        <v>4040</v>
      </c>
      <c r="D21" s="25" t="s">
        <v>4064</v>
      </c>
      <c r="E21" s="10" t="s">
        <v>4048</v>
      </c>
      <c r="F21" s="8"/>
      <c r="G21" s="8">
        <v>134</v>
      </c>
      <c r="H21" s="13">
        <f t="shared" si="4"/>
        <v>2283360</v>
      </c>
      <c r="I21" s="8"/>
      <c r="J21" s="13">
        <v>1030000</v>
      </c>
      <c r="K21" s="28"/>
      <c r="L21" s="29"/>
      <c r="M21" s="13"/>
      <c r="N21" s="13"/>
      <c r="O21" s="13">
        <f t="shared" si="1"/>
        <v>3313360</v>
      </c>
      <c r="P21" s="13">
        <v>6000000</v>
      </c>
      <c r="Q21" s="13">
        <f t="shared" si="2"/>
        <v>2686640</v>
      </c>
      <c r="R21" s="5"/>
    </row>
    <row r="22" spans="1:18" ht="22.5" customHeight="1" x14ac:dyDescent="0.25">
      <c r="A22" s="148">
        <v>16</v>
      </c>
      <c r="B22" s="120">
        <v>45561</v>
      </c>
      <c r="C22" s="10" t="s">
        <v>4041</v>
      </c>
      <c r="D22" s="25" t="s">
        <v>4065</v>
      </c>
      <c r="E22" s="10" t="s">
        <v>3833</v>
      </c>
      <c r="F22" s="8"/>
      <c r="G22" s="8">
        <v>126</v>
      </c>
      <c r="H22" s="13">
        <f>G22*17500</f>
        <v>2205000</v>
      </c>
      <c r="I22" s="8"/>
      <c r="J22" s="13">
        <v>1120000</v>
      </c>
      <c r="K22" s="28"/>
      <c r="L22" s="29"/>
      <c r="M22" s="13"/>
      <c r="N22" s="13"/>
      <c r="O22" s="13">
        <f t="shared" si="1"/>
        <v>3325000</v>
      </c>
      <c r="P22" s="13">
        <v>5500000</v>
      </c>
      <c r="Q22" s="13">
        <f t="shared" si="2"/>
        <v>2175000</v>
      </c>
      <c r="R22" s="5"/>
    </row>
    <row r="23" spans="1:18" ht="22.5" customHeight="1" x14ac:dyDescent="0.25">
      <c r="A23" s="148">
        <v>17</v>
      </c>
      <c r="B23" s="120">
        <v>45562</v>
      </c>
      <c r="C23" s="10" t="s">
        <v>4042</v>
      </c>
      <c r="D23" s="25" t="s">
        <v>4066</v>
      </c>
      <c r="E23" s="10" t="s">
        <v>3283</v>
      </c>
      <c r="F23" s="8"/>
      <c r="G23" s="8">
        <v>115</v>
      </c>
      <c r="H23" s="13">
        <f t="shared" ref="H23:H25" si="5">G23*17500</f>
        <v>2012500</v>
      </c>
      <c r="I23" s="8"/>
      <c r="J23" s="13">
        <v>800000</v>
      </c>
      <c r="K23" s="28"/>
      <c r="L23" s="29"/>
      <c r="M23" s="13"/>
      <c r="N23" s="13"/>
      <c r="O23" s="13">
        <f t="shared" si="1"/>
        <v>2812500</v>
      </c>
      <c r="P23" s="13">
        <v>5300000</v>
      </c>
      <c r="Q23" s="13">
        <f t="shared" si="2"/>
        <v>2487500</v>
      </c>
      <c r="R23" s="5"/>
    </row>
    <row r="24" spans="1:18" ht="22.5" customHeight="1" x14ac:dyDescent="0.25">
      <c r="A24" s="148">
        <v>18</v>
      </c>
      <c r="B24" s="120">
        <v>45563</v>
      </c>
      <c r="C24" s="10" t="s">
        <v>4043</v>
      </c>
      <c r="D24" s="25" t="s">
        <v>4067</v>
      </c>
      <c r="E24" s="10" t="s">
        <v>4049</v>
      </c>
      <c r="F24" s="8"/>
      <c r="G24" s="8">
        <v>80</v>
      </c>
      <c r="H24" s="13">
        <f t="shared" si="5"/>
        <v>1400000</v>
      </c>
      <c r="I24" s="8"/>
      <c r="J24" s="13">
        <v>980000</v>
      </c>
      <c r="K24" s="28"/>
      <c r="L24" s="29"/>
      <c r="M24" s="13"/>
      <c r="N24" s="13"/>
      <c r="O24" s="13">
        <f t="shared" si="1"/>
        <v>2380000</v>
      </c>
      <c r="P24" s="13">
        <v>4500000</v>
      </c>
      <c r="Q24" s="13">
        <f t="shared" si="2"/>
        <v>2120000</v>
      </c>
      <c r="R24" s="5"/>
    </row>
    <row r="25" spans="1:18" ht="22.5" customHeight="1" x14ac:dyDescent="0.25">
      <c r="A25" s="148">
        <v>19</v>
      </c>
      <c r="B25" s="120">
        <v>45565</v>
      </c>
      <c r="C25" s="10" t="s">
        <v>4044</v>
      </c>
      <c r="D25" s="25" t="s">
        <v>797</v>
      </c>
      <c r="E25" s="10" t="s">
        <v>4050</v>
      </c>
      <c r="F25" s="8"/>
      <c r="G25" s="8">
        <v>133</v>
      </c>
      <c r="H25" s="13">
        <f t="shared" si="5"/>
        <v>2327500</v>
      </c>
      <c r="I25" s="8"/>
      <c r="J25" s="13">
        <v>1030000</v>
      </c>
      <c r="K25" s="28"/>
      <c r="L25" s="29"/>
      <c r="M25" s="13"/>
      <c r="N25" s="13"/>
      <c r="O25" s="13">
        <f t="shared" si="1"/>
        <v>3357500</v>
      </c>
      <c r="P25" s="13">
        <v>5900000</v>
      </c>
      <c r="Q25" s="13">
        <f t="shared" si="2"/>
        <v>2542500</v>
      </c>
      <c r="R25" s="5"/>
    </row>
    <row r="26" spans="1:18" ht="24" customHeight="1" x14ac:dyDescent="0.25">
      <c r="A26" s="8"/>
      <c r="B26" s="8"/>
      <c r="C26" s="196" t="s">
        <v>131</v>
      </c>
      <c r="D26" s="197"/>
      <c r="E26" s="197"/>
      <c r="F26" s="198"/>
      <c r="G26" s="8"/>
      <c r="H26" s="13"/>
      <c r="I26" s="8"/>
      <c r="J26" s="13"/>
      <c r="K26" s="28">
        <v>1200000</v>
      </c>
      <c r="L26" s="28"/>
      <c r="M26" s="18"/>
      <c r="N26" s="28"/>
      <c r="O26" s="53">
        <f t="shared" ref="O26:O49" si="6">H26+J26+K26+L26+M26+N26</f>
        <v>1200000</v>
      </c>
      <c r="P26" s="28"/>
      <c r="Q26" s="54"/>
    </row>
    <row r="27" spans="1:18" ht="24" customHeight="1" x14ac:dyDescent="0.25">
      <c r="A27" s="8"/>
      <c r="B27" s="8"/>
      <c r="C27" s="196" t="s">
        <v>3144</v>
      </c>
      <c r="D27" s="197"/>
      <c r="E27" s="197"/>
      <c r="F27" s="198"/>
      <c r="G27" s="8"/>
      <c r="H27" s="13"/>
      <c r="I27" s="8"/>
      <c r="J27" s="13"/>
      <c r="K27" s="28">
        <v>6033091</v>
      </c>
      <c r="L27" s="28"/>
      <c r="M27" s="28"/>
      <c r="N27" s="28"/>
      <c r="O27" s="53">
        <f t="shared" si="6"/>
        <v>6033091</v>
      </c>
      <c r="P27" s="28"/>
      <c r="Q27" s="54"/>
    </row>
    <row r="28" spans="1:18" ht="24" customHeight="1" x14ac:dyDescent="0.25">
      <c r="A28" s="8"/>
      <c r="B28" s="8"/>
      <c r="C28" s="123" t="s">
        <v>4171</v>
      </c>
      <c r="D28" s="124"/>
      <c r="E28" s="124"/>
      <c r="F28" s="125"/>
      <c r="G28" s="8"/>
      <c r="H28" s="13"/>
      <c r="I28" s="8"/>
      <c r="J28" s="13"/>
      <c r="K28" s="28">
        <v>300000</v>
      </c>
      <c r="L28" s="28"/>
      <c r="M28" s="28"/>
      <c r="N28" s="28"/>
      <c r="O28" s="53">
        <f t="shared" si="6"/>
        <v>300000</v>
      </c>
      <c r="P28" s="28"/>
      <c r="Q28" s="54"/>
    </row>
    <row r="29" spans="1:18" ht="24" customHeight="1" x14ac:dyDescent="0.25">
      <c r="A29" s="8"/>
      <c r="B29" s="8"/>
      <c r="C29" s="196" t="s">
        <v>4134</v>
      </c>
      <c r="D29" s="197"/>
      <c r="E29" s="197"/>
      <c r="F29" s="198"/>
      <c r="G29" s="8"/>
      <c r="H29" s="13"/>
      <c r="I29" s="8"/>
      <c r="J29" s="13"/>
      <c r="K29" s="28"/>
      <c r="L29" s="28">
        <v>7200000</v>
      </c>
      <c r="M29" s="28"/>
      <c r="N29" s="28"/>
      <c r="O29" s="53">
        <f t="shared" si="6"/>
        <v>7200000</v>
      </c>
      <c r="P29" s="28"/>
      <c r="Q29" s="54"/>
    </row>
    <row r="30" spans="1:18" ht="24" customHeight="1" x14ac:dyDescent="0.25">
      <c r="A30" s="8"/>
      <c r="B30" s="8"/>
      <c r="C30" s="196" t="s">
        <v>4135</v>
      </c>
      <c r="D30" s="197"/>
      <c r="E30" s="197"/>
      <c r="F30" s="198"/>
      <c r="G30" s="8"/>
      <c r="H30" s="13"/>
      <c r="I30" s="8"/>
      <c r="J30" s="13"/>
      <c r="K30" s="28">
        <v>206545</v>
      </c>
      <c r="L30" s="28"/>
      <c r="M30" s="28"/>
      <c r="N30" s="28"/>
      <c r="O30" s="53">
        <f t="shared" si="6"/>
        <v>206545</v>
      </c>
      <c r="P30" s="28"/>
      <c r="Q30" s="54"/>
    </row>
    <row r="31" spans="1:18" ht="24" customHeight="1" x14ac:dyDescent="0.25">
      <c r="A31" s="8"/>
      <c r="B31" s="8"/>
      <c r="C31" s="196" t="s">
        <v>4136</v>
      </c>
      <c r="D31" s="197"/>
      <c r="E31" s="197"/>
      <c r="F31" s="198"/>
      <c r="G31" s="8"/>
      <c r="H31" s="13"/>
      <c r="I31" s="8"/>
      <c r="J31" s="13"/>
      <c r="K31" s="28"/>
      <c r="L31" s="28">
        <v>626400</v>
      </c>
      <c r="M31" s="28"/>
      <c r="N31" s="28"/>
      <c r="O31" s="53">
        <f t="shared" si="6"/>
        <v>626400</v>
      </c>
      <c r="P31" s="28"/>
      <c r="Q31" s="54"/>
    </row>
    <row r="32" spans="1:18" ht="24" customHeight="1" x14ac:dyDescent="0.25">
      <c r="A32" s="8"/>
      <c r="B32" s="8"/>
      <c r="C32" s="196" t="s">
        <v>4138</v>
      </c>
      <c r="D32" s="197"/>
      <c r="E32" s="197"/>
      <c r="F32" s="198"/>
      <c r="G32" s="8"/>
      <c r="H32" s="13"/>
      <c r="I32" s="8"/>
      <c r="J32" s="13"/>
      <c r="K32" s="28"/>
      <c r="L32" s="28">
        <v>1200000</v>
      </c>
      <c r="M32" s="28"/>
      <c r="N32" s="28"/>
      <c r="O32" s="53">
        <f t="shared" si="6"/>
        <v>1200000</v>
      </c>
      <c r="P32" s="28"/>
      <c r="Q32" s="54"/>
    </row>
    <row r="33" spans="1:17" ht="24" customHeight="1" x14ac:dyDescent="0.25">
      <c r="A33" s="8"/>
      <c r="B33" s="8"/>
      <c r="C33" s="196" t="s">
        <v>4139</v>
      </c>
      <c r="D33" s="197"/>
      <c r="E33" s="197"/>
      <c r="F33" s="198"/>
      <c r="G33" s="8"/>
      <c r="H33" s="13"/>
      <c r="I33" s="8"/>
      <c r="J33" s="13"/>
      <c r="K33" s="28"/>
      <c r="L33" s="28">
        <v>700000</v>
      </c>
      <c r="M33" s="28"/>
      <c r="N33" s="28"/>
      <c r="O33" s="53">
        <f t="shared" si="6"/>
        <v>700000</v>
      </c>
      <c r="P33" s="28"/>
      <c r="Q33" s="54"/>
    </row>
    <row r="34" spans="1:17" ht="24" customHeight="1" x14ac:dyDescent="0.25">
      <c r="A34" s="8"/>
      <c r="B34" s="8"/>
      <c r="C34" s="196" t="s">
        <v>4140</v>
      </c>
      <c r="D34" s="197"/>
      <c r="E34" s="197"/>
      <c r="F34" s="198"/>
      <c r="G34" s="8"/>
      <c r="H34" s="13"/>
      <c r="I34" s="8"/>
      <c r="J34" s="13"/>
      <c r="K34" s="28"/>
      <c r="L34" s="28">
        <v>100000</v>
      </c>
      <c r="M34" s="28"/>
      <c r="N34" s="28"/>
      <c r="O34" s="53">
        <f t="shared" si="6"/>
        <v>100000</v>
      </c>
      <c r="P34" s="28"/>
      <c r="Q34" s="54"/>
    </row>
    <row r="35" spans="1:17" ht="24" customHeight="1" x14ac:dyDescent="0.25">
      <c r="A35" s="8"/>
      <c r="B35" s="8"/>
      <c r="C35" s="196" t="s">
        <v>4141</v>
      </c>
      <c r="D35" s="197"/>
      <c r="E35" s="197"/>
      <c r="F35" s="198"/>
      <c r="G35" s="8"/>
      <c r="H35" s="13"/>
      <c r="I35" s="8"/>
      <c r="J35" s="13"/>
      <c r="K35" s="28"/>
      <c r="L35" s="28">
        <v>864000</v>
      </c>
      <c r="M35" s="28"/>
      <c r="N35" s="28"/>
      <c r="O35" s="53">
        <f t="shared" si="6"/>
        <v>864000</v>
      </c>
      <c r="P35" s="28"/>
      <c r="Q35" s="54"/>
    </row>
    <row r="36" spans="1:17" ht="24" customHeight="1" x14ac:dyDescent="0.25">
      <c r="A36" s="8"/>
      <c r="B36" s="8"/>
      <c r="C36" s="196" t="s">
        <v>4142</v>
      </c>
      <c r="D36" s="197"/>
      <c r="E36" s="197"/>
      <c r="F36" s="198"/>
      <c r="G36" s="8"/>
      <c r="H36" s="13"/>
      <c r="I36" s="8"/>
      <c r="J36" s="13"/>
      <c r="K36" s="28"/>
      <c r="L36" s="28">
        <v>8970000</v>
      </c>
      <c r="M36" s="28"/>
      <c r="N36" s="28"/>
      <c r="O36" s="53">
        <f t="shared" si="6"/>
        <v>8970000</v>
      </c>
      <c r="P36" s="28"/>
      <c r="Q36" s="54"/>
    </row>
    <row r="37" spans="1:17" ht="24" customHeight="1" x14ac:dyDescent="0.25">
      <c r="A37" s="8"/>
      <c r="B37" s="8"/>
      <c r="C37" s="196" t="s">
        <v>4143</v>
      </c>
      <c r="D37" s="197"/>
      <c r="E37" s="197"/>
      <c r="F37" s="198"/>
      <c r="G37" s="8"/>
      <c r="H37" s="13"/>
      <c r="I37" s="8"/>
      <c r="J37" s="13"/>
      <c r="K37" s="28"/>
      <c r="L37" s="28">
        <v>500000</v>
      </c>
      <c r="M37" s="28"/>
      <c r="N37" s="28"/>
      <c r="O37" s="53">
        <f t="shared" si="6"/>
        <v>500000</v>
      </c>
      <c r="P37" s="28"/>
      <c r="Q37" s="54"/>
    </row>
    <row r="38" spans="1:17" ht="24" customHeight="1" x14ac:dyDescent="0.25">
      <c r="A38" s="8"/>
      <c r="B38" s="8"/>
      <c r="C38" s="196" t="s">
        <v>4144</v>
      </c>
      <c r="D38" s="197"/>
      <c r="E38" s="197"/>
      <c r="F38" s="198"/>
      <c r="G38" s="8"/>
      <c r="H38" s="13"/>
      <c r="I38" s="8"/>
      <c r="J38" s="13"/>
      <c r="K38" s="28"/>
      <c r="L38" s="28">
        <v>180000</v>
      </c>
      <c r="M38" s="28"/>
      <c r="N38" s="28"/>
      <c r="O38" s="53">
        <f t="shared" si="6"/>
        <v>180000</v>
      </c>
      <c r="P38" s="28"/>
      <c r="Q38" s="54"/>
    </row>
    <row r="39" spans="1:17" ht="24" customHeight="1" x14ac:dyDescent="0.25">
      <c r="A39" s="8"/>
      <c r="B39" s="8"/>
      <c r="C39" s="196" t="s">
        <v>4147</v>
      </c>
      <c r="D39" s="197"/>
      <c r="E39" s="197"/>
      <c r="F39" s="198"/>
      <c r="G39" s="8"/>
      <c r="H39" s="13"/>
      <c r="I39" s="8"/>
      <c r="J39" s="13"/>
      <c r="K39" s="28"/>
      <c r="L39" s="28">
        <v>4200000</v>
      </c>
      <c r="M39" s="28"/>
      <c r="N39" s="28"/>
      <c r="O39" s="53">
        <f t="shared" si="6"/>
        <v>4200000</v>
      </c>
      <c r="P39" s="28"/>
      <c r="Q39" s="54"/>
    </row>
    <row r="40" spans="1:17" ht="24" customHeight="1" x14ac:dyDescent="0.25">
      <c r="A40" s="8"/>
      <c r="B40" s="8"/>
      <c r="C40" s="196" t="s">
        <v>4148</v>
      </c>
      <c r="D40" s="197"/>
      <c r="E40" s="197"/>
      <c r="F40" s="198"/>
      <c r="G40" s="8"/>
      <c r="H40" s="13"/>
      <c r="I40" s="8"/>
      <c r="J40" s="13"/>
      <c r="K40" s="28"/>
      <c r="L40" s="28">
        <v>550000</v>
      </c>
      <c r="M40" s="28"/>
      <c r="N40" s="28"/>
      <c r="O40" s="53">
        <f t="shared" si="6"/>
        <v>550000</v>
      </c>
      <c r="P40" s="28"/>
      <c r="Q40" s="54"/>
    </row>
    <row r="41" spans="1:17" ht="24" customHeight="1" x14ac:dyDescent="0.25">
      <c r="A41" s="8"/>
      <c r="B41" s="8"/>
      <c r="C41" s="196" t="s">
        <v>4149</v>
      </c>
      <c r="D41" s="197"/>
      <c r="E41" s="197"/>
      <c r="F41" s="198"/>
      <c r="G41" s="8"/>
      <c r="H41" s="13"/>
      <c r="I41" s="8"/>
      <c r="J41" s="13"/>
      <c r="K41" s="28"/>
      <c r="L41" s="28">
        <v>1200000</v>
      </c>
      <c r="M41" s="28"/>
      <c r="N41" s="28"/>
      <c r="O41" s="53">
        <f t="shared" si="6"/>
        <v>1200000</v>
      </c>
      <c r="P41" s="28"/>
      <c r="Q41" s="54"/>
    </row>
    <row r="42" spans="1:17" ht="24" customHeight="1" x14ac:dyDescent="0.25">
      <c r="A42" s="8"/>
      <c r="B42" s="8"/>
      <c r="C42" s="196" t="s">
        <v>4154</v>
      </c>
      <c r="D42" s="197"/>
      <c r="E42" s="197"/>
      <c r="F42" s="198"/>
      <c r="G42" s="8"/>
      <c r="H42" s="13"/>
      <c r="I42" s="8"/>
      <c r="J42" s="13"/>
      <c r="K42" s="28"/>
      <c r="L42" s="28"/>
      <c r="M42" s="28">
        <v>4900000</v>
      </c>
      <c r="N42" s="28"/>
      <c r="O42" s="53">
        <f t="shared" si="6"/>
        <v>4900000</v>
      </c>
      <c r="P42" s="28"/>
      <c r="Q42" s="54"/>
    </row>
    <row r="43" spans="1:17" ht="24" customHeight="1" x14ac:dyDescent="0.25">
      <c r="A43" s="8"/>
      <c r="B43" s="8"/>
      <c r="C43" s="196" t="s">
        <v>4155</v>
      </c>
      <c r="D43" s="197"/>
      <c r="E43" s="197"/>
      <c r="F43" s="198"/>
      <c r="G43" s="8"/>
      <c r="H43" s="13"/>
      <c r="I43" s="8"/>
      <c r="J43" s="13"/>
      <c r="K43" s="28"/>
      <c r="L43" s="28">
        <v>5000000</v>
      </c>
      <c r="M43" s="28"/>
      <c r="N43" s="28"/>
      <c r="O43" s="53">
        <f t="shared" si="6"/>
        <v>5000000</v>
      </c>
      <c r="P43" s="28"/>
      <c r="Q43" s="54"/>
    </row>
    <row r="44" spans="1:17" ht="24" customHeight="1" x14ac:dyDescent="0.25">
      <c r="A44" s="8"/>
      <c r="B44" s="8"/>
      <c r="C44" s="196" t="s">
        <v>4156</v>
      </c>
      <c r="D44" s="197"/>
      <c r="E44" s="197"/>
      <c r="F44" s="198"/>
      <c r="G44" s="8"/>
      <c r="H44" s="13"/>
      <c r="I44" s="8"/>
      <c r="J44" s="13"/>
      <c r="K44" s="28"/>
      <c r="L44" s="28">
        <v>500000</v>
      </c>
      <c r="M44" s="28"/>
      <c r="N44" s="28"/>
      <c r="O44" s="53">
        <f t="shared" si="6"/>
        <v>500000</v>
      </c>
      <c r="P44" s="28"/>
      <c r="Q44" s="54"/>
    </row>
    <row r="45" spans="1:17" ht="24" customHeight="1" x14ac:dyDescent="0.25">
      <c r="A45" s="8"/>
      <c r="B45" s="8"/>
      <c r="C45" s="196" t="s">
        <v>4158</v>
      </c>
      <c r="D45" s="197"/>
      <c r="E45" s="197"/>
      <c r="F45" s="198"/>
      <c r="G45" s="8"/>
      <c r="H45" s="13"/>
      <c r="I45" s="8"/>
      <c r="J45" s="13"/>
      <c r="K45" s="28"/>
      <c r="L45" s="28">
        <v>3720000</v>
      </c>
      <c r="M45" s="28"/>
      <c r="N45" s="28"/>
      <c r="O45" s="53">
        <f t="shared" si="6"/>
        <v>3720000</v>
      </c>
      <c r="P45" s="28"/>
      <c r="Q45" s="54"/>
    </row>
    <row r="46" spans="1:17" ht="24" customHeight="1" x14ac:dyDescent="0.25">
      <c r="A46" s="8"/>
      <c r="B46" s="8"/>
      <c r="C46" s="196" t="s">
        <v>4159</v>
      </c>
      <c r="D46" s="197"/>
      <c r="E46" s="197"/>
      <c r="F46" s="198"/>
      <c r="G46" s="8"/>
      <c r="H46" s="13"/>
      <c r="I46" s="8"/>
      <c r="J46" s="13"/>
      <c r="K46" s="28"/>
      <c r="L46" s="28">
        <v>2200000</v>
      </c>
      <c r="M46" s="28"/>
      <c r="N46" s="28"/>
      <c r="O46" s="53">
        <f t="shared" si="6"/>
        <v>2200000</v>
      </c>
      <c r="P46" s="28"/>
      <c r="Q46" s="54"/>
    </row>
    <row r="47" spans="1:17" ht="24" customHeight="1" x14ac:dyDescent="0.25">
      <c r="A47" s="8"/>
      <c r="B47" s="8"/>
      <c r="C47" s="196" t="s">
        <v>4167</v>
      </c>
      <c r="D47" s="197"/>
      <c r="E47" s="197"/>
      <c r="F47" s="198"/>
      <c r="G47" s="8"/>
      <c r="H47" s="13"/>
      <c r="I47" s="8"/>
      <c r="J47" s="13"/>
      <c r="K47" s="28"/>
      <c r="L47" s="28">
        <v>1080000</v>
      </c>
      <c r="M47" s="28"/>
      <c r="N47" s="28"/>
      <c r="O47" s="53">
        <f t="shared" si="6"/>
        <v>1080000</v>
      </c>
      <c r="P47" s="28"/>
      <c r="Q47" s="54"/>
    </row>
    <row r="48" spans="1:17" ht="24" customHeight="1" x14ac:dyDescent="0.25">
      <c r="A48" s="8"/>
      <c r="B48" s="8"/>
      <c r="C48" s="196" t="s">
        <v>4168</v>
      </c>
      <c r="D48" s="197"/>
      <c r="E48" s="197"/>
      <c r="F48" s="198"/>
      <c r="G48" s="8"/>
      <c r="H48" s="13"/>
      <c r="I48" s="8"/>
      <c r="J48" s="13"/>
      <c r="K48" s="28"/>
      <c r="L48" s="28">
        <v>350000</v>
      </c>
      <c r="M48" s="28"/>
      <c r="N48" s="28"/>
      <c r="O48" s="53">
        <f t="shared" si="6"/>
        <v>350000</v>
      </c>
      <c r="P48" s="28"/>
      <c r="Q48" s="54"/>
    </row>
    <row r="49" spans="1:17" ht="24" customHeight="1" x14ac:dyDescent="0.25">
      <c r="A49" s="8"/>
      <c r="B49" s="8"/>
      <c r="C49" s="196" t="s">
        <v>4169</v>
      </c>
      <c r="D49" s="197"/>
      <c r="E49" s="197"/>
      <c r="F49" s="198"/>
      <c r="G49" s="8"/>
      <c r="H49" s="13"/>
      <c r="I49" s="8"/>
      <c r="J49" s="13"/>
      <c r="K49" s="28"/>
      <c r="L49" s="28">
        <v>3000000</v>
      </c>
      <c r="M49" s="28"/>
      <c r="N49" s="28"/>
      <c r="O49" s="53">
        <f t="shared" si="6"/>
        <v>3000000</v>
      </c>
      <c r="P49" s="28"/>
      <c r="Q49" s="54"/>
    </row>
    <row r="50" spans="1:17" ht="25.5" customHeight="1" x14ac:dyDescent="0.25">
      <c r="A50" s="8"/>
      <c r="B50" s="8"/>
      <c r="C50" s="191" t="s">
        <v>2817</v>
      </c>
      <c r="D50" s="192"/>
      <c r="E50" s="192"/>
      <c r="F50" s="195"/>
      <c r="G50" s="30"/>
      <c r="H50" s="28"/>
      <c r="I50" s="30"/>
      <c r="J50" s="28"/>
      <c r="K50" s="28">
        <v>8100000</v>
      </c>
      <c r="L50" s="28"/>
      <c r="M50" s="18"/>
      <c r="N50" s="28"/>
      <c r="O50" s="53">
        <f>H50+J50+K50+L50+M50+N50</f>
        <v>8100000</v>
      </c>
      <c r="P50" s="28"/>
      <c r="Q50" s="54"/>
    </row>
    <row r="51" spans="1:17" ht="15" customHeight="1" x14ac:dyDescent="0.25">
      <c r="A51" s="166" t="s">
        <v>19</v>
      </c>
      <c r="B51" s="167"/>
      <c r="C51" s="167"/>
      <c r="D51" s="167"/>
      <c r="E51" s="167"/>
      <c r="F51" s="168"/>
      <c r="G51" s="131">
        <f t="shared" ref="G51:P51" si="7">SUM(G7:G50)</f>
        <v>2045</v>
      </c>
      <c r="H51" s="4">
        <f t="shared" si="7"/>
        <v>35748580</v>
      </c>
      <c r="I51" s="4">
        <f t="shared" si="7"/>
        <v>0</v>
      </c>
      <c r="J51" s="4">
        <f t="shared" si="7"/>
        <v>17104000</v>
      </c>
      <c r="K51" s="4">
        <f t="shared" si="7"/>
        <v>15839636</v>
      </c>
      <c r="L51" s="4">
        <f t="shared" si="7"/>
        <v>42140400</v>
      </c>
      <c r="M51" s="4">
        <f t="shared" si="7"/>
        <v>4900000</v>
      </c>
      <c r="N51" s="4">
        <f t="shared" si="7"/>
        <v>0</v>
      </c>
      <c r="O51" s="4">
        <f t="shared" si="7"/>
        <v>115732616</v>
      </c>
      <c r="P51" s="4">
        <f t="shared" si="7"/>
        <v>96976665</v>
      </c>
      <c r="Q51" s="122">
        <f>P51-O51</f>
        <v>-18755951</v>
      </c>
    </row>
    <row r="52" spans="1:17" x14ac:dyDescent="0.25">
      <c r="O52" s="20"/>
      <c r="P52" s="5" t="s">
        <v>1796</v>
      </c>
      <c r="Q52" s="26"/>
    </row>
    <row r="53" spans="1:17" x14ac:dyDescent="0.25">
      <c r="P53" s="21" t="s">
        <v>20</v>
      </c>
      <c r="Q53" s="26">
        <f>'08.2024'!Q52+'09.2024'!Q51</f>
        <v>142837561</v>
      </c>
    </row>
    <row r="54" spans="1:17" x14ac:dyDescent="0.25">
      <c r="C54" s="6" t="s">
        <v>993</v>
      </c>
    </row>
    <row r="55" spans="1:17" x14ac:dyDescent="0.25">
      <c r="C55" s="205"/>
      <c r="D55" s="205"/>
      <c r="E55" s="205"/>
      <c r="F55" s="205"/>
      <c r="H55" s="109"/>
    </row>
    <row r="56" spans="1:17" x14ac:dyDescent="0.25">
      <c r="C56" s="206"/>
      <c r="D56" s="206"/>
      <c r="E56" s="206"/>
      <c r="F56" s="206"/>
      <c r="H56" s="109"/>
    </row>
    <row r="57" spans="1:17" x14ac:dyDescent="0.25">
      <c r="B57" s="6"/>
      <c r="C57" s="110"/>
      <c r="D57" s="110"/>
      <c r="E57" s="110"/>
      <c r="F57" s="110"/>
      <c r="G57" s="133"/>
      <c r="H57" s="109"/>
    </row>
    <row r="58" spans="1:17" x14ac:dyDescent="0.25">
      <c r="B58" s="6"/>
      <c r="C58" s="206"/>
      <c r="D58" s="206"/>
      <c r="E58" s="206"/>
      <c r="F58" s="206"/>
      <c r="H58" s="109"/>
    </row>
    <row r="59" spans="1:17" x14ac:dyDescent="0.25">
      <c r="B59" s="6"/>
      <c r="C59" s="206"/>
      <c r="D59" s="206"/>
      <c r="E59" s="206"/>
      <c r="F59" s="206"/>
      <c r="H59" s="109"/>
    </row>
    <row r="60" spans="1:17" x14ac:dyDescent="0.25">
      <c r="B60" s="6"/>
      <c r="C60" s="206"/>
      <c r="D60" s="206"/>
      <c r="E60" s="206"/>
      <c r="F60" s="206"/>
      <c r="G60" s="133"/>
      <c r="H60" s="109"/>
      <c r="J60" s="6"/>
      <c r="K60" s="6"/>
      <c r="L60" s="6"/>
      <c r="M60" s="6"/>
      <c r="N60" s="6"/>
      <c r="O60" s="6"/>
      <c r="P60" s="6"/>
      <c r="Q60" s="6"/>
    </row>
    <row r="61" spans="1:17" x14ac:dyDescent="0.2">
      <c r="C61" s="107"/>
      <c r="D61" s="110"/>
      <c r="E61" s="110"/>
      <c r="F61" s="110"/>
      <c r="H61" s="109"/>
    </row>
    <row r="62" spans="1:17" x14ac:dyDescent="0.25">
      <c r="C62" s="205"/>
      <c r="D62" s="205"/>
      <c r="E62" s="205"/>
      <c r="F62" s="205"/>
    </row>
  </sheetData>
  <mergeCells count="44">
    <mergeCell ref="C47:F47"/>
    <mergeCell ref="C48:F48"/>
    <mergeCell ref="C49:F49"/>
    <mergeCell ref="C45:F45"/>
    <mergeCell ref="C46:F46"/>
    <mergeCell ref="C40:F40"/>
    <mergeCell ref="C41:F41"/>
    <mergeCell ref="C42:F42"/>
    <mergeCell ref="C43:F43"/>
    <mergeCell ref="C44:F44"/>
    <mergeCell ref="C35:F35"/>
    <mergeCell ref="C36:F36"/>
    <mergeCell ref="C37:F37"/>
    <mergeCell ref="C38:F38"/>
    <mergeCell ref="C39:F39"/>
    <mergeCell ref="C30:F30"/>
    <mergeCell ref="C31:F31"/>
    <mergeCell ref="C32:F32"/>
    <mergeCell ref="C33:F33"/>
    <mergeCell ref="C34:F34"/>
    <mergeCell ref="C60:F60"/>
    <mergeCell ref="C62:F62"/>
    <mergeCell ref="C50:F50"/>
    <mergeCell ref="A51:F51"/>
    <mergeCell ref="C55:F55"/>
    <mergeCell ref="C56:F56"/>
    <mergeCell ref="C58:F58"/>
    <mergeCell ref="C59:F59"/>
    <mergeCell ref="C29:F29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26:F26"/>
    <mergeCell ref="C27:F27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75A8-C879-4F7C-9A31-49505520584A}">
  <dimension ref="A1:R54"/>
  <sheetViews>
    <sheetView topLeftCell="A24" workbookViewId="0">
      <selection activeCell="C33" sqref="C33:F33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4068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ht="27.75" customHeight="1" x14ac:dyDescent="0.25">
      <c r="A7" s="155">
        <v>1</v>
      </c>
      <c r="B7" s="156">
        <v>45566</v>
      </c>
      <c r="C7" s="157" t="s">
        <v>4069</v>
      </c>
      <c r="D7" s="158" t="s">
        <v>4084</v>
      </c>
      <c r="E7" s="157" t="s">
        <v>4103</v>
      </c>
      <c r="F7" s="159"/>
      <c r="G7" s="159">
        <v>128</v>
      </c>
      <c r="H7" s="160">
        <f>G7*17500</f>
        <v>2240000</v>
      </c>
      <c r="I7" s="159"/>
      <c r="J7" s="160">
        <v>1120000</v>
      </c>
      <c r="K7" s="161"/>
      <c r="L7" s="162"/>
      <c r="M7" s="160"/>
      <c r="N7" s="160"/>
      <c r="O7" s="160">
        <f>SUM(H7:N7)</f>
        <v>3360000</v>
      </c>
      <c r="P7" s="160"/>
      <c r="Q7" s="160">
        <f>P7-O7</f>
        <v>-3360000</v>
      </c>
      <c r="R7" s="5"/>
    </row>
    <row r="8" spans="1:18" ht="24.75" customHeight="1" x14ac:dyDescent="0.25">
      <c r="A8" s="148">
        <v>2</v>
      </c>
      <c r="B8" s="120">
        <v>45567</v>
      </c>
      <c r="C8" s="10" t="s">
        <v>4070</v>
      </c>
      <c r="D8" s="129" t="s">
        <v>4085</v>
      </c>
      <c r="E8" s="9" t="s">
        <v>4104</v>
      </c>
      <c r="F8" s="117"/>
      <c r="G8" s="8">
        <v>125</v>
      </c>
      <c r="H8" s="13">
        <f>G8*17400</f>
        <v>2175000</v>
      </c>
      <c r="I8" s="117"/>
      <c r="J8" s="119">
        <v>877000</v>
      </c>
      <c r="K8" s="28"/>
      <c r="L8" s="29"/>
      <c r="M8" s="13"/>
      <c r="N8" s="13"/>
      <c r="O8" s="13">
        <f t="shared" ref="O8:O26" si="0">SUM(H8:N8)</f>
        <v>3052000</v>
      </c>
      <c r="P8" s="13">
        <v>5400000</v>
      </c>
      <c r="Q8" s="13">
        <f>P8-O8</f>
        <v>2348000</v>
      </c>
      <c r="R8" s="5"/>
    </row>
    <row r="9" spans="1:18" ht="24.75" customHeight="1" x14ac:dyDescent="0.25">
      <c r="A9" s="148">
        <v>3</v>
      </c>
      <c r="B9" s="120">
        <v>45568</v>
      </c>
      <c r="C9" s="10" t="s">
        <v>4071</v>
      </c>
      <c r="D9" s="25" t="s">
        <v>4086</v>
      </c>
      <c r="E9" s="10" t="s">
        <v>4105</v>
      </c>
      <c r="F9" s="8"/>
      <c r="G9" s="8">
        <v>71</v>
      </c>
      <c r="H9" s="13">
        <f t="shared" ref="H9:H12" si="1">G9*17400</f>
        <v>1235400</v>
      </c>
      <c r="I9" s="8"/>
      <c r="J9" s="13">
        <v>430000</v>
      </c>
      <c r="K9" s="28"/>
      <c r="L9" s="29"/>
      <c r="M9" s="13"/>
      <c r="N9" s="13"/>
      <c r="O9" s="13">
        <f t="shared" si="0"/>
        <v>1665400</v>
      </c>
      <c r="P9" s="13"/>
      <c r="Q9" s="13">
        <f t="shared" ref="Q9:Q26" si="2">P9-O9</f>
        <v>-1665400</v>
      </c>
      <c r="R9" s="5"/>
    </row>
    <row r="10" spans="1:18" ht="27.75" customHeight="1" x14ac:dyDescent="0.25">
      <c r="A10" s="148">
        <v>4</v>
      </c>
      <c r="B10" s="120">
        <v>45572</v>
      </c>
      <c r="C10" s="10" t="s">
        <v>4072</v>
      </c>
      <c r="D10" s="25" t="s">
        <v>4087</v>
      </c>
      <c r="E10" s="10" t="s">
        <v>4106</v>
      </c>
      <c r="F10" s="8"/>
      <c r="G10" s="8">
        <v>136</v>
      </c>
      <c r="H10" s="13">
        <f t="shared" si="1"/>
        <v>2366400</v>
      </c>
      <c r="I10" s="8"/>
      <c r="J10" s="13">
        <v>1120000</v>
      </c>
      <c r="K10" s="28"/>
      <c r="L10" s="29"/>
      <c r="M10" s="13"/>
      <c r="N10" s="13"/>
      <c r="O10" s="13">
        <f t="shared" si="0"/>
        <v>3486400</v>
      </c>
      <c r="P10" s="13">
        <v>5900000</v>
      </c>
      <c r="Q10" s="13">
        <f t="shared" si="2"/>
        <v>2413600</v>
      </c>
      <c r="R10" s="5"/>
    </row>
    <row r="11" spans="1:18" ht="27.75" customHeight="1" x14ac:dyDescent="0.25">
      <c r="A11" s="148">
        <v>5</v>
      </c>
      <c r="B11" s="120">
        <v>45572</v>
      </c>
      <c r="C11" s="10" t="s">
        <v>4073</v>
      </c>
      <c r="D11" s="25" t="s">
        <v>4088</v>
      </c>
      <c r="E11" s="10" t="s">
        <v>4107</v>
      </c>
      <c r="F11" s="8"/>
      <c r="G11" s="8">
        <v>120</v>
      </c>
      <c r="H11" s="13">
        <f t="shared" si="1"/>
        <v>2088000</v>
      </c>
      <c r="I11" s="8"/>
      <c r="J11" s="13">
        <v>790000</v>
      </c>
      <c r="K11" s="28"/>
      <c r="L11" s="29"/>
      <c r="M11" s="13"/>
      <c r="N11" s="13"/>
      <c r="O11" s="13">
        <f t="shared" si="0"/>
        <v>2878000</v>
      </c>
      <c r="P11" s="13">
        <v>5500000</v>
      </c>
      <c r="Q11" s="13">
        <f t="shared" si="2"/>
        <v>2622000</v>
      </c>
      <c r="R11" s="5"/>
    </row>
    <row r="12" spans="1:18" ht="27.75" customHeight="1" x14ac:dyDescent="0.25">
      <c r="A12" s="148">
        <v>6</v>
      </c>
      <c r="B12" s="120">
        <v>45573</v>
      </c>
      <c r="C12" s="10" t="s">
        <v>4074</v>
      </c>
      <c r="D12" s="25" t="s">
        <v>4089</v>
      </c>
      <c r="E12" s="10" t="s">
        <v>4108</v>
      </c>
      <c r="F12" s="8"/>
      <c r="G12" s="8">
        <v>99</v>
      </c>
      <c r="H12" s="13">
        <f t="shared" si="1"/>
        <v>1722600</v>
      </c>
      <c r="I12" s="8"/>
      <c r="J12" s="13">
        <v>980000</v>
      </c>
      <c r="K12" s="28"/>
      <c r="L12" s="29"/>
      <c r="M12" s="13"/>
      <c r="N12" s="13"/>
      <c r="O12" s="13">
        <f t="shared" si="0"/>
        <v>2702600</v>
      </c>
      <c r="P12" s="13">
        <v>4900000</v>
      </c>
      <c r="Q12" s="13">
        <f t="shared" si="2"/>
        <v>2197400</v>
      </c>
      <c r="R12" s="5"/>
    </row>
    <row r="13" spans="1:18" ht="27.75" customHeight="1" x14ac:dyDescent="0.25">
      <c r="A13" s="148">
        <v>7</v>
      </c>
      <c r="B13" s="149">
        <v>45575</v>
      </c>
      <c r="C13" s="111" t="s">
        <v>4075</v>
      </c>
      <c r="D13" s="112" t="s">
        <v>4090</v>
      </c>
      <c r="E13" s="111" t="s">
        <v>4109</v>
      </c>
      <c r="F13" s="12"/>
      <c r="G13" s="8">
        <v>218</v>
      </c>
      <c r="H13" s="13">
        <f>G13*18500</f>
        <v>4033000</v>
      </c>
      <c r="I13" s="8"/>
      <c r="J13" s="13">
        <v>1970000</v>
      </c>
      <c r="K13" s="18"/>
      <c r="L13" s="99"/>
      <c r="M13" s="3"/>
      <c r="N13" s="3"/>
      <c r="O13" s="13">
        <f t="shared" si="0"/>
        <v>6003000</v>
      </c>
      <c r="P13" s="13">
        <v>10933333</v>
      </c>
      <c r="Q13" s="13">
        <f t="shared" si="2"/>
        <v>4930333</v>
      </c>
      <c r="R13" s="5"/>
    </row>
    <row r="14" spans="1:18" ht="27.75" customHeight="1" x14ac:dyDescent="0.25">
      <c r="A14" s="148">
        <v>8</v>
      </c>
      <c r="B14" s="120">
        <v>45577</v>
      </c>
      <c r="C14" s="10" t="s">
        <v>4076</v>
      </c>
      <c r="D14" s="25" t="s">
        <v>4091</v>
      </c>
      <c r="E14" s="10" t="s">
        <v>2045</v>
      </c>
      <c r="F14" s="8"/>
      <c r="G14" s="8">
        <v>320</v>
      </c>
      <c r="H14" s="13">
        <f t="shared" ref="H14:H17" si="3">G14*18500</f>
        <v>5920000</v>
      </c>
      <c r="I14" s="8"/>
      <c r="J14" s="119">
        <v>3300000</v>
      </c>
      <c r="K14" s="28"/>
      <c r="L14" s="29"/>
      <c r="M14" s="13"/>
      <c r="N14" s="13"/>
      <c r="O14" s="13">
        <f t="shared" si="0"/>
        <v>9220000</v>
      </c>
      <c r="P14" s="13">
        <v>16666667</v>
      </c>
      <c r="Q14" s="13">
        <f t="shared" si="2"/>
        <v>7446667</v>
      </c>
      <c r="R14" s="5"/>
    </row>
    <row r="15" spans="1:18" ht="27.75" customHeight="1" x14ac:dyDescent="0.25">
      <c r="A15" s="148">
        <v>9</v>
      </c>
      <c r="B15" s="120">
        <v>45580</v>
      </c>
      <c r="C15" s="10" t="s">
        <v>211</v>
      </c>
      <c r="D15" s="25" t="s">
        <v>4092</v>
      </c>
      <c r="E15" s="10" t="s">
        <v>33</v>
      </c>
      <c r="F15" s="8"/>
      <c r="G15" s="8">
        <v>160</v>
      </c>
      <c r="H15" s="13">
        <f t="shared" si="3"/>
        <v>2960000</v>
      </c>
      <c r="I15" s="8"/>
      <c r="J15" s="13">
        <v>1470000</v>
      </c>
      <c r="K15" s="28"/>
      <c r="L15" s="29"/>
      <c r="M15" s="13"/>
      <c r="N15" s="13"/>
      <c r="O15" s="13">
        <f t="shared" si="0"/>
        <v>4430000</v>
      </c>
      <c r="P15" s="13">
        <v>7833333</v>
      </c>
      <c r="Q15" s="13">
        <f t="shared" si="2"/>
        <v>3403333</v>
      </c>
      <c r="R15" s="5"/>
    </row>
    <row r="16" spans="1:18" ht="27.75" customHeight="1" x14ac:dyDescent="0.25">
      <c r="A16" s="148">
        <v>10</v>
      </c>
      <c r="B16" s="120">
        <v>45581</v>
      </c>
      <c r="C16" s="10" t="s">
        <v>4077</v>
      </c>
      <c r="D16" s="25" t="s">
        <v>4093</v>
      </c>
      <c r="E16" s="10" t="s">
        <v>4110</v>
      </c>
      <c r="F16" s="8"/>
      <c r="G16" s="8">
        <v>155</v>
      </c>
      <c r="H16" s="13">
        <f t="shared" si="3"/>
        <v>2867500</v>
      </c>
      <c r="I16" s="8"/>
      <c r="J16" s="13">
        <v>816000</v>
      </c>
      <c r="K16" s="28"/>
      <c r="L16" s="29"/>
      <c r="M16" s="13"/>
      <c r="N16" s="13"/>
      <c r="O16" s="13">
        <f t="shared" si="0"/>
        <v>3683500</v>
      </c>
      <c r="P16" s="13">
        <v>6700000</v>
      </c>
      <c r="Q16" s="13">
        <f t="shared" si="2"/>
        <v>3016500</v>
      </c>
      <c r="R16" s="5"/>
    </row>
    <row r="17" spans="1:18" ht="22.5" customHeight="1" x14ac:dyDescent="0.25">
      <c r="A17" s="148">
        <v>11</v>
      </c>
      <c r="B17" s="120">
        <v>45582</v>
      </c>
      <c r="C17" s="10" t="s">
        <v>2926</v>
      </c>
      <c r="D17" s="25" t="s">
        <v>4094</v>
      </c>
      <c r="E17" s="10" t="s">
        <v>1043</v>
      </c>
      <c r="F17" s="8"/>
      <c r="G17" s="8">
        <v>120</v>
      </c>
      <c r="H17" s="13">
        <f t="shared" si="3"/>
        <v>2220000</v>
      </c>
      <c r="I17" s="8"/>
      <c r="J17" s="13">
        <v>680000</v>
      </c>
      <c r="K17" s="28"/>
      <c r="L17" s="29"/>
      <c r="M17" s="13"/>
      <c r="N17" s="13"/>
      <c r="O17" s="13">
        <f t="shared" si="0"/>
        <v>2900000</v>
      </c>
      <c r="P17" s="13">
        <v>5270370</v>
      </c>
      <c r="Q17" s="13">
        <f t="shared" si="2"/>
        <v>2370370</v>
      </c>
      <c r="R17" s="5"/>
    </row>
    <row r="18" spans="1:18" ht="22.5" customHeight="1" x14ac:dyDescent="0.25">
      <c r="A18" s="148">
        <v>12</v>
      </c>
      <c r="B18" s="120">
        <v>45583</v>
      </c>
      <c r="C18" s="10" t="s">
        <v>4078</v>
      </c>
      <c r="D18" s="25" t="s">
        <v>4095</v>
      </c>
      <c r="E18" s="10" t="s">
        <v>4111</v>
      </c>
      <c r="F18" s="8"/>
      <c r="G18" s="8">
        <v>137</v>
      </c>
      <c r="H18" s="13">
        <f>G18*18320</f>
        <v>2509840</v>
      </c>
      <c r="I18" s="8"/>
      <c r="J18" s="13">
        <v>1120000</v>
      </c>
      <c r="K18" s="28"/>
      <c r="L18" s="29"/>
      <c r="M18" s="13"/>
      <c r="N18" s="13"/>
      <c r="O18" s="13">
        <f t="shared" si="0"/>
        <v>3629840</v>
      </c>
      <c r="P18" s="13">
        <v>5900000</v>
      </c>
      <c r="Q18" s="13">
        <f t="shared" si="2"/>
        <v>2270160</v>
      </c>
      <c r="R18" s="5"/>
    </row>
    <row r="19" spans="1:18" ht="22.5" customHeight="1" x14ac:dyDescent="0.25">
      <c r="A19" s="148">
        <v>13</v>
      </c>
      <c r="B19" s="120">
        <v>45584</v>
      </c>
      <c r="C19" s="10" t="s">
        <v>1622</v>
      </c>
      <c r="D19" s="25" t="s">
        <v>4096</v>
      </c>
      <c r="E19" s="10" t="s">
        <v>4112</v>
      </c>
      <c r="F19" s="8"/>
      <c r="G19" s="8">
        <v>110</v>
      </c>
      <c r="H19" s="13">
        <f t="shared" ref="H19:H22" si="4">G19*18320</f>
        <v>2015200</v>
      </c>
      <c r="I19" s="8"/>
      <c r="J19" s="13">
        <v>680000</v>
      </c>
      <c r="K19" s="28"/>
      <c r="L19" s="29"/>
      <c r="M19" s="13"/>
      <c r="N19" s="13"/>
      <c r="O19" s="13">
        <f t="shared" si="0"/>
        <v>2695200</v>
      </c>
      <c r="P19" s="13"/>
      <c r="Q19" s="13">
        <f t="shared" si="2"/>
        <v>-2695200</v>
      </c>
      <c r="R19" s="5"/>
    </row>
    <row r="20" spans="1:18" ht="22.5" customHeight="1" x14ac:dyDescent="0.25">
      <c r="A20" s="148">
        <v>14</v>
      </c>
      <c r="B20" s="120">
        <v>45586</v>
      </c>
      <c r="C20" s="10" t="s">
        <v>4079</v>
      </c>
      <c r="D20" s="25" t="s">
        <v>4097</v>
      </c>
      <c r="E20" s="10" t="s">
        <v>4113</v>
      </c>
      <c r="F20" s="8"/>
      <c r="G20" s="8">
        <v>116</v>
      </c>
      <c r="H20" s="13">
        <f t="shared" si="4"/>
        <v>2125120</v>
      </c>
      <c r="I20" s="8"/>
      <c r="J20" s="13">
        <v>980000</v>
      </c>
      <c r="K20" s="28"/>
      <c r="L20" s="29"/>
      <c r="M20" s="13"/>
      <c r="N20" s="13"/>
      <c r="O20" s="13">
        <f t="shared" si="0"/>
        <v>3105120</v>
      </c>
      <c r="P20" s="13">
        <v>5400000</v>
      </c>
      <c r="Q20" s="13">
        <f t="shared" si="2"/>
        <v>2294880</v>
      </c>
      <c r="R20" s="5"/>
    </row>
    <row r="21" spans="1:18" ht="22.5" customHeight="1" x14ac:dyDescent="0.25">
      <c r="A21" s="148">
        <v>15</v>
      </c>
      <c r="B21" s="120">
        <v>45587</v>
      </c>
      <c r="C21" s="10" t="s">
        <v>971</v>
      </c>
      <c r="D21" s="25" t="s">
        <v>4098</v>
      </c>
      <c r="E21" s="10" t="s">
        <v>4113</v>
      </c>
      <c r="F21" s="8"/>
      <c r="G21" s="8">
        <v>122</v>
      </c>
      <c r="H21" s="13">
        <f t="shared" si="4"/>
        <v>2235040</v>
      </c>
      <c r="I21" s="8"/>
      <c r="J21" s="13">
        <v>1030000</v>
      </c>
      <c r="K21" s="28"/>
      <c r="L21" s="29"/>
      <c r="M21" s="13"/>
      <c r="N21" s="13"/>
      <c r="O21" s="13">
        <f t="shared" si="0"/>
        <v>3265040</v>
      </c>
      <c r="P21" s="13">
        <v>5400000</v>
      </c>
      <c r="Q21" s="13">
        <f t="shared" si="2"/>
        <v>2134960</v>
      </c>
      <c r="R21" s="5"/>
    </row>
    <row r="22" spans="1:18" ht="22.5" customHeight="1" x14ac:dyDescent="0.25">
      <c r="A22" s="148">
        <v>16</v>
      </c>
      <c r="B22" s="120">
        <v>45589</v>
      </c>
      <c r="C22" s="10" t="s">
        <v>4080</v>
      </c>
      <c r="D22" s="25" t="s">
        <v>4099</v>
      </c>
      <c r="E22" s="10" t="s">
        <v>1043</v>
      </c>
      <c r="F22" s="8"/>
      <c r="G22" s="8">
        <v>120</v>
      </c>
      <c r="H22" s="13">
        <f t="shared" si="4"/>
        <v>2198400</v>
      </c>
      <c r="I22" s="8"/>
      <c r="J22" s="13">
        <v>680000</v>
      </c>
      <c r="K22" s="28"/>
      <c r="L22" s="29"/>
      <c r="M22" s="13"/>
      <c r="N22" s="13"/>
      <c r="O22" s="13">
        <f t="shared" si="0"/>
        <v>2878400</v>
      </c>
      <c r="P22" s="13">
        <v>5270370</v>
      </c>
      <c r="Q22" s="13">
        <f t="shared" si="2"/>
        <v>2391970</v>
      </c>
      <c r="R22" s="5"/>
    </row>
    <row r="23" spans="1:18" ht="22.5" customHeight="1" x14ac:dyDescent="0.25">
      <c r="A23" s="148">
        <v>17</v>
      </c>
      <c r="B23" s="120">
        <v>45590</v>
      </c>
      <c r="C23" s="10" t="s">
        <v>4081</v>
      </c>
      <c r="D23" s="25" t="s">
        <v>4100</v>
      </c>
      <c r="E23" s="10" t="s">
        <v>4114</v>
      </c>
      <c r="F23" s="8"/>
      <c r="G23" s="8">
        <v>150</v>
      </c>
      <c r="H23" s="13">
        <f>G23*18050</f>
        <v>2707500</v>
      </c>
      <c r="I23" s="8"/>
      <c r="J23" s="13">
        <v>1260000</v>
      </c>
      <c r="K23" s="28"/>
      <c r="L23" s="29"/>
      <c r="M23" s="13"/>
      <c r="N23" s="13"/>
      <c r="O23" s="13">
        <f t="shared" si="0"/>
        <v>3967500</v>
      </c>
      <c r="P23" s="13">
        <v>3151482</v>
      </c>
      <c r="Q23" s="13">
        <f t="shared" si="2"/>
        <v>-816018</v>
      </c>
      <c r="R23" s="5"/>
    </row>
    <row r="24" spans="1:18" ht="22.5" customHeight="1" x14ac:dyDescent="0.25">
      <c r="A24" s="148">
        <v>18</v>
      </c>
      <c r="B24" s="120">
        <v>45590</v>
      </c>
      <c r="C24" s="10" t="s">
        <v>4082</v>
      </c>
      <c r="D24" s="25" t="s">
        <v>4100</v>
      </c>
      <c r="E24" s="10" t="s">
        <v>4115</v>
      </c>
      <c r="F24" s="8"/>
      <c r="G24" s="8"/>
      <c r="H24" s="13">
        <f t="shared" ref="H24:H26" si="5">G24*18050</f>
        <v>0</v>
      </c>
      <c r="I24" s="8"/>
      <c r="J24" s="13"/>
      <c r="K24" s="28"/>
      <c r="L24" s="29"/>
      <c r="M24" s="13"/>
      <c r="N24" s="13"/>
      <c r="O24" s="13">
        <f t="shared" si="0"/>
        <v>0</v>
      </c>
      <c r="P24" s="13">
        <v>3500000</v>
      </c>
      <c r="Q24" s="13">
        <f t="shared" si="2"/>
        <v>3500000</v>
      </c>
      <c r="R24" s="5"/>
    </row>
    <row r="25" spans="1:18" ht="22.5" customHeight="1" x14ac:dyDescent="0.25">
      <c r="A25" s="148">
        <v>19</v>
      </c>
      <c r="B25" s="120">
        <v>45594</v>
      </c>
      <c r="C25" s="10" t="s">
        <v>983</v>
      </c>
      <c r="D25" s="25" t="s">
        <v>4101</v>
      </c>
      <c r="E25" s="10" t="s">
        <v>262</v>
      </c>
      <c r="F25" s="8"/>
      <c r="G25" s="8">
        <v>35</v>
      </c>
      <c r="H25" s="13">
        <f t="shared" si="5"/>
        <v>631750</v>
      </c>
      <c r="I25" s="8"/>
      <c r="J25" s="13">
        <v>300000</v>
      </c>
      <c r="K25" s="28"/>
      <c r="L25" s="29"/>
      <c r="M25" s="13"/>
      <c r="N25" s="13"/>
      <c r="O25" s="13">
        <f t="shared" si="0"/>
        <v>931750</v>
      </c>
      <c r="P25" s="13">
        <v>2000000</v>
      </c>
      <c r="Q25" s="13">
        <f t="shared" si="2"/>
        <v>1068250</v>
      </c>
      <c r="R25" s="5"/>
    </row>
    <row r="26" spans="1:18" ht="22.5" customHeight="1" x14ac:dyDescent="0.25">
      <c r="A26" s="154">
        <v>20</v>
      </c>
      <c r="B26" s="120">
        <v>45595</v>
      </c>
      <c r="C26" s="10" t="s">
        <v>4083</v>
      </c>
      <c r="D26" s="25" t="s">
        <v>4102</v>
      </c>
      <c r="E26" s="10" t="s">
        <v>112</v>
      </c>
      <c r="F26" s="8"/>
      <c r="G26" s="8">
        <v>237</v>
      </c>
      <c r="H26" s="13">
        <f t="shared" si="5"/>
        <v>4277850</v>
      </c>
      <c r="I26" s="8"/>
      <c r="J26" s="13">
        <v>2420000</v>
      </c>
      <c r="K26" s="28"/>
      <c r="L26" s="29"/>
      <c r="M26" s="13"/>
      <c r="N26" s="13"/>
      <c r="O26" s="13">
        <f t="shared" si="0"/>
        <v>6697850</v>
      </c>
      <c r="P26" s="13">
        <v>12870370</v>
      </c>
      <c r="Q26" s="13">
        <f t="shared" si="2"/>
        <v>6172520</v>
      </c>
      <c r="R26" s="5"/>
    </row>
    <row r="27" spans="1:18" ht="24" customHeight="1" x14ac:dyDescent="0.25">
      <c r="A27" s="8"/>
      <c r="B27" s="8"/>
      <c r="C27" s="196" t="s">
        <v>131</v>
      </c>
      <c r="D27" s="197"/>
      <c r="E27" s="197"/>
      <c r="F27" s="198"/>
      <c r="G27" s="8"/>
      <c r="H27" s="13"/>
      <c r="I27" s="8"/>
      <c r="J27" s="13"/>
      <c r="K27" s="28">
        <v>1200000</v>
      </c>
      <c r="L27" s="28"/>
      <c r="M27" s="18"/>
      <c r="N27" s="28"/>
      <c r="O27" s="53">
        <f t="shared" ref="O27:O41" si="6">H27+J27+K27+L27+M27+N27</f>
        <v>1200000</v>
      </c>
      <c r="P27" s="28"/>
      <c r="Q27" s="54"/>
    </row>
    <row r="28" spans="1:18" ht="24" customHeight="1" x14ac:dyDescent="0.25">
      <c r="A28" s="8"/>
      <c r="B28" s="8"/>
      <c r="C28" s="196" t="s">
        <v>3144</v>
      </c>
      <c r="D28" s="197"/>
      <c r="E28" s="197"/>
      <c r="F28" s="198"/>
      <c r="G28" s="8"/>
      <c r="H28" s="13"/>
      <c r="I28" s="8"/>
      <c r="J28" s="13"/>
      <c r="K28" s="28">
        <v>5936160</v>
      </c>
      <c r="L28" s="28"/>
      <c r="M28" s="28"/>
      <c r="N28" s="28"/>
      <c r="O28" s="53">
        <f t="shared" si="6"/>
        <v>5936160</v>
      </c>
      <c r="P28" s="28"/>
      <c r="Q28" s="54"/>
    </row>
    <row r="29" spans="1:18" ht="24" customHeight="1" x14ac:dyDescent="0.25">
      <c r="A29" s="8"/>
      <c r="B29" s="8"/>
      <c r="C29" s="210" t="s">
        <v>4150</v>
      </c>
      <c r="D29" s="211"/>
      <c r="E29" s="211"/>
      <c r="F29" s="212"/>
      <c r="G29" s="8"/>
      <c r="H29" s="13"/>
      <c r="I29" s="8"/>
      <c r="J29" s="13"/>
      <c r="K29" s="28"/>
      <c r="L29" s="28">
        <v>250000</v>
      </c>
      <c r="M29" s="28"/>
      <c r="N29" s="28"/>
      <c r="O29" s="53">
        <f t="shared" si="6"/>
        <v>250000</v>
      </c>
      <c r="P29" s="28"/>
      <c r="Q29" s="54"/>
    </row>
    <row r="30" spans="1:18" ht="24" customHeight="1" x14ac:dyDescent="0.25">
      <c r="A30" s="8"/>
      <c r="B30" s="8"/>
      <c r="C30" s="210" t="s">
        <v>4151</v>
      </c>
      <c r="D30" s="211"/>
      <c r="E30" s="211"/>
      <c r="F30" s="212"/>
      <c r="G30" s="8"/>
      <c r="H30" s="13"/>
      <c r="I30" s="8"/>
      <c r="J30" s="13"/>
      <c r="K30" s="28"/>
      <c r="L30" s="28">
        <v>1050000</v>
      </c>
      <c r="M30" s="28"/>
      <c r="N30" s="28"/>
      <c r="O30" s="53">
        <f t="shared" si="6"/>
        <v>1050000</v>
      </c>
      <c r="P30" s="28"/>
      <c r="Q30" s="54"/>
    </row>
    <row r="31" spans="1:18" ht="24" customHeight="1" x14ac:dyDescent="0.25">
      <c r="A31" s="8"/>
      <c r="B31" s="8"/>
      <c r="C31" s="210" t="s">
        <v>4152</v>
      </c>
      <c r="D31" s="211"/>
      <c r="E31" s="211"/>
      <c r="F31" s="212"/>
      <c r="G31" s="8"/>
      <c r="H31" s="13"/>
      <c r="I31" s="8"/>
      <c r="J31" s="13"/>
      <c r="K31" s="28"/>
      <c r="L31" s="28">
        <v>800000</v>
      </c>
      <c r="M31" s="28"/>
      <c r="N31" s="28"/>
      <c r="O31" s="53">
        <f t="shared" si="6"/>
        <v>800000</v>
      </c>
      <c r="P31" s="28"/>
      <c r="Q31" s="54"/>
    </row>
    <row r="32" spans="1:18" ht="24" customHeight="1" x14ac:dyDescent="0.25">
      <c r="A32" s="8"/>
      <c r="B32" s="8"/>
      <c r="C32" s="210" t="s">
        <v>4153</v>
      </c>
      <c r="D32" s="211"/>
      <c r="E32" s="211"/>
      <c r="F32" s="212"/>
      <c r="G32" s="8"/>
      <c r="H32" s="13"/>
      <c r="I32" s="8"/>
      <c r="J32" s="13"/>
      <c r="K32" s="28"/>
      <c r="L32" s="28">
        <v>170000</v>
      </c>
      <c r="M32" s="28"/>
      <c r="N32" s="28"/>
      <c r="O32" s="53">
        <f t="shared" si="6"/>
        <v>170000</v>
      </c>
      <c r="P32" s="28"/>
      <c r="Q32" s="54"/>
    </row>
    <row r="33" spans="1:17" ht="24" customHeight="1" x14ac:dyDescent="0.25">
      <c r="A33" s="8"/>
      <c r="B33" s="8"/>
      <c r="C33" s="210" t="s">
        <v>4157</v>
      </c>
      <c r="D33" s="211"/>
      <c r="E33" s="211"/>
      <c r="F33" s="212"/>
      <c r="G33" s="8"/>
      <c r="H33" s="13"/>
      <c r="I33" s="8"/>
      <c r="J33" s="13"/>
      <c r="K33" s="28"/>
      <c r="L33" s="28"/>
      <c r="M33" s="28">
        <v>470000</v>
      </c>
      <c r="N33" s="28"/>
      <c r="O33" s="53">
        <f t="shared" si="6"/>
        <v>470000</v>
      </c>
      <c r="P33" s="28"/>
      <c r="Q33" s="54"/>
    </row>
    <row r="34" spans="1:17" ht="24" customHeight="1" x14ac:dyDescent="0.25">
      <c r="A34" s="8"/>
      <c r="B34" s="8"/>
      <c r="C34" s="210" t="s">
        <v>4160</v>
      </c>
      <c r="D34" s="211"/>
      <c r="E34" s="211"/>
      <c r="F34" s="212"/>
      <c r="G34" s="8"/>
      <c r="H34" s="13"/>
      <c r="I34" s="8"/>
      <c r="J34" s="13"/>
      <c r="K34" s="28"/>
      <c r="L34" s="28">
        <v>200000</v>
      </c>
      <c r="M34" s="28"/>
      <c r="N34" s="28"/>
      <c r="O34" s="53">
        <f t="shared" si="6"/>
        <v>200000</v>
      </c>
      <c r="P34" s="28"/>
      <c r="Q34" s="54"/>
    </row>
    <row r="35" spans="1:17" ht="24" customHeight="1" x14ac:dyDescent="0.25">
      <c r="A35" s="8"/>
      <c r="B35" s="8"/>
      <c r="C35" s="210" t="s">
        <v>4164</v>
      </c>
      <c r="D35" s="211"/>
      <c r="E35" s="211"/>
      <c r="F35" s="212"/>
      <c r="G35" s="8"/>
      <c r="H35" s="13"/>
      <c r="I35" s="8"/>
      <c r="J35" s="13"/>
      <c r="K35" s="28"/>
      <c r="L35" s="28">
        <v>183600</v>
      </c>
      <c r="M35" s="28"/>
      <c r="N35" s="28"/>
      <c r="O35" s="53">
        <f t="shared" si="6"/>
        <v>183600</v>
      </c>
      <c r="P35" s="28"/>
      <c r="Q35" s="54"/>
    </row>
    <row r="36" spans="1:17" ht="24" customHeight="1" x14ac:dyDescent="0.25">
      <c r="A36" s="8"/>
      <c r="B36" s="8"/>
      <c r="C36" s="210" t="s">
        <v>4165</v>
      </c>
      <c r="D36" s="211"/>
      <c r="E36" s="211"/>
      <c r="F36" s="212"/>
      <c r="G36" s="8"/>
      <c r="H36" s="13"/>
      <c r="I36" s="8"/>
      <c r="J36" s="13"/>
      <c r="K36" s="28"/>
      <c r="L36" s="28">
        <v>750000</v>
      </c>
      <c r="M36" s="28"/>
      <c r="N36" s="28"/>
      <c r="O36" s="53">
        <f t="shared" si="6"/>
        <v>750000</v>
      </c>
      <c r="P36" s="28"/>
      <c r="Q36" s="54"/>
    </row>
    <row r="37" spans="1:17" ht="24" customHeight="1" x14ac:dyDescent="0.25">
      <c r="A37" s="8"/>
      <c r="B37" s="8"/>
      <c r="C37" s="210" t="s">
        <v>4166</v>
      </c>
      <c r="D37" s="211"/>
      <c r="E37" s="211"/>
      <c r="F37" s="212"/>
      <c r="G37" s="8"/>
      <c r="H37" s="13"/>
      <c r="I37" s="8"/>
      <c r="J37" s="13"/>
      <c r="K37" s="28"/>
      <c r="L37" s="28">
        <v>50000</v>
      </c>
      <c r="M37" s="28"/>
      <c r="N37" s="28"/>
      <c r="O37" s="53">
        <f t="shared" si="6"/>
        <v>50000</v>
      </c>
      <c r="P37" s="28"/>
      <c r="Q37" s="54"/>
    </row>
    <row r="38" spans="1:17" ht="24" customHeight="1" x14ac:dyDescent="0.25">
      <c r="A38" s="8"/>
      <c r="B38" s="8"/>
      <c r="C38" s="210" t="s">
        <v>4161</v>
      </c>
      <c r="D38" s="211"/>
      <c r="E38" s="211"/>
      <c r="F38" s="212"/>
      <c r="G38" s="8"/>
      <c r="H38" s="13"/>
      <c r="I38" s="8"/>
      <c r="J38" s="13"/>
      <c r="K38" s="28"/>
      <c r="L38" s="28">
        <v>3800000</v>
      </c>
      <c r="M38" s="28"/>
      <c r="N38" s="28"/>
      <c r="O38" s="53">
        <f t="shared" si="6"/>
        <v>3800000</v>
      </c>
      <c r="P38" s="28"/>
      <c r="Q38" s="54"/>
    </row>
    <row r="39" spans="1:17" ht="24" customHeight="1" x14ac:dyDescent="0.25">
      <c r="A39" s="8"/>
      <c r="B39" s="8"/>
      <c r="C39" s="210" t="s">
        <v>4162</v>
      </c>
      <c r="D39" s="211"/>
      <c r="E39" s="211"/>
      <c r="F39" s="212"/>
      <c r="G39" s="8"/>
      <c r="H39" s="13"/>
      <c r="I39" s="8"/>
      <c r="J39" s="13"/>
      <c r="K39" s="28"/>
      <c r="L39" s="28">
        <f>2730000*1.08</f>
        <v>2948400</v>
      </c>
      <c r="M39" s="28"/>
      <c r="N39" s="28"/>
      <c r="O39" s="53">
        <f t="shared" si="6"/>
        <v>2948400</v>
      </c>
      <c r="P39" s="28"/>
      <c r="Q39" s="54"/>
    </row>
    <row r="40" spans="1:17" ht="24" customHeight="1" x14ac:dyDescent="0.25">
      <c r="A40" s="8"/>
      <c r="B40" s="8"/>
      <c r="C40" s="210" t="s">
        <v>4163</v>
      </c>
      <c r="D40" s="211"/>
      <c r="E40" s="211"/>
      <c r="F40" s="212"/>
      <c r="G40" s="8"/>
      <c r="H40" s="13"/>
      <c r="I40" s="8"/>
      <c r="J40" s="13"/>
      <c r="K40" s="28"/>
      <c r="L40" s="28">
        <f>3800000*1.08</f>
        <v>4104000.0000000005</v>
      </c>
      <c r="M40" s="28"/>
      <c r="N40" s="28"/>
      <c r="O40" s="53">
        <f t="shared" si="6"/>
        <v>4104000.0000000005</v>
      </c>
      <c r="P40" s="28"/>
      <c r="Q40" s="54"/>
    </row>
    <row r="41" spans="1:17" ht="24" customHeight="1" x14ac:dyDescent="0.25">
      <c r="A41" s="8"/>
      <c r="B41" s="8"/>
      <c r="C41" s="210" t="s">
        <v>4286</v>
      </c>
      <c r="D41" s="211"/>
      <c r="E41" s="211"/>
      <c r="F41" s="212"/>
      <c r="G41" s="8"/>
      <c r="H41" s="13"/>
      <c r="I41" s="8"/>
      <c r="J41" s="13"/>
      <c r="K41" s="28"/>
      <c r="L41" s="28"/>
      <c r="M41" s="28">
        <v>500000</v>
      </c>
      <c r="N41" s="28"/>
      <c r="O41" s="53">
        <f t="shared" si="6"/>
        <v>500000</v>
      </c>
      <c r="P41" s="28"/>
      <c r="Q41" s="54"/>
    </row>
    <row r="42" spans="1:17" ht="25.5" customHeight="1" x14ac:dyDescent="0.25">
      <c r="A42" s="8"/>
      <c r="B42" s="8"/>
      <c r="C42" s="191" t="s">
        <v>3072</v>
      </c>
      <c r="D42" s="192"/>
      <c r="E42" s="192"/>
      <c r="F42" s="195"/>
      <c r="G42" s="30"/>
      <c r="H42" s="28"/>
      <c r="I42" s="30"/>
      <c r="J42" s="28"/>
      <c r="K42" s="28">
        <v>8700000</v>
      </c>
      <c r="L42" s="28"/>
      <c r="M42" s="18"/>
      <c r="N42" s="28"/>
      <c r="O42" s="53">
        <f>H42+J42+K42+L42+M42+N42</f>
        <v>8700000</v>
      </c>
      <c r="P42" s="28"/>
      <c r="Q42" s="54"/>
    </row>
    <row r="43" spans="1:17" ht="15" customHeight="1" x14ac:dyDescent="0.25">
      <c r="A43" s="166" t="s">
        <v>19</v>
      </c>
      <c r="B43" s="167"/>
      <c r="C43" s="167"/>
      <c r="D43" s="167"/>
      <c r="E43" s="167"/>
      <c r="F43" s="168"/>
      <c r="G43" s="131">
        <f>SUM(G7:G42)</f>
        <v>2679</v>
      </c>
      <c r="H43" s="4">
        <f>SUM(H7:H42)</f>
        <v>48528600</v>
      </c>
      <c r="I43" s="4">
        <f>SUM(I7:I42)</f>
        <v>0</v>
      </c>
      <c r="J43" s="4">
        <f>SUM(J7:J42)</f>
        <v>22023000</v>
      </c>
      <c r="K43" s="4">
        <f>SUM(K7:K42)</f>
        <v>15836160</v>
      </c>
      <c r="L43" s="4">
        <f>SUM(L7:L42)</f>
        <v>14306000</v>
      </c>
      <c r="M43" s="4">
        <f>SUM(M7:M42)</f>
        <v>970000</v>
      </c>
      <c r="N43" s="4">
        <f>SUM(N7:N42)</f>
        <v>0</v>
      </c>
      <c r="O43" s="4">
        <f>SUM(O7:O42)</f>
        <v>101663760</v>
      </c>
      <c r="P43" s="4">
        <f>SUM(P7:P42)</f>
        <v>112595925</v>
      </c>
      <c r="Q43" s="122">
        <f>P43-O43</f>
        <v>10932165</v>
      </c>
    </row>
    <row r="44" spans="1:17" x14ac:dyDescent="0.25">
      <c r="O44" s="20"/>
      <c r="P44" s="5" t="s">
        <v>1796</v>
      </c>
      <c r="Q44" s="26"/>
    </row>
    <row r="45" spans="1:17" x14ac:dyDescent="0.25">
      <c r="P45" s="21" t="s">
        <v>20</v>
      </c>
      <c r="Q45" s="26">
        <f>'09.2024'!Q53+'10.2024'!Q43</f>
        <v>153769726</v>
      </c>
    </row>
    <row r="46" spans="1:17" x14ac:dyDescent="0.25">
      <c r="C46" s="6" t="s">
        <v>993</v>
      </c>
    </row>
    <row r="47" spans="1:17" x14ac:dyDescent="0.25">
      <c r="C47" s="205"/>
      <c r="D47" s="205"/>
      <c r="E47" s="205"/>
      <c r="F47" s="205"/>
      <c r="H47" s="109"/>
    </row>
    <row r="48" spans="1:17" x14ac:dyDescent="0.25">
      <c r="C48" s="206"/>
      <c r="D48" s="206"/>
      <c r="E48" s="206"/>
      <c r="F48" s="206"/>
      <c r="H48" s="109"/>
    </row>
    <row r="49" spans="2:17" x14ac:dyDescent="0.25">
      <c r="B49" s="6"/>
      <c r="C49" s="110"/>
      <c r="D49" s="110"/>
      <c r="E49" s="110"/>
      <c r="F49" s="110"/>
      <c r="G49" s="133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H51" s="109"/>
    </row>
    <row r="52" spans="2:17" x14ac:dyDescent="0.25">
      <c r="B52" s="6"/>
      <c r="C52" s="206"/>
      <c r="D52" s="206"/>
      <c r="E52" s="206"/>
      <c r="F52" s="206"/>
      <c r="G52" s="133"/>
      <c r="H52" s="109"/>
      <c r="J52" s="6"/>
      <c r="K52" s="6"/>
      <c r="L52" s="6"/>
      <c r="M52" s="6"/>
      <c r="N52" s="6"/>
      <c r="O52" s="6"/>
      <c r="P52" s="6"/>
      <c r="Q52" s="6"/>
    </row>
    <row r="53" spans="2:17" x14ac:dyDescent="0.2">
      <c r="C53" s="107"/>
      <c r="D53" s="110"/>
      <c r="E53" s="110"/>
      <c r="F53" s="110"/>
      <c r="H53" s="109"/>
    </row>
    <row r="54" spans="2:17" x14ac:dyDescent="0.25">
      <c r="C54" s="205"/>
      <c r="D54" s="205"/>
      <c r="E54" s="205"/>
      <c r="F54" s="205"/>
    </row>
  </sheetData>
  <mergeCells count="36">
    <mergeCell ref="C33:F33"/>
    <mergeCell ref="C34:F34"/>
    <mergeCell ref="C35:F35"/>
    <mergeCell ref="C36:F36"/>
    <mergeCell ref="C37:F37"/>
    <mergeCell ref="C27:F27"/>
    <mergeCell ref="C28:F28"/>
    <mergeCell ref="C52:F52"/>
    <mergeCell ref="C54:F54"/>
    <mergeCell ref="C42:F42"/>
    <mergeCell ref="A43:F43"/>
    <mergeCell ref="C47:F47"/>
    <mergeCell ref="C48:F48"/>
    <mergeCell ref="C50:F50"/>
    <mergeCell ref="C51:F51"/>
    <mergeCell ref="C38:F38"/>
    <mergeCell ref="C39:F39"/>
    <mergeCell ref="C40:F40"/>
    <mergeCell ref="C30:F30"/>
    <mergeCell ref="C31:F31"/>
    <mergeCell ref="C32:F32"/>
    <mergeCell ref="C41:F41"/>
    <mergeCell ref="C29:F29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367D-D9D1-44A5-B04B-32612DC24FE6}">
  <dimension ref="A1:R53"/>
  <sheetViews>
    <sheetView tabSelected="1" topLeftCell="A26" workbookViewId="0">
      <selection activeCell="K42" sqref="K42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4172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ht="27.75" customHeight="1" x14ac:dyDescent="0.25">
      <c r="A7" s="155">
        <v>1</v>
      </c>
      <c r="B7" s="156">
        <v>45600</v>
      </c>
      <c r="C7" s="157" t="s">
        <v>4173</v>
      </c>
      <c r="D7" s="158" t="s">
        <v>4187</v>
      </c>
      <c r="E7" s="157" t="s">
        <v>1043</v>
      </c>
      <c r="F7" s="159"/>
      <c r="G7" s="159">
        <v>107</v>
      </c>
      <c r="H7" s="160">
        <f>G7*18140</f>
        <v>1940980</v>
      </c>
      <c r="I7" s="159"/>
      <c r="J7" s="160">
        <v>680000</v>
      </c>
      <c r="K7" s="161"/>
      <c r="L7" s="162"/>
      <c r="M7" s="160"/>
      <c r="N7" s="160"/>
      <c r="O7" s="160">
        <f>SUM(H7:N7)</f>
        <v>2620980</v>
      </c>
      <c r="P7" s="160">
        <v>4900000</v>
      </c>
      <c r="Q7" s="160">
        <f>P7-O7</f>
        <v>2279020</v>
      </c>
      <c r="R7" s="5"/>
    </row>
    <row r="8" spans="1:18" ht="24.75" customHeight="1" x14ac:dyDescent="0.25">
      <c r="A8" s="148">
        <v>2</v>
      </c>
      <c r="B8" s="120">
        <v>45601</v>
      </c>
      <c r="C8" s="10" t="s">
        <v>4174</v>
      </c>
      <c r="D8" s="129" t="s">
        <v>4188</v>
      </c>
      <c r="E8" s="9" t="s">
        <v>4208</v>
      </c>
      <c r="F8" s="117"/>
      <c r="G8" s="8">
        <v>155</v>
      </c>
      <c r="H8" s="160">
        <f t="shared" ref="H8:H10" si="0">G8*18140</f>
        <v>2811700</v>
      </c>
      <c r="I8" s="117"/>
      <c r="J8" s="119">
        <v>980000</v>
      </c>
      <c r="K8" s="28"/>
      <c r="L8" s="29"/>
      <c r="M8" s="13"/>
      <c r="N8" s="13"/>
      <c r="O8" s="13">
        <f t="shared" ref="O8:O27" si="1">SUM(H8:N8)</f>
        <v>3791700</v>
      </c>
      <c r="P8" s="13">
        <v>6200000</v>
      </c>
      <c r="Q8" s="13">
        <f>P8-O8</f>
        <v>2408300</v>
      </c>
      <c r="R8" s="5"/>
    </row>
    <row r="9" spans="1:18" ht="24.75" customHeight="1" x14ac:dyDescent="0.25">
      <c r="A9" s="148">
        <v>3</v>
      </c>
      <c r="B9" s="120">
        <v>45602</v>
      </c>
      <c r="C9" s="10" t="s">
        <v>4175</v>
      </c>
      <c r="D9" s="25" t="s">
        <v>4189</v>
      </c>
      <c r="E9" s="10" t="s">
        <v>4209</v>
      </c>
      <c r="F9" s="8"/>
      <c r="G9" s="8">
        <v>119</v>
      </c>
      <c r="H9" s="160">
        <f t="shared" si="0"/>
        <v>2158660</v>
      </c>
      <c r="I9" s="8"/>
      <c r="J9" s="13">
        <v>1120000</v>
      </c>
      <c r="K9" s="28"/>
      <c r="L9" s="29"/>
      <c r="M9" s="13"/>
      <c r="N9" s="13"/>
      <c r="O9" s="13">
        <f t="shared" si="1"/>
        <v>3278660</v>
      </c>
      <c r="P9" s="13">
        <v>5300000</v>
      </c>
      <c r="Q9" s="13">
        <f t="shared" ref="Q9:Q27" si="2">P9-O9</f>
        <v>2021340</v>
      </c>
      <c r="R9" s="5"/>
    </row>
    <row r="10" spans="1:18" ht="27.75" customHeight="1" x14ac:dyDescent="0.25">
      <c r="A10" s="148">
        <v>4</v>
      </c>
      <c r="B10" s="120">
        <v>45603</v>
      </c>
      <c r="C10" s="10" t="s">
        <v>4176</v>
      </c>
      <c r="D10" s="25" t="s">
        <v>4190</v>
      </c>
      <c r="E10" s="10" t="s">
        <v>112</v>
      </c>
      <c r="F10" s="8"/>
      <c r="G10" s="8">
        <v>233</v>
      </c>
      <c r="H10" s="160">
        <f t="shared" si="0"/>
        <v>4226620</v>
      </c>
      <c r="I10" s="8"/>
      <c r="J10" s="13">
        <v>2220000</v>
      </c>
      <c r="K10" s="28"/>
      <c r="L10" s="29"/>
      <c r="M10" s="13"/>
      <c r="N10" s="13"/>
      <c r="O10" s="13">
        <f t="shared" si="1"/>
        <v>6446620</v>
      </c>
      <c r="P10" s="13">
        <v>12870370</v>
      </c>
      <c r="Q10" s="13">
        <f t="shared" si="2"/>
        <v>6423750</v>
      </c>
      <c r="R10" s="5"/>
    </row>
    <row r="11" spans="1:18" ht="27.75" customHeight="1" x14ac:dyDescent="0.25">
      <c r="A11" s="148">
        <v>5</v>
      </c>
      <c r="B11" s="120">
        <v>45604</v>
      </c>
      <c r="C11" s="10" t="s">
        <v>4177</v>
      </c>
      <c r="D11" s="25" t="s">
        <v>4191</v>
      </c>
      <c r="E11" s="10" t="s">
        <v>4210</v>
      </c>
      <c r="F11" s="8"/>
      <c r="G11" s="8">
        <v>130</v>
      </c>
      <c r="H11" s="13">
        <f>G11*18910</f>
        <v>2458300</v>
      </c>
      <c r="I11" s="8"/>
      <c r="J11" s="13">
        <v>1120000</v>
      </c>
      <c r="K11" s="28"/>
      <c r="L11" s="29"/>
      <c r="M11" s="13"/>
      <c r="N11" s="13"/>
      <c r="O11" s="13">
        <f t="shared" si="1"/>
        <v>3578300</v>
      </c>
      <c r="P11" s="13">
        <v>5900000</v>
      </c>
      <c r="Q11" s="13">
        <f t="shared" si="2"/>
        <v>2321700</v>
      </c>
      <c r="R11" s="5"/>
    </row>
    <row r="12" spans="1:18" ht="27.75" customHeight="1" x14ac:dyDescent="0.25">
      <c r="A12" s="148">
        <v>6</v>
      </c>
      <c r="B12" s="120">
        <v>45605</v>
      </c>
      <c r="C12" s="10" t="s">
        <v>4178</v>
      </c>
      <c r="D12" s="25" t="s">
        <v>4192</v>
      </c>
      <c r="E12" s="10" t="s">
        <v>4211</v>
      </c>
      <c r="F12" s="8"/>
      <c r="G12" s="8">
        <v>130</v>
      </c>
      <c r="H12" s="13">
        <f t="shared" ref="H12:H15" si="3">G12*18910</f>
        <v>2458300</v>
      </c>
      <c r="I12" s="8"/>
      <c r="J12" s="13">
        <v>1195000</v>
      </c>
      <c r="K12" s="28"/>
      <c r="L12" s="29"/>
      <c r="M12" s="13"/>
      <c r="N12" s="13"/>
      <c r="O12" s="13">
        <f t="shared" si="1"/>
        <v>3653300</v>
      </c>
      <c r="P12" s="13">
        <v>5700000</v>
      </c>
      <c r="Q12" s="13">
        <f t="shared" si="2"/>
        <v>2046700</v>
      </c>
      <c r="R12" s="5"/>
    </row>
    <row r="13" spans="1:18" ht="27.75" customHeight="1" x14ac:dyDescent="0.25">
      <c r="A13" s="148">
        <v>7</v>
      </c>
      <c r="B13" s="149">
        <v>45608</v>
      </c>
      <c r="C13" s="111" t="s">
        <v>4179</v>
      </c>
      <c r="D13" s="112" t="s">
        <v>4193</v>
      </c>
      <c r="E13" s="111" t="s">
        <v>4212</v>
      </c>
      <c r="F13" s="12"/>
      <c r="G13" s="8">
        <v>74</v>
      </c>
      <c r="H13" s="13">
        <f t="shared" si="3"/>
        <v>1399340</v>
      </c>
      <c r="I13" s="8"/>
      <c r="J13" s="13">
        <v>680000</v>
      </c>
      <c r="K13" s="18"/>
      <c r="L13" s="99"/>
      <c r="M13" s="3"/>
      <c r="N13" s="3"/>
      <c r="O13" s="13">
        <f t="shared" si="1"/>
        <v>2079340</v>
      </c>
      <c r="P13" s="13">
        <v>4229259</v>
      </c>
      <c r="Q13" s="13">
        <f t="shared" si="2"/>
        <v>2149919</v>
      </c>
      <c r="R13" s="5"/>
    </row>
    <row r="14" spans="1:18" ht="27.75" customHeight="1" x14ac:dyDescent="0.25">
      <c r="A14" s="148">
        <v>8</v>
      </c>
      <c r="B14" s="120">
        <v>45609</v>
      </c>
      <c r="C14" s="10" t="s">
        <v>4180</v>
      </c>
      <c r="D14" s="25" t="s">
        <v>4194</v>
      </c>
      <c r="E14" s="10" t="s">
        <v>2045</v>
      </c>
      <c r="F14" s="8"/>
      <c r="G14" s="8">
        <v>324</v>
      </c>
      <c r="H14" s="13">
        <f t="shared" si="3"/>
        <v>6126840</v>
      </c>
      <c r="I14" s="8"/>
      <c r="J14" s="119">
        <v>3300000</v>
      </c>
      <c r="K14" s="28"/>
      <c r="L14" s="29"/>
      <c r="M14" s="13"/>
      <c r="N14" s="13"/>
      <c r="O14" s="13">
        <f t="shared" si="1"/>
        <v>9426840</v>
      </c>
      <c r="P14" s="13">
        <v>16666667</v>
      </c>
      <c r="Q14" s="13">
        <f t="shared" si="2"/>
        <v>7239827</v>
      </c>
      <c r="R14" s="5"/>
    </row>
    <row r="15" spans="1:18" ht="27.75" customHeight="1" x14ac:dyDescent="0.25">
      <c r="A15" s="148">
        <v>9</v>
      </c>
      <c r="B15" s="120">
        <v>45611</v>
      </c>
      <c r="C15" s="10" t="s">
        <v>4181</v>
      </c>
      <c r="D15" s="25" t="s">
        <v>4195</v>
      </c>
      <c r="E15" s="10" t="s">
        <v>33</v>
      </c>
      <c r="F15" s="8"/>
      <c r="G15" s="8">
        <v>160</v>
      </c>
      <c r="H15" s="13">
        <f t="shared" si="3"/>
        <v>3025600</v>
      </c>
      <c r="I15" s="8"/>
      <c r="J15" s="13">
        <v>1470000</v>
      </c>
      <c r="K15" s="28"/>
      <c r="L15" s="29"/>
      <c r="M15" s="13"/>
      <c r="N15" s="13"/>
      <c r="O15" s="13">
        <f t="shared" si="1"/>
        <v>4495600</v>
      </c>
      <c r="P15" s="13">
        <v>7833333</v>
      </c>
      <c r="Q15" s="13">
        <f t="shared" si="2"/>
        <v>3337733</v>
      </c>
      <c r="R15" s="5"/>
    </row>
    <row r="16" spans="1:18" ht="27.75" customHeight="1" x14ac:dyDescent="0.25">
      <c r="A16" s="148">
        <v>10</v>
      </c>
      <c r="B16" s="120">
        <v>45612</v>
      </c>
      <c r="C16" s="10" t="s">
        <v>1002</v>
      </c>
      <c r="D16" s="25" t="s">
        <v>4196</v>
      </c>
      <c r="E16" s="10" t="s">
        <v>3367</v>
      </c>
      <c r="F16" s="8"/>
      <c r="G16" s="8">
        <v>168</v>
      </c>
      <c r="H16" s="13">
        <f>G16*18570</f>
        <v>3119760</v>
      </c>
      <c r="I16" s="8"/>
      <c r="J16" s="13">
        <v>1410000</v>
      </c>
      <c r="K16" s="28"/>
      <c r="L16" s="29"/>
      <c r="M16" s="13"/>
      <c r="N16" s="13"/>
      <c r="O16" s="13">
        <f t="shared" si="1"/>
        <v>4529760</v>
      </c>
      <c r="P16" s="13">
        <v>7300000</v>
      </c>
      <c r="Q16" s="13">
        <f t="shared" si="2"/>
        <v>2770240</v>
      </c>
      <c r="R16" s="5"/>
    </row>
    <row r="17" spans="1:18" ht="22.5" customHeight="1" x14ac:dyDescent="0.25">
      <c r="A17" s="148">
        <v>11</v>
      </c>
      <c r="B17" s="120">
        <v>45614</v>
      </c>
      <c r="C17" s="10" t="s">
        <v>1003</v>
      </c>
      <c r="D17" s="25" t="s">
        <v>4197</v>
      </c>
      <c r="E17" s="10" t="s">
        <v>4213</v>
      </c>
      <c r="F17" s="8"/>
      <c r="G17" s="8">
        <v>104</v>
      </c>
      <c r="H17" s="13">
        <f t="shared" ref="H17:H19" si="4">G17*18570</f>
        <v>1931280</v>
      </c>
      <c r="I17" s="8"/>
      <c r="J17" s="13">
        <v>980000</v>
      </c>
      <c r="K17" s="28"/>
      <c r="L17" s="29"/>
      <c r="M17" s="13"/>
      <c r="N17" s="13"/>
      <c r="O17" s="13">
        <f t="shared" si="1"/>
        <v>2911280</v>
      </c>
      <c r="P17" s="13">
        <v>5200000</v>
      </c>
      <c r="Q17" s="13">
        <f t="shared" si="2"/>
        <v>2288720</v>
      </c>
      <c r="R17" s="5"/>
    </row>
    <row r="18" spans="1:18" ht="22.5" customHeight="1" x14ac:dyDescent="0.25">
      <c r="A18" s="148">
        <v>12</v>
      </c>
      <c r="B18" s="120">
        <v>45615</v>
      </c>
      <c r="C18" s="10" t="s">
        <v>4182</v>
      </c>
      <c r="D18" s="25" t="s">
        <v>4198</v>
      </c>
      <c r="E18" s="10" t="s">
        <v>2045</v>
      </c>
      <c r="F18" s="8"/>
      <c r="G18" s="8">
        <v>320</v>
      </c>
      <c r="H18" s="13">
        <f t="shared" si="4"/>
        <v>5942400</v>
      </c>
      <c r="I18" s="8"/>
      <c r="J18" s="13">
        <v>3300000</v>
      </c>
      <c r="K18" s="28"/>
      <c r="L18" s="29"/>
      <c r="M18" s="13"/>
      <c r="N18" s="13"/>
      <c r="O18" s="13">
        <f t="shared" si="1"/>
        <v>9242400</v>
      </c>
      <c r="P18" s="13">
        <v>16666667</v>
      </c>
      <c r="Q18" s="13">
        <f t="shared" si="2"/>
        <v>7424267</v>
      </c>
      <c r="R18" s="5"/>
    </row>
    <row r="19" spans="1:18" ht="22.5" customHeight="1" x14ac:dyDescent="0.25">
      <c r="A19" s="148">
        <v>13</v>
      </c>
      <c r="B19" s="120">
        <v>45617</v>
      </c>
      <c r="C19" s="10" t="s">
        <v>1005</v>
      </c>
      <c r="D19" s="25" t="s">
        <v>4199</v>
      </c>
      <c r="E19" s="10" t="s">
        <v>4214</v>
      </c>
      <c r="F19" s="8"/>
      <c r="G19" s="8">
        <v>126</v>
      </c>
      <c r="H19" s="13">
        <f t="shared" si="4"/>
        <v>2339820</v>
      </c>
      <c r="I19" s="8"/>
      <c r="J19" s="13">
        <v>1070000</v>
      </c>
      <c r="K19" s="28"/>
      <c r="L19" s="29"/>
      <c r="M19" s="13"/>
      <c r="N19" s="13"/>
      <c r="O19" s="13">
        <f t="shared" si="1"/>
        <v>3409820</v>
      </c>
      <c r="P19" s="13">
        <v>5900000</v>
      </c>
      <c r="Q19" s="13">
        <f t="shared" si="2"/>
        <v>2490180</v>
      </c>
      <c r="R19" s="5"/>
    </row>
    <row r="20" spans="1:18" ht="22.5" customHeight="1" x14ac:dyDescent="0.25">
      <c r="A20" s="148">
        <v>14</v>
      </c>
      <c r="B20" s="120">
        <v>45618</v>
      </c>
      <c r="C20" s="10" t="s">
        <v>3495</v>
      </c>
      <c r="D20" s="25" t="s">
        <v>4200</v>
      </c>
      <c r="E20" s="10" t="s">
        <v>4215</v>
      </c>
      <c r="F20" s="8"/>
      <c r="G20" s="8">
        <v>117</v>
      </c>
      <c r="H20" s="13">
        <f>G20*18500</f>
        <v>2164500</v>
      </c>
      <c r="I20" s="8"/>
      <c r="J20" s="13">
        <v>850000</v>
      </c>
      <c r="K20" s="28"/>
      <c r="L20" s="29"/>
      <c r="M20" s="13"/>
      <c r="N20" s="13"/>
      <c r="O20" s="13">
        <f t="shared" si="1"/>
        <v>3014500</v>
      </c>
      <c r="P20" s="13">
        <v>5450000</v>
      </c>
      <c r="Q20" s="13">
        <f t="shared" si="2"/>
        <v>2435500</v>
      </c>
      <c r="R20" s="5"/>
    </row>
    <row r="21" spans="1:18" ht="22.5" customHeight="1" x14ac:dyDescent="0.25">
      <c r="A21" s="148">
        <v>15</v>
      </c>
      <c r="B21" s="120">
        <v>45621</v>
      </c>
      <c r="C21" s="10" t="s">
        <v>1008</v>
      </c>
      <c r="D21" s="25" t="s">
        <v>4201</v>
      </c>
      <c r="E21" s="10" t="s">
        <v>4216</v>
      </c>
      <c r="F21" s="8"/>
      <c r="G21" s="8">
        <v>127</v>
      </c>
      <c r="H21" s="13">
        <f t="shared" ref="H21:H22" si="5">G21*18500</f>
        <v>2349500</v>
      </c>
      <c r="I21" s="8"/>
      <c r="J21" s="13">
        <v>1070000</v>
      </c>
      <c r="K21" s="28"/>
      <c r="L21" s="29"/>
      <c r="M21" s="13"/>
      <c r="N21" s="13"/>
      <c r="O21" s="13">
        <f t="shared" si="1"/>
        <v>3419500</v>
      </c>
      <c r="P21" s="13">
        <v>5900000</v>
      </c>
      <c r="Q21" s="13">
        <f t="shared" si="2"/>
        <v>2480500</v>
      </c>
      <c r="R21" s="5"/>
    </row>
    <row r="22" spans="1:18" ht="22.5" customHeight="1" x14ac:dyDescent="0.25">
      <c r="A22" s="148">
        <v>16</v>
      </c>
      <c r="B22" s="120">
        <v>45622</v>
      </c>
      <c r="C22" s="10" t="s">
        <v>4183</v>
      </c>
      <c r="D22" s="25" t="s">
        <v>4202</v>
      </c>
      <c r="E22" s="10" t="s">
        <v>4217</v>
      </c>
      <c r="F22" s="8"/>
      <c r="G22" s="8">
        <v>107</v>
      </c>
      <c r="H22" s="13">
        <f t="shared" si="5"/>
        <v>1979500</v>
      </c>
      <c r="I22" s="8"/>
      <c r="J22" s="13">
        <v>980000</v>
      </c>
      <c r="K22" s="28"/>
      <c r="L22" s="29"/>
      <c r="M22" s="13"/>
      <c r="N22" s="13"/>
      <c r="O22" s="13">
        <f t="shared" si="1"/>
        <v>2959500</v>
      </c>
      <c r="P22" s="13">
        <v>5200000</v>
      </c>
      <c r="Q22" s="13">
        <f t="shared" si="2"/>
        <v>2240500</v>
      </c>
      <c r="R22" s="5"/>
    </row>
    <row r="23" spans="1:18" ht="22.5" customHeight="1" x14ac:dyDescent="0.25">
      <c r="A23" s="148">
        <v>17</v>
      </c>
      <c r="B23" s="120">
        <v>45623</v>
      </c>
      <c r="C23" s="10" t="s">
        <v>4184</v>
      </c>
      <c r="D23" s="25" t="s">
        <v>4203</v>
      </c>
      <c r="E23" s="10" t="s">
        <v>4218</v>
      </c>
      <c r="F23" s="8"/>
      <c r="G23" s="8">
        <v>35</v>
      </c>
      <c r="H23" s="13">
        <f>G23*18500</f>
        <v>647500</v>
      </c>
      <c r="I23" s="8"/>
      <c r="J23" s="13">
        <v>300000</v>
      </c>
      <c r="K23" s="28"/>
      <c r="L23" s="29"/>
      <c r="M23" s="13"/>
      <c r="N23" s="13"/>
      <c r="O23" s="13">
        <f t="shared" si="1"/>
        <v>947500</v>
      </c>
      <c r="P23" s="13">
        <v>1500000</v>
      </c>
      <c r="Q23" s="13">
        <f t="shared" si="2"/>
        <v>552500</v>
      </c>
      <c r="R23" s="5"/>
    </row>
    <row r="24" spans="1:18" ht="22.5" customHeight="1" x14ac:dyDescent="0.25">
      <c r="A24" s="148">
        <v>18</v>
      </c>
      <c r="B24" s="120">
        <v>45623</v>
      </c>
      <c r="C24" s="10" t="s">
        <v>4185</v>
      </c>
      <c r="D24" s="25" t="s">
        <v>4204</v>
      </c>
      <c r="E24" s="10" t="s">
        <v>4219</v>
      </c>
      <c r="F24" s="8"/>
      <c r="G24" s="8"/>
      <c r="H24" s="13"/>
      <c r="I24" s="8"/>
      <c r="J24" s="13">
        <v>300000</v>
      </c>
      <c r="K24" s="28"/>
      <c r="L24" s="29"/>
      <c r="M24" s="13"/>
      <c r="N24" s="13"/>
      <c r="O24" s="13">
        <f t="shared" si="1"/>
        <v>300000</v>
      </c>
      <c r="P24" s="13">
        <v>1018519</v>
      </c>
      <c r="Q24" s="13">
        <f t="shared" si="2"/>
        <v>718519</v>
      </c>
      <c r="R24" s="5"/>
    </row>
    <row r="25" spans="1:18" ht="22.5" customHeight="1" x14ac:dyDescent="0.25">
      <c r="A25" s="25">
        <v>19</v>
      </c>
      <c r="B25" s="120">
        <v>45623</v>
      </c>
      <c r="C25" s="10" t="s">
        <v>4185</v>
      </c>
      <c r="D25" s="25" t="s">
        <v>4205</v>
      </c>
      <c r="E25" s="10" t="s">
        <v>4219</v>
      </c>
      <c r="F25" s="8"/>
      <c r="G25" s="8"/>
      <c r="H25" s="13"/>
      <c r="I25" s="8"/>
      <c r="J25" s="13">
        <v>300000</v>
      </c>
      <c r="K25" s="28"/>
      <c r="L25" s="29"/>
      <c r="M25" s="13"/>
      <c r="N25" s="13"/>
      <c r="O25" s="13">
        <f t="shared" si="1"/>
        <v>300000</v>
      </c>
      <c r="P25" s="13">
        <v>1018519</v>
      </c>
      <c r="Q25" s="13">
        <f t="shared" si="2"/>
        <v>718519</v>
      </c>
      <c r="R25" s="5"/>
    </row>
    <row r="26" spans="1:18" ht="22.5" customHeight="1" x14ac:dyDescent="0.25">
      <c r="A26" s="25">
        <v>20</v>
      </c>
      <c r="B26" s="120">
        <v>45624</v>
      </c>
      <c r="C26" s="10" t="s">
        <v>4186</v>
      </c>
      <c r="D26" s="25" t="s">
        <v>4206</v>
      </c>
      <c r="E26" s="10" t="s">
        <v>121</v>
      </c>
      <c r="F26" s="8"/>
      <c r="G26" s="8">
        <v>224</v>
      </c>
      <c r="H26" s="13">
        <f>G26*18770</f>
        <v>4204480</v>
      </c>
      <c r="I26" s="8"/>
      <c r="J26" s="13">
        <v>2220000</v>
      </c>
      <c r="K26" s="28"/>
      <c r="L26" s="29"/>
      <c r="M26" s="13"/>
      <c r="N26" s="13"/>
      <c r="O26" s="13">
        <f t="shared" si="1"/>
        <v>6424480</v>
      </c>
      <c r="P26" s="13">
        <v>11111111</v>
      </c>
      <c r="Q26" s="13">
        <f t="shared" si="2"/>
        <v>4686631</v>
      </c>
      <c r="R26" s="5"/>
    </row>
    <row r="27" spans="1:18" ht="22.5" customHeight="1" x14ac:dyDescent="0.25">
      <c r="A27" s="25">
        <v>21</v>
      </c>
      <c r="B27" s="120">
        <v>45626</v>
      </c>
      <c r="C27" s="10" t="s">
        <v>1011</v>
      </c>
      <c r="D27" s="25" t="s">
        <v>4207</v>
      </c>
      <c r="E27" s="10" t="s">
        <v>2593</v>
      </c>
      <c r="F27" s="8"/>
      <c r="G27" s="8">
        <v>82</v>
      </c>
      <c r="H27" s="13">
        <f>G27*18770</f>
        <v>1539140</v>
      </c>
      <c r="I27" s="8"/>
      <c r="J27" s="13">
        <v>430000</v>
      </c>
      <c r="K27" s="28"/>
      <c r="L27" s="29"/>
      <c r="M27" s="13"/>
      <c r="N27" s="13"/>
      <c r="O27" s="13">
        <f t="shared" si="1"/>
        <v>1969140</v>
      </c>
      <c r="P27" s="13">
        <v>3700000</v>
      </c>
      <c r="Q27" s="13">
        <f t="shared" si="2"/>
        <v>1730860</v>
      </c>
      <c r="R27" s="5"/>
    </row>
    <row r="28" spans="1:18" ht="24" customHeight="1" x14ac:dyDescent="0.25">
      <c r="A28" s="8"/>
      <c r="B28" s="8"/>
      <c r="C28" s="196" t="s">
        <v>131</v>
      </c>
      <c r="D28" s="197"/>
      <c r="E28" s="197"/>
      <c r="F28" s="198"/>
      <c r="G28" s="8"/>
      <c r="H28" s="13"/>
      <c r="I28" s="8"/>
      <c r="J28" s="13"/>
      <c r="K28" s="28">
        <v>1200000</v>
      </c>
      <c r="L28" s="28"/>
      <c r="M28" s="18"/>
      <c r="N28" s="28"/>
      <c r="O28" s="53">
        <f t="shared" ref="O28:O40" si="6">H28+J28+K28+L28+M28+N28</f>
        <v>1200000</v>
      </c>
      <c r="P28" s="28"/>
      <c r="Q28" s="54"/>
    </row>
    <row r="29" spans="1:18" ht="24" customHeight="1" x14ac:dyDescent="0.25">
      <c r="A29" s="8"/>
      <c r="B29" s="8"/>
      <c r="C29" s="196" t="s">
        <v>3144</v>
      </c>
      <c r="D29" s="197"/>
      <c r="E29" s="197"/>
      <c r="F29" s="198"/>
      <c r="G29" s="8"/>
      <c r="H29" s="13"/>
      <c r="I29" s="8"/>
      <c r="J29" s="13"/>
      <c r="K29" s="28">
        <v>5967636</v>
      </c>
      <c r="L29" s="28"/>
      <c r="M29" s="28"/>
      <c r="N29" s="28"/>
      <c r="O29" s="53">
        <f t="shared" si="6"/>
        <v>5967636</v>
      </c>
      <c r="P29" s="28"/>
      <c r="Q29" s="54"/>
    </row>
    <row r="30" spans="1:18" ht="24" customHeight="1" x14ac:dyDescent="0.25">
      <c r="A30" s="8"/>
      <c r="B30" s="8"/>
      <c r="C30" s="210" t="s">
        <v>4278</v>
      </c>
      <c r="D30" s="211"/>
      <c r="E30" s="211"/>
      <c r="F30" s="212"/>
      <c r="G30" s="8"/>
      <c r="H30" s="13"/>
      <c r="I30" s="8"/>
      <c r="J30" s="13"/>
      <c r="K30" s="28"/>
      <c r="L30" s="28">
        <v>500000</v>
      </c>
      <c r="M30" s="28"/>
      <c r="N30" s="28"/>
      <c r="O30" s="53">
        <f t="shared" si="6"/>
        <v>500000</v>
      </c>
      <c r="P30" s="28"/>
      <c r="Q30" s="54"/>
    </row>
    <row r="31" spans="1:18" ht="24" customHeight="1" x14ac:dyDescent="0.25">
      <c r="A31" s="8"/>
      <c r="B31" s="8"/>
      <c r="C31" s="210" t="s">
        <v>4279</v>
      </c>
      <c r="D31" s="211"/>
      <c r="E31" s="211"/>
      <c r="F31" s="212"/>
      <c r="G31" s="8"/>
      <c r="H31" s="13"/>
      <c r="I31" s="8"/>
      <c r="J31" s="13"/>
      <c r="K31" s="28"/>
      <c r="L31" s="28">
        <v>500000</v>
      </c>
      <c r="M31" s="28"/>
      <c r="N31" s="28"/>
      <c r="O31" s="53">
        <f t="shared" si="6"/>
        <v>500000</v>
      </c>
      <c r="P31" s="28"/>
      <c r="Q31" s="54"/>
    </row>
    <row r="32" spans="1:18" ht="24" customHeight="1" x14ac:dyDescent="0.25">
      <c r="A32" s="8"/>
      <c r="B32" s="8"/>
      <c r="C32" s="210" t="s">
        <v>4280</v>
      </c>
      <c r="D32" s="211"/>
      <c r="E32" s="211"/>
      <c r="F32" s="212"/>
      <c r="G32" s="8"/>
      <c r="H32" s="13"/>
      <c r="I32" s="8"/>
      <c r="J32" s="13"/>
      <c r="K32" s="28"/>
      <c r="L32" s="28">
        <v>100000</v>
      </c>
      <c r="M32" s="28"/>
      <c r="N32" s="28"/>
      <c r="O32" s="53">
        <f t="shared" si="6"/>
        <v>100000</v>
      </c>
      <c r="P32" s="28"/>
      <c r="Q32" s="54"/>
    </row>
    <row r="33" spans="1:17" ht="24" customHeight="1" x14ac:dyDescent="0.25">
      <c r="A33" s="8"/>
      <c r="B33" s="8"/>
      <c r="C33" s="210" t="s">
        <v>4281</v>
      </c>
      <c r="D33" s="211"/>
      <c r="E33" s="211"/>
      <c r="F33" s="212"/>
      <c r="G33" s="8"/>
      <c r="H33" s="13"/>
      <c r="I33" s="8"/>
      <c r="J33" s="13"/>
      <c r="K33" s="28"/>
      <c r="L33" s="28">
        <v>60000</v>
      </c>
      <c r="M33" s="28"/>
      <c r="N33" s="28"/>
      <c r="O33" s="53">
        <f t="shared" si="6"/>
        <v>60000</v>
      </c>
      <c r="P33" s="28"/>
      <c r="Q33" s="54"/>
    </row>
    <row r="34" spans="1:17" ht="24" customHeight="1" x14ac:dyDescent="0.25">
      <c r="A34" s="8"/>
      <c r="B34" s="8"/>
      <c r="C34" s="210" t="s">
        <v>4282</v>
      </c>
      <c r="D34" s="211"/>
      <c r="E34" s="211"/>
      <c r="F34" s="212"/>
      <c r="G34" s="8"/>
      <c r="H34" s="13"/>
      <c r="I34" s="8"/>
      <c r="J34" s="13"/>
      <c r="K34" s="28"/>
      <c r="L34" s="28">
        <v>100000</v>
      </c>
      <c r="M34" s="28"/>
      <c r="N34" s="28"/>
      <c r="O34" s="53">
        <f t="shared" si="6"/>
        <v>100000</v>
      </c>
      <c r="P34" s="28"/>
      <c r="Q34" s="54"/>
    </row>
    <row r="35" spans="1:17" ht="24" customHeight="1" x14ac:dyDescent="0.25">
      <c r="A35" s="8"/>
      <c r="B35" s="8"/>
      <c r="C35" s="210" t="s">
        <v>4283</v>
      </c>
      <c r="D35" s="211"/>
      <c r="E35" s="211"/>
      <c r="F35" s="212"/>
      <c r="G35" s="8"/>
      <c r="H35" s="13"/>
      <c r="I35" s="8"/>
      <c r="J35" s="13"/>
      <c r="K35" s="28"/>
      <c r="L35" s="28">
        <v>885600</v>
      </c>
      <c r="M35" s="28"/>
      <c r="N35" s="28"/>
      <c r="O35" s="53">
        <f t="shared" si="6"/>
        <v>885600</v>
      </c>
      <c r="P35" s="28"/>
      <c r="Q35" s="54"/>
    </row>
    <row r="36" spans="1:17" ht="24" customHeight="1" x14ac:dyDescent="0.25">
      <c r="A36" s="8"/>
      <c r="B36" s="8"/>
      <c r="C36" s="210" t="s">
        <v>4284</v>
      </c>
      <c r="D36" s="211"/>
      <c r="E36" s="211"/>
      <c r="F36" s="212"/>
      <c r="G36" s="8"/>
      <c r="H36" s="13"/>
      <c r="I36" s="8"/>
      <c r="J36" s="13"/>
      <c r="K36" s="28"/>
      <c r="L36" s="28">
        <v>220000</v>
      </c>
      <c r="M36" s="28"/>
      <c r="N36" s="28"/>
      <c r="O36" s="53">
        <f t="shared" si="6"/>
        <v>220000</v>
      </c>
      <c r="P36" s="28"/>
      <c r="Q36" s="54"/>
    </row>
    <row r="37" spans="1:17" ht="24" customHeight="1" x14ac:dyDescent="0.25">
      <c r="A37" s="8"/>
      <c r="B37" s="8"/>
      <c r="C37" s="210" t="s">
        <v>4288</v>
      </c>
      <c r="D37" s="211"/>
      <c r="E37" s="211"/>
      <c r="F37" s="212"/>
      <c r="G37" s="8"/>
      <c r="H37" s="13"/>
      <c r="I37" s="8"/>
      <c r="J37" s="13"/>
      <c r="K37" s="28"/>
      <c r="L37" s="28">
        <v>2786400</v>
      </c>
      <c r="M37" s="28"/>
      <c r="N37" s="28"/>
      <c r="O37" s="53">
        <f t="shared" si="6"/>
        <v>2786400</v>
      </c>
      <c r="P37" s="28"/>
      <c r="Q37" s="54"/>
    </row>
    <row r="38" spans="1:17" ht="24" customHeight="1" x14ac:dyDescent="0.25">
      <c r="A38" s="8"/>
      <c r="B38" s="8"/>
      <c r="C38" s="210" t="s">
        <v>4298</v>
      </c>
      <c r="D38" s="211"/>
      <c r="E38" s="211"/>
      <c r="F38" s="212"/>
      <c r="G38" s="8"/>
      <c r="H38" s="13"/>
      <c r="I38" s="8"/>
      <c r="J38" s="13"/>
      <c r="K38" s="28"/>
      <c r="L38" s="28">
        <v>700000</v>
      </c>
      <c r="M38" s="28"/>
      <c r="N38" s="28"/>
      <c r="O38" s="53">
        <f t="shared" si="6"/>
        <v>700000</v>
      </c>
      <c r="P38" s="28"/>
      <c r="Q38" s="54"/>
    </row>
    <row r="39" spans="1:17" ht="24" customHeight="1" x14ac:dyDescent="0.25">
      <c r="A39" s="8"/>
      <c r="B39" s="8"/>
      <c r="C39" s="210" t="s">
        <v>4299</v>
      </c>
      <c r="D39" s="211"/>
      <c r="E39" s="211"/>
      <c r="F39" s="212"/>
      <c r="G39" s="8"/>
      <c r="H39" s="13"/>
      <c r="I39" s="8"/>
      <c r="J39" s="13"/>
      <c r="K39" s="28"/>
      <c r="L39" s="28">
        <v>400000</v>
      </c>
      <c r="M39" s="28"/>
      <c r="N39" s="28"/>
      <c r="O39" s="53">
        <f t="shared" si="6"/>
        <v>400000</v>
      </c>
      <c r="P39" s="28"/>
      <c r="Q39" s="54"/>
    </row>
    <row r="40" spans="1:17" ht="24" customHeight="1" x14ac:dyDescent="0.25">
      <c r="A40" s="8"/>
      <c r="B40" s="8"/>
      <c r="C40" s="210" t="s">
        <v>4300</v>
      </c>
      <c r="D40" s="211"/>
      <c r="E40" s="211"/>
      <c r="F40" s="212"/>
      <c r="G40" s="8"/>
      <c r="H40" s="13"/>
      <c r="I40" s="8"/>
      <c r="J40" s="13"/>
      <c r="K40" s="28"/>
      <c r="L40" s="28">
        <v>850000</v>
      </c>
      <c r="M40" s="28"/>
      <c r="N40" s="28"/>
      <c r="O40" s="53">
        <f t="shared" si="6"/>
        <v>850000</v>
      </c>
      <c r="P40" s="28"/>
      <c r="Q40" s="54"/>
    </row>
    <row r="41" spans="1:17" ht="25.5" customHeight="1" x14ac:dyDescent="0.25">
      <c r="A41" s="8"/>
      <c r="B41" s="8"/>
      <c r="C41" s="191" t="s">
        <v>2817</v>
      </c>
      <c r="D41" s="192"/>
      <c r="E41" s="192"/>
      <c r="F41" s="195"/>
      <c r="G41" s="30"/>
      <c r="H41" s="28"/>
      <c r="I41" s="30"/>
      <c r="J41" s="28"/>
      <c r="K41" s="28">
        <v>8100000</v>
      </c>
      <c r="L41" s="28"/>
      <c r="M41" s="18"/>
      <c r="N41" s="28"/>
      <c r="O41" s="53">
        <f>H41+J41+K41+L41+M41+N41</f>
        <v>8100000</v>
      </c>
      <c r="P41" s="28"/>
      <c r="Q41" s="54"/>
    </row>
    <row r="42" spans="1:17" ht="15" customHeight="1" x14ac:dyDescent="0.25">
      <c r="A42" s="166" t="s">
        <v>19</v>
      </c>
      <c r="B42" s="167"/>
      <c r="C42" s="167"/>
      <c r="D42" s="167"/>
      <c r="E42" s="167"/>
      <c r="F42" s="168"/>
      <c r="G42" s="131">
        <f>SUM(G7:G41)</f>
        <v>2842</v>
      </c>
      <c r="H42" s="4">
        <f>SUM(H7:H41)</f>
        <v>52824220</v>
      </c>
      <c r="I42" s="4">
        <f>SUM(I7:I41)</f>
        <v>0</v>
      </c>
      <c r="J42" s="4">
        <f>SUM(J7:J41)</f>
        <v>25975000</v>
      </c>
      <c r="K42" s="4">
        <f>SUM(K7:K41)</f>
        <v>15267636</v>
      </c>
      <c r="L42" s="4">
        <f>SUM(L7:L41)</f>
        <v>7102000</v>
      </c>
      <c r="M42" s="4">
        <f>SUM(M7:M41)</f>
        <v>0</v>
      </c>
      <c r="N42" s="4">
        <f>SUM(N7:N41)</f>
        <v>0</v>
      </c>
      <c r="O42" s="4">
        <f>SUM(O7:O41)</f>
        <v>101168856</v>
      </c>
      <c r="P42" s="4">
        <f>SUM(P7:P41)</f>
        <v>139564445</v>
      </c>
      <c r="Q42" s="122">
        <f>P42-O42</f>
        <v>38395589</v>
      </c>
    </row>
    <row r="43" spans="1:17" x14ac:dyDescent="0.25">
      <c r="O43" s="20"/>
      <c r="P43" s="5" t="s">
        <v>1796</v>
      </c>
      <c r="Q43" s="26"/>
    </row>
    <row r="44" spans="1:17" x14ac:dyDescent="0.25">
      <c r="P44" s="21" t="s">
        <v>20</v>
      </c>
      <c r="Q44" s="26">
        <f>'10.2024'!Q45+'11.2024'!Q42</f>
        <v>192165315</v>
      </c>
    </row>
    <row r="45" spans="1:17" x14ac:dyDescent="0.25">
      <c r="C45" s="6" t="s">
        <v>993</v>
      </c>
    </row>
    <row r="46" spans="1:17" x14ac:dyDescent="0.25">
      <c r="C46" s="205"/>
      <c r="D46" s="205"/>
      <c r="E46" s="205"/>
      <c r="F46" s="205"/>
      <c r="H46" s="109"/>
    </row>
    <row r="47" spans="1:17" x14ac:dyDescent="0.25">
      <c r="C47" s="206"/>
      <c r="D47" s="206"/>
      <c r="E47" s="206"/>
      <c r="F47" s="206"/>
      <c r="H47" s="109"/>
    </row>
    <row r="48" spans="1:17" x14ac:dyDescent="0.25">
      <c r="B48" s="6"/>
      <c r="C48" s="110"/>
      <c r="D48" s="110"/>
      <c r="E48" s="110"/>
      <c r="F48" s="110"/>
      <c r="G48" s="133"/>
      <c r="H48" s="109"/>
    </row>
    <row r="49" spans="2:17" x14ac:dyDescent="0.25">
      <c r="B49" s="6"/>
      <c r="C49" s="206"/>
      <c r="D49" s="206"/>
      <c r="E49" s="206"/>
      <c r="F49" s="206"/>
      <c r="H49" s="109"/>
    </row>
    <row r="50" spans="2:17" x14ac:dyDescent="0.25">
      <c r="B50" s="6"/>
      <c r="C50" s="206"/>
      <c r="D50" s="206"/>
      <c r="E50" s="206"/>
      <c r="F50" s="206"/>
      <c r="H50" s="109"/>
    </row>
    <row r="51" spans="2:17" x14ac:dyDescent="0.25">
      <c r="B51" s="6"/>
      <c r="C51" s="206"/>
      <c r="D51" s="206"/>
      <c r="E51" s="206"/>
      <c r="F51" s="206"/>
      <c r="G51" s="133"/>
      <c r="H51" s="109"/>
      <c r="J51" s="6"/>
      <c r="K51" s="6"/>
      <c r="L51" s="6"/>
      <c r="M51" s="6"/>
      <c r="N51" s="6"/>
      <c r="O51" s="6"/>
      <c r="P51" s="6"/>
      <c r="Q51" s="6"/>
    </row>
    <row r="52" spans="2:17" x14ac:dyDescent="0.2">
      <c r="C52" s="107"/>
      <c r="D52" s="110"/>
      <c r="E52" s="110"/>
      <c r="F52" s="110"/>
      <c r="H52" s="109"/>
    </row>
    <row r="53" spans="2:17" x14ac:dyDescent="0.25">
      <c r="C53" s="205"/>
      <c r="D53" s="205"/>
      <c r="E53" s="205"/>
      <c r="F53" s="205"/>
    </row>
  </sheetData>
  <mergeCells count="34">
    <mergeCell ref="C53:F53"/>
    <mergeCell ref="A42:F42"/>
    <mergeCell ref="C46:F46"/>
    <mergeCell ref="C47:F47"/>
    <mergeCell ref="C49:F49"/>
    <mergeCell ref="C50:F50"/>
    <mergeCell ref="C51:F51"/>
    <mergeCell ref="C41:F41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30:F30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28:F28"/>
    <mergeCell ref="C29:F29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CB33-B1A1-4981-BD46-D15128D726C0}">
  <dimension ref="A1:R63"/>
  <sheetViews>
    <sheetView topLeftCell="A38" workbookViewId="0">
      <selection activeCell="J48" sqref="J48"/>
    </sheetView>
  </sheetViews>
  <sheetFormatPr defaultColWidth="9.140625" defaultRowHeight="12.75" x14ac:dyDescent="0.25"/>
  <cols>
    <col min="1" max="1" width="4.5703125" style="6" customWidth="1"/>
    <col min="2" max="2" width="10.28515625" style="23" customWidth="1"/>
    <col min="3" max="3" width="27.85546875" style="6" customWidth="1"/>
    <col min="4" max="4" width="13.85546875" style="6" customWidth="1"/>
    <col min="5" max="5" width="35.28515625" style="6" customWidth="1"/>
    <col min="6" max="6" width="11.5703125" style="6" customWidth="1"/>
    <col min="7" max="7" width="6.5703125" style="6" customWidth="1"/>
    <col min="8" max="8" width="11" style="5" customWidth="1"/>
    <col min="9" max="9" width="9.140625" style="6"/>
    <col min="10" max="10" width="9.7109375" style="5" customWidth="1"/>
    <col min="11" max="11" width="10.140625" style="5" customWidth="1"/>
    <col min="12" max="12" width="11.140625" style="5" customWidth="1"/>
    <col min="13" max="13" width="9.85546875" style="5" customWidth="1"/>
    <col min="14" max="14" width="9.5703125" style="5" customWidth="1"/>
    <col min="15" max="16" width="10.7109375" style="5" customWidth="1"/>
    <col min="17" max="17" width="10.42578125" style="5" customWidth="1"/>
    <col min="18" max="16384" width="9.140625" style="6"/>
  </cols>
  <sheetData>
    <row r="1" spans="1:18" ht="23.2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18" ht="15.75" x14ac:dyDescent="0.25">
      <c r="A2" s="170" t="s">
        <v>22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1:18" ht="15.75" x14ac:dyDescent="0.25">
      <c r="A3" s="7"/>
      <c r="B3" s="170" t="s">
        <v>4220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5" spans="1:18" s="1" customFormat="1" x14ac:dyDescent="0.25">
      <c r="A5" s="171" t="s">
        <v>1</v>
      </c>
      <c r="B5" s="173" t="s">
        <v>2</v>
      </c>
      <c r="C5" s="171" t="s">
        <v>3</v>
      </c>
      <c r="D5" s="171" t="s">
        <v>5</v>
      </c>
      <c r="E5" s="175" t="s">
        <v>4</v>
      </c>
      <c r="F5" s="175" t="s">
        <v>17</v>
      </c>
      <c r="G5" s="177" t="s">
        <v>6</v>
      </c>
      <c r="H5" s="177"/>
      <c r="I5" s="177"/>
      <c r="J5" s="177"/>
      <c r="K5" s="177"/>
      <c r="L5" s="177"/>
      <c r="M5" s="177"/>
      <c r="N5" s="177"/>
      <c r="O5" s="164" t="s">
        <v>18</v>
      </c>
      <c r="P5" s="164" t="s">
        <v>13</v>
      </c>
      <c r="Q5" s="164" t="s">
        <v>14</v>
      </c>
    </row>
    <row r="6" spans="1:18" s="1" customFormat="1" x14ac:dyDescent="0.25">
      <c r="A6" s="172"/>
      <c r="B6" s="174"/>
      <c r="C6" s="172"/>
      <c r="D6" s="172"/>
      <c r="E6" s="176"/>
      <c r="F6" s="176"/>
      <c r="G6" s="31" t="s">
        <v>7</v>
      </c>
      <c r="H6" s="2" t="s">
        <v>15</v>
      </c>
      <c r="I6" s="31" t="s">
        <v>16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165"/>
      <c r="P6" s="165"/>
      <c r="Q6" s="165"/>
    </row>
    <row r="7" spans="1:18" ht="27.75" customHeight="1" x14ac:dyDescent="0.25">
      <c r="A7" s="155">
        <v>1</v>
      </c>
      <c r="B7" s="156">
        <v>45628</v>
      </c>
      <c r="C7" s="157" t="s">
        <v>4221</v>
      </c>
      <c r="D7" s="158" t="s">
        <v>4238</v>
      </c>
      <c r="E7" s="157" t="s">
        <v>4214</v>
      </c>
      <c r="F7" s="159"/>
      <c r="G7" s="159">
        <v>128</v>
      </c>
      <c r="H7" s="160">
        <f>G7*18770</f>
        <v>2402560</v>
      </c>
      <c r="I7" s="159"/>
      <c r="J7" s="160">
        <v>1070000</v>
      </c>
      <c r="K7" s="161"/>
      <c r="L7" s="162"/>
      <c r="M7" s="160"/>
      <c r="N7" s="160"/>
      <c r="O7" s="160">
        <f>SUM(H7:N7)</f>
        <v>3472560</v>
      </c>
      <c r="P7" s="160">
        <v>5900000</v>
      </c>
      <c r="Q7" s="160">
        <f>P7-O7</f>
        <v>2427440</v>
      </c>
      <c r="R7" s="5"/>
    </row>
    <row r="8" spans="1:18" ht="24.75" customHeight="1" x14ac:dyDescent="0.25">
      <c r="A8" s="148">
        <v>2</v>
      </c>
      <c r="B8" s="120">
        <v>45629</v>
      </c>
      <c r="C8" s="10" t="s">
        <v>4222</v>
      </c>
      <c r="D8" s="129" t="s">
        <v>4239</v>
      </c>
      <c r="E8" s="9" t="s">
        <v>1177</v>
      </c>
      <c r="F8" s="117"/>
      <c r="G8" s="8">
        <v>83</v>
      </c>
      <c r="H8" s="13">
        <f t="shared" ref="H8:H10" si="0">G8*18770</f>
        <v>1557910</v>
      </c>
      <c r="I8" s="117"/>
      <c r="J8" s="119">
        <v>680000</v>
      </c>
      <c r="K8" s="28"/>
      <c r="L8" s="29"/>
      <c r="M8" s="13"/>
      <c r="N8" s="13"/>
      <c r="O8" s="13">
        <f t="shared" ref="O8:O37" si="1">SUM(H8:N8)</f>
        <v>2237910</v>
      </c>
      <c r="P8" s="13">
        <v>4157778</v>
      </c>
      <c r="Q8" s="13">
        <f>P8-O8</f>
        <v>1919868</v>
      </c>
      <c r="R8" s="5"/>
    </row>
    <row r="9" spans="1:18" ht="24.75" customHeight="1" x14ac:dyDescent="0.25">
      <c r="A9" s="148">
        <v>3</v>
      </c>
      <c r="B9" s="120">
        <v>45630</v>
      </c>
      <c r="C9" s="10" t="s">
        <v>4223</v>
      </c>
      <c r="D9" s="25" t="s">
        <v>4240</v>
      </c>
      <c r="E9" s="10" t="s">
        <v>4262</v>
      </c>
      <c r="F9" s="8"/>
      <c r="G9" s="8">
        <v>128</v>
      </c>
      <c r="H9" s="13">
        <f t="shared" si="0"/>
        <v>2402560</v>
      </c>
      <c r="I9" s="8"/>
      <c r="J9" s="13">
        <v>1120000</v>
      </c>
      <c r="K9" s="28"/>
      <c r="L9" s="29"/>
      <c r="M9" s="13"/>
      <c r="N9" s="13"/>
      <c r="O9" s="13">
        <f t="shared" si="1"/>
        <v>3522560</v>
      </c>
      <c r="P9" s="13">
        <v>6050000</v>
      </c>
      <c r="Q9" s="13">
        <f t="shared" ref="Q9:Q37" si="2">P9-O9</f>
        <v>2527440</v>
      </c>
      <c r="R9" s="5"/>
    </row>
    <row r="10" spans="1:18" ht="27.75" customHeight="1" x14ac:dyDescent="0.25">
      <c r="A10" s="148">
        <v>4</v>
      </c>
      <c r="B10" s="120">
        <v>45631</v>
      </c>
      <c r="C10" s="10" t="s">
        <v>4224</v>
      </c>
      <c r="D10" s="25" t="s">
        <v>4241</v>
      </c>
      <c r="E10" s="10" t="s">
        <v>4263</v>
      </c>
      <c r="F10" s="8"/>
      <c r="G10" s="8">
        <v>111</v>
      </c>
      <c r="H10" s="13">
        <f t="shared" si="0"/>
        <v>2083470</v>
      </c>
      <c r="I10" s="8"/>
      <c r="J10" s="13">
        <v>790000</v>
      </c>
      <c r="K10" s="28"/>
      <c r="L10" s="29"/>
      <c r="M10" s="13"/>
      <c r="N10" s="13"/>
      <c r="O10" s="13">
        <f t="shared" si="1"/>
        <v>2873470</v>
      </c>
      <c r="P10" s="13">
        <v>5400000</v>
      </c>
      <c r="Q10" s="13">
        <f t="shared" si="2"/>
        <v>2526530</v>
      </c>
      <c r="R10" s="5"/>
    </row>
    <row r="11" spans="1:18" ht="27.75" customHeight="1" x14ac:dyDescent="0.25">
      <c r="A11" s="148">
        <v>5</v>
      </c>
      <c r="B11" s="120">
        <v>45632</v>
      </c>
      <c r="C11" s="10" t="s">
        <v>4225</v>
      </c>
      <c r="D11" s="25" t="s">
        <v>4242</v>
      </c>
      <c r="E11" s="10" t="s">
        <v>4264</v>
      </c>
      <c r="F11" s="8"/>
      <c r="G11" s="8">
        <v>131</v>
      </c>
      <c r="H11" s="13">
        <f>G11*18380</f>
        <v>2407780</v>
      </c>
      <c r="I11" s="8"/>
      <c r="J11" s="13">
        <v>1070000</v>
      </c>
      <c r="K11" s="28"/>
      <c r="L11" s="29"/>
      <c r="M11" s="13"/>
      <c r="N11" s="13"/>
      <c r="O11" s="13">
        <f t="shared" si="1"/>
        <v>3477780</v>
      </c>
      <c r="P11" s="13">
        <v>3849259</v>
      </c>
      <c r="Q11" s="13">
        <f t="shared" si="2"/>
        <v>371479</v>
      </c>
      <c r="R11" s="5"/>
    </row>
    <row r="12" spans="1:18" ht="27.75" customHeight="1" x14ac:dyDescent="0.25">
      <c r="A12" s="148">
        <v>6</v>
      </c>
      <c r="B12" s="120">
        <v>45632</v>
      </c>
      <c r="C12" s="10" t="s">
        <v>4226</v>
      </c>
      <c r="D12" s="25" t="s">
        <v>4242</v>
      </c>
      <c r="E12" s="10" t="s">
        <v>2593</v>
      </c>
      <c r="F12" s="8"/>
      <c r="G12" s="8"/>
      <c r="H12" s="13">
        <f t="shared" ref="H12:H17" si="3">G12*18380</f>
        <v>0</v>
      </c>
      <c r="I12" s="8"/>
      <c r="J12" s="13"/>
      <c r="K12" s="28"/>
      <c r="L12" s="29"/>
      <c r="M12" s="13"/>
      <c r="N12" s="13"/>
      <c r="O12" s="13">
        <f t="shared" si="1"/>
        <v>0</v>
      </c>
      <c r="P12" s="13">
        <v>2748259</v>
      </c>
      <c r="Q12" s="13">
        <f t="shared" si="2"/>
        <v>2748259</v>
      </c>
      <c r="R12" s="5"/>
    </row>
    <row r="13" spans="1:18" ht="27.75" customHeight="1" x14ac:dyDescent="0.25">
      <c r="A13" s="148">
        <v>7</v>
      </c>
      <c r="B13" s="149">
        <v>45633</v>
      </c>
      <c r="C13" s="111" t="s">
        <v>4227</v>
      </c>
      <c r="D13" s="112" t="s">
        <v>4243</v>
      </c>
      <c r="E13" s="111" t="s">
        <v>383</v>
      </c>
      <c r="F13" s="12"/>
      <c r="G13" s="8">
        <v>117</v>
      </c>
      <c r="H13" s="13">
        <f t="shared" si="3"/>
        <v>2150460</v>
      </c>
      <c r="I13" s="8"/>
      <c r="J13" s="13">
        <v>1120000</v>
      </c>
      <c r="K13" s="18"/>
      <c r="L13" s="99"/>
      <c r="M13" s="3"/>
      <c r="N13" s="3"/>
      <c r="O13" s="13">
        <f t="shared" si="1"/>
        <v>3270460</v>
      </c>
      <c r="P13" s="13">
        <v>2981481</v>
      </c>
      <c r="Q13" s="13">
        <f t="shared" si="2"/>
        <v>-288979</v>
      </c>
      <c r="R13" s="5"/>
    </row>
    <row r="14" spans="1:18" ht="27.75" customHeight="1" x14ac:dyDescent="0.25">
      <c r="A14" s="148">
        <v>8</v>
      </c>
      <c r="B14" s="120">
        <v>45633</v>
      </c>
      <c r="C14" s="10" t="s">
        <v>4228</v>
      </c>
      <c r="D14" s="25" t="s">
        <v>4243</v>
      </c>
      <c r="E14" s="10" t="s">
        <v>4265</v>
      </c>
      <c r="F14" s="8"/>
      <c r="G14" s="8"/>
      <c r="H14" s="13">
        <f t="shared" si="3"/>
        <v>0</v>
      </c>
      <c r="I14" s="8"/>
      <c r="J14" s="13"/>
      <c r="K14" s="28"/>
      <c r="L14" s="29"/>
      <c r="M14" s="13"/>
      <c r="N14" s="13"/>
      <c r="O14" s="13">
        <f t="shared" si="1"/>
        <v>0</v>
      </c>
      <c r="P14" s="13">
        <v>2300000</v>
      </c>
      <c r="Q14" s="13">
        <f t="shared" si="2"/>
        <v>2300000</v>
      </c>
      <c r="R14" s="5"/>
    </row>
    <row r="15" spans="1:18" ht="27.75" customHeight="1" x14ac:dyDescent="0.25">
      <c r="A15" s="148">
        <v>9</v>
      </c>
      <c r="B15" s="120">
        <v>45635</v>
      </c>
      <c r="C15" s="10" t="s">
        <v>4229</v>
      </c>
      <c r="D15" s="25" t="s">
        <v>4244</v>
      </c>
      <c r="E15" s="10" t="s">
        <v>33</v>
      </c>
      <c r="F15" s="8"/>
      <c r="G15" s="8">
        <v>160</v>
      </c>
      <c r="H15" s="13">
        <f t="shared" si="3"/>
        <v>2940800</v>
      </c>
      <c r="I15" s="8"/>
      <c r="J15" s="13">
        <v>1470000</v>
      </c>
      <c r="K15" s="28"/>
      <c r="L15" s="29"/>
      <c r="M15" s="13"/>
      <c r="N15" s="13"/>
      <c r="O15" s="13">
        <f t="shared" si="1"/>
        <v>4410800</v>
      </c>
      <c r="P15" s="13">
        <v>7833333</v>
      </c>
      <c r="Q15" s="13">
        <f t="shared" si="2"/>
        <v>3422533</v>
      </c>
      <c r="R15" s="5"/>
    </row>
    <row r="16" spans="1:18" ht="27.75" customHeight="1" x14ac:dyDescent="0.25">
      <c r="A16" s="148">
        <v>10</v>
      </c>
      <c r="B16" s="120">
        <v>45636</v>
      </c>
      <c r="C16" s="10" t="s">
        <v>4230</v>
      </c>
      <c r="D16" s="25" t="s">
        <v>770</v>
      </c>
      <c r="E16" s="10" t="s">
        <v>4214</v>
      </c>
      <c r="F16" s="8"/>
      <c r="G16" s="8">
        <v>129</v>
      </c>
      <c r="H16" s="13">
        <f t="shared" si="3"/>
        <v>2371020</v>
      </c>
      <c r="I16" s="8"/>
      <c r="J16" s="119">
        <v>1070000</v>
      </c>
      <c r="K16" s="28"/>
      <c r="L16" s="29"/>
      <c r="M16" s="13"/>
      <c r="N16" s="13"/>
      <c r="O16" s="13">
        <f t="shared" si="1"/>
        <v>3441020</v>
      </c>
      <c r="P16" s="13">
        <v>5900000</v>
      </c>
      <c r="Q16" s="13">
        <f t="shared" si="2"/>
        <v>2458980</v>
      </c>
      <c r="R16" s="5"/>
    </row>
    <row r="17" spans="1:18" ht="22.5" customHeight="1" x14ac:dyDescent="0.25">
      <c r="A17" s="148">
        <v>11</v>
      </c>
      <c r="B17" s="120">
        <v>45637</v>
      </c>
      <c r="C17" s="10" t="s">
        <v>4231</v>
      </c>
      <c r="D17" s="25" t="s">
        <v>4245</v>
      </c>
      <c r="E17" s="10" t="s">
        <v>1177</v>
      </c>
      <c r="F17" s="8"/>
      <c r="G17" s="8">
        <v>137</v>
      </c>
      <c r="H17" s="13">
        <f t="shared" si="3"/>
        <v>2518060</v>
      </c>
      <c r="I17" s="8"/>
      <c r="J17" s="13">
        <v>1175000</v>
      </c>
      <c r="K17" s="28"/>
      <c r="L17" s="29"/>
      <c r="M17" s="13"/>
      <c r="N17" s="13"/>
      <c r="O17" s="13">
        <f t="shared" si="1"/>
        <v>3693060</v>
      </c>
      <c r="P17" s="13">
        <v>4048519</v>
      </c>
      <c r="Q17" s="13">
        <f t="shared" si="2"/>
        <v>355459</v>
      </c>
      <c r="R17" s="5"/>
    </row>
    <row r="18" spans="1:18" ht="22.5" customHeight="1" x14ac:dyDescent="0.25">
      <c r="A18" s="148">
        <v>12</v>
      </c>
      <c r="B18" s="120">
        <v>45637</v>
      </c>
      <c r="C18" s="10" t="s">
        <v>4232</v>
      </c>
      <c r="D18" s="25" t="s">
        <v>4245</v>
      </c>
      <c r="E18" s="10" t="s">
        <v>3781</v>
      </c>
      <c r="F18" s="8"/>
      <c r="G18" s="8"/>
      <c r="H18" s="13"/>
      <c r="I18" s="8"/>
      <c r="J18" s="13"/>
      <c r="K18" s="28"/>
      <c r="L18" s="29"/>
      <c r="M18" s="13"/>
      <c r="N18" s="13"/>
      <c r="O18" s="13">
        <f t="shared" si="1"/>
        <v>0</v>
      </c>
      <c r="P18" s="13"/>
      <c r="Q18" s="13">
        <f t="shared" si="2"/>
        <v>0</v>
      </c>
      <c r="R18" s="5"/>
    </row>
    <row r="19" spans="1:18" ht="22.5" customHeight="1" x14ac:dyDescent="0.25">
      <c r="A19" s="148">
        <v>13</v>
      </c>
      <c r="B19" s="120">
        <v>45638</v>
      </c>
      <c r="C19" s="10" t="s">
        <v>344</v>
      </c>
      <c r="D19" s="25" t="s">
        <v>4246</v>
      </c>
      <c r="E19" s="10" t="s">
        <v>4266</v>
      </c>
      <c r="F19" s="8"/>
      <c r="G19" s="8">
        <v>159</v>
      </c>
      <c r="H19" s="13">
        <f>G19*18250</f>
        <v>2901750</v>
      </c>
      <c r="I19" s="8"/>
      <c r="J19" s="13">
        <v>1064000</v>
      </c>
      <c r="K19" s="28"/>
      <c r="L19" s="29"/>
      <c r="M19" s="13"/>
      <c r="N19" s="13"/>
      <c r="O19" s="13">
        <f t="shared" si="1"/>
        <v>3965750</v>
      </c>
      <c r="P19" s="13">
        <v>7500000</v>
      </c>
      <c r="Q19" s="13">
        <f t="shared" si="2"/>
        <v>3534250</v>
      </c>
      <c r="R19" s="5"/>
    </row>
    <row r="20" spans="1:18" ht="22.5" customHeight="1" x14ac:dyDescent="0.25">
      <c r="A20" s="148">
        <v>14</v>
      </c>
      <c r="B20" s="120">
        <v>45639</v>
      </c>
      <c r="C20" s="10" t="s">
        <v>2486</v>
      </c>
      <c r="D20" s="25" t="s">
        <v>4247</v>
      </c>
      <c r="E20" s="10" t="s">
        <v>4264</v>
      </c>
      <c r="F20" s="8"/>
      <c r="G20" s="8">
        <v>96</v>
      </c>
      <c r="H20" s="13">
        <f t="shared" ref="H20:H22" si="4">G20*18250</f>
        <v>1752000</v>
      </c>
      <c r="I20" s="8"/>
      <c r="J20" s="13">
        <v>680000</v>
      </c>
      <c r="K20" s="28"/>
      <c r="L20" s="29"/>
      <c r="M20" s="13"/>
      <c r="N20" s="13"/>
      <c r="O20" s="13">
        <f t="shared" si="1"/>
        <v>2432000</v>
      </c>
      <c r="P20" s="13">
        <v>3958519</v>
      </c>
      <c r="Q20" s="13">
        <f t="shared" si="2"/>
        <v>1526519</v>
      </c>
      <c r="R20" s="5"/>
    </row>
    <row r="21" spans="1:18" ht="22.5" customHeight="1" x14ac:dyDescent="0.25">
      <c r="A21" s="148">
        <v>15</v>
      </c>
      <c r="B21" s="120">
        <v>45640</v>
      </c>
      <c r="C21" s="10" t="s">
        <v>4233</v>
      </c>
      <c r="D21" s="25" t="s">
        <v>4248</v>
      </c>
      <c r="E21" s="10" t="s">
        <v>4267</v>
      </c>
      <c r="F21" s="8"/>
      <c r="G21" s="8">
        <v>94</v>
      </c>
      <c r="H21" s="13">
        <f t="shared" si="4"/>
        <v>1715500</v>
      </c>
      <c r="I21" s="8"/>
      <c r="J21" s="13">
        <v>1080000</v>
      </c>
      <c r="K21" s="28"/>
      <c r="L21" s="29"/>
      <c r="M21" s="13"/>
      <c r="N21" s="13"/>
      <c r="O21" s="13">
        <f t="shared" si="1"/>
        <v>2795500</v>
      </c>
      <c r="P21" s="13">
        <v>4775555</v>
      </c>
      <c r="Q21" s="13">
        <f t="shared" si="2"/>
        <v>1980055</v>
      </c>
      <c r="R21" s="5"/>
    </row>
    <row r="22" spans="1:18" ht="22.5" customHeight="1" x14ac:dyDescent="0.25">
      <c r="A22" s="148">
        <v>16</v>
      </c>
      <c r="B22" s="120">
        <v>45643</v>
      </c>
      <c r="C22" s="10" t="s">
        <v>348</v>
      </c>
      <c r="D22" s="25" t="s">
        <v>369</v>
      </c>
      <c r="E22" s="10" t="s">
        <v>4268</v>
      </c>
      <c r="F22" s="8"/>
      <c r="G22" s="8">
        <v>134</v>
      </c>
      <c r="H22" s="13">
        <f t="shared" si="4"/>
        <v>2445500</v>
      </c>
      <c r="I22" s="8"/>
      <c r="J22" s="13">
        <v>1070000</v>
      </c>
      <c r="K22" s="28"/>
      <c r="L22" s="29"/>
      <c r="M22" s="13"/>
      <c r="N22" s="13"/>
      <c r="O22" s="13">
        <f t="shared" si="1"/>
        <v>3515500</v>
      </c>
      <c r="P22" s="13">
        <v>6000000</v>
      </c>
      <c r="Q22" s="13">
        <f t="shared" si="2"/>
        <v>2484500</v>
      </c>
      <c r="R22" s="5"/>
    </row>
    <row r="23" spans="1:18" ht="22.5" customHeight="1" x14ac:dyDescent="0.25">
      <c r="A23" s="148">
        <v>17</v>
      </c>
      <c r="B23" s="120">
        <v>45644</v>
      </c>
      <c r="C23" s="10" t="s">
        <v>3546</v>
      </c>
      <c r="D23" s="25" t="s">
        <v>4249</v>
      </c>
      <c r="E23" s="10" t="s">
        <v>4269</v>
      </c>
      <c r="F23" s="8"/>
      <c r="G23" s="8">
        <v>132</v>
      </c>
      <c r="H23" s="13">
        <f>G23*18730</f>
        <v>2472360</v>
      </c>
      <c r="I23" s="8"/>
      <c r="J23" s="13">
        <v>1070000</v>
      </c>
      <c r="K23" s="28"/>
      <c r="L23" s="29"/>
      <c r="M23" s="13"/>
      <c r="N23" s="13"/>
      <c r="O23" s="13">
        <f t="shared" si="1"/>
        <v>3542360</v>
      </c>
      <c r="P23" s="13">
        <v>5900000</v>
      </c>
      <c r="Q23" s="13">
        <f t="shared" si="2"/>
        <v>2357640</v>
      </c>
      <c r="R23" s="5"/>
    </row>
    <row r="24" spans="1:18" ht="22.5" customHeight="1" x14ac:dyDescent="0.25">
      <c r="A24" s="148">
        <v>18</v>
      </c>
      <c r="B24" s="120">
        <v>45645</v>
      </c>
      <c r="C24" s="10" t="s">
        <v>349</v>
      </c>
      <c r="D24" s="25" t="s">
        <v>4250</v>
      </c>
      <c r="E24" s="10" t="s">
        <v>4270</v>
      </c>
      <c r="F24" s="8"/>
      <c r="G24" s="8">
        <v>132</v>
      </c>
      <c r="H24" s="13">
        <f t="shared" ref="H24:H30" si="5">G24*18730</f>
        <v>2472360</v>
      </c>
      <c r="I24" s="8"/>
      <c r="J24" s="13">
        <v>1070000</v>
      </c>
      <c r="K24" s="28"/>
      <c r="L24" s="29"/>
      <c r="M24" s="13"/>
      <c r="N24" s="13"/>
      <c r="O24" s="13">
        <f t="shared" si="1"/>
        <v>3542360</v>
      </c>
      <c r="P24" s="13">
        <v>5900000</v>
      </c>
      <c r="Q24" s="13">
        <f t="shared" si="2"/>
        <v>2357640</v>
      </c>
      <c r="R24" s="5"/>
    </row>
    <row r="25" spans="1:18" ht="22.5" customHeight="1" x14ac:dyDescent="0.25">
      <c r="A25" s="25">
        <v>19</v>
      </c>
      <c r="B25" s="120">
        <v>45646</v>
      </c>
      <c r="C25" s="10" t="s">
        <v>350</v>
      </c>
      <c r="D25" s="25" t="s">
        <v>4251</v>
      </c>
      <c r="E25" s="10" t="s">
        <v>4271</v>
      </c>
      <c r="F25" s="8"/>
      <c r="G25" s="8">
        <v>131</v>
      </c>
      <c r="H25" s="13">
        <f t="shared" si="5"/>
        <v>2453630</v>
      </c>
      <c r="I25" s="8"/>
      <c r="J25" s="13">
        <v>1030000</v>
      </c>
      <c r="K25" s="28"/>
      <c r="L25" s="29"/>
      <c r="M25" s="13"/>
      <c r="N25" s="13"/>
      <c r="O25" s="13">
        <f t="shared" si="1"/>
        <v>3483630</v>
      </c>
      <c r="P25" s="13">
        <v>6000000</v>
      </c>
      <c r="Q25" s="13">
        <f t="shared" si="2"/>
        <v>2516370</v>
      </c>
      <c r="R25" s="5"/>
    </row>
    <row r="26" spans="1:18" ht="22.5" customHeight="1" x14ac:dyDescent="0.25">
      <c r="A26" s="25">
        <v>20</v>
      </c>
      <c r="B26" s="120">
        <v>45647</v>
      </c>
      <c r="C26" s="10" t="s">
        <v>351</v>
      </c>
      <c r="D26" s="25" t="s">
        <v>4252</v>
      </c>
      <c r="E26" s="10" t="s">
        <v>3079</v>
      </c>
      <c r="F26" s="8"/>
      <c r="G26" s="8">
        <v>127</v>
      </c>
      <c r="H26" s="13">
        <f t="shared" si="5"/>
        <v>2378710</v>
      </c>
      <c r="I26" s="8"/>
      <c r="J26" s="13">
        <v>800000</v>
      </c>
      <c r="K26" s="28"/>
      <c r="L26" s="29"/>
      <c r="M26" s="13"/>
      <c r="N26" s="13"/>
      <c r="O26" s="13">
        <f t="shared" si="1"/>
        <v>3178710</v>
      </c>
      <c r="P26" s="13">
        <v>5300000</v>
      </c>
      <c r="Q26" s="13">
        <f t="shared" si="2"/>
        <v>2121290</v>
      </c>
      <c r="R26" s="5"/>
    </row>
    <row r="27" spans="1:18" ht="22.5" customHeight="1" x14ac:dyDescent="0.25">
      <c r="A27" s="25">
        <v>21</v>
      </c>
      <c r="B27" s="120">
        <v>45648</v>
      </c>
      <c r="C27" s="10" t="s">
        <v>352</v>
      </c>
      <c r="D27" s="25" t="s">
        <v>4253</v>
      </c>
      <c r="E27" s="10" t="s">
        <v>4272</v>
      </c>
      <c r="F27" s="8"/>
      <c r="G27" s="8">
        <v>149</v>
      </c>
      <c r="H27" s="13">
        <f t="shared" si="5"/>
        <v>2790770</v>
      </c>
      <c r="I27" s="8"/>
      <c r="J27" s="13">
        <v>1120000</v>
      </c>
      <c r="K27" s="28"/>
      <c r="L27" s="29"/>
      <c r="M27" s="13"/>
      <c r="N27" s="13"/>
      <c r="O27" s="13">
        <f t="shared" si="1"/>
        <v>3910770</v>
      </c>
      <c r="P27" s="13">
        <v>5900000</v>
      </c>
      <c r="Q27" s="13">
        <f t="shared" si="2"/>
        <v>1989230</v>
      </c>
      <c r="R27" s="5"/>
    </row>
    <row r="28" spans="1:18" ht="22.5" customHeight="1" x14ac:dyDescent="0.25">
      <c r="A28" s="25">
        <v>22</v>
      </c>
      <c r="B28" s="120">
        <v>45649</v>
      </c>
      <c r="C28" s="10" t="s">
        <v>1059</v>
      </c>
      <c r="D28" s="25" t="s">
        <v>4254</v>
      </c>
      <c r="E28" s="10" t="s">
        <v>4273</v>
      </c>
      <c r="F28" s="8"/>
      <c r="G28" s="8">
        <v>135</v>
      </c>
      <c r="H28" s="13">
        <f t="shared" si="5"/>
        <v>2528550</v>
      </c>
      <c r="I28" s="8"/>
      <c r="J28" s="13">
        <v>1120000</v>
      </c>
      <c r="K28" s="28"/>
      <c r="L28" s="29"/>
      <c r="M28" s="13"/>
      <c r="N28" s="13"/>
      <c r="O28" s="13">
        <f t="shared" si="1"/>
        <v>3648550</v>
      </c>
      <c r="P28" s="13">
        <v>5200000</v>
      </c>
      <c r="Q28" s="13">
        <f t="shared" si="2"/>
        <v>1551450</v>
      </c>
      <c r="R28" s="5"/>
    </row>
    <row r="29" spans="1:18" ht="22.5" customHeight="1" x14ac:dyDescent="0.25">
      <c r="A29" s="25">
        <v>23</v>
      </c>
      <c r="B29" s="120">
        <v>45650</v>
      </c>
      <c r="C29" s="10" t="s">
        <v>353</v>
      </c>
      <c r="D29" s="25" t="s">
        <v>4255</v>
      </c>
      <c r="E29" s="10" t="s">
        <v>4274</v>
      </c>
      <c r="F29" s="8"/>
      <c r="G29" s="8">
        <v>108</v>
      </c>
      <c r="H29" s="13">
        <f t="shared" si="5"/>
        <v>2022840</v>
      </c>
      <c r="I29" s="8"/>
      <c r="J29" s="13">
        <v>980000</v>
      </c>
      <c r="K29" s="28"/>
      <c r="L29" s="29"/>
      <c r="M29" s="13"/>
      <c r="N29" s="13"/>
      <c r="O29" s="13">
        <f t="shared" si="1"/>
        <v>3002840</v>
      </c>
      <c r="P29" s="13">
        <v>5900000</v>
      </c>
      <c r="Q29" s="13">
        <f t="shared" si="2"/>
        <v>2897160</v>
      </c>
      <c r="R29" s="5"/>
    </row>
    <row r="30" spans="1:18" ht="22.5" customHeight="1" x14ac:dyDescent="0.25">
      <c r="A30" s="25">
        <v>24</v>
      </c>
      <c r="B30" s="120">
        <v>45651</v>
      </c>
      <c r="C30" s="10" t="s">
        <v>354</v>
      </c>
      <c r="D30" s="25" t="s">
        <v>4256</v>
      </c>
      <c r="E30" s="10" t="s">
        <v>4214</v>
      </c>
      <c r="F30" s="8"/>
      <c r="G30" s="8">
        <v>129</v>
      </c>
      <c r="H30" s="13">
        <f t="shared" si="5"/>
        <v>2416170</v>
      </c>
      <c r="I30" s="8"/>
      <c r="J30" s="13">
        <v>1070000</v>
      </c>
      <c r="K30" s="28"/>
      <c r="L30" s="29"/>
      <c r="M30" s="13"/>
      <c r="N30" s="13"/>
      <c r="O30" s="13">
        <f t="shared" si="1"/>
        <v>3486170</v>
      </c>
      <c r="P30" s="13">
        <v>5900000</v>
      </c>
      <c r="Q30" s="13">
        <f t="shared" si="2"/>
        <v>2413830</v>
      </c>
      <c r="R30" s="5"/>
    </row>
    <row r="31" spans="1:18" ht="22.5" customHeight="1" x14ac:dyDescent="0.25">
      <c r="A31" s="25">
        <v>25</v>
      </c>
      <c r="B31" s="120">
        <v>45652</v>
      </c>
      <c r="C31" s="10" t="s">
        <v>3550</v>
      </c>
      <c r="D31" s="25" t="s">
        <v>4257</v>
      </c>
      <c r="E31" s="10" t="s">
        <v>4275</v>
      </c>
      <c r="F31" s="8"/>
      <c r="G31" s="8">
        <v>140</v>
      </c>
      <c r="H31" s="13">
        <f>G31*18630</f>
        <v>2608200</v>
      </c>
      <c r="I31" s="8"/>
      <c r="J31" s="13">
        <v>1195000</v>
      </c>
      <c r="K31" s="28"/>
      <c r="L31" s="29"/>
      <c r="M31" s="13"/>
      <c r="N31" s="13"/>
      <c r="O31" s="13">
        <f t="shared" si="1"/>
        <v>3803200</v>
      </c>
      <c r="P31" s="13">
        <v>7005556</v>
      </c>
      <c r="Q31" s="13">
        <f t="shared" si="2"/>
        <v>3202356</v>
      </c>
      <c r="R31" s="5"/>
    </row>
    <row r="32" spans="1:18" ht="22.5" customHeight="1" x14ac:dyDescent="0.25">
      <c r="A32" s="25">
        <v>26</v>
      </c>
      <c r="B32" s="120">
        <v>45653</v>
      </c>
      <c r="C32" s="10" t="s">
        <v>2494</v>
      </c>
      <c r="D32" s="25" t="s">
        <v>4258</v>
      </c>
      <c r="E32" s="10" t="s">
        <v>122</v>
      </c>
      <c r="F32" s="8"/>
      <c r="G32" s="8">
        <v>128</v>
      </c>
      <c r="H32" s="13">
        <f t="shared" ref="H32:H37" si="6">G32*18630</f>
        <v>2384640</v>
      </c>
      <c r="I32" s="8"/>
      <c r="J32" s="13">
        <v>1300000</v>
      </c>
      <c r="K32" s="28"/>
      <c r="L32" s="29"/>
      <c r="M32" s="13"/>
      <c r="N32" s="13"/>
      <c r="O32" s="13">
        <f t="shared" si="1"/>
        <v>3684640</v>
      </c>
      <c r="P32" s="13">
        <v>3409259</v>
      </c>
      <c r="Q32" s="13">
        <f t="shared" si="2"/>
        <v>-275381</v>
      </c>
      <c r="R32" s="5"/>
    </row>
    <row r="33" spans="1:18" ht="22.5" customHeight="1" x14ac:dyDescent="0.25">
      <c r="A33" s="25">
        <v>27</v>
      </c>
      <c r="B33" s="120">
        <v>45653</v>
      </c>
      <c r="C33" s="10" t="s">
        <v>4234</v>
      </c>
      <c r="D33" s="25" t="s">
        <v>4258</v>
      </c>
      <c r="E33" s="10" t="s">
        <v>4265</v>
      </c>
      <c r="F33" s="8"/>
      <c r="G33" s="8"/>
      <c r="H33" s="13">
        <f t="shared" si="6"/>
        <v>0</v>
      </c>
      <c r="I33" s="8"/>
      <c r="J33" s="13"/>
      <c r="K33" s="28"/>
      <c r="L33" s="29"/>
      <c r="M33" s="13"/>
      <c r="N33" s="13"/>
      <c r="O33" s="13">
        <f t="shared" si="1"/>
        <v>0</v>
      </c>
      <c r="P33" s="13">
        <v>2300000</v>
      </c>
      <c r="Q33" s="13">
        <f t="shared" si="2"/>
        <v>2300000</v>
      </c>
      <c r="R33" s="5"/>
    </row>
    <row r="34" spans="1:18" ht="22.5" customHeight="1" x14ac:dyDescent="0.25">
      <c r="A34" s="25">
        <v>28</v>
      </c>
      <c r="B34" s="120">
        <v>45654</v>
      </c>
      <c r="C34" s="10" t="s">
        <v>1751</v>
      </c>
      <c r="D34" s="25" t="s">
        <v>4259</v>
      </c>
      <c r="E34" s="10" t="s">
        <v>4276</v>
      </c>
      <c r="F34" s="8"/>
      <c r="G34" s="8">
        <v>95</v>
      </c>
      <c r="H34" s="13">
        <f t="shared" si="6"/>
        <v>1769850</v>
      </c>
      <c r="I34" s="8"/>
      <c r="J34" s="13">
        <v>430000</v>
      </c>
      <c r="K34" s="28"/>
      <c r="L34" s="29"/>
      <c r="M34" s="13"/>
      <c r="N34" s="13"/>
      <c r="O34" s="13">
        <f t="shared" si="1"/>
        <v>2199850</v>
      </c>
      <c r="P34" s="13">
        <v>4254444</v>
      </c>
      <c r="Q34" s="13">
        <f t="shared" si="2"/>
        <v>2054594</v>
      </c>
      <c r="R34" s="5"/>
    </row>
    <row r="35" spans="1:18" ht="22.5" customHeight="1" x14ac:dyDescent="0.25">
      <c r="A35" s="25">
        <v>29</v>
      </c>
      <c r="B35" s="120">
        <v>45656</v>
      </c>
      <c r="C35" s="10" t="s">
        <v>4235</v>
      </c>
      <c r="D35" s="25" t="s">
        <v>4260</v>
      </c>
      <c r="E35" s="10" t="s">
        <v>675</v>
      </c>
      <c r="F35" s="8"/>
      <c r="G35" s="8">
        <v>126</v>
      </c>
      <c r="H35" s="13">
        <f t="shared" si="6"/>
        <v>2347380</v>
      </c>
      <c r="I35" s="8"/>
      <c r="J35" s="13">
        <v>850000</v>
      </c>
      <c r="K35" s="28"/>
      <c r="L35" s="29"/>
      <c r="M35" s="13"/>
      <c r="N35" s="13"/>
      <c r="O35" s="13">
        <f t="shared" si="1"/>
        <v>3197380</v>
      </c>
      <c r="P35" s="13">
        <v>3250000</v>
      </c>
      <c r="Q35" s="13">
        <f t="shared" si="2"/>
        <v>52620</v>
      </c>
      <c r="R35" s="5"/>
    </row>
    <row r="36" spans="1:18" ht="22.5" customHeight="1" x14ac:dyDescent="0.25">
      <c r="A36" s="25">
        <v>30</v>
      </c>
      <c r="B36" s="120">
        <v>45656</v>
      </c>
      <c r="C36" s="10" t="s">
        <v>4236</v>
      </c>
      <c r="D36" s="25" t="s">
        <v>4260</v>
      </c>
      <c r="E36" s="10" t="s">
        <v>4265</v>
      </c>
      <c r="F36" s="8"/>
      <c r="G36" s="8"/>
      <c r="H36" s="13">
        <f t="shared" si="6"/>
        <v>0</v>
      </c>
      <c r="I36" s="8"/>
      <c r="J36" s="13"/>
      <c r="K36" s="28"/>
      <c r="L36" s="29"/>
      <c r="M36" s="13"/>
      <c r="N36" s="13"/>
      <c r="O36" s="13">
        <f t="shared" si="1"/>
        <v>0</v>
      </c>
      <c r="P36" s="13">
        <v>2300000</v>
      </c>
      <c r="Q36" s="13">
        <f t="shared" si="2"/>
        <v>2300000</v>
      </c>
      <c r="R36" s="5"/>
    </row>
    <row r="37" spans="1:18" ht="22.5" customHeight="1" x14ac:dyDescent="0.25">
      <c r="A37" s="25">
        <v>31</v>
      </c>
      <c r="B37" s="120">
        <v>45657</v>
      </c>
      <c r="C37" s="10" t="s">
        <v>4237</v>
      </c>
      <c r="D37" s="25" t="s">
        <v>4261</v>
      </c>
      <c r="E37" s="10" t="s">
        <v>4277</v>
      </c>
      <c r="F37" s="8"/>
      <c r="G37" s="8">
        <v>177</v>
      </c>
      <c r="H37" s="13">
        <f t="shared" si="6"/>
        <v>3297510</v>
      </c>
      <c r="I37" s="8"/>
      <c r="J37" s="13">
        <v>1300000</v>
      </c>
      <c r="K37" s="28"/>
      <c r="L37" s="29"/>
      <c r="M37" s="13"/>
      <c r="N37" s="13"/>
      <c r="O37" s="13">
        <f t="shared" si="1"/>
        <v>4597510</v>
      </c>
      <c r="P37" s="13">
        <v>7500000</v>
      </c>
      <c r="Q37" s="13">
        <f t="shared" si="2"/>
        <v>2902490</v>
      </c>
      <c r="R37" s="5"/>
    </row>
    <row r="38" spans="1:18" ht="24" customHeight="1" x14ac:dyDescent="0.25">
      <c r="A38" s="8"/>
      <c r="B38" s="8"/>
      <c r="C38" s="196" t="s">
        <v>131</v>
      </c>
      <c r="D38" s="197"/>
      <c r="E38" s="197"/>
      <c r="F38" s="198"/>
      <c r="G38" s="8"/>
      <c r="H38" s="13"/>
      <c r="I38" s="8"/>
      <c r="J38" s="13"/>
      <c r="K38" s="28">
        <v>1200000</v>
      </c>
      <c r="L38" s="28"/>
      <c r="M38" s="18"/>
      <c r="N38" s="28"/>
      <c r="O38" s="53">
        <f t="shared" ref="O38:O50" si="7">H38+J38+K38+L38+M38+N38</f>
        <v>1200000</v>
      </c>
      <c r="P38" s="28"/>
      <c r="Q38" s="54"/>
    </row>
    <row r="39" spans="1:18" ht="24" customHeight="1" x14ac:dyDescent="0.25">
      <c r="A39" s="8"/>
      <c r="B39" s="8"/>
      <c r="C39" s="196" t="s">
        <v>3144</v>
      </c>
      <c r="D39" s="197"/>
      <c r="E39" s="197"/>
      <c r="F39" s="198"/>
      <c r="G39" s="8"/>
      <c r="H39" s="13"/>
      <c r="I39" s="8"/>
      <c r="J39" s="13"/>
      <c r="K39" s="28">
        <v>8980716</v>
      </c>
      <c r="L39" s="28"/>
      <c r="M39" s="28"/>
      <c r="N39" s="28"/>
      <c r="O39" s="53">
        <f t="shared" si="7"/>
        <v>8980716</v>
      </c>
      <c r="P39" s="28"/>
      <c r="Q39" s="54"/>
    </row>
    <row r="40" spans="1:18" ht="24" customHeight="1" x14ac:dyDescent="0.25">
      <c r="A40" s="8"/>
      <c r="B40" s="8"/>
      <c r="C40" s="210" t="s">
        <v>4285</v>
      </c>
      <c r="D40" s="211"/>
      <c r="E40" s="211"/>
      <c r="F40" s="212"/>
      <c r="G40" s="8"/>
      <c r="H40" s="13"/>
      <c r="I40" s="8"/>
      <c r="J40" s="13"/>
      <c r="K40" s="28"/>
      <c r="L40" s="28">
        <v>120000</v>
      </c>
      <c r="M40" s="28"/>
      <c r="N40" s="28"/>
      <c r="O40" s="53">
        <f t="shared" si="7"/>
        <v>120000</v>
      </c>
      <c r="P40" s="28"/>
      <c r="Q40" s="54"/>
    </row>
    <row r="41" spans="1:18" ht="24" customHeight="1" x14ac:dyDescent="0.25">
      <c r="A41" s="8"/>
      <c r="B41" s="8"/>
      <c r="C41" s="210" t="s">
        <v>4287</v>
      </c>
      <c r="D41" s="211"/>
      <c r="E41" s="211"/>
      <c r="F41" s="212"/>
      <c r="G41" s="8"/>
      <c r="H41" s="13"/>
      <c r="I41" s="8"/>
      <c r="J41" s="13"/>
      <c r="K41" s="28"/>
      <c r="L41" s="28"/>
      <c r="M41" s="28"/>
      <c r="N41" s="28">
        <f>13500000/4</f>
        <v>3375000</v>
      </c>
      <c r="O41" s="53">
        <f t="shared" si="7"/>
        <v>3375000</v>
      </c>
      <c r="P41" s="28"/>
      <c r="Q41" s="54"/>
    </row>
    <row r="42" spans="1:18" ht="24" customHeight="1" x14ac:dyDescent="0.25">
      <c r="A42" s="8"/>
      <c r="B42" s="8"/>
      <c r="C42" s="210" t="s">
        <v>4289</v>
      </c>
      <c r="D42" s="211"/>
      <c r="E42" s="211"/>
      <c r="F42" s="212"/>
      <c r="G42" s="8"/>
      <c r="H42" s="13"/>
      <c r="I42" s="8"/>
      <c r="J42" s="13"/>
      <c r="K42" s="28"/>
      <c r="L42" s="28"/>
      <c r="M42" s="28"/>
      <c r="N42" s="28">
        <v>330000</v>
      </c>
      <c r="O42" s="53">
        <f t="shared" si="7"/>
        <v>330000</v>
      </c>
      <c r="P42" s="28"/>
      <c r="Q42" s="54"/>
    </row>
    <row r="43" spans="1:18" ht="24" customHeight="1" x14ac:dyDescent="0.25">
      <c r="A43" s="8"/>
      <c r="B43" s="8"/>
      <c r="C43" s="210" t="s">
        <v>4290</v>
      </c>
      <c r="D43" s="211"/>
      <c r="E43" s="211"/>
      <c r="F43" s="212"/>
      <c r="G43" s="8"/>
      <c r="H43" s="13"/>
      <c r="I43" s="8"/>
      <c r="J43" s="13"/>
      <c r="K43" s="28"/>
      <c r="L43" s="28">
        <v>100000</v>
      </c>
      <c r="M43" s="28"/>
      <c r="N43" s="28"/>
      <c r="O43" s="53">
        <f t="shared" si="7"/>
        <v>100000</v>
      </c>
      <c r="P43" s="28"/>
      <c r="Q43" s="54"/>
    </row>
    <row r="44" spans="1:18" ht="24" customHeight="1" x14ac:dyDescent="0.25">
      <c r="A44" s="8"/>
      <c r="B44" s="8"/>
      <c r="C44" s="210" t="s">
        <v>4291</v>
      </c>
      <c r="D44" s="211"/>
      <c r="E44" s="211"/>
      <c r="F44" s="212"/>
      <c r="G44" s="8"/>
      <c r="H44" s="13"/>
      <c r="I44" s="8"/>
      <c r="J44" s="13"/>
      <c r="K44" s="28"/>
      <c r="L44" s="28">
        <v>1300000</v>
      </c>
      <c r="M44" s="28"/>
      <c r="N44" s="28"/>
      <c r="O44" s="53">
        <f t="shared" si="7"/>
        <v>1300000</v>
      </c>
      <c r="P44" s="28"/>
      <c r="Q44" s="54"/>
    </row>
    <row r="45" spans="1:18" ht="24" customHeight="1" x14ac:dyDescent="0.25">
      <c r="A45" s="8"/>
      <c r="B45" s="8"/>
      <c r="C45" s="210" t="s">
        <v>4292</v>
      </c>
      <c r="D45" s="211"/>
      <c r="E45" s="211"/>
      <c r="F45" s="212"/>
      <c r="G45" s="8"/>
      <c r="H45" s="13"/>
      <c r="I45" s="8"/>
      <c r="J45" s="13"/>
      <c r="K45" s="28"/>
      <c r="L45" s="28">
        <v>300000</v>
      </c>
      <c r="M45" s="28"/>
      <c r="N45" s="28"/>
      <c r="O45" s="53">
        <f t="shared" si="7"/>
        <v>300000</v>
      </c>
      <c r="P45" s="28"/>
      <c r="Q45" s="54"/>
    </row>
    <row r="46" spans="1:18" ht="24" customHeight="1" x14ac:dyDescent="0.25">
      <c r="A46" s="8"/>
      <c r="B46" s="8"/>
      <c r="C46" s="210" t="s">
        <v>4293</v>
      </c>
      <c r="D46" s="211"/>
      <c r="E46" s="211"/>
      <c r="F46" s="212"/>
      <c r="G46" s="8"/>
      <c r="H46" s="13"/>
      <c r="I46" s="8"/>
      <c r="J46" s="13"/>
      <c r="K46" s="28"/>
      <c r="L46" s="28">
        <v>140000</v>
      </c>
      <c r="M46" s="28"/>
      <c r="N46" s="28"/>
      <c r="O46" s="53">
        <f t="shared" si="7"/>
        <v>140000</v>
      </c>
      <c r="P46" s="28"/>
      <c r="Q46" s="54"/>
    </row>
    <row r="47" spans="1:18" ht="24" customHeight="1" x14ac:dyDescent="0.25">
      <c r="A47" s="8"/>
      <c r="B47" s="8"/>
      <c r="C47" s="210" t="s">
        <v>4294</v>
      </c>
      <c r="D47" s="211"/>
      <c r="E47" s="211"/>
      <c r="F47" s="212"/>
      <c r="G47" s="8"/>
      <c r="H47" s="13"/>
      <c r="I47" s="8"/>
      <c r="J47" s="13"/>
      <c r="K47" s="28"/>
      <c r="L47" s="28"/>
      <c r="M47" s="28"/>
      <c r="N47" s="28">
        <v>500000</v>
      </c>
      <c r="O47" s="53">
        <f t="shared" si="7"/>
        <v>500000</v>
      </c>
      <c r="P47" s="28"/>
      <c r="Q47" s="54"/>
    </row>
    <row r="48" spans="1:18" ht="24" customHeight="1" x14ac:dyDescent="0.25">
      <c r="A48" s="8"/>
      <c r="B48" s="8"/>
      <c r="C48" s="210" t="s">
        <v>4295</v>
      </c>
      <c r="D48" s="211"/>
      <c r="E48" s="211"/>
      <c r="F48" s="212"/>
      <c r="G48" s="8"/>
      <c r="H48" s="13"/>
      <c r="I48" s="8"/>
      <c r="J48" s="13"/>
      <c r="K48" s="28"/>
      <c r="L48" s="28"/>
      <c r="M48" s="28"/>
      <c r="N48" s="28">
        <v>11200000</v>
      </c>
      <c r="O48" s="53">
        <f t="shared" si="7"/>
        <v>11200000</v>
      </c>
      <c r="P48" s="28"/>
      <c r="Q48" s="54"/>
    </row>
    <row r="49" spans="1:17" ht="24" customHeight="1" x14ac:dyDescent="0.25">
      <c r="A49" s="8"/>
      <c r="B49" s="8"/>
      <c r="C49" s="210" t="s">
        <v>4296</v>
      </c>
      <c r="D49" s="211"/>
      <c r="E49" s="211"/>
      <c r="F49" s="212"/>
      <c r="G49" s="8"/>
      <c r="H49" s="13"/>
      <c r="I49" s="8"/>
      <c r="J49" s="13"/>
      <c r="K49" s="28"/>
      <c r="L49" s="28">
        <v>3350000</v>
      </c>
      <c r="M49" s="28"/>
      <c r="N49" s="28"/>
      <c r="O49" s="53">
        <f t="shared" si="7"/>
        <v>3350000</v>
      </c>
      <c r="P49" s="28"/>
      <c r="Q49" s="54"/>
    </row>
    <row r="50" spans="1:17" ht="24" customHeight="1" x14ac:dyDescent="0.25">
      <c r="A50" s="8"/>
      <c r="B50" s="8"/>
      <c r="C50" s="210" t="s">
        <v>4297</v>
      </c>
      <c r="D50" s="211"/>
      <c r="E50" s="211"/>
      <c r="F50" s="212"/>
      <c r="G50" s="8"/>
      <c r="H50" s="13"/>
      <c r="I50" s="8"/>
      <c r="J50" s="13"/>
      <c r="K50" s="28"/>
      <c r="L50" s="28">
        <v>900000</v>
      </c>
      <c r="M50" s="28"/>
      <c r="N50" s="28"/>
      <c r="O50" s="53">
        <f t="shared" si="7"/>
        <v>900000</v>
      </c>
      <c r="P50" s="28"/>
      <c r="Q50" s="54"/>
    </row>
    <row r="51" spans="1:17" ht="25.5" customHeight="1" x14ac:dyDescent="0.25">
      <c r="A51" s="8"/>
      <c r="B51" s="8"/>
      <c r="C51" s="191" t="s">
        <v>3379</v>
      </c>
      <c r="D51" s="192"/>
      <c r="E51" s="192"/>
      <c r="F51" s="195"/>
      <c r="G51" s="30"/>
      <c r="H51" s="28"/>
      <c r="I51" s="30"/>
      <c r="J51" s="28"/>
      <c r="K51" s="28">
        <v>9300000</v>
      </c>
      <c r="L51" s="28"/>
      <c r="M51" s="18"/>
      <c r="N51" s="28"/>
      <c r="O51" s="53">
        <f>H51+J51+K51+L51+M51+N51</f>
        <v>9300000</v>
      </c>
      <c r="P51" s="28"/>
      <c r="Q51" s="54"/>
    </row>
    <row r="52" spans="1:17" ht="15" customHeight="1" x14ac:dyDescent="0.25">
      <c r="A52" s="166" t="s">
        <v>19</v>
      </c>
      <c r="B52" s="167"/>
      <c r="C52" s="167"/>
      <c r="D52" s="167"/>
      <c r="E52" s="167"/>
      <c r="F52" s="168"/>
      <c r="G52" s="131">
        <f>SUM(G7:G51)</f>
        <v>3316</v>
      </c>
      <c r="H52" s="4">
        <f>SUM(H7:H51)</f>
        <v>61592340</v>
      </c>
      <c r="I52" s="4">
        <f>SUM(I7:I51)</f>
        <v>0</v>
      </c>
      <c r="J52" s="4">
        <f>SUM(J7:J51)</f>
        <v>26794000</v>
      </c>
      <c r="K52" s="4">
        <f>SUM(K7:K51)</f>
        <v>19480716</v>
      </c>
      <c r="L52" s="4">
        <f>SUM(L7:L51)</f>
        <v>6210000</v>
      </c>
      <c r="M52" s="4">
        <f>SUM(M7:M51)</f>
        <v>0</v>
      </c>
      <c r="N52" s="4">
        <f>SUM(N7:N51)</f>
        <v>15405000</v>
      </c>
      <c r="O52" s="4">
        <f>SUM(O7:O51)</f>
        <v>129482056</v>
      </c>
      <c r="P52" s="4">
        <f>SUM(P7:P51)</f>
        <v>149421962</v>
      </c>
      <c r="Q52" s="122">
        <f>P52-O52</f>
        <v>19939906</v>
      </c>
    </row>
    <row r="53" spans="1:17" x14ac:dyDescent="0.25">
      <c r="O53" s="20"/>
      <c r="P53" s="5" t="s">
        <v>1796</v>
      </c>
      <c r="Q53" s="26"/>
    </row>
    <row r="54" spans="1:17" x14ac:dyDescent="0.25">
      <c r="P54" s="21" t="s">
        <v>20</v>
      </c>
      <c r="Q54" s="26">
        <f>'11.2024'!Q44+'12.2024'!Q52</f>
        <v>212105221</v>
      </c>
    </row>
    <row r="55" spans="1:17" x14ac:dyDescent="0.25">
      <c r="C55" s="6" t="s">
        <v>993</v>
      </c>
    </row>
    <row r="56" spans="1:17" x14ac:dyDescent="0.25">
      <c r="C56" s="205"/>
      <c r="D56" s="205"/>
      <c r="E56" s="205"/>
      <c r="F56" s="205"/>
      <c r="H56" s="109"/>
    </row>
    <row r="57" spans="1:17" x14ac:dyDescent="0.25">
      <c r="C57" s="206"/>
      <c r="D57" s="206"/>
      <c r="E57" s="206"/>
      <c r="F57" s="206"/>
      <c r="H57" s="109"/>
    </row>
    <row r="58" spans="1:17" x14ac:dyDescent="0.25">
      <c r="B58" s="6"/>
      <c r="C58" s="110"/>
      <c r="D58" s="110"/>
      <c r="E58" s="110"/>
      <c r="F58" s="110"/>
      <c r="G58" s="133"/>
      <c r="H58" s="109"/>
    </row>
    <row r="59" spans="1:17" x14ac:dyDescent="0.25">
      <c r="B59" s="6"/>
      <c r="C59" s="206"/>
      <c r="D59" s="206"/>
      <c r="E59" s="206"/>
      <c r="F59" s="206"/>
      <c r="H59" s="109"/>
    </row>
    <row r="60" spans="1:17" x14ac:dyDescent="0.25">
      <c r="B60" s="6"/>
      <c r="C60" s="206"/>
      <c r="D60" s="206"/>
      <c r="E60" s="206"/>
      <c r="F60" s="206"/>
      <c r="H60" s="109"/>
    </row>
    <row r="61" spans="1:17" x14ac:dyDescent="0.25">
      <c r="B61" s="6"/>
      <c r="C61" s="206"/>
      <c r="D61" s="206"/>
      <c r="E61" s="206"/>
      <c r="F61" s="206"/>
      <c r="G61" s="133"/>
      <c r="H61" s="109"/>
      <c r="J61" s="6"/>
      <c r="K61" s="6"/>
      <c r="L61" s="6"/>
      <c r="M61" s="6"/>
      <c r="N61" s="6"/>
      <c r="O61" s="6"/>
      <c r="P61" s="6"/>
      <c r="Q61" s="6"/>
    </row>
    <row r="62" spans="1:17" x14ac:dyDescent="0.2">
      <c r="C62" s="107"/>
      <c r="D62" s="110"/>
      <c r="E62" s="110"/>
      <c r="F62" s="110"/>
      <c r="H62" s="109"/>
    </row>
    <row r="63" spans="1:17" x14ac:dyDescent="0.25">
      <c r="C63" s="205"/>
      <c r="D63" s="205"/>
      <c r="E63" s="205"/>
      <c r="F63" s="205"/>
    </row>
  </sheetData>
  <mergeCells count="34">
    <mergeCell ref="C63:F63"/>
    <mergeCell ref="A52:F52"/>
    <mergeCell ref="C56:F56"/>
    <mergeCell ref="C57:F57"/>
    <mergeCell ref="C59:F59"/>
    <mergeCell ref="C60:F60"/>
    <mergeCell ref="C61:F61"/>
    <mergeCell ref="C51:F51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40:F40"/>
    <mergeCell ref="A1:Q1"/>
    <mergeCell ref="A2:Q2"/>
    <mergeCell ref="B3:Q3"/>
    <mergeCell ref="A5:A6"/>
    <mergeCell ref="B5:B6"/>
    <mergeCell ref="C5:C6"/>
    <mergeCell ref="D5:D6"/>
    <mergeCell ref="E5:E6"/>
    <mergeCell ref="F5:F6"/>
    <mergeCell ref="G5:N5"/>
    <mergeCell ref="O5:O6"/>
    <mergeCell ref="P5:P6"/>
    <mergeCell ref="Q5:Q6"/>
    <mergeCell ref="C38:F38"/>
    <mergeCell ref="C39:F39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8836-B325-4D10-B9D3-8BF6931B95D0}">
  <dimension ref="A1"/>
  <sheetViews>
    <sheetView workbookViewId="0">
      <selection activeCell="P30" sqref="P30"/>
    </sheetView>
  </sheetViews>
  <sheetFormatPr defaultRowHeight="15" x14ac:dyDescent="0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B953-62AE-4B83-8CE9-60BC8AD6A164}">
  <dimension ref="A1"/>
  <sheetViews>
    <sheetView workbookViewId="0">
      <selection activeCell="C7" sqref="C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CHI PHI BAN DAU</vt:lpstr>
      <vt:lpstr>07-2018</vt:lpstr>
      <vt:lpstr>08-2018</vt:lpstr>
      <vt:lpstr>09-2018</vt:lpstr>
      <vt:lpstr>10-2018</vt:lpstr>
      <vt:lpstr>11.2018</vt:lpstr>
      <vt:lpstr>12.2018</vt:lpstr>
      <vt:lpstr>1.2019</vt:lpstr>
      <vt:lpstr>2.2019</vt:lpstr>
      <vt:lpstr>3.2019</vt:lpstr>
      <vt:lpstr>4.2019</vt:lpstr>
      <vt:lpstr>5.2019</vt:lpstr>
      <vt:lpstr>6.2019</vt:lpstr>
      <vt:lpstr>7.2019</vt:lpstr>
      <vt:lpstr>8.2019</vt:lpstr>
      <vt:lpstr>9.2019</vt:lpstr>
      <vt:lpstr>10.2019</vt:lpstr>
      <vt:lpstr>11.2019</vt:lpstr>
      <vt:lpstr>12.2019</vt:lpstr>
      <vt:lpstr>01.2020</vt:lpstr>
      <vt:lpstr>02.2020</vt:lpstr>
      <vt:lpstr>03.2020</vt:lpstr>
      <vt:lpstr>04.2020</vt:lpstr>
      <vt:lpstr>05.2020</vt:lpstr>
      <vt:lpstr>06.2020</vt:lpstr>
      <vt:lpstr>07.2020</vt:lpstr>
      <vt:lpstr>08.2020</vt:lpstr>
      <vt:lpstr>09.2020</vt:lpstr>
      <vt:lpstr>10.2020</vt:lpstr>
      <vt:lpstr>11.2020</vt:lpstr>
      <vt:lpstr>12.2020</vt:lpstr>
      <vt:lpstr>01.2021</vt:lpstr>
      <vt:lpstr>02.2021</vt:lpstr>
      <vt:lpstr>03.2021</vt:lpstr>
      <vt:lpstr>04.2021</vt:lpstr>
      <vt:lpstr>05.2021</vt:lpstr>
      <vt:lpstr>06.2021</vt:lpstr>
      <vt:lpstr>07.2021</vt:lpstr>
      <vt:lpstr>08.2021</vt:lpstr>
      <vt:lpstr>09.2021</vt:lpstr>
      <vt:lpstr>10.2021</vt:lpstr>
      <vt:lpstr>11.2021</vt:lpstr>
      <vt:lpstr>12.2021</vt:lpstr>
      <vt:lpstr>01.2022</vt:lpstr>
      <vt:lpstr>02.2022</vt:lpstr>
      <vt:lpstr>03.2022</vt:lpstr>
      <vt:lpstr>04.2022</vt:lpstr>
      <vt:lpstr>05.2022</vt:lpstr>
      <vt:lpstr>06.2022</vt:lpstr>
      <vt:lpstr>07.2022</vt:lpstr>
      <vt:lpstr>10.2022</vt:lpstr>
      <vt:lpstr>11.2022</vt:lpstr>
      <vt:lpstr>12.2022</vt:lpstr>
      <vt:lpstr>01.2023</vt:lpstr>
      <vt:lpstr>02.2023</vt:lpstr>
      <vt:lpstr>03.2023</vt:lpstr>
      <vt:lpstr>04.2023</vt:lpstr>
      <vt:lpstr>05.2023</vt:lpstr>
      <vt:lpstr>06.2023</vt:lpstr>
      <vt:lpstr>07.2023</vt:lpstr>
      <vt:lpstr>08.2023</vt:lpstr>
      <vt:lpstr>09.2023</vt:lpstr>
      <vt:lpstr>10.2023</vt:lpstr>
      <vt:lpstr>11.2023</vt:lpstr>
      <vt:lpstr>12.2023</vt:lpstr>
      <vt:lpstr>01.2024</vt:lpstr>
      <vt:lpstr>02.2024</vt:lpstr>
      <vt:lpstr>03.2024</vt:lpstr>
      <vt:lpstr>04.2024</vt:lpstr>
      <vt:lpstr>05.2024</vt:lpstr>
      <vt:lpstr>06.2024</vt:lpstr>
      <vt:lpstr>07.2024</vt:lpstr>
      <vt:lpstr>08.2024</vt:lpstr>
      <vt:lpstr>09.2024</vt:lpstr>
      <vt:lpstr>10.2024</vt:lpstr>
      <vt:lpstr>11.2024</vt:lpstr>
      <vt:lpstr>12.2024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Ngoc Anh Pham</cp:lastModifiedBy>
  <cp:lastPrinted>2022-08-19T03:59:19Z</cp:lastPrinted>
  <dcterms:created xsi:type="dcterms:W3CDTF">2015-04-14T07:20:02Z</dcterms:created>
  <dcterms:modified xsi:type="dcterms:W3CDTF">2025-01-23T08:45:21Z</dcterms:modified>
</cp:coreProperties>
</file>