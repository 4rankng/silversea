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nepocorp\Phung's Docs\Theo doi xe\1-12-2024\"/>
    </mc:Choice>
  </mc:AlternateContent>
  <xr:revisionPtr revIDLastSave="0" documentId="13_ncr:1_{5ADDE4C9-2C0F-491E-B38E-4751311DED2A}" xr6:coauthVersionLast="47" xr6:coauthVersionMax="47" xr10:uidLastSave="{00000000-0000-0000-0000-000000000000}"/>
  <bookViews>
    <workbookView xWindow="0" yWindow="0" windowWidth="19380" windowHeight="20970" firstSheet="28" activeTab="34" xr2:uid="{00000000-000D-0000-FFFF-FFFF00000000}"/>
  </bookViews>
  <sheets>
    <sheet name="CHI PHI BAN DAU" sheetId="42" r:id="rId1"/>
    <sheet name="03.2022" sheetId="43" r:id="rId2"/>
    <sheet name="04.2022" sheetId="44" r:id="rId3"/>
    <sheet name="05.2022" sheetId="45" r:id="rId4"/>
    <sheet name="06.2022" sheetId="46" r:id="rId5"/>
    <sheet name="07.2022" sheetId="47" r:id="rId6"/>
    <sheet name="08.2022" sheetId="48" r:id="rId7"/>
    <sheet name="09.2022" sheetId="49" r:id="rId8"/>
    <sheet name="10.2022" sheetId="50" r:id="rId9"/>
    <sheet name="11.2022" sheetId="51" r:id="rId10"/>
    <sheet name="12.2022" sheetId="52" r:id="rId11"/>
    <sheet name="01.2023" sheetId="53" r:id="rId12"/>
    <sheet name="02.2023" sheetId="54" r:id="rId13"/>
    <sheet name="03.2023" sheetId="55" r:id="rId14"/>
    <sheet name="04.2023" sheetId="56" r:id="rId15"/>
    <sheet name="05.2023" sheetId="57" r:id="rId16"/>
    <sheet name="06.2023" sheetId="58" r:id="rId17"/>
    <sheet name="07.2023" sheetId="59" r:id="rId18"/>
    <sheet name="08.2023" sheetId="60" r:id="rId19"/>
    <sheet name="09.2023" sheetId="61" r:id="rId20"/>
    <sheet name="10.2023" sheetId="62" r:id="rId21"/>
    <sheet name="11.2023" sheetId="63" r:id="rId22"/>
    <sheet name="12.2023" sheetId="64" r:id="rId23"/>
    <sheet name="01.2024" sheetId="65" r:id="rId24"/>
    <sheet name="02.2024" sheetId="66" r:id="rId25"/>
    <sheet name="03.2024" sheetId="68" r:id="rId26"/>
    <sheet name="04.2024" sheetId="69" r:id="rId27"/>
    <sheet name="05.2024" sheetId="70" r:id="rId28"/>
    <sheet name="06.2024" sheetId="71" r:id="rId29"/>
    <sheet name="07.2024" sheetId="72" r:id="rId30"/>
    <sheet name="08.2024" sheetId="73" r:id="rId31"/>
    <sheet name="09.2024" sheetId="75" r:id="rId32"/>
    <sheet name="10.2024" sheetId="74" r:id="rId33"/>
    <sheet name="11.2024" sheetId="76" r:id="rId34"/>
    <sheet name="12.2024" sheetId="77" r:id="rId35"/>
  </sheets>
  <calcPr calcId="191029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" i="77" l="1"/>
  <c r="Q51" i="77"/>
  <c r="O39" i="75"/>
  <c r="L34" i="74"/>
  <c r="O39" i="74"/>
  <c r="O42" i="76"/>
  <c r="N43" i="77"/>
  <c r="O41" i="76"/>
  <c r="O40" i="76"/>
  <c r="O39" i="76"/>
  <c r="O38" i="76"/>
  <c r="O43" i="76" l="1"/>
  <c r="O37" i="76"/>
  <c r="O36" i="76"/>
  <c r="O38" i="75"/>
  <c r="O38" i="74"/>
  <c r="O37" i="74"/>
  <c r="H26" i="76"/>
  <c r="H23" i="76"/>
  <c r="H24" i="76"/>
  <c r="H25" i="76"/>
  <c r="H22" i="76"/>
  <c r="H16" i="76"/>
  <c r="H17" i="76"/>
  <c r="H18" i="76"/>
  <c r="H19" i="76"/>
  <c r="H20" i="76"/>
  <c r="H21" i="76"/>
  <c r="H15" i="76"/>
  <c r="H13" i="76"/>
  <c r="H14" i="76"/>
  <c r="H12" i="76"/>
  <c r="H9" i="76"/>
  <c r="H10" i="76"/>
  <c r="H11" i="76"/>
  <c r="H8" i="76"/>
  <c r="H32" i="77"/>
  <c r="H33" i="77"/>
  <c r="H34" i="77"/>
  <c r="H35" i="77"/>
  <c r="H36" i="77"/>
  <c r="H31" i="77"/>
  <c r="H28" i="77"/>
  <c r="H29" i="77"/>
  <c r="H30" i="77"/>
  <c r="H25" i="77"/>
  <c r="H26" i="77"/>
  <c r="H27" i="77"/>
  <c r="H24" i="77"/>
  <c r="H19" i="77"/>
  <c r="H20" i="77"/>
  <c r="H21" i="77"/>
  <c r="H22" i="77"/>
  <c r="H23" i="77"/>
  <c r="H18" i="77"/>
  <c r="H13" i="77"/>
  <c r="H14" i="77"/>
  <c r="H15" i="77"/>
  <c r="H16" i="77"/>
  <c r="H17" i="77"/>
  <c r="H12" i="77"/>
  <c r="H9" i="77"/>
  <c r="H10" i="77"/>
  <c r="H11" i="77"/>
  <c r="H8" i="77"/>
  <c r="O27" i="77" l="1"/>
  <c r="Q27" i="77" s="1"/>
  <c r="O28" i="77"/>
  <c r="Q28" i="77" s="1"/>
  <c r="O29" i="77"/>
  <c r="Q29" i="77" s="1"/>
  <c r="O30" i="77"/>
  <c r="Q30" i="77" s="1"/>
  <c r="O31" i="77"/>
  <c r="Q31" i="77" s="1"/>
  <c r="O32" i="77"/>
  <c r="O33" i="77"/>
  <c r="Q33" i="77" s="1"/>
  <c r="O34" i="77"/>
  <c r="Q34" i="77" s="1"/>
  <c r="O35" i="77"/>
  <c r="Q35" i="77" s="1"/>
  <c r="O36" i="77"/>
  <c r="Q32" i="77"/>
  <c r="Q36" i="77"/>
  <c r="P47" i="77"/>
  <c r="N47" i="77"/>
  <c r="M47" i="77"/>
  <c r="L47" i="77"/>
  <c r="K47" i="77"/>
  <c r="J47" i="77"/>
  <c r="I47" i="77"/>
  <c r="H47" i="77"/>
  <c r="G47" i="77"/>
  <c r="O46" i="77"/>
  <c r="O45" i="77"/>
  <c r="O44" i="77"/>
  <c r="O43" i="77"/>
  <c r="O42" i="77"/>
  <c r="O41" i="77"/>
  <c r="O40" i="77"/>
  <c r="O39" i="77"/>
  <c r="O38" i="77"/>
  <c r="O37" i="77"/>
  <c r="O26" i="77"/>
  <c r="Q26" i="77" s="1"/>
  <c r="O25" i="77"/>
  <c r="Q25" i="77" s="1"/>
  <c r="O24" i="77"/>
  <c r="Q24" i="77" s="1"/>
  <c r="O23" i="77"/>
  <c r="Q23" i="77" s="1"/>
  <c r="O22" i="77"/>
  <c r="Q22" i="77" s="1"/>
  <c r="O21" i="77"/>
  <c r="Q21" i="77" s="1"/>
  <c r="O20" i="77"/>
  <c r="Q20" i="77" s="1"/>
  <c r="O19" i="77"/>
  <c r="Q19" i="77" s="1"/>
  <c r="O18" i="77"/>
  <c r="Q18" i="77" s="1"/>
  <c r="O17" i="77"/>
  <c r="Q17" i="77" s="1"/>
  <c r="O16" i="77"/>
  <c r="Q16" i="77" s="1"/>
  <c r="O15" i="77"/>
  <c r="Q15" i="77" s="1"/>
  <c r="O14" i="77"/>
  <c r="Q14" i="77" s="1"/>
  <c r="O13" i="77"/>
  <c r="Q13" i="77" s="1"/>
  <c r="O12" i="77"/>
  <c r="Q12" i="77" s="1"/>
  <c r="O11" i="77"/>
  <c r="Q11" i="77" s="1"/>
  <c r="O10" i="77"/>
  <c r="Q10" i="77" s="1"/>
  <c r="O9" i="77"/>
  <c r="Q9" i="77" s="1"/>
  <c r="O8" i="77"/>
  <c r="Q8" i="77" s="1"/>
  <c r="P44" i="76"/>
  <c r="N44" i="76"/>
  <c r="M44" i="76"/>
  <c r="L44" i="76"/>
  <c r="K44" i="76"/>
  <c r="J44" i="76"/>
  <c r="I44" i="76"/>
  <c r="G44" i="76"/>
  <c r="O35" i="76"/>
  <c r="O34" i="76"/>
  <c r="O33" i="76"/>
  <c r="O32" i="76"/>
  <c r="O31" i="76"/>
  <c r="O30" i="76"/>
  <c r="O29" i="76"/>
  <c r="O28" i="76"/>
  <c r="O27" i="76"/>
  <c r="O26" i="76"/>
  <c r="Q26" i="76" s="1"/>
  <c r="O25" i="76"/>
  <c r="Q25" i="76" s="1"/>
  <c r="O24" i="76"/>
  <c r="Q24" i="76" s="1"/>
  <c r="O23" i="76"/>
  <c r="Q23" i="76" s="1"/>
  <c r="O22" i="76"/>
  <c r="Q22" i="76" s="1"/>
  <c r="O21" i="76"/>
  <c r="Q21" i="76" s="1"/>
  <c r="O20" i="76"/>
  <c r="Q20" i="76" s="1"/>
  <c r="O19" i="76"/>
  <c r="Q19" i="76" s="1"/>
  <c r="O18" i="76"/>
  <c r="Q18" i="76" s="1"/>
  <c r="O17" i="76"/>
  <c r="Q17" i="76" s="1"/>
  <c r="O16" i="76"/>
  <c r="Q16" i="76" s="1"/>
  <c r="O15" i="76"/>
  <c r="Q15" i="76" s="1"/>
  <c r="O14" i="76"/>
  <c r="Q14" i="76" s="1"/>
  <c r="O13" i="76"/>
  <c r="Q13" i="76" s="1"/>
  <c r="O12" i="76"/>
  <c r="Q12" i="76" s="1"/>
  <c r="O11" i="76"/>
  <c r="Q11" i="76" s="1"/>
  <c r="O10" i="76"/>
  <c r="Q10" i="76" s="1"/>
  <c r="O9" i="76"/>
  <c r="Q9" i="76" s="1"/>
  <c r="O8" i="76"/>
  <c r="Q8" i="76" s="1"/>
  <c r="O27" i="66"/>
  <c r="O28" i="66"/>
  <c r="O41" i="71"/>
  <c r="O42" i="71"/>
  <c r="O40" i="71"/>
  <c r="O27" i="75"/>
  <c r="O44" i="72"/>
  <c r="O45" i="72"/>
  <c r="O36" i="65"/>
  <c r="O47" i="77" l="1"/>
  <c r="Q47" i="77" s="1"/>
  <c r="O44" i="76"/>
  <c r="Q44" i="76" s="1"/>
  <c r="H44" i="76"/>
  <c r="P29" i="69"/>
  <c r="L38" i="68"/>
  <c r="H28" i="74"/>
  <c r="O28" i="74" s="1"/>
  <c r="H24" i="74"/>
  <c r="O24" i="74" s="1"/>
  <c r="H25" i="74"/>
  <c r="O25" i="74" s="1"/>
  <c r="H26" i="74"/>
  <c r="O26" i="74" s="1"/>
  <c r="H27" i="74"/>
  <c r="O27" i="74" s="1"/>
  <c r="H23" i="74"/>
  <c r="O23" i="74" s="1"/>
  <c r="H20" i="74"/>
  <c r="O20" i="74" s="1"/>
  <c r="H21" i="74"/>
  <c r="O21" i="74" s="1"/>
  <c r="H22" i="74"/>
  <c r="O22" i="74" s="1"/>
  <c r="H19" i="74"/>
  <c r="O19" i="74" s="1"/>
  <c r="H18" i="74"/>
  <c r="O18" i="74" s="1"/>
  <c r="H13" i="74"/>
  <c r="O13" i="74" s="1"/>
  <c r="H14" i="74"/>
  <c r="O14" i="74" s="1"/>
  <c r="H15" i="74"/>
  <c r="O15" i="74" s="1"/>
  <c r="H16" i="74"/>
  <c r="O16" i="74" s="1"/>
  <c r="H17" i="74"/>
  <c r="O17" i="74" s="1"/>
  <c r="H12" i="74"/>
  <c r="O12" i="74" s="1"/>
  <c r="H9" i="74"/>
  <c r="O9" i="74" s="1"/>
  <c r="H10" i="74"/>
  <c r="O10" i="74" s="1"/>
  <c r="H11" i="74"/>
  <c r="O11" i="74" s="1"/>
  <c r="H8" i="74"/>
  <c r="O8" i="74" s="1"/>
  <c r="H24" i="75"/>
  <c r="O24" i="75" s="1"/>
  <c r="H23" i="75"/>
  <c r="O23" i="75" s="1"/>
  <c r="H22" i="75"/>
  <c r="O22" i="75" s="1"/>
  <c r="H19" i="75"/>
  <c r="O19" i="75" s="1"/>
  <c r="H20" i="75"/>
  <c r="O20" i="75" s="1"/>
  <c r="H21" i="75"/>
  <c r="O21" i="75" s="1"/>
  <c r="H18" i="75"/>
  <c r="O18" i="75" s="1"/>
  <c r="H13" i="75"/>
  <c r="O13" i="75" s="1"/>
  <c r="H14" i="75"/>
  <c r="O14" i="75" s="1"/>
  <c r="H15" i="75"/>
  <c r="O15" i="75" s="1"/>
  <c r="H16" i="75"/>
  <c r="O16" i="75" s="1"/>
  <c r="H17" i="75"/>
  <c r="O17" i="75" s="1"/>
  <c r="H12" i="75"/>
  <c r="O12" i="75" s="1"/>
  <c r="H11" i="75"/>
  <c r="O11" i="75" s="1"/>
  <c r="H10" i="75"/>
  <c r="O10" i="75" s="1"/>
  <c r="H9" i="75"/>
  <c r="O9" i="75" s="1"/>
  <c r="H8" i="75"/>
  <c r="H24" i="73"/>
  <c r="O24" i="73" s="1"/>
  <c r="H25" i="73"/>
  <c r="O25" i="73" s="1"/>
  <c r="H26" i="73"/>
  <c r="O26" i="73" s="1"/>
  <c r="H27" i="73"/>
  <c r="O27" i="73" s="1"/>
  <c r="H28" i="73"/>
  <c r="O28" i="73" s="1"/>
  <c r="H29" i="73"/>
  <c r="H30" i="73"/>
  <c r="H23" i="73"/>
  <c r="O23" i="73" s="1"/>
  <c r="H20" i="73"/>
  <c r="O20" i="73" s="1"/>
  <c r="H21" i="73"/>
  <c r="O21" i="73" s="1"/>
  <c r="H22" i="73"/>
  <c r="O22" i="73" s="1"/>
  <c r="H19" i="73"/>
  <c r="O19" i="73" s="1"/>
  <c r="H15" i="73"/>
  <c r="O15" i="73" s="1"/>
  <c r="H16" i="73"/>
  <c r="O16" i="73" s="1"/>
  <c r="H17" i="73"/>
  <c r="O17" i="73" s="1"/>
  <c r="H18" i="73"/>
  <c r="O18" i="73" s="1"/>
  <c r="H14" i="73"/>
  <c r="O14" i="73" s="1"/>
  <c r="H13" i="73"/>
  <c r="O13" i="73" s="1"/>
  <c r="H9" i="73"/>
  <c r="O9" i="73" s="1"/>
  <c r="H10" i="73"/>
  <c r="O10" i="73" s="1"/>
  <c r="H11" i="73"/>
  <c r="O11" i="73" s="1"/>
  <c r="H12" i="73"/>
  <c r="O12" i="73" s="1"/>
  <c r="H8" i="73"/>
  <c r="O8" i="73" s="1"/>
  <c r="H25" i="72"/>
  <c r="H26" i="72"/>
  <c r="H27" i="72"/>
  <c r="H28" i="72"/>
  <c r="H24" i="72"/>
  <c r="H21" i="72"/>
  <c r="H22" i="72"/>
  <c r="H20" i="72"/>
  <c r="H15" i="72"/>
  <c r="H16" i="72"/>
  <c r="H17" i="72"/>
  <c r="H18" i="72"/>
  <c r="H19" i="72"/>
  <c r="H14" i="72"/>
  <c r="H9" i="72"/>
  <c r="H10" i="72"/>
  <c r="H11" i="72"/>
  <c r="H12" i="72"/>
  <c r="H13" i="72"/>
  <c r="H8" i="72"/>
  <c r="Q30" i="73" l="1"/>
  <c r="O30" i="73"/>
  <c r="O29" i="73"/>
  <c r="Q29" i="73" s="1"/>
  <c r="H41" i="75"/>
  <c r="H41" i="74"/>
  <c r="O33" i="70"/>
  <c r="O39" i="71"/>
  <c r="P41" i="75" l="1"/>
  <c r="N41" i="75"/>
  <c r="M41" i="75"/>
  <c r="L41" i="75"/>
  <c r="K41" i="75"/>
  <c r="J41" i="75"/>
  <c r="I41" i="75"/>
  <c r="G41" i="75"/>
  <c r="O40" i="75"/>
  <c r="O37" i="75"/>
  <c r="O36" i="75"/>
  <c r="O35" i="75"/>
  <c r="O34" i="75"/>
  <c r="O33" i="75"/>
  <c r="O32" i="75"/>
  <c r="O31" i="75"/>
  <c r="O30" i="75"/>
  <c r="O29" i="75"/>
  <c r="O28" i="75"/>
  <c r="O26" i="75"/>
  <c r="O25" i="75"/>
  <c r="Q24" i="75"/>
  <c r="Q23" i="75"/>
  <c r="Q22" i="75"/>
  <c r="Q21" i="75"/>
  <c r="Q20" i="75"/>
  <c r="Q19" i="75"/>
  <c r="Q18" i="75"/>
  <c r="Q17" i="75"/>
  <c r="Q16" i="75"/>
  <c r="Q15" i="75"/>
  <c r="Q14" i="75"/>
  <c r="Q13" i="75"/>
  <c r="Q12" i="75"/>
  <c r="Q11" i="75"/>
  <c r="Q10" i="75"/>
  <c r="Q9" i="75"/>
  <c r="O8" i="75"/>
  <c r="Q25" i="74"/>
  <c r="Q27" i="74"/>
  <c r="Q26" i="74"/>
  <c r="Q28" i="74"/>
  <c r="P41" i="74"/>
  <c r="N41" i="74"/>
  <c r="M41" i="74"/>
  <c r="L41" i="74"/>
  <c r="K41" i="74"/>
  <c r="J41" i="74"/>
  <c r="I41" i="74"/>
  <c r="G41" i="74"/>
  <c r="O40" i="74"/>
  <c r="O36" i="74"/>
  <c r="O35" i="74"/>
  <c r="O34" i="74"/>
  <c r="O33" i="74"/>
  <c r="O32" i="74"/>
  <c r="O31" i="74"/>
  <c r="O30" i="74"/>
  <c r="O29" i="74"/>
  <c r="Q24" i="74"/>
  <c r="Q23" i="74"/>
  <c r="Q22" i="74"/>
  <c r="Q21" i="74"/>
  <c r="Q20" i="74"/>
  <c r="Q19" i="74"/>
  <c r="Q18" i="74"/>
  <c r="Q17" i="74"/>
  <c r="Q16" i="74"/>
  <c r="Q15" i="74"/>
  <c r="Q14" i="74"/>
  <c r="Q13" i="74"/>
  <c r="Q12" i="74"/>
  <c r="Q11" i="74"/>
  <c r="Q10" i="74"/>
  <c r="Q9" i="74"/>
  <c r="Q8" i="74"/>
  <c r="P44" i="73"/>
  <c r="N44" i="73"/>
  <c r="M44" i="73"/>
  <c r="L44" i="73"/>
  <c r="K44" i="73"/>
  <c r="J44" i="73"/>
  <c r="I44" i="73"/>
  <c r="H44" i="73"/>
  <c r="G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Q28" i="73"/>
  <c r="Q27" i="73"/>
  <c r="Q26" i="73"/>
  <c r="Q25" i="73"/>
  <c r="Q24" i="73"/>
  <c r="Q23" i="73"/>
  <c r="Q22" i="73"/>
  <c r="Q21" i="73"/>
  <c r="Q20" i="73"/>
  <c r="Q19" i="73"/>
  <c r="Q18" i="73"/>
  <c r="Q17" i="73"/>
  <c r="Q16" i="73"/>
  <c r="Q15" i="73"/>
  <c r="Q14" i="73"/>
  <c r="Q13" i="73"/>
  <c r="Q12" i="73"/>
  <c r="Q11" i="73"/>
  <c r="Q10" i="73"/>
  <c r="Q9" i="73"/>
  <c r="O25" i="72"/>
  <c r="Q25" i="72" s="1"/>
  <c r="O26" i="72"/>
  <c r="Q26" i="72" s="1"/>
  <c r="O27" i="72"/>
  <c r="Q27" i="72" s="1"/>
  <c r="O28" i="72"/>
  <c r="Q28" i="72" s="1"/>
  <c r="P47" i="72"/>
  <c r="N47" i="72"/>
  <c r="M47" i="72"/>
  <c r="L47" i="72"/>
  <c r="K47" i="72"/>
  <c r="J47" i="72"/>
  <c r="I47" i="72"/>
  <c r="G47" i="72"/>
  <c r="O46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4" i="72"/>
  <c r="Q24" i="72" s="1"/>
  <c r="O23" i="72"/>
  <c r="Q23" i="72" s="1"/>
  <c r="O22" i="72"/>
  <c r="Q22" i="72" s="1"/>
  <c r="O21" i="72"/>
  <c r="Q21" i="72" s="1"/>
  <c r="O20" i="72"/>
  <c r="Q20" i="72" s="1"/>
  <c r="O19" i="72"/>
  <c r="Q19" i="72" s="1"/>
  <c r="O18" i="72"/>
  <c r="Q18" i="72" s="1"/>
  <c r="O17" i="72"/>
  <c r="Q17" i="72" s="1"/>
  <c r="O16" i="72"/>
  <c r="Q16" i="72" s="1"/>
  <c r="O15" i="72"/>
  <c r="Q15" i="72" s="1"/>
  <c r="O14" i="72"/>
  <c r="Q14" i="72" s="1"/>
  <c r="O13" i="72"/>
  <c r="Q13" i="72" s="1"/>
  <c r="O12" i="72"/>
  <c r="Q12" i="72" s="1"/>
  <c r="O11" i="72"/>
  <c r="Q11" i="72" s="1"/>
  <c r="O10" i="72"/>
  <c r="Q10" i="72" s="1"/>
  <c r="O9" i="72"/>
  <c r="Q9" i="72" s="1"/>
  <c r="H47" i="72"/>
  <c r="O8" i="72"/>
  <c r="O38" i="71"/>
  <c r="O37" i="71"/>
  <c r="O44" i="65"/>
  <c r="O45" i="65"/>
  <c r="H24" i="71"/>
  <c r="H23" i="71"/>
  <c r="H20" i="71"/>
  <c r="H21" i="71"/>
  <c r="H22" i="71"/>
  <c r="H19" i="71"/>
  <c r="H18" i="71"/>
  <c r="H17" i="71"/>
  <c r="H12" i="71"/>
  <c r="H13" i="71"/>
  <c r="H14" i="71"/>
  <c r="H15" i="71"/>
  <c r="H16" i="71"/>
  <c r="H11" i="71"/>
  <c r="H10" i="71"/>
  <c r="H9" i="71"/>
  <c r="H8" i="71"/>
  <c r="P43" i="68"/>
  <c r="O40" i="68"/>
  <c r="O41" i="68"/>
  <c r="N43" i="65"/>
  <c r="H18" i="66"/>
  <c r="H19" i="66"/>
  <c r="H20" i="66"/>
  <c r="H21" i="66"/>
  <c r="H22" i="66"/>
  <c r="H23" i="66"/>
  <c r="H17" i="66"/>
  <c r="H12" i="66"/>
  <c r="H13" i="66"/>
  <c r="H14" i="66"/>
  <c r="H15" i="66"/>
  <c r="H16" i="66"/>
  <c r="H11" i="66"/>
  <c r="H9" i="66"/>
  <c r="H10" i="66"/>
  <c r="H8" i="66"/>
  <c r="H32" i="65"/>
  <c r="H33" i="65"/>
  <c r="H29" i="65"/>
  <c r="H30" i="65"/>
  <c r="H31" i="65"/>
  <c r="H28" i="65"/>
  <c r="H23" i="65"/>
  <c r="H24" i="65"/>
  <c r="H25" i="65"/>
  <c r="H26" i="65"/>
  <c r="H27" i="65"/>
  <c r="H22" i="65"/>
  <c r="H18" i="65"/>
  <c r="H19" i="65"/>
  <c r="H20" i="65"/>
  <c r="H21" i="65"/>
  <c r="H17" i="65"/>
  <c r="H11" i="65"/>
  <c r="H12" i="65"/>
  <c r="H13" i="65"/>
  <c r="H14" i="65"/>
  <c r="H15" i="65"/>
  <c r="H16" i="65"/>
  <c r="H10" i="65"/>
  <c r="H9" i="65"/>
  <c r="H8" i="65"/>
  <c r="H25" i="68"/>
  <c r="O25" i="68" s="1"/>
  <c r="Q25" i="68" s="1"/>
  <c r="H26" i="68"/>
  <c r="O26" i="68" s="1"/>
  <c r="Q26" i="68" s="1"/>
  <c r="H27" i="68"/>
  <c r="O27" i="68" s="1"/>
  <c r="Q27" i="68" s="1"/>
  <c r="H24" i="68"/>
  <c r="H22" i="68"/>
  <c r="H21" i="68"/>
  <c r="H16" i="68"/>
  <c r="H17" i="68"/>
  <c r="H18" i="68"/>
  <c r="H19" i="68"/>
  <c r="H20" i="68"/>
  <c r="H15" i="68"/>
  <c r="H14" i="68"/>
  <c r="H13" i="68"/>
  <c r="H9" i="68"/>
  <c r="H10" i="68"/>
  <c r="H11" i="68"/>
  <c r="H12" i="68"/>
  <c r="H8" i="68"/>
  <c r="O41" i="75" l="1"/>
  <c r="Q41" i="75" s="1"/>
  <c r="O44" i="73"/>
  <c r="Q44" i="73" s="1"/>
  <c r="Q8" i="75"/>
  <c r="O41" i="74"/>
  <c r="Q41" i="74" s="1"/>
  <c r="Q8" i="73"/>
  <c r="O47" i="72"/>
  <c r="Q47" i="72" s="1"/>
  <c r="Q8" i="72"/>
  <c r="H20" i="70" l="1"/>
  <c r="H15" i="70"/>
  <c r="H16" i="70"/>
  <c r="H17" i="70"/>
  <c r="H18" i="70"/>
  <c r="H19" i="70"/>
  <c r="H14" i="70"/>
  <c r="H13" i="70"/>
  <c r="H12" i="70"/>
  <c r="H11" i="70"/>
  <c r="H10" i="70"/>
  <c r="H9" i="70"/>
  <c r="H8" i="70"/>
  <c r="H20" i="69"/>
  <c r="H19" i="69"/>
  <c r="H15" i="69"/>
  <c r="H16" i="69"/>
  <c r="H17" i="69"/>
  <c r="H18" i="69"/>
  <c r="H14" i="69"/>
  <c r="H11" i="69"/>
  <c r="H12" i="69"/>
  <c r="H13" i="69"/>
  <c r="H10" i="69"/>
  <c r="H9" i="69"/>
  <c r="H8" i="69"/>
  <c r="G44" i="71"/>
  <c r="O21" i="71" l="1"/>
  <c r="Q21" i="71" s="1"/>
  <c r="O22" i="71"/>
  <c r="Q22" i="71" s="1"/>
  <c r="O23" i="71"/>
  <c r="Q23" i="71" s="1"/>
  <c r="O24" i="71"/>
  <c r="Q24" i="71" s="1"/>
  <c r="P44" i="71"/>
  <c r="N44" i="71"/>
  <c r="M44" i="71"/>
  <c r="L44" i="71"/>
  <c r="K44" i="71"/>
  <c r="J44" i="71"/>
  <c r="I44" i="71"/>
  <c r="H44" i="71"/>
  <c r="O43" i="71"/>
  <c r="O36" i="71"/>
  <c r="O35" i="71"/>
  <c r="O34" i="71"/>
  <c r="O33" i="71"/>
  <c r="O32" i="71"/>
  <c r="O31" i="71"/>
  <c r="O30" i="71"/>
  <c r="O29" i="71"/>
  <c r="O28" i="71"/>
  <c r="O27" i="71"/>
  <c r="O26" i="71"/>
  <c r="O25" i="71"/>
  <c r="O20" i="71"/>
  <c r="Q20" i="71" s="1"/>
  <c r="O19" i="71"/>
  <c r="Q19" i="71" s="1"/>
  <c r="O18" i="71"/>
  <c r="Q18" i="71" s="1"/>
  <c r="O17" i="71"/>
  <c r="Q17" i="71" s="1"/>
  <c r="O16" i="71"/>
  <c r="Q16" i="71" s="1"/>
  <c r="O15" i="71"/>
  <c r="Q15" i="71" s="1"/>
  <c r="O14" i="71"/>
  <c r="Q14" i="71" s="1"/>
  <c r="O13" i="71"/>
  <c r="Q13" i="71" s="1"/>
  <c r="O12" i="71"/>
  <c r="Q12" i="71" s="1"/>
  <c r="O11" i="71"/>
  <c r="Q11" i="71" s="1"/>
  <c r="O10" i="71"/>
  <c r="Q10" i="71" s="1"/>
  <c r="O9" i="71"/>
  <c r="Q9" i="71" s="1"/>
  <c r="O8" i="71"/>
  <c r="Q8" i="71" s="1"/>
  <c r="P35" i="70"/>
  <c r="N35" i="70"/>
  <c r="M35" i="70"/>
  <c r="L35" i="70"/>
  <c r="K35" i="70"/>
  <c r="J35" i="70"/>
  <c r="I35" i="70"/>
  <c r="H35" i="70"/>
  <c r="G35" i="70"/>
  <c r="O34" i="70"/>
  <c r="O32" i="70"/>
  <c r="O31" i="70"/>
  <c r="O30" i="70"/>
  <c r="O29" i="70"/>
  <c r="O28" i="70"/>
  <c r="O27" i="70"/>
  <c r="O26" i="70"/>
  <c r="O25" i="70"/>
  <c r="O24" i="70"/>
  <c r="O23" i="70"/>
  <c r="O22" i="70"/>
  <c r="O21" i="70"/>
  <c r="O20" i="70"/>
  <c r="Q20" i="70" s="1"/>
  <c r="O19" i="70"/>
  <c r="Q19" i="70" s="1"/>
  <c r="O18" i="70"/>
  <c r="Q18" i="70" s="1"/>
  <c r="O17" i="70"/>
  <c r="Q17" i="70" s="1"/>
  <c r="O16" i="70"/>
  <c r="Q16" i="70" s="1"/>
  <c r="O15" i="70"/>
  <c r="Q15" i="70" s="1"/>
  <c r="O14" i="70"/>
  <c r="Q14" i="70" s="1"/>
  <c r="O13" i="70"/>
  <c r="Q13" i="70" s="1"/>
  <c r="O12" i="70"/>
  <c r="Q12" i="70" s="1"/>
  <c r="O11" i="70"/>
  <c r="Q11" i="70" s="1"/>
  <c r="O10" i="70"/>
  <c r="Q10" i="70" s="1"/>
  <c r="O9" i="70"/>
  <c r="Q9" i="70" s="1"/>
  <c r="O8" i="70"/>
  <c r="Q8" i="70" s="1"/>
  <c r="N29" i="69"/>
  <c r="M29" i="69"/>
  <c r="L29" i="69"/>
  <c r="K29" i="69"/>
  <c r="J29" i="69"/>
  <c r="I29" i="69"/>
  <c r="H29" i="69"/>
  <c r="G29" i="69"/>
  <c r="O28" i="69"/>
  <c r="O27" i="69"/>
  <c r="O26" i="69"/>
  <c r="O25" i="69"/>
  <c r="O24" i="69"/>
  <c r="O23" i="69"/>
  <c r="O22" i="69"/>
  <c r="O21" i="69"/>
  <c r="O20" i="69"/>
  <c r="Q20" i="69" s="1"/>
  <c r="O19" i="69"/>
  <c r="Q19" i="69" s="1"/>
  <c r="O18" i="69"/>
  <c r="Q18" i="69" s="1"/>
  <c r="O17" i="69"/>
  <c r="Q17" i="69" s="1"/>
  <c r="O16" i="69"/>
  <c r="Q16" i="69" s="1"/>
  <c r="O15" i="69"/>
  <c r="Q15" i="69" s="1"/>
  <c r="O14" i="69"/>
  <c r="Q14" i="69" s="1"/>
  <c r="O13" i="69"/>
  <c r="Q13" i="69" s="1"/>
  <c r="O12" i="69"/>
  <c r="Q12" i="69" s="1"/>
  <c r="O11" i="69"/>
  <c r="Q11" i="69" s="1"/>
  <c r="O10" i="69"/>
  <c r="Q10" i="69" s="1"/>
  <c r="O9" i="69"/>
  <c r="Q9" i="69" s="1"/>
  <c r="O8" i="69"/>
  <c r="Q8" i="69" s="1"/>
  <c r="N43" i="68"/>
  <c r="M43" i="68"/>
  <c r="L43" i="68"/>
  <c r="K43" i="68"/>
  <c r="J43" i="68"/>
  <c r="I43" i="68"/>
  <c r="H43" i="68"/>
  <c r="G43" i="68"/>
  <c r="O42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4" i="68"/>
  <c r="Q24" i="68" s="1"/>
  <c r="O23" i="68"/>
  <c r="Q23" i="68" s="1"/>
  <c r="O22" i="68"/>
  <c r="Q22" i="68" s="1"/>
  <c r="O21" i="68"/>
  <c r="Q21" i="68" s="1"/>
  <c r="O20" i="68"/>
  <c r="Q20" i="68" s="1"/>
  <c r="O19" i="68"/>
  <c r="Q19" i="68" s="1"/>
  <c r="O18" i="68"/>
  <c r="Q18" i="68" s="1"/>
  <c r="O17" i="68"/>
  <c r="Q17" i="68" s="1"/>
  <c r="O16" i="68"/>
  <c r="Q16" i="68" s="1"/>
  <c r="O15" i="68"/>
  <c r="Q15" i="68" s="1"/>
  <c r="O14" i="68"/>
  <c r="Q14" i="68" s="1"/>
  <c r="O13" i="68"/>
  <c r="Q13" i="68" s="1"/>
  <c r="O12" i="68"/>
  <c r="Q12" i="68" s="1"/>
  <c r="O11" i="68"/>
  <c r="Q11" i="68" s="1"/>
  <c r="O10" i="68"/>
  <c r="Q10" i="68" s="1"/>
  <c r="O9" i="68"/>
  <c r="Q9" i="68" s="1"/>
  <c r="O8" i="68"/>
  <c r="P38" i="66"/>
  <c r="N38" i="66"/>
  <c r="M38" i="66"/>
  <c r="L38" i="66"/>
  <c r="K38" i="66"/>
  <c r="J38" i="66"/>
  <c r="I38" i="66"/>
  <c r="H38" i="66"/>
  <c r="G38" i="66"/>
  <c r="O37" i="66"/>
  <c r="O36" i="66"/>
  <c r="O35" i="66"/>
  <c r="O34" i="66"/>
  <c r="O33" i="66"/>
  <c r="O32" i="66"/>
  <c r="O31" i="66"/>
  <c r="O30" i="66"/>
  <c r="O29" i="66"/>
  <c r="O26" i="66"/>
  <c r="O25" i="66"/>
  <c r="O24" i="66"/>
  <c r="Q24" i="66" s="1"/>
  <c r="O23" i="66"/>
  <c r="Q23" i="66" s="1"/>
  <c r="O22" i="66"/>
  <c r="Q22" i="66" s="1"/>
  <c r="O21" i="66"/>
  <c r="Q21" i="66" s="1"/>
  <c r="O20" i="66"/>
  <c r="Q20" i="66" s="1"/>
  <c r="O19" i="66"/>
  <c r="Q19" i="66" s="1"/>
  <c r="O18" i="66"/>
  <c r="Q18" i="66" s="1"/>
  <c r="O17" i="66"/>
  <c r="Q17" i="66" s="1"/>
  <c r="O16" i="66"/>
  <c r="Q16" i="66" s="1"/>
  <c r="O15" i="66"/>
  <c r="Q15" i="66" s="1"/>
  <c r="O14" i="66"/>
  <c r="Q14" i="66" s="1"/>
  <c r="O13" i="66"/>
  <c r="Q13" i="66" s="1"/>
  <c r="O12" i="66"/>
  <c r="Q12" i="66" s="1"/>
  <c r="Q11" i="66"/>
  <c r="O11" i="66"/>
  <c r="O10" i="66"/>
  <c r="Q10" i="66" s="1"/>
  <c r="O9" i="66"/>
  <c r="Q9" i="66" s="1"/>
  <c r="O8" i="66"/>
  <c r="O28" i="65"/>
  <c r="Q28" i="65" s="1"/>
  <c r="O29" i="65"/>
  <c r="Q29" i="65" s="1"/>
  <c r="O30" i="65"/>
  <c r="Q30" i="65" s="1"/>
  <c r="O31" i="65"/>
  <c r="Q31" i="65" s="1"/>
  <c r="O32" i="65"/>
  <c r="Q32" i="65" s="1"/>
  <c r="O33" i="65"/>
  <c r="Q33" i="65" s="1"/>
  <c r="P47" i="65"/>
  <c r="N47" i="65"/>
  <c r="M47" i="65"/>
  <c r="L47" i="65"/>
  <c r="K47" i="65"/>
  <c r="J47" i="65"/>
  <c r="I47" i="65"/>
  <c r="G47" i="65"/>
  <c r="O46" i="65"/>
  <c r="O43" i="65"/>
  <c r="O42" i="65"/>
  <c r="O41" i="65"/>
  <c r="O40" i="65"/>
  <c r="O39" i="65"/>
  <c r="O38" i="65"/>
  <c r="O37" i="65"/>
  <c r="O35" i="65"/>
  <c r="O34" i="65"/>
  <c r="O27" i="65"/>
  <c r="Q27" i="65" s="1"/>
  <c r="O26" i="65"/>
  <c r="Q26" i="65" s="1"/>
  <c r="O25" i="65"/>
  <c r="Q25" i="65" s="1"/>
  <c r="O24" i="65"/>
  <c r="Q24" i="65" s="1"/>
  <c r="O23" i="65"/>
  <c r="Q23" i="65" s="1"/>
  <c r="O22" i="65"/>
  <c r="Q22" i="65" s="1"/>
  <c r="O21" i="65"/>
  <c r="Q21" i="65" s="1"/>
  <c r="O20" i="65"/>
  <c r="Q20" i="65" s="1"/>
  <c r="O19" i="65"/>
  <c r="Q19" i="65" s="1"/>
  <c r="O18" i="65"/>
  <c r="Q18" i="65" s="1"/>
  <c r="O17" i="65"/>
  <c r="Q17" i="65" s="1"/>
  <c r="O16" i="65"/>
  <c r="Q16" i="65" s="1"/>
  <c r="O15" i="65"/>
  <c r="Q15" i="65" s="1"/>
  <c r="O14" i="65"/>
  <c r="Q14" i="65" s="1"/>
  <c r="O13" i="65"/>
  <c r="Q13" i="65" s="1"/>
  <c r="O12" i="65"/>
  <c r="Q12" i="65" s="1"/>
  <c r="O11" i="65"/>
  <c r="Q11" i="65" s="1"/>
  <c r="O10" i="65"/>
  <c r="Q10" i="65" s="1"/>
  <c r="H47" i="65"/>
  <c r="O8" i="65"/>
  <c r="Q47" i="64"/>
  <c r="Q46" i="64"/>
  <c r="L33" i="64"/>
  <c r="H12" i="61"/>
  <c r="H11" i="61"/>
  <c r="P42" i="64"/>
  <c r="H27" i="64"/>
  <c r="O27" i="64" s="1"/>
  <c r="H26" i="64"/>
  <c r="H23" i="64"/>
  <c r="H24" i="64"/>
  <c r="H25" i="64"/>
  <c r="H22" i="64"/>
  <c r="H20" i="64"/>
  <c r="H21" i="64"/>
  <c r="H16" i="64"/>
  <c r="H17" i="64"/>
  <c r="H18" i="64"/>
  <c r="H19" i="64"/>
  <c r="H15" i="64"/>
  <c r="H13" i="64"/>
  <c r="H14" i="64"/>
  <c r="H12" i="64"/>
  <c r="H9" i="64"/>
  <c r="H10" i="64"/>
  <c r="H11" i="64"/>
  <c r="H8" i="64"/>
  <c r="P48" i="63"/>
  <c r="H31" i="63"/>
  <c r="H30" i="63"/>
  <c r="H26" i="63"/>
  <c r="H27" i="63"/>
  <c r="H28" i="63"/>
  <c r="H29" i="63"/>
  <c r="H19" i="63"/>
  <c r="H20" i="63"/>
  <c r="H21" i="63"/>
  <c r="H22" i="63"/>
  <c r="H23" i="63"/>
  <c r="H24" i="63"/>
  <c r="H25" i="63"/>
  <c r="H18" i="63"/>
  <c r="H9" i="63"/>
  <c r="H10" i="63"/>
  <c r="H11" i="63"/>
  <c r="H12" i="63"/>
  <c r="H13" i="63"/>
  <c r="H14" i="63"/>
  <c r="H15" i="63"/>
  <c r="H16" i="63"/>
  <c r="H17" i="63"/>
  <c r="H8" i="63"/>
  <c r="J48" i="63"/>
  <c r="O32" i="64"/>
  <c r="O34" i="64"/>
  <c r="O35" i="64"/>
  <c r="O36" i="64"/>
  <c r="O37" i="64"/>
  <c r="O38" i="64"/>
  <c r="O39" i="64"/>
  <c r="O40" i="64"/>
  <c r="O46" i="63"/>
  <c r="O45" i="63"/>
  <c r="O44" i="63"/>
  <c r="O43" i="63"/>
  <c r="O33" i="64"/>
  <c r="O42" i="63"/>
  <c r="O41" i="63"/>
  <c r="O36" i="63"/>
  <c r="O37" i="63"/>
  <c r="O38" i="63"/>
  <c r="O39" i="63"/>
  <c r="O40" i="63"/>
  <c r="N35" i="63"/>
  <c r="O29" i="69" l="1"/>
  <c r="Q29" i="69" s="1"/>
  <c r="Q8" i="68"/>
  <c r="O43" i="68"/>
  <c r="Q43" i="68" s="1"/>
  <c r="O44" i="71"/>
  <c r="Q44" i="71" s="1"/>
  <c r="O35" i="70"/>
  <c r="Q35" i="70" s="1"/>
  <c r="O38" i="66"/>
  <c r="Q38" i="66" s="1"/>
  <c r="Q8" i="66"/>
  <c r="Q8" i="65"/>
  <c r="O9" i="65"/>
  <c r="Q9" i="65" s="1"/>
  <c r="P39" i="62"/>
  <c r="O37" i="62"/>
  <c r="O38" i="62"/>
  <c r="O30" i="62"/>
  <c r="O31" i="62"/>
  <c r="O32" i="62"/>
  <c r="O33" i="62"/>
  <c r="O34" i="62"/>
  <c r="O35" i="62"/>
  <c r="O36" i="62"/>
  <c r="N36" i="62"/>
  <c r="N39" i="62" s="1"/>
  <c r="J39" i="62"/>
  <c r="H23" i="62"/>
  <c r="O23" i="62" s="1"/>
  <c r="Q23" i="62" s="1"/>
  <c r="H24" i="62"/>
  <c r="O24" i="62" s="1"/>
  <c r="Q24" i="62" s="1"/>
  <c r="H25" i="62"/>
  <c r="H26" i="62"/>
  <c r="O26" i="62" s="1"/>
  <c r="Q26" i="62" s="1"/>
  <c r="H27" i="62"/>
  <c r="O27" i="62" s="1"/>
  <c r="Q27" i="62" s="1"/>
  <c r="H22" i="62"/>
  <c r="H18" i="62"/>
  <c r="H19" i="62"/>
  <c r="O19" i="62" s="1"/>
  <c r="Q19" i="62" s="1"/>
  <c r="H20" i="62"/>
  <c r="O20" i="62" s="1"/>
  <c r="Q20" i="62" s="1"/>
  <c r="H17" i="62"/>
  <c r="O17" i="62" s="1"/>
  <c r="Q17" i="62" s="1"/>
  <c r="H14" i="62"/>
  <c r="H15" i="62"/>
  <c r="H16" i="62"/>
  <c r="O16" i="62" s="1"/>
  <c r="Q16" i="62" s="1"/>
  <c r="H13" i="62"/>
  <c r="H12" i="62"/>
  <c r="H9" i="62"/>
  <c r="H8" i="62"/>
  <c r="O8" i="62" s="1"/>
  <c r="P37" i="60"/>
  <c r="O37" i="60"/>
  <c r="Q37" i="60" s="1"/>
  <c r="O34" i="60"/>
  <c r="O35" i="60"/>
  <c r="O38" i="61"/>
  <c r="O39" i="61"/>
  <c r="Q40" i="59"/>
  <c r="K37" i="60"/>
  <c r="G37" i="60"/>
  <c r="I37" i="60"/>
  <c r="L37" i="60"/>
  <c r="M37" i="60"/>
  <c r="N37" i="60"/>
  <c r="O36" i="61"/>
  <c r="O37" i="61"/>
  <c r="O32" i="61"/>
  <c r="O33" i="61"/>
  <c r="O34" i="61"/>
  <c r="N35" i="61"/>
  <c r="O35" i="61" s="1"/>
  <c r="H23" i="61"/>
  <c r="H24" i="61"/>
  <c r="H25" i="61"/>
  <c r="H26" i="61"/>
  <c r="H27" i="61"/>
  <c r="H28" i="61"/>
  <c r="H29" i="61"/>
  <c r="H22" i="61"/>
  <c r="H21" i="61"/>
  <c r="H14" i="61"/>
  <c r="H15" i="61"/>
  <c r="H16" i="61"/>
  <c r="H17" i="61"/>
  <c r="H18" i="61"/>
  <c r="H19" i="61"/>
  <c r="H20" i="61"/>
  <c r="H13" i="61"/>
  <c r="H10" i="61"/>
  <c r="H9" i="61"/>
  <c r="H8" i="61"/>
  <c r="N42" i="64"/>
  <c r="M42" i="64"/>
  <c r="L42" i="64"/>
  <c r="K42" i="64"/>
  <c r="J42" i="64"/>
  <c r="I42" i="64"/>
  <c r="H42" i="64"/>
  <c r="G42" i="64"/>
  <c r="O41" i="64"/>
  <c r="O31" i="64"/>
  <c r="O30" i="64"/>
  <c r="O29" i="64"/>
  <c r="Q27" i="64"/>
  <c r="O26" i="64"/>
  <c r="Q26" i="64" s="1"/>
  <c r="O25" i="64"/>
  <c r="Q25" i="64" s="1"/>
  <c r="O24" i="64"/>
  <c r="Q24" i="64" s="1"/>
  <c r="O23" i="64"/>
  <c r="Q23" i="64" s="1"/>
  <c r="O22" i="64"/>
  <c r="Q22" i="64" s="1"/>
  <c r="O21" i="64"/>
  <c r="Q21" i="64" s="1"/>
  <c r="O20" i="64"/>
  <c r="Q20" i="64" s="1"/>
  <c r="O19" i="64"/>
  <c r="Q19" i="64" s="1"/>
  <c r="O18" i="64"/>
  <c r="Q18" i="64" s="1"/>
  <c r="O17" i="64"/>
  <c r="Q17" i="64" s="1"/>
  <c r="O16" i="64"/>
  <c r="Q16" i="64" s="1"/>
  <c r="O15" i="64"/>
  <c r="Q15" i="64" s="1"/>
  <c r="O14" i="64"/>
  <c r="Q14" i="64" s="1"/>
  <c r="O13" i="64"/>
  <c r="Q13" i="64" s="1"/>
  <c r="O12" i="64"/>
  <c r="Q12" i="64" s="1"/>
  <c r="O11" i="64"/>
  <c r="Q11" i="64" s="1"/>
  <c r="O10" i="64"/>
  <c r="Q10" i="64" s="1"/>
  <c r="O9" i="64"/>
  <c r="Q9" i="64" s="1"/>
  <c r="O8" i="64"/>
  <c r="O28" i="63"/>
  <c r="Q28" i="63" s="1"/>
  <c r="O29" i="63"/>
  <c r="Q29" i="63" s="1"/>
  <c r="O30" i="63"/>
  <c r="Q30" i="63" s="1"/>
  <c r="O31" i="63"/>
  <c r="Q31" i="63" s="1"/>
  <c r="N48" i="63"/>
  <c r="M48" i="63"/>
  <c r="L48" i="63"/>
  <c r="K48" i="63"/>
  <c r="I48" i="63"/>
  <c r="H48" i="63"/>
  <c r="G48" i="63"/>
  <c r="O47" i="63"/>
  <c r="O35" i="63"/>
  <c r="O34" i="63"/>
  <c r="O33" i="63"/>
  <c r="O27" i="63"/>
  <c r="Q27" i="63" s="1"/>
  <c r="O26" i="63"/>
  <c r="Q26" i="63" s="1"/>
  <c r="O25" i="63"/>
  <c r="Q25" i="63" s="1"/>
  <c r="O24" i="63"/>
  <c r="Q24" i="63" s="1"/>
  <c r="O23" i="63"/>
  <c r="Q23" i="63" s="1"/>
  <c r="O22" i="63"/>
  <c r="Q22" i="63" s="1"/>
  <c r="O21" i="63"/>
  <c r="Q21" i="63" s="1"/>
  <c r="O20" i="63"/>
  <c r="Q20" i="63" s="1"/>
  <c r="O19" i="63"/>
  <c r="Q19" i="63" s="1"/>
  <c r="O18" i="63"/>
  <c r="Q18" i="63" s="1"/>
  <c r="O17" i="63"/>
  <c r="Q17" i="63" s="1"/>
  <c r="O16" i="63"/>
  <c r="Q16" i="63" s="1"/>
  <c r="O15" i="63"/>
  <c r="Q15" i="63" s="1"/>
  <c r="O14" i="63"/>
  <c r="Q14" i="63" s="1"/>
  <c r="O13" i="63"/>
  <c r="Q13" i="63" s="1"/>
  <c r="O12" i="63"/>
  <c r="Q12" i="63" s="1"/>
  <c r="O11" i="63"/>
  <c r="Q11" i="63" s="1"/>
  <c r="O10" i="63"/>
  <c r="Q10" i="63" s="1"/>
  <c r="O9" i="63"/>
  <c r="Q9" i="63" s="1"/>
  <c r="O8" i="63"/>
  <c r="M39" i="62"/>
  <c r="L39" i="62"/>
  <c r="K39" i="62"/>
  <c r="I39" i="62"/>
  <c r="G39" i="62"/>
  <c r="O29" i="62"/>
  <c r="O39" i="62" s="1"/>
  <c r="Q39" i="62" s="1"/>
  <c r="O28" i="62"/>
  <c r="O25" i="62"/>
  <c r="Q25" i="62" s="1"/>
  <c r="O22" i="62"/>
  <c r="Q22" i="62" s="1"/>
  <c r="O21" i="62"/>
  <c r="Q21" i="62" s="1"/>
  <c r="O18" i="62"/>
  <c r="Q18" i="62" s="1"/>
  <c r="O15" i="62"/>
  <c r="Q15" i="62" s="1"/>
  <c r="O14" i="62"/>
  <c r="Q14" i="62" s="1"/>
  <c r="O13" i="62"/>
  <c r="Q13" i="62" s="1"/>
  <c r="O12" i="62"/>
  <c r="Q12" i="62" s="1"/>
  <c r="O11" i="62"/>
  <c r="Q11" i="62" s="1"/>
  <c r="O10" i="62"/>
  <c r="Q10" i="62" s="1"/>
  <c r="O9" i="62"/>
  <c r="Q9" i="62" s="1"/>
  <c r="O47" i="65" l="1"/>
  <c r="Q47" i="65" s="1"/>
  <c r="O42" i="64"/>
  <c r="Q42" i="64" s="1"/>
  <c r="Q8" i="63"/>
  <c r="O48" i="63"/>
  <c r="Q8" i="62"/>
  <c r="H39" i="62"/>
  <c r="Q8" i="64"/>
  <c r="Q48" i="63"/>
  <c r="Q40" i="66" l="1"/>
  <c r="Q45" i="68" s="1"/>
  <c r="Q31" i="69" s="1"/>
  <c r="Q37" i="70" s="1"/>
  <c r="Q49" i="65"/>
  <c r="P41" i="61"/>
  <c r="N41" i="61"/>
  <c r="M41" i="61"/>
  <c r="L41" i="61"/>
  <c r="K41" i="61"/>
  <c r="J41" i="61"/>
  <c r="I41" i="61"/>
  <c r="H41" i="61"/>
  <c r="G41" i="61"/>
  <c r="O40" i="61"/>
  <c r="O31" i="61"/>
  <c r="O30" i="61"/>
  <c r="O29" i="61"/>
  <c r="Q29" i="61" s="1"/>
  <c r="O28" i="61"/>
  <c r="Q28" i="61" s="1"/>
  <c r="O27" i="61"/>
  <c r="Q27" i="61" s="1"/>
  <c r="O26" i="61"/>
  <c r="Q26" i="61" s="1"/>
  <c r="O25" i="61"/>
  <c r="Q25" i="61" s="1"/>
  <c r="O24" i="61"/>
  <c r="Q24" i="61" s="1"/>
  <c r="O23" i="61"/>
  <c r="Q23" i="61" s="1"/>
  <c r="O22" i="61"/>
  <c r="Q22" i="61" s="1"/>
  <c r="O21" i="61"/>
  <c r="Q21" i="61" s="1"/>
  <c r="O20" i="61"/>
  <c r="Q20" i="61" s="1"/>
  <c r="O19" i="61"/>
  <c r="Q19" i="61" s="1"/>
  <c r="O18" i="61"/>
  <c r="Q18" i="61" s="1"/>
  <c r="O17" i="61"/>
  <c r="Q17" i="61" s="1"/>
  <c r="O16" i="61"/>
  <c r="Q16" i="61" s="1"/>
  <c r="O15" i="61"/>
  <c r="Q15" i="61" s="1"/>
  <c r="O14" i="61"/>
  <c r="Q14" i="61" s="1"/>
  <c r="O13" i="61"/>
  <c r="Q13" i="61" s="1"/>
  <c r="O12" i="61"/>
  <c r="Q12" i="61" s="1"/>
  <c r="O11" i="61"/>
  <c r="Q11" i="61" s="1"/>
  <c r="O10" i="61"/>
  <c r="Q10" i="61" s="1"/>
  <c r="O9" i="61"/>
  <c r="Q9" i="61" s="1"/>
  <c r="O8" i="61"/>
  <c r="Q26" i="57"/>
  <c r="Q27" i="57"/>
  <c r="Q28" i="57"/>
  <c r="Q29" i="57"/>
  <c r="Q30" i="57"/>
  <c r="Q31" i="57"/>
  <c r="Q32" i="57"/>
  <c r="Q33" i="57"/>
  <c r="Q34" i="57"/>
  <c r="Q35" i="57"/>
  <c r="Q36" i="57"/>
  <c r="Q37" i="57"/>
  <c r="Q38" i="57"/>
  <c r="Q39" i="57"/>
  <c r="Q40" i="57"/>
  <c r="Q41" i="57"/>
  <c r="O40" i="57"/>
  <c r="Q46" i="71" l="1"/>
  <c r="Q49" i="72" s="1"/>
  <c r="Q46" i="73" s="1"/>
  <c r="Q43" i="75" s="1"/>
  <c r="O41" i="61"/>
  <c r="Q41" i="61" s="1"/>
  <c r="Q8" i="61"/>
  <c r="H24" i="60"/>
  <c r="H25" i="60"/>
  <c r="H26" i="60"/>
  <c r="H27" i="60"/>
  <c r="H28" i="60"/>
  <c r="H29" i="60"/>
  <c r="H30" i="60"/>
  <c r="H23" i="60"/>
  <c r="H20" i="60"/>
  <c r="H21" i="60"/>
  <c r="H22" i="60"/>
  <c r="H17" i="60"/>
  <c r="H18" i="60"/>
  <c r="H19" i="60"/>
  <c r="H16" i="60"/>
  <c r="H15" i="60"/>
  <c r="H13" i="60"/>
  <c r="H14" i="60"/>
  <c r="H9" i="60"/>
  <c r="H10" i="60"/>
  <c r="H11" i="60"/>
  <c r="H12" i="60"/>
  <c r="H8" i="60"/>
  <c r="H22" i="59"/>
  <c r="H24" i="59"/>
  <c r="H25" i="59"/>
  <c r="H26" i="59"/>
  <c r="H27" i="59"/>
  <c r="H28" i="59"/>
  <c r="H29" i="59"/>
  <c r="H30" i="59"/>
  <c r="H23" i="59"/>
  <c r="H20" i="59"/>
  <c r="H21" i="59"/>
  <c r="H17" i="59"/>
  <c r="H18" i="59"/>
  <c r="H19" i="59"/>
  <c r="H16" i="59"/>
  <c r="H10" i="59"/>
  <c r="H11" i="59"/>
  <c r="H12" i="59"/>
  <c r="H13" i="59"/>
  <c r="H14" i="59"/>
  <c r="H15" i="59"/>
  <c r="H9" i="59"/>
  <c r="H8" i="59"/>
  <c r="H40" i="59" s="1"/>
  <c r="H24" i="58"/>
  <c r="H25" i="58"/>
  <c r="H26" i="58"/>
  <c r="H27" i="58"/>
  <c r="H23" i="58"/>
  <c r="P40" i="58"/>
  <c r="O39" i="57"/>
  <c r="O38" i="57"/>
  <c r="L33" i="58"/>
  <c r="N32" i="58"/>
  <c r="H22" i="58"/>
  <c r="H18" i="58"/>
  <c r="H19" i="58"/>
  <c r="H20" i="58"/>
  <c r="H21" i="58"/>
  <c r="H17" i="58"/>
  <c r="H9" i="58"/>
  <c r="H10" i="58"/>
  <c r="H11" i="58"/>
  <c r="H12" i="58"/>
  <c r="H13" i="58"/>
  <c r="H14" i="58"/>
  <c r="H15" i="58"/>
  <c r="H16" i="58"/>
  <c r="H8" i="58"/>
  <c r="H25" i="57"/>
  <c r="H21" i="57"/>
  <c r="H22" i="57"/>
  <c r="H23" i="57"/>
  <c r="H24" i="57"/>
  <c r="H20" i="57"/>
  <c r="H16" i="57"/>
  <c r="H17" i="57"/>
  <c r="H18" i="57"/>
  <c r="H19" i="57"/>
  <c r="H15" i="57"/>
  <c r="H14" i="57"/>
  <c r="H9" i="57"/>
  <c r="H10" i="57"/>
  <c r="H11" i="57"/>
  <c r="H12" i="57"/>
  <c r="H13" i="57"/>
  <c r="H8" i="57"/>
  <c r="Q43" i="74" l="1"/>
  <c r="Q46" i="76" s="1"/>
  <c r="Q49" i="77" s="1"/>
  <c r="H37" i="60"/>
  <c r="H26" i="56"/>
  <c r="H27" i="56"/>
  <c r="H28" i="56"/>
  <c r="H29" i="56"/>
  <c r="H30" i="56"/>
  <c r="H25" i="56"/>
  <c r="H24" i="56"/>
  <c r="H23" i="56"/>
  <c r="H15" i="56"/>
  <c r="H16" i="56"/>
  <c r="H17" i="56"/>
  <c r="H18" i="56"/>
  <c r="H19" i="56"/>
  <c r="H20" i="56"/>
  <c r="H21" i="56"/>
  <c r="H22" i="56"/>
  <c r="H14" i="56"/>
  <c r="H13" i="56"/>
  <c r="H10" i="56"/>
  <c r="H11" i="56"/>
  <c r="H12" i="56"/>
  <c r="H9" i="56"/>
  <c r="H8" i="56"/>
  <c r="Q40" i="55"/>
  <c r="Q42" i="55" s="1"/>
  <c r="O37" i="55"/>
  <c r="G44" i="56" l="1"/>
  <c r="J44" i="56"/>
  <c r="O30" i="56"/>
  <c r="Q30" i="56"/>
  <c r="O29" i="56"/>
  <c r="Q29" i="56" s="1"/>
  <c r="J12" i="60"/>
  <c r="J37" i="60" s="1"/>
  <c r="O27" i="58"/>
  <c r="Q27" i="58" s="1"/>
  <c r="O36" i="60"/>
  <c r="O33" i="60"/>
  <c r="O32" i="60"/>
  <c r="O31" i="60"/>
  <c r="O30" i="60"/>
  <c r="Q30" i="60" s="1"/>
  <c r="O29" i="60"/>
  <c r="Q29" i="60" s="1"/>
  <c r="O28" i="60"/>
  <c r="Q28" i="60" s="1"/>
  <c r="O27" i="60"/>
  <c r="Q27" i="60" s="1"/>
  <c r="O26" i="60"/>
  <c r="Q26" i="60" s="1"/>
  <c r="O25" i="60"/>
  <c r="Q25" i="60" s="1"/>
  <c r="O24" i="60"/>
  <c r="Q24" i="60" s="1"/>
  <c r="O23" i="60"/>
  <c r="Q23" i="60" s="1"/>
  <c r="O22" i="60"/>
  <c r="Q22" i="60" s="1"/>
  <c r="O21" i="60"/>
  <c r="Q21" i="60" s="1"/>
  <c r="O20" i="60"/>
  <c r="Q20" i="60" s="1"/>
  <c r="O19" i="60"/>
  <c r="Q19" i="60" s="1"/>
  <c r="O18" i="60"/>
  <c r="Q18" i="60" s="1"/>
  <c r="O17" i="60"/>
  <c r="Q17" i="60" s="1"/>
  <c r="O16" i="60"/>
  <c r="Q16" i="60" s="1"/>
  <c r="O15" i="60"/>
  <c r="Q15" i="60" s="1"/>
  <c r="O14" i="60"/>
  <c r="Q14" i="60" s="1"/>
  <c r="O13" i="60"/>
  <c r="Q13" i="60" s="1"/>
  <c r="O11" i="60"/>
  <c r="Q11" i="60" s="1"/>
  <c r="O10" i="60"/>
  <c r="Q10" i="60" s="1"/>
  <c r="O9" i="60"/>
  <c r="Q9" i="60" s="1"/>
  <c r="O8" i="60"/>
  <c r="O27" i="59"/>
  <c r="O28" i="59"/>
  <c r="Q28" i="59" s="1"/>
  <c r="O29" i="59"/>
  <c r="Q29" i="59" s="1"/>
  <c r="O30" i="59"/>
  <c r="Q30" i="59" s="1"/>
  <c r="Q27" i="59"/>
  <c r="P40" i="59"/>
  <c r="N40" i="59"/>
  <c r="M40" i="59"/>
  <c r="L40" i="59"/>
  <c r="K40" i="59"/>
  <c r="J40" i="59"/>
  <c r="I40" i="59"/>
  <c r="G40" i="59"/>
  <c r="O39" i="59"/>
  <c r="O38" i="59"/>
  <c r="O37" i="59"/>
  <c r="O36" i="59"/>
  <c r="O35" i="59"/>
  <c r="O34" i="59"/>
  <c r="O33" i="59"/>
  <c r="O32" i="59"/>
  <c r="O31" i="59"/>
  <c r="O26" i="59"/>
  <c r="Q26" i="59" s="1"/>
  <c r="O25" i="59"/>
  <c r="Q25" i="59" s="1"/>
  <c r="O24" i="59"/>
  <c r="Q24" i="59" s="1"/>
  <c r="O23" i="59"/>
  <c r="Q23" i="59" s="1"/>
  <c r="O22" i="59"/>
  <c r="Q22" i="59" s="1"/>
  <c r="O21" i="59"/>
  <c r="Q21" i="59" s="1"/>
  <c r="O20" i="59"/>
  <c r="Q20" i="59" s="1"/>
  <c r="O19" i="59"/>
  <c r="Q19" i="59" s="1"/>
  <c r="Q18" i="59"/>
  <c r="O18" i="59"/>
  <c r="O17" i="59"/>
  <c r="Q17" i="59" s="1"/>
  <c r="O16" i="59"/>
  <c r="Q16" i="59" s="1"/>
  <c r="O15" i="59"/>
  <c r="Q15" i="59" s="1"/>
  <c r="O14" i="59"/>
  <c r="Q14" i="59" s="1"/>
  <c r="O13" i="59"/>
  <c r="Q13" i="59" s="1"/>
  <c r="Q12" i="59"/>
  <c r="O12" i="59"/>
  <c r="O11" i="59"/>
  <c r="Q11" i="59" s="1"/>
  <c r="O10" i="59"/>
  <c r="Q10" i="59" s="1"/>
  <c r="O9" i="59"/>
  <c r="Q9" i="59" s="1"/>
  <c r="O8" i="59"/>
  <c r="Q8" i="59" s="1"/>
  <c r="N40" i="58"/>
  <c r="M40" i="58"/>
  <c r="L40" i="58"/>
  <c r="K40" i="58"/>
  <c r="J40" i="58"/>
  <c r="I40" i="58"/>
  <c r="H40" i="58"/>
  <c r="G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6" i="58"/>
  <c r="Q26" i="58" s="1"/>
  <c r="O25" i="58"/>
  <c r="Q25" i="58" s="1"/>
  <c r="O24" i="58"/>
  <c r="Q24" i="58" s="1"/>
  <c r="O23" i="58"/>
  <c r="Q23" i="58" s="1"/>
  <c r="O22" i="58"/>
  <c r="Q22" i="58" s="1"/>
  <c r="O21" i="58"/>
  <c r="Q21" i="58" s="1"/>
  <c r="O20" i="58"/>
  <c r="Q20" i="58" s="1"/>
  <c r="O19" i="58"/>
  <c r="Q19" i="58" s="1"/>
  <c r="O18" i="58"/>
  <c r="Q18" i="58" s="1"/>
  <c r="O17" i="58"/>
  <c r="Q17" i="58" s="1"/>
  <c r="O16" i="58"/>
  <c r="Q16" i="58" s="1"/>
  <c r="O15" i="58"/>
  <c r="Q15" i="58" s="1"/>
  <c r="O14" i="58"/>
  <c r="Q14" i="58" s="1"/>
  <c r="O13" i="58"/>
  <c r="Q13" i="58" s="1"/>
  <c r="O12" i="58"/>
  <c r="Q12" i="58" s="1"/>
  <c r="O11" i="58"/>
  <c r="Q11" i="58" s="1"/>
  <c r="O10" i="58"/>
  <c r="Q10" i="58" s="1"/>
  <c r="O9" i="58"/>
  <c r="Q9" i="58" s="1"/>
  <c r="O8" i="58"/>
  <c r="Q8" i="58" s="1"/>
  <c r="L37" i="56"/>
  <c r="O37" i="56" s="1"/>
  <c r="P42" i="57"/>
  <c r="N42" i="57"/>
  <c r="M42" i="57"/>
  <c r="L42" i="57"/>
  <c r="K42" i="57"/>
  <c r="J42" i="57"/>
  <c r="I42" i="57"/>
  <c r="G42" i="57"/>
  <c r="O41" i="57"/>
  <c r="O37" i="57"/>
  <c r="O36" i="57"/>
  <c r="O35" i="57"/>
  <c r="O34" i="57"/>
  <c r="O33" i="57"/>
  <c r="O32" i="57"/>
  <c r="O31" i="57"/>
  <c r="O30" i="57"/>
  <c r="O29" i="57"/>
  <c r="O28" i="57"/>
  <c r="O27" i="57"/>
  <c r="O25" i="57"/>
  <c r="Q25" i="57" s="1"/>
  <c r="O24" i="57"/>
  <c r="Q24" i="57" s="1"/>
  <c r="O23" i="57"/>
  <c r="Q23" i="57" s="1"/>
  <c r="O22" i="57"/>
  <c r="Q22" i="57" s="1"/>
  <c r="O21" i="57"/>
  <c r="Q21" i="57" s="1"/>
  <c r="O20" i="57"/>
  <c r="Q20" i="57" s="1"/>
  <c r="O19" i="57"/>
  <c r="Q19" i="57" s="1"/>
  <c r="O18" i="57"/>
  <c r="Q18" i="57" s="1"/>
  <c r="O17" i="57"/>
  <c r="Q17" i="57" s="1"/>
  <c r="O16" i="57"/>
  <c r="Q16" i="57" s="1"/>
  <c r="O15" i="57"/>
  <c r="Q15" i="57" s="1"/>
  <c r="O14" i="57"/>
  <c r="Q14" i="57" s="1"/>
  <c r="O13" i="57"/>
  <c r="Q13" i="57" s="1"/>
  <c r="O12" i="57"/>
  <c r="Q12" i="57" s="1"/>
  <c r="O11" i="57"/>
  <c r="Q11" i="57" s="1"/>
  <c r="O10" i="57"/>
  <c r="Q10" i="57" s="1"/>
  <c r="O9" i="57"/>
  <c r="Q9" i="57" s="1"/>
  <c r="O8" i="57"/>
  <c r="H17" i="55"/>
  <c r="P40" i="55"/>
  <c r="O32" i="56"/>
  <c r="O33" i="56"/>
  <c r="O34" i="56"/>
  <c r="O35" i="56"/>
  <c r="O36" i="56"/>
  <c r="O38" i="56"/>
  <c r="O39" i="56"/>
  <c r="O40" i="56"/>
  <c r="O41" i="56"/>
  <c r="O42" i="56"/>
  <c r="O43" i="56"/>
  <c r="O31" i="56"/>
  <c r="Q8" i="60" l="1"/>
  <c r="O12" i="60"/>
  <c r="Q12" i="60" s="1"/>
  <c r="O40" i="59"/>
  <c r="O40" i="58"/>
  <c r="Q40" i="58" s="1"/>
  <c r="Q8" i="57"/>
  <c r="O42" i="57"/>
  <c r="Q42" i="57" s="1"/>
  <c r="H42" i="57"/>
  <c r="O10" i="56"/>
  <c r="Q10" i="56" s="1"/>
  <c r="O13" i="56"/>
  <c r="Q13" i="56" s="1"/>
  <c r="O8" i="56"/>
  <c r="O32" i="55"/>
  <c r="O33" i="55"/>
  <c r="O34" i="55"/>
  <c r="O35" i="55"/>
  <c r="P44" i="56"/>
  <c r="N44" i="56"/>
  <c r="M44" i="56"/>
  <c r="L44" i="56"/>
  <c r="K44" i="56"/>
  <c r="I44" i="56"/>
  <c r="O28" i="56"/>
  <c r="Q28" i="56" s="1"/>
  <c r="O27" i="56"/>
  <c r="Q27" i="56" s="1"/>
  <c r="O26" i="56"/>
  <c r="Q26" i="56" s="1"/>
  <c r="O25" i="56"/>
  <c r="Q25" i="56" s="1"/>
  <c r="O24" i="56"/>
  <c r="Q24" i="56" s="1"/>
  <c r="O23" i="56"/>
  <c r="Q23" i="56" s="1"/>
  <c r="O22" i="56"/>
  <c r="Q22" i="56" s="1"/>
  <c r="O21" i="56"/>
  <c r="Q21" i="56" s="1"/>
  <c r="O20" i="56"/>
  <c r="Q20" i="56" s="1"/>
  <c r="O19" i="56"/>
  <c r="Q19" i="56" s="1"/>
  <c r="O18" i="56"/>
  <c r="Q18" i="56" s="1"/>
  <c r="O17" i="56"/>
  <c r="Q17" i="56" s="1"/>
  <c r="O16" i="56"/>
  <c r="Q16" i="56" s="1"/>
  <c r="O15" i="56"/>
  <c r="Q15" i="56" s="1"/>
  <c r="O14" i="56"/>
  <c r="Q14" i="56" s="1"/>
  <c r="O12" i="56"/>
  <c r="Q12" i="56" s="1"/>
  <c r="O11" i="56"/>
  <c r="Q11" i="56" s="1"/>
  <c r="O9" i="56"/>
  <c r="Q9" i="56" s="1"/>
  <c r="H25" i="55"/>
  <c r="H26" i="55"/>
  <c r="H27" i="55"/>
  <c r="H28" i="55"/>
  <c r="H29" i="55"/>
  <c r="O29" i="55" s="1"/>
  <c r="Q29" i="55" s="1"/>
  <c r="H30" i="55"/>
  <c r="H24" i="55"/>
  <c r="H23" i="55"/>
  <c r="H22" i="55"/>
  <c r="H20" i="55"/>
  <c r="H21" i="55"/>
  <c r="H19" i="55"/>
  <c r="H18" i="55"/>
  <c r="H9" i="55"/>
  <c r="H10" i="55"/>
  <c r="H11" i="55"/>
  <c r="H12" i="55"/>
  <c r="H13" i="55"/>
  <c r="H14" i="55"/>
  <c r="H15" i="55"/>
  <c r="H16" i="55"/>
  <c r="H8" i="55"/>
  <c r="O39" i="54"/>
  <c r="O30" i="55"/>
  <c r="Q30" i="55"/>
  <c r="Q39" i="60" l="1"/>
  <c r="Q43" i="61" s="1"/>
  <c r="Q41" i="62" s="1"/>
  <c r="Q50" i="63" s="1"/>
  <c r="Q44" i="64" s="1"/>
  <c r="O44" i="56"/>
  <c r="Q44" i="56" s="1"/>
  <c r="H44" i="56"/>
  <c r="Q8" i="56"/>
  <c r="O28" i="55"/>
  <c r="Q28" i="55" s="1"/>
  <c r="O27" i="55"/>
  <c r="Q27" i="55" s="1"/>
  <c r="O26" i="55"/>
  <c r="Q26" i="55" s="1"/>
  <c r="J9" i="55"/>
  <c r="O9" i="55" s="1"/>
  <c r="Q9" i="55" s="1"/>
  <c r="M40" i="55"/>
  <c r="K40" i="55"/>
  <c r="J40" i="55"/>
  <c r="I40" i="55"/>
  <c r="H40" i="55"/>
  <c r="G40" i="55"/>
  <c r="O39" i="55"/>
  <c r="O38" i="55"/>
  <c r="O36" i="55"/>
  <c r="N40" i="55"/>
  <c r="L40" i="55"/>
  <c r="O25" i="55"/>
  <c r="Q25" i="55" s="1"/>
  <c r="O24" i="55"/>
  <c r="Q24" i="55" s="1"/>
  <c r="O23" i="55"/>
  <c r="Q23" i="55" s="1"/>
  <c r="O22" i="55"/>
  <c r="Q22" i="55" s="1"/>
  <c r="O21" i="55"/>
  <c r="Q21" i="55" s="1"/>
  <c r="O20" i="55"/>
  <c r="Q20" i="55" s="1"/>
  <c r="O19" i="55"/>
  <c r="Q19" i="55" s="1"/>
  <c r="O18" i="55"/>
  <c r="Q18" i="55" s="1"/>
  <c r="O17" i="55"/>
  <c r="Q17" i="55" s="1"/>
  <c r="O16" i="55"/>
  <c r="Q16" i="55" s="1"/>
  <c r="O15" i="55"/>
  <c r="Q15" i="55" s="1"/>
  <c r="O14" i="55"/>
  <c r="Q14" i="55" s="1"/>
  <c r="O13" i="55"/>
  <c r="Q13" i="55" s="1"/>
  <c r="O12" i="55"/>
  <c r="Q12" i="55" s="1"/>
  <c r="O11" i="55"/>
  <c r="Q11" i="55" s="1"/>
  <c r="O10" i="55"/>
  <c r="Q10" i="55" s="1"/>
  <c r="O8" i="55"/>
  <c r="Q8" i="55" s="1"/>
  <c r="P43" i="54"/>
  <c r="K25" i="53"/>
  <c r="Q44" i="57" l="1"/>
  <c r="Q42" i="58" s="1"/>
  <c r="Q42" i="59" s="1"/>
  <c r="O40" i="55"/>
  <c r="O38" i="54"/>
  <c r="O37" i="54"/>
  <c r="O36" i="54"/>
  <c r="N33" i="54"/>
  <c r="N43" i="54" s="1"/>
  <c r="L28" i="54"/>
  <c r="O27" i="54"/>
  <c r="H23" i="54"/>
  <c r="O23" i="54" s="1"/>
  <c r="Q23" i="54" s="1"/>
  <c r="H19" i="54"/>
  <c r="H18" i="54"/>
  <c r="H25" i="54"/>
  <c r="H24" i="54"/>
  <c r="O24" i="54" s="1"/>
  <c r="Q24" i="54" s="1"/>
  <c r="H20" i="54"/>
  <c r="O20" i="54" s="1"/>
  <c r="Q20" i="54" s="1"/>
  <c r="H21" i="54"/>
  <c r="O21" i="54" s="1"/>
  <c r="Q21" i="54" s="1"/>
  <c r="H22" i="54"/>
  <c r="O22" i="54" s="1"/>
  <c r="Q22" i="54" s="1"/>
  <c r="H15" i="54"/>
  <c r="O15" i="54" s="1"/>
  <c r="Q15" i="54" s="1"/>
  <c r="H16" i="54"/>
  <c r="O16" i="54" s="1"/>
  <c r="Q16" i="54" s="1"/>
  <c r="H17" i="54"/>
  <c r="H14" i="54"/>
  <c r="O14" i="54" s="1"/>
  <c r="Q14" i="54" s="1"/>
  <c r="H13" i="54"/>
  <c r="O13" i="54" s="1"/>
  <c r="Q13" i="54" s="1"/>
  <c r="H9" i="54"/>
  <c r="O9" i="54" s="1"/>
  <c r="Q9" i="54" s="1"/>
  <c r="H10" i="54"/>
  <c r="H11" i="54"/>
  <c r="H12" i="54"/>
  <c r="O12" i="54" s="1"/>
  <c r="Q12" i="54" s="1"/>
  <c r="H8" i="54"/>
  <c r="O8" i="54" s="1"/>
  <c r="Q8" i="54" s="1"/>
  <c r="O17" i="54"/>
  <c r="Q17" i="54" s="1"/>
  <c r="O19" i="54"/>
  <c r="Q19" i="54" s="1"/>
  <c r="O25" i="54"/>
  <c r="Q25" i="54" s="1"/>
  <c r="M43" i="54"/>
  <c r="L43" i="54"/>
  <c r="J43" i="54"/>
  <c r="I43" i="54"/>
  <c r="G43" i="54"/>
  <c r="O42" i="54"/>
  <c r="K43" i="54"/>
  <c r="O40" i="54"/>
  <c r="O35" i="54"/>
  <c r="O34" i="54"/>
  <c r="O33" i="54"/>
  <c r="O32" i="54"/>
  <c r="O31" i="54"/>
  <c r="O30" i="54"/>
  <c r="O29" i="54"/>
  <c r="O28" i="54"/>
  <c r="O11" i="54"/>
  <c r="Q11" i="54" s="1"/>
  <c r="O10" i="54"/>
  <c r="Q10" i="54" s="1"/>
  <c r="P27" i="53"/>
  <c r="N27" i="53"/>
  <c r="M27" i="53"/>
  <c r="L27" i="53"/>
  <c r="J27" i="53"/>
  <c r="I27" i="53"/>
  <c r="G27" i="53"/>
  <c r="O26" i="53"/>
  <c r="O25" i="53"/>
  <c r="O24" i="53"/>
  <c r="O23" i="53"/>
  <c r="O22" i="53"/>
  <c r="O21" i="53"/>
  <c r="O20" i="53"/>
  <c r="O19" i="53"/>
  <c r="O18" i="53"/>
  <c r="O17" i="53"/>
  <c r="O16" i="53"/>
  <c r="H14" i="53"/>
  <c r="O14" i="53" s="1"/>
  <c r="Q14" i="53" s="1"/>
  <c r="H13" i="53"/>
  <c r="O13" i="53" s="1"/>
  <c r="Q13" i="53" s="1"/>
  <c r="H12" i="53"/>
  <c r="O12" i="53" s="1"/>
  <c r="Q12" i="53" s="1"/>
  <c r="H11" i="53"/>
  <c r="O11" i="53" s="1"/>
  <c r="Q11" i="53" s="1"/>
  <c r="H10" i="53"/>
  <c r="O10" i="53" s="1"/>
  <c r="Q10" i="53" s="1"/>
  <c r="H9" i="53"/>
  <c r="O9" i="53" s="1"/>
  <c r="Q9" i="53" s="1"/>
  <c r="H8" i="53"/>
  <c r="O8" i="53" s="1"/>
  <c r="Q45" i="50"/>
  <c r="Q46" i="56" l="1"/>
  <c r="O41" i="54"/>
  <c r="H43" i="54"/>
  <c r="O18" i="54"/>
  <c r="Q18" i="54" s="1"/>
  <c r="K27" i="53"/>
  <c r="O27" i="53"/>
  <c r="Q27" i="53" s="1"/>
  <c r="Q29" i="53" s="1"/>
  <c r="Q8" i="53"/>
  <c r="H27" i="53"/>
  <c r="O43" i="54" l="1"/>
  <c r="Q43" i="54" s="1"/>
  <c r="Q45" i="54" s="1"/>
  <c r="O49" i="52"/>
  <c r="H19" i="49" l="1"/>
  <c r="H14" i="52"/>
  <c r="O38" i="51"/>
  <c r="H24" i="52"/>
  <c r="O24" i="52"/>
  <c r="Q24" i="52" s="1"/>
  <c r="P51" i="52"/>
  <c r="O46" i="52"/>
  <c r="O47" i="52"/>
  <c r="L51" i="52" l="1"/>
  <c r="O40" i="52"/>
  <c r="O41" i="52"/>
  <c r="O42" i="52"/>
  <c r="O43" i="52"/>
  <c r="O44" i="52"/>
  <c r="O45" i="52"/>
  <c r="H29" i="52"/>
  <c r="O29" i="52" s="1"/>
  <c r="Q29" i="52" s="1"/>
  <c r="H22" i="52"/>
  <c r="H23" i="52"/>
  <c r="H25" i="52"/>
  <c r="H26" i="52"/>
  <c r="H27" i="52"/>
  <c r="H28" i="52"/>
  <c r="H21" i="52"/>
  <c r="H15" i="52"/>
  <c r="H16" i="52"/>
  <c r="H17" i="52"/>
  <c r="H18" i="52"/>
  <c r="H19" i="52"/>
  <c r="H20" i="52"/>
  <c r="H9" i="52"/>
  <c r="H10" i="52"/>
  <c r="H11" i="52"/>
  <c r="H12" i="52"/>
  <c r="H13" i="52"/>
  <c r="H8" i="52"/>
  <c r="N51" i="52" l="1"/>
  <c r="M51" i="52"/>
  <c r="K51" i="52"/>
  <c r="J51" i="52"/>
  <c r="I51" i="52"/>
  <c r="G51" i="52"/>
  <c r="O50" i="52"/>
  <c r="O48" i="52"/>
  <c r="O39" i="52"/>
  <c r="O38" i="52"/>
  <c r="O37" i="52"/>
  <c r="O36" i="52"/>
  <c r="O35" i="52"/>
  <c r="O34" i="52"/>
  <c r="O33" i="52"/>
  <c r="O32" i="52"/>
  <c r="O31" i="52"/>
  <c r="O30" i="52"/>
  <c r="O28" i="52"/>
  <c r="Q28" i="52" s="1"/>
  <c r="O27" i="52"/>
  <c r="Q27" i="52" s="1"/>
  <c r="O26" i="52"/>
  <c r="Q26" i="52" s="1"/>
  <c r="O25" i="52"/>
  <c r="Q25" i="52" s="1"/>
  <c r="O23" i="52"/>
  <c r="Q23" i="52" s="1"/>
  <c r="O22" i="52"/>
  <c r="Q22" i="52" s="1"/>
  <c r="O21" i="52"/>
  <c r="Q21" i="52" s="1"/>
  <c r="O20" i="52"/>
  <c r="Q20" i="52" s="1"/>
  <c r="O19" i="52"/>
  <c r="Q19" i="52" s="1"/>
  <c r="O18" i="52"/>
  <c r="Q18" i="52" s="1"/>
  <c r="O17" i="52"/>
  <c r="Q17" i="52" s="1"/>
  <c r="O16" i="52"/>
  <c r="Q16" i="52" s="1"/>
  <c r="O15" i="52"/>
  <c r="Q15" i="52" s="1"/>
  <c r="O14" i="52"/>
  <c r="Q14" i="52" s="1"/>
  <c r="O13" i="52"/>
  <c r="Q13" i="52" s="1"/>
  <c r="O12" i="52"/>
  <c r="Q12" i="52" s="1"/>
  <c r="O11" i="52"/>
  <c r="Q11" i="52" s="1"/>
  <c r="O10" i="52"/>
  <c r="Q10" i="52" s="1"/>
  <c r="O9" i="52"/>
  <c r="Q9" i="52" s="1"/>
  <c r="O8" i="52"/>
  <c r="O39" i="49"/>
  <c r="O39" i="50"/>
  <c r="O38" i="50"/>
  <c r="O33" i="51"/>
  <c r="O34" i="51"/>
  <c r="O35" i="51"/>
  <c r="O36" i="51"/>
  <c r="O37" i="51"/>
  <c r="O29" i="51"/>
  <c r="H22" i="51"/>
  <c r="H23" i="51"/>
  <c r="H24" i="51"/>
  <c r="H25" i="51"/>
  <c r="H26" i="51"/>
  <c r="H27" i="51"/>
  <c r="H21" i="51"/>
  <c r="H15" i="51"/>
  <c r="H16" i="51"/>
  <c r="H17" i="51"/>
  <c r="H18" i="51"/>
  <c r="H19" i="51"/>
  <c r="H20" i="51"/>
  <c r="H14" i="51"/>
  <c r="H9" i="51"/>
  <c r="H10" i="51"/>
  <c r="H11" i="51"/>
  <c r="H12" i="51"/>
  <c r="H13" i="51"/>
  <c r="H8" i="51"/>
  <c r="G26" i="50"/>
  <c r="H26" i="50" s="1"/>
  <c r="L28" i="50"/>
  <c r="H8" i="50"/>
  <c r="H25" i="50"/>
  <c r="H22" i="50"/>
  <c r="H23" i="50"/>
  <c r="H24" i="50"/>
  <c r="H21" i="50"/>
  <c r="H14" i="50"/>
  <c r="H15" i="50"/>
  <c r="H16" i="50"/>
  <c r="H17" i="50"/>
  <c r="H18" i="50"/>
  <c r="H19" i="50"/>
  <c r="H20" i="50"/>
  <c r="H13" i="50"/>
  <c r="H9" i="50"/>
  <c r="H10" i="50"/>
  <c r="H11" i="50"/>
  <c r="H12" i="50"/>
  <c r="H21" i="49"/>
  <c r="H22" i="49"/>
  <c r="H23" i="49"/>
  <c r="H24" i="49"/>
  <c r="H25" i="49"/>
  <c r="H20" i="49"/>
  <c r="H15" i="49"/>
  <c r="H16" i="49"/>
  <c r="H17" i="49"/>
  <c r="H18" i="49"/>
  <c r="H14" i="49"/>
  <c r="H9" i="49"/>
  <c r="H10" i="49"/>
  <c r="H11" i="49"/>
  <c r="H12" i="49"/>
  <c r="H13" i="49"/>
  <c r="H8" i="49"/>
  <c r="O51" i="52" l="1"/>
  <c r="Q51" i="52" s="1"/>
  <c r="Q8" i="52"/>
  <c r="H51" i="52"/>
  <c r="H43" i="50"/>
  <c r="J24" i="50"/>
  <c r="J9" i="49" l="1"/>
  <c r="J43" i="49" s="1"/>
  <c r="O27" i="51"/>
  <c r="Q27" i="51" s="1"/>
  <c r="P42" i="51"/>
  <c r="N42" i="51"/>
  <c r="M42" i="51"/>
  <c r="L42" i="51"/>
  <c r="K42" i="51"/>
  <c r="J42" i="51"/>
  <c r="I42" i="51"/>
  <c r="G42" i="51"/>
  <c r="O41" i="51"/>
  <c r="O40" i="51"/>
  <c r="O39" i="51"/>
  <c r="O32" i="51"/>
  <c r="O31" i="51"/>
  <c r="O30" i="51"/>
  <c r="O26" i="51"/>
  <c r="Q26" i="51" s="1"/>
  <c r="O25" i="51"/>
  <c r="Q25" i="51" s="1"/>
  <c r="O24" i="51"/>
  <c r="Q24" i="51" s="1"/>
  <c r="O23" i="51"/>
  <c r="Q23" i="51" s="1"/>
  <c r="O22" i="51"/>
  <c r="Q22" i="51" s="1"/>
  <c r="O21" i="51"/>
  <c r="Q21" i="51" s="1"/>
  <c r="O20" i="51"/>
  <c r="Q20" i="51" s="1"/>
  <c r="O19" i="51"/>
  <c r="Q19" i="51" s="1"/>
  <c r="O18" i="51"/>
  <c r="Q18" i="51" s="1"/>
  <c r="O17" i="51"/>
  <c r="Q17" i="51" s="1"/>
  <c r="O16" i="51"/>
  <c r="Q16" i="51" s="1"/>
  <c r="O15" i="51"/>
  <c r="Q15" i="51" s="1"/>
  <c r="O13" i="51"/>
  <c r="Q13" i="51" s="1"/>
  <c r="O12" i="51"/>
  <c r="Q12" i="51" s="1"/>
  <c r="O11" i="51"/>
  <c r="Q11" i="51" s="1"/>
  <c r="O10" i="51"/>
  <c r="Q10" i="51" s="1"/>
  <c r="O9" i="51"/>
  <c r="Q9" i="51" s="1"/>
  <c r="O8" i="51"/>
  <c r="Q8" i="51" s="1"/>
  <c r="O26" i="50"/>
  <c r="Q26" i="50" s="1"/>
  <c r="P43" i="50"/>
  <c r="N43" i="50"/>
  <c r="M43" i="50"/>
  <c r="L43" i="50"/>
  <c r="K43" i="50"/>
  <c r="J43" i="50"/>
  <c r="I43" i="50"/>
  <c r="G43" i="50"/>
  <c r="O42" i="50"/>
  <c r="O41" i="50"/>
  <c r="O40" i="50"/>
  <c r="O37" i="50"/>
  <c r="O36" i="50"/>
  <c r="O35" i="50"/>
  <c r="O34" i="50"/>
  <c r="O33" i="50"/>
  <c r="O32" i="50"/>
  <c r="O31" i="50"/>
  <c r="O30" i="50"/>
  <c r="O29" i="50"/>
  <c r="O28" i="50"/>
  <c r="O27" i="50"/>
  <c r="O25" i="50"/>
  <c r="Q25" i="50" s="1"/>
  <c r="O24" i="50"/>
  <c r="Q24" i="50" s="1"/>
  <c r="O23" i="50"/>
  <c r="Q23" i="50" s="1"/>
  <c r="O22" i="50"/>
  <c r="Q22" i="50" s="1"/>
  <c r="O21" i="50"/>
  <c r="Q21" i="50" s="1"/>
  <c r="O20" i="50"/>
  <c r="Q20" i="50" s="1"/>
  <c r="O19" i="50"/>
  <c r="Q19" i="50" s="1"/>
  <c r="O18" i="50"/>
  <c r="Q18" i="50" s="1"/>
  <c r="O17" i="50"/>
  <c r="Q17" i="50" s="1"/>
  <c r="O16" i="50"/>
  <c r="Q16" i="50" s="1"/>
  <c r="O15" i="50"/>
  <c r="Q15" i="50" s="1"/>
  <c r="O14" i="50"/>
  <c r="Q14" i="50" s="1"/>
  <c r="O13" i="50"/>
  <c r="Q13" i="50" s="1"/>
  <c r="O12" i="50"/>
  <c r="Q12" i="50" s="1"/>
  <c r="O11" i="50"/>
  <c r="Q11" i="50" s="1"/>
  <c r="O10" i="50"/>
  <c r="Q10" i="50" s="1"/>
  <c r="O9" i="50"/>
  <c r="Q9" i="50" s="1"/>
  <c r="O8" i="50"/>
  <c r="Q8" i="50" s="1"/>
  <c r="P43" i="49"/>
  <c r="N43" i="49"/>
  <c r="M43" i="49"/>
  <c r="L43" i="49"/>
  <c r="K43" i="49"/>
  <c r="I43" i="49"/>
  <c r="G43" i="49"/>
  <c r="O42" i="49"/>
  <c r="O41" i="49"/>
  <c r="O40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5" i="49"/>
  <c r="Q25" i="49" s="1"/>
  <c r="O24" i="49"/>
  <c r="Q24" i="49" s="1"/>
  <c r="O23" i="49"/>
  <c r="Q23" i="49" s="1"/>
  <c r="O22" i="49"/>
  <c r="Q22" i="49" s="1"/>
  <c r="O21" i="49"/>
  <c r="Q21" i="49" s="1"/>
  <c r="O20" i="49"/>
  <c r="Q20" i="49" s="1"/>
  <c r="O19" i="49"/>
  <c r="Q19" i="49" s="1"/>
  <c r="O18" i="49"/>
  <c r="Q18" i="49" s="1"/>
  <c r="O17" i="49"/>
  <c r="Q17" i="49" s="1"/>
  <c r="O16" i="49"/>
  <c r="Q16" i="49" s="1"/>
  <c r="O15" i="49"/>
  <c r="Q15" i="49" s="1"/>
  <c r="O14" i="49"/>
  <c r="Q14" i="49" s="1"/>
  <c r="O13" i="49"/>
  <c r="Q13" i="49" s="1"/>
  <c r="O12" i="49"/>
  <c r="Q12" i="49" s="1"/>
  <c r="O11" i="49"/>
  <c r="Q11" i="49" s="1"/>
  <c r="O10" i="49"/>
  <c r="Q10" i="49" s="1"/>
  <c r="H43" i="49"/>
  <c r="O32" i="47"/>
  <c r="O35" i="47" s="1"/>
  <c r="O41" i="46"/>
  <c r="H46" i="48"/>
  <c r="L46" i="48"/>
  <c r="O34" i="45"/>
  <c r="P35" i="47"/>
  <c r="Q26" i="47"/>
  <c r="O40" i="46"/>
  <c r="H12" i="47"/>
  <c r="H35" i="47" s="1"/>
  <c r="H13" i="47"/>
  <c r="H25" i="48"/>
  <c r="H26" i="48"/>
  <c r="H27" i="48"/>
  <c r="H24" i="48"/>
  <c r="H17" i="48"/>
  <c r="H18" i="48"/>
  <c r="H19" i="48"/>
  <c r="H20" i="48"/>
  <c r="H21" i="48"/>
  <c r="H22" i="48"/>
  <c r="H23" i="48"/>
  <c r="H16" i="48"/>
  <c r="H9" i="48"/>
  <c r="H10" i="48"/>
  <c r="H11" i="48"/>
  <c r="H12" i="48"/>
  <c r="H13" i="48"/>
  <c r="H14" i="48"/>
  <c r="H15" i="48"/>
  <c r="H8" i="48"/>
  <c r="H26" i="47"/>
  <c r="H21" i="47"/>
  <c r="H22" i="47"/>
  <c r="H23" i="47"/>
  <c r="H24" i="47"/>
  <c r="H25" i="47"/>
  <c r="H20" i="47"/>
  <c r="H18" i="47"/>
  <c r="H19" i="47"/>
  <c r="H15" i="47"/>
  <c r="H16" i="47"/>
  <c r="H17" i="47"/>
  <c r="H14" i="47"/>
  <c r="H9" i="47"/>
  <c r="H10" i="47"/>
  <c r="H11" i="47"/>
  <c r="H8" i="47"/>
  <c r="H25" i="46"/>
  <c r="H23" i="46"/>
  <c r="H24" i="46"/>
  <c r="H22" i="46"/>
  <c r="H20" i="46"/>
  <c r="H21" i="46"/>
  <c r="H19" i="46"/>
  <c r="H13" i="46"/>
  <c r="H14" i="46"/>
  <c r="H15" i="46"/>
  <c r="H16" i="46"/>
  <c r="H17" i="46"/>
  <c r="H18" i="46"/>
  <c r="H12" i="46"/>
  <c r="H9" i="46"/>
  <c r="H10" i="46"/>
  <c r="H11" i="46"/>
  <c r="H8" i="46"/>
  <c r="O43" i="48"/>
  <c r="O9" i="49" l="1"/>
  <c r="Q9" i="49" s="1"/>
  <c r="O43" i="50"/>
  <c r="Q43" i="50" s="1"/>
  <c r="O8" i="49"/>
  <c r="Q35" i="47"/>
  <c r="G37" i="45"/>
  <c r="H24" i="45"/>
  <c r="H25" i="45"/>
  <c r="H26" i="45"/>
  <c r="H27" i="45"/>
  <c r="H28" i="45"/>
  <c r="H23" i="45"/>
  <c r="H22" i="45"/>
  <c r="H15" i="45"/>
  <c r="H16" i="45"/>
  <c r="H17" i="45"/>
  <c r="H18" i="45"/>
  <c r="H19" i="45"/>
  <c r="H20" i="45"/>
  <c r="H21" i="45"/>
  <c r="H14" i="45"/>
  <c r="H9" i="45"/>
  <c r="H10" i="45"/>
  <c r="H11" i="45"/>
  <c r="H12" i="45"/>
  <c r="H13" i="45"/>
  <c r="H8" i="45"/>
  <c r="P46" i="48"/>
  <c r="O30" i="45"/>
  <c r="O31" i="45"/>
  <c r="O32" i="45"/>
  <c r="O33" i="45"/>
  <c r="L44" i="46"/>
  <c r="O37" i="48"/>
  <c r="O38" i="48"/>
  <c r="O39" i="48"/>
  <c r="O40" i="48"/>
  <c r="O41" i="48"/>
  <c r="O42" i="48"/>
  <c r="O36" i="48"/>
  <c r="O35" i="48"/>
  <c r="O34" i="48"/>
  <c r="O44" i="48"/>
  <c r="O45" i="48"/>
  <c r="G46" i="48"/>
  <c r="I46" i="48"/>
  <c r="K46" i="48"/>
  <c r="M46" i="48"/>
  <c r="N46" i="48"/>
  <c r="O27" i="48"/>
  <c r="Q27" i="48" s="1"/>
  <c r="J12" i="48"/>
  <c r="J46" i="48" s="1"/>
  <c r="O33" i="48"/>
  <c r="O32" i="48"/>
  <c r="O31" i="48"/>
  <c r="O30" i="48"/>
  <c r="O29" i="48"/>
  <c r="O26" i="48"/>
  <c r="Q26" i="48" s="1"/>
  <c r="O25" i="48"/>
  <c r="Q25" i="48" s="1"/>
  <c r="O24" i="48"/>
  <c r="Q24" i="48" s="1"/>
  <c r="O23" i="48"/>
  <c r="Q23" i="48" s="1"/>
  <c r="O22" i="48"/>
  <c r="Q22" i="48" s="1"/>
  <c r="O21" i="48"/>
  <c r="Q21" i="48" s="1"/>
  <c r="O20" i="48"/>
  <c r="Q20" i="48" s="1"/>
  <c r="O19" i="48"/>
  <c r="Q19" i="48" s="1"/>
  <c r="O18" i="48"/>
  <c r="Q18" i="48" s="1"/>
  <c r="O17" i="48"/>
  <c r="Q17" i="48" s="1"/>
  <c r="O16" i="48"/>
  <c r="Q16" i="48" s="1"/>
  <c r="O15" i="48"/>
  <c r="Q15" i="48" s="1"/>
  <c r="O14" i="48"/>
  <c r="Q14" i="48" s="1"/>
  <c r="O12" i="48"/>
  <c r="Q12" i="48" s="1"/>
  <c r="O11" i="48"/>
  <c r="Q11" i="48" s="1"/>
  <c r="O10" i="48"/>
  <c r="O9" i="48"/>
  <c r="Q9" i="48" s="1"/>
  <c r="O8" i="48"/>
  <c r="Q8" i="48" s="1"/>
  <c r="O28" i="47"/>
  <c r="O29" i="47"/>
  <c r="O30" i="47"/>
  <c r="O31" i="47"/>
  <c r="O27" i="47"/>
  <c r="M35" i="47"/>
  <c r="P44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N44" i="46"/>
  <c r="M44" i="46"/>
  <c r="K44" i="46"/>
  <c r="J13" i="47"/>
  <c r="J35" i="47" s="1"/>
  <c r="N35" i="47"/>
  <c r="L35" i="47"/>
  <c r="K35" i="47"/>
  <c r="I35" i="47"/>
  <c r="G35" i="47"/>
  <c r="O34" i="47"/>
  <c r="O33" i="47"/>
  <c r="O26" i="47"/>
  <c r="O25" i="47"/>
  <c r="Q25" i="47" s="1"/>
  <c r="O24" i="47"/>
  <c r="Q24" i="47" s="1"/>
  <c r="O23" i="47"/>
  <c r="Q23" i="47" s="1"/>
  <c r="O22" i="47"/>
  <c r="Q22" i="47" s="1"/>
  <c r="O21" i="47"/>
  <c r="Q21" i="47" s="1"/>
  <c r="O20" i="47"/>
  <c r="Q20" i="47" s="1"/>
  <c r="O19" i="47"/>
  <c r="Q19" i="47" s="1"/>
  <c r="O18" i="47"/>
  <c r="Q18" i="47" s="1"/>
  <c r="O17" i="47"/>
  <c r="Q17" i="47" s="1"/>
  <c r="O16" i="47"/>
  <c r="Q16" i="47" s="1"/>
  <c r="O15" i="47"/>
  <c r="Q15" i="47" s="1"/>
  <c r="O14" i="47"/>
  <c r="Q14" i="47" s="1"/>
  <c r="O13" i="47"/>
  <c r="Q13" i="47" s="1"/>
  <c r="O12" i="47"/>
  <c r="Q12" i="47" s="1"/>
  <c r="O11" i="47"/>
  <c r="Q11" i="47" s="1"/>
  <c r="O10" i="47"/>
  <c r="Q10" i="47" s="1"/>
  <c r="O9" i="47"/>
  <c r="Q9" i="47" s="1"/>
  <c r="O8" i="47"/>
  <c r="Q8" i="47" s="1"/>
  <c r="J19" i="46"/>
  <c r="Q8" i="49" l="1"/>
  <c r="O43" i="49"/>
  <c r="Q43" i="49" s="1"/>
  <c r="Q45" i="49" s="1"/>
  <c r="Q10" i="48"/>
  <c r="O46" i="48"/>
  <c r="H37" i="45"/>
  <c r="O13" i="48"/>
  <c r="Q46" i="48" s="1"/>
  <c r="J44" i="46"/>
  <c r="I44" i="46"/>
  <c r="G44" i="46"/>
  <c r="O43" i="46"/>
  <c r="O42" i="46"/>
  <c r="O26" i="46"/>
  <c r="O25" i="46"/>
  <c r="Q25" i="46" s="1"/>
  <c r="O24" i="46"/>
  <c r="Q24" i="46" s="1"/>
  <c r="O23" i="46"/>
  <c r="Q23" i="46" s="1"/>
  <c r="O22" i="46"/>
  <c r="Q22" i="46" s="1"/>
  <c r="O21" i="46"/>
  <c r="Q21" i="46" s="1"/>
  <c r="O20" i="46"/>
  <c r="Q20" i="46" s="1"/>
  <c r="O19" i="46"/>
  <c r="Q19" i="46" s="1"/>
  <c r="O18" i="46"/>
  <c r="Q18" i="46" s="1"/>
  <c r="O17" i="46"/>
  <c r="Q17" i="46" s="1"/>
  <c r="O16" i="46"/>
  <c r="Q16" i="46" s="1"/>
  <c r="O15" i="46"/>
  <c r="Q15" i="46" s="1"/>
  <c r="O14" i="46"/>
  <c r="Q14" i="46" s="1"/>
  <c r="O13" i="46"/>
  <c r="Q13" i="46" s="1"/>
  <c r="O12" i="46"/>
  <c r="Q12" i="46" s="1"/>
  <c r="O11" i="46"/>
  <c r="Q11" i="46" s="1"/>
  <c r="O10" i="46"/>
  <c r="Q10" i="46" s="1"/>
  <c r="H44" i="46"/>
  <c r="O8" i="46"/>
  <c r="Q8" i="46" s="1"/>
  <c r="P37" i="45"/>
  <c r="N37" i="45"/>
  <c r="M37" i="45"/>
  <c r="L37" i="45"/>
  <c r="K37" i="45"/>
  <c r="J37" i="45"/>
  <c r="I37" i="45"/>
  <c r="O36" i="45"/>
  <c r="O35" i="45"/>
  <c r="O29" i="45"/>
  <c r="O28" i="45"/>
  <c r="Q28" i="45" s="1"/>
  <c r="O27" i="45"/>
  <c r="Q27" i="45" s="1"/>
  <c r="O26" i="45"/>
  <c r="Q26" i="45" s="1"/>
  <c r="O25" i="45"/>
  <c r="Q25" i="45" s="1"/>
  <c r="O24" i="45"/>
  <c r="Q24" i="45" s="1"/>
  <c r="O23" i="45"/>
  <c r="Q23" i="45" s="1"/>
  <c r="O22" i="45"/>
  <c r="Q22" i="45" s="1"/>
  <c r="O21" i="45"/>
  <c r="Q21" i="45" s="1"/>
  <c r="O20" i="45"/>
  <c r="Q20" i="45" s="1"/>
  <c r="O19" i="45"/>
  <c r="Q19" i="45" s="1"/>
  <c r="O18" i="45"/>
  <c r="Q18" i="45" s="1"/>
  <c r="O17" i="45"/>
  <c r="Q17" i="45" s="1"/>
  <c r="O16" i="45"/>
  <c r="Q16" i="45" s="1"/>
  <c r="O15" i="45"/>
  <c r="Q15" i="45" s="1"/>
  <c r="O14" i="45"/>
  <c r="Q14" i="45" s="1"/>
  <c r="O13" i="45"/>
  <c r="Q13" i="45" s="1"/>
  <c r="O12" i="45"/>
  <c r="Q12" i="45" s="1"/>
  <c r="O11" i="45"/>
  <c r="Q11" i="45" s="1"/>
  <c r="O10" i="45"/>
  <c r="Q10" i="45" s="1"/>
  <c r="O9" i="45"/>
  <c r="Q9" i="45" s="1"/>
  <c r="Q21" i="43"/>
  <c r="Q22" i="43"/>
  <c r="Q23" i="43"/>
  <c r="Q24" i="43"/>
  <c r="Q25" i="43"/>
  <c r="Q26" i="43"/>
  <c r="Q27" i="43"/>
  <c r="Q28" i="43"/>
  <c r="Q29" i="43"/>
  <c r="Q30" i="43"/>
  <c r="Q31" i="43"/>
  <c r="Q32" i="43"/>
  <c r="Q33" i="43"/>
  <c r="Q34" i="43"/>
  <c r="Q35" i="43"/>
  <c r="Q36" i="43"/>
  <c r="Q37" i="43"/>
  <c r="Q38" i="43"/>
  <c r="Q39" i="43"/>
  <c r="Q40" i="43"/>
  <c r="Q41" i="43"/>
  <c r="Q42" i="43"/>
  <c r="Q43" i="43"/>
  <c r="Q44" i="43"/>
  <c r="Q46" i="43"/>
  <c r="Q47" i="43"/>
  <c r="H48" i="43"/>
  <c r="I48" i="43"/>
  <c r="J48" i="43"/>
  <c r="K48" i="43"/>
  <c r="L48" i="43"/>
  <c r="M48" i="43"/>
  <c r="N48" i="43"/>
  <c r="P48" i="43"/>
  <c r="G48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Q45" i="43" s="1"/>
  <c r="D14" i="42"/>
  <c r="D13" i="42"/>
  <c r="C14" i="42"/>
  <c r="D10" i="42"/>
  <c r="D9" i="42"/>
  <c r="C13" i="42"/>
  <c r="C12" i="42"/>
  <c r="C10" i="42"/>
  <c r="C9" i="42"/>
  <c r="H32" i="44"/>
  <c r="H33" i="44"/>
  <c r="H24" i="44"/>
  <c r="O24" i="44" s="1"/>
  <c r="Q24" i="44" s="1"/>
  <c r="H25" i="44"/>
  <c r="O25" i="44" s="1"/>
  <c r="Q25" i="44" s="1"/>
  <c r="H26" i="44"/>
  <c r="H27" i="44"/>
  <c r="H28" i="44"/>
  <c r="H29" i="44"/>
  <c r="O29" i="44" s="1"/>
  <c r="Q29" i="44" s="1"/>
  <c r="H30" i="44"/>
  <c r="H31" i="44"/>
  <c r="H23" i="44"/>
  <c r="O23" i="44" s="1"/>
  <c r="Q23" i="44" s="1"/>
  <c r="H15" i="44"/>
  <c r="H16" i="44"/>
  <c r="H17" i="44"/>
  <c r="O17" i="44" s="1"/>
  <c r="Q17" i="44" s="1"/>
  <c r="H14" i="44"/>
  <c r="O14" i="44" s="1"/>
  <c r="Q14" i="44" s="1"/>
  <c r="H20" i="44"/>
  <c r="H21" i="44"/>
  <c r="H22" i="44"/>
  <c r="H19" i="44"/>
  <c r="O19" i="44" s="1"/>
  <c r="Q19" i="44" s="1"/>
  <c r="H9" i="44"/>
  <c r="H10" i="44"/>
  <c r="H11" i="44"/>
  <c r="H12" i="44"/>
  <c r="O12" i="44" s="1"/>
  <c r="Q12" i="44" s="1"/>
  <c r="H13" i="44"/>
  <c r="O13" i="44" s="1"/>
  <c r="Q13" i="44" s="1"/>
  <c r="H8" i="44"/>
  <c r="P37" i="44"/>
  <c r="O33" i="44"/>
  <c r="Q33" i="44" s="1"/>
  <c r="O32" i="44"/>
  <c r="Q32" i="44" s="1"/>
  <c r="O31" i="44"/>
  <c r="Q31" i="44"/>
  <c r="O30" i="44"/>
  <c r="Q30" i="44" s="1"/>
  <c r="O28" i="44"/>
  <c r="Q28" i="44" s="1"/>
  <c r="O27" i="44"/>
  <c r="Q27" i="44" s="1"/>
  <c r="O26" i="44"/>
  <c r="Q26" i="44" s="1"/>
  <c r="O22" i="44"/>
  <c r="Q22" i="44" s="1"/>
  <c r="O21" i="44"/>
  <c r="Q21" i="44" s="1"/>
  <c r="N37" i="44"/>
  <c r="M37" i="44"/>
  <c r="L37" i="44"/>
  <c r="K37" i="44"/>
  <c r="J37" i="44"/>
  <c r="I37" i="44"/>
  <c r="G37" i="44"/>
  <c r="O36" i="44"/>
  <c r="O35" i="44"/>
  <c r="O34" i="44"/>
  <c r="O20" i="44"/>
  <c r="Q20" i="44" s="1"/>
  <c r="O18" i="44"/>
  <c r="Q18" i="44" s="1"/>
  <c r="O16" i="44"/>
  <c r="Q16" i="44" s="1"/>
  <c r="O15" i="44"/>
  <c r="Q15" i="44" s="1"/>
  <c r="O11" i="44"/>
  <c r="Q11" i="44" s="1"/>
  <c r="O10" i="44"/>
  <c r="Q10" i="44" s="1"/>
  <c r="O8" i="44"/>
  <c r="H20" i="43"/>
  <c r="H9" i="43"/>
  <c r="O9" i="43" s="1"/>
  <c r="Q9" i="43" s="1"/>
  <c r="H10" i="43"/>
  <c r="H11" i="43"/>
  <c r="H12" i="43"/>
  <c r="O12" i="43" s="1"/>
  <c r="Q12" i="43" s="1"/>
  <c r="H13" i="43"/>
  <c r="H14" i="43"/>
  <c r="O14" i="43" s="1"/>
  <c r="Q14" i="43" s="1"/>
  <c r="H15" i="43"/>
  <c r="O15" i="43" s="1"/>
  <c r="Q15" i="43" s="1"/>
  <c r="H16" i="43"/>
  <c r="O16" i="43" s="1"/>
  <c r="Q16" i="43" s="1"/>
  <c r="H17" i="43"/>
  <c r="O17" i="43" s="1"/>
  <c r="Q17" i="43" s="1"/>
  <c r="H18" i="43"/>
  <c r="O18" i="43" s="1"/>
  <c r="Q18" i="43" s="1"/>
  <c r="H19" i="43"/>
  <c r="O19" i="43" s="1"/>
  <c r="Q19" i="43" s="1"/>
  <c r="O20" i="43"/>
  <c r="Q20" i="43" s="1"/>
  <c r="H8" i="43"/>
  <c r="O8" i="43" s="1"/>
  <c r="O10" i="43"/>
  <c r="Q10" i="43" s="1"/>
  <c r="O47" i="43"/>
  <c r="O46" i="43"/>
  <c r="O13" i="43"/>
  <c r="Q13" i="43" s="1"/>
  <c r="Q13" i="48" l="1"/>
  <c r="O9" i="46"/>
  <c r="Q9" i="46" s="1"/>
  <c r="O8" i="45"/>
  <c r="O48" i="43"/>
  <c r="H37" i="44"/>
  <c r="O37" i="44"/>
  <c r="Q37" i="44" s="1"/>
  <c r="O9" i="44"/>
  <c r="Q9" i="44" s="1"/>
  <c r="Q8" i="44"/>
  <c r="O11" i="43"/>
  <c r="Q11" i="43" s="1"/>
  <c r="Q8" i="43"/>
  <c r="O44" i="46" l="1"/>
  <c r="Q44" i="46" s="1"/>
  <c r="Q8" i="45"/>
  <c r="O37" i="45"/>
  <c r="Q37" i="45" s="1"/>
  <c r="Q39" i="45" s="1"/>
  <c r="Q48" i="43"/>
  <c r="Q50" i="43" s="1"/>
  <c r="Q39" i="44" s="1"/>
  <c r="Q46" i="46" l="1"/>
  <c r="Q37" i="47" s="1"/>
  <c r="Q48" i="48" s="1"/>
  <c r="C6" i="42"/>
  <c r="H42" i="51" l="1"/>
  <c r="O14" i="51"/>
  <c r="O42" i="51" s="1"/>
  <c r="Q42" i="51" s="1"/>
  <c r="Q44" i="51" s="1"/>
  <c r="Q53" i="52" s="1"/>
  <c r="Q55" i="52" s="1"/>
  <c r="Q56" i="52" s="1"/>
  <c r="Q58" i="52" s="1"/>
  <c r="Q14" i="5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tc={A775B570-76D9-46C4-AEA7-FE3B8AD2507C}</author>
  </authors>
  <commentList>
    <comment ref="H14" authorId="0" shapeId="0" xr:uid="{A775B570-76D9-46C4-AEA7-FE3B8AD2507C}">
      <text>
        <t>[Threaded comment]
Your version of Excel allows you to read this threaded comment; however, any edits to it will get removed if the file is opened in a newer version of Excel. Learn more: https://go.microsoft.com/fwlink/?linkid=870924
Comment:
    Ghi nhầm đơn giá dầu, thiếu số 0</t>
      </text>
    </comment>
  </commentList>
</comments>
</file>

<file path=xl/sharedStrings.xml><?xml version="1.0" encoding="utf-8"?>
<sst xmlns="http://schemas.openxmlformats.org/spreadsheetml/2006/main" count="3275" uniqueCount="1902">
  <si>
    <t>STT</t>
  </si>
  <si>
    <t>Nội dung</t>
  </si>
  <si>
    <t>Thành tiền</t>
  </si>
  <si>
    <t>Tổng cộng</t>
  </si>
  <si>
    <t>Bảng tổng hợp chi phí xe 15C-180.99</t>
  </si>
  <si>
    <t xml:space="preserve">Chi phí mua đầu kéo </t>
  </si>
  <si>
    <t xml:space="preserve">Thanh toán tiền mua dầu nhớt </t>
  </si>
  <si>
    <t>Mua 2 chụp cốc lọc nhớt, cốc lọc ly tâm xe 15C-180.99</t>
  </si>
  <si>
    <t>Thanh toán mua đôi đèn vàng led, công đấu chuyển xe 15C-180.99</t>
  </si>
  <si>
    <t>Mua cờ lê, kìm điện, mỏ lết, hoa thị, súng dây, zắc co xe 15C-180.99</t>
  </si>
  <si>
    <t>Nộp lệ phí trước bạ xe 15C-180.99</t>
  </si>
  <si>
    <t>Phí dịch vụ nộp lệ phí trước bạ xe 15C-180.99</t>
  </si>
  <si>
    <t>Mua đèn hậu, 2 bóng pha, 1 rắc pha, chế công tắc xe 15C-180.99</t>
  </si>
  <si>
    <t>Thanh toán tiền sửa tổng phanh chân, nhổ 2ốc gãy, thay 1 phớt, công thợ xe 15C-180.99 ngày 23/3</t>
  </si>
  <si>
    <t>Lắp 1 bộ cút đồng phi 16-20, 1 cút đồng ống phi 6, 1 quả lóc kê mới, 1 bát phanh xe 15C-180.99 ngày 27/3</t>
  </si>
  <si>
    <t>Thanh toán tiền làm phù hiệu xe 15C-180.99</t>
  </si>
  <si>
    <t>Thanh toán tiền mua lốp 1100R20 xe 15C-180.99 ngày 1/4</t>
  </si>
  <si>
    <t xml:space="preserve">mua khóa bình dầu 15C-180.99 </t>
  </si>
  <si>
    <t xml:space="preserve">Thanh toán tiền tháo vè xe 15C-180.99 (lắp cảm biến dầu) </t>
  </si>
  <si>
    <t xml:space="preserve">Thanh toán mua nắp may ơ, đóng bạc tay giằng 4 đầu, giảm sóc 2 đầu, công tháo xe 15C-180.99 </t>
  </si>
  <si>
    <t>Thanh toán tiền đổ bổ sung dầu cầu xe 15C-180.99 ngày 23/3</t>
  </si>
  <si>
    <t>Thanh toán tiền làm chân moóc thay bi , xiết lắp quang nhíp moóc xe 15C-180.99 ngày 4/4</t>
  </si>
  <si>
    <t>Thanh toán tiền thay van la răng xe 15C-180.99  ngày 6/5</t>
  </si>
  <si>
    <t>Sửa 1 tổng phanh mooc, 2 bát phanh mooc, thay 2 cút đồng ép táo pi 10, gỡ zoăng bà mặt bích xe 15C-180.99 ngày 22/4</t>
  </si>
  <si>
    <t xml:space="preserve">Thanh toán tiền hệ thống camera giám sát </t>
  </si>
  <si>
    <t>Bảng theo dõi doanh thu/ chi phí theo phương tiện vận chuyển</t>
  </si>
  <si>
    <t>Ngày tháng</t>
  </si>
  <si>
    <t>Diễn giải</t>
  </si>
  <si>
    <t>Số cont</t>
  </si>
  <si>
    <t>Tuyến đường vận chuyển</t>
  </si>
  <si>
    <t>Khoảng cách (km)</t>
  </si>
  <si>
    <t>Chi phí</t>
  </si>
  <si>
    <t>Tổng chi phí</t>
  </si>
  <si>
    <t>Cước vận chuyển</t>
  </si>
  <si>
    <t>Lợi nhuận gộp</t>
  </si>
  <si>
    <t>Dầu (l)</t>
  </si>
  <si>
    <t>Dầu (đồng)</t>
  </si>
  <si>
    <t>Mức TTBQ</t>
  </si>
  <si>
    <t>Đi đường</t>
  </si>
  <si>
    <t>Lương lx</t>
  </si>
  <si>
    <t>Sửa chữa</t>
  </si>
  <si>
    <t>Lốp</t>
  </si>
  <si>
    <t>Dầu máy</t>
  </si>
  <si>
    <t>KCN Quế Võ, Bắc Ninh</t>
  </si>
  <si>
    <t>Phí gửi xe</t>
  </si>
  <si>
    <t>TỔNG CỘNG</t>
  </si>
  <si>
    <t>LK =</t>
  </si>
  <si>
    <t>Biển số xe: 15C - 180.99</t>
  </si>
  <si>
    <t>THÁNG 03.2022</t>
  </si>
  <si>
    <t>Đóng hàng XK sáng 21/03</t>
  </si>
  <si>
    <t>Đóng hàng XK chiều 21/03</t>
  </si>
  <si>
    <t>Đóng hàng XK sáng 22/03</t>
  </si>
  <si>
    <t>Đóng hàng chè sáng 24/03</t>
  </si>
  <si>
    <t>Đóng hàng chè chiều 25/03</t>
  </si>
  <si>
    <t>Đóng hàng chè chiều 26/03</t>
  </si>
  <si>
    <t>Trả hàng NK sáng 28/03</t>
  </si>
  <si>
    <t>Đóng hàng KH chiều 28/03</t>
  </si>
  <si>
    <t>Đóng hàng XK 29/03</t>
  </si>
  <si>
    <t>Đóng hàng XK 30/03</t>
  </si>
  <si>
    <t>Đóng hàng chè sáng 31/03</t>
  </si>
  <si>
    <t>Bãi 1 Lê Thánh Tông, Hải Phòng</t>
  </si>
  <si>
    <t>TT. Phong Hải, Bảo Thắng, Lào Cai</t>
  </si>
  <si>
    <t>Bình Xuyên, Vĩnh Phúc</t>
  </si>
  <si>
    <t>Cty chè Thành Đạt, Thanh Chương, Nghệ An</t>
  </si>
  <si>
    <t>Đình Bảng, Bắc Ninh</t>
  </si>
  <si>
    <t>KCN Mông Hóa, Kỳ Sơn, Hòa Bình</t>
  </si>
  <si>
    <t>Thuận Châu, Sơn La</t>
  </si>
  <si>
    <t>FSCU5973084</t>
  </si>
  <si>
    <t>AXIU6139031</t>
  </si>
  <si>
    <t>GESU9183653</t>
  </si>
  <si>
    <t>GESU9268869</t>
  </si>
  <si>
    <t>SEGU5815582</t>
  </si>
  <si>
    <t>CAXU9055369</t>
  </si>
  <si>
    <t>BMOU5757339</t>
  </si>
  <si>
    <t>SEGU4775818</t>
  </si>
  <si>
    <t>SEGU9515454</t>
  </si>
  <si>
    <t>SZLU9520752</t>
  </si>
  <si>
    <t>TLLU1132219</t>
  </si>
  <si>
    <t>GCXU5357098</t>
  </si>
  <si>
    <t>Lương (9 /26 ngày )</t>
  </si>
  <si>
    <t>Đóng hàng XK 02/04</t>
  </si>
  <si>
    <t>Trả hàng NK sáng 05/04</t>
  </si>
  <si>
    <t>Trả hàng Vietsun sáng 06/04</t>
  </si>
  <si>
    <t>Đóng hàng XK 07/04</t>
  </si>
  <si>
    <t>Đóng hàng XK sáng 08/04</t>
  </si>
  <si>
    <t>Trả hàng Vietsun chiều 08/04</t>
  </si>
  <si>
    <t>Trả hàng NK sáng 09/04</t>
  </si>
  <si>
    <t>Trả hàng Vietsun sáng 12/04</t>
  </si>
  <si>
    <t>Đóng hàng KH 12/04 trả 13/04</t>
  </si>
  <si>
    <t>Trả hàng NK sáng 14/04</t>
  </si>
  <si>
    <t>Trả hàng NK sáng 15/04</t>
  </si>
  <si>
    <t>Trả hàng NK sáng 16/04</t>
  </si>
  <si>
    <t>Đóng hàng XK sáng 19/04</t>
  </si>
  <si>
    <t>Đóng hàng chè sáng 20/04</t>
  </si>
  <si>
    <t>Đóng hàng chè sáng 21/04</t>
  </si>
  <si>
    <t>Đóng hàng XK sáng 22/04</t>
  </si>
  <si>
    <t>Trả hàng NK sáng 23/04</t>
  </si>
  <si>
    <t>Đóng hàng KH chiều 23/04</t>
  </si>
  <si>
    <t>Trả hàng Vietsun sáng 25/04</t>
  </si>
  <si>
    <t>Trả hàng NK sáng 26/04</t>
  </si>
  <si>
    <t>Trả hàng NK sáng 27/04</t>
  </si>
  <si>
    <t>Đóng hàng chè sáng 28/04</t>
  </si>
  <si>
    <t>Trả hàng Vietsun sáng 29/04</t>
  </si>
  <si>
    <t>KCN Vân Trung, Việt Yên, Bắc Giang</t>
  </si>
  <si>
    <t>KCN Tiên Sơn, Bắc Ninh</t>
  </si>
  <si>
    <t>Kho Masan Dị Sử, Hưng Yên</t>
  </si>
  <si>
    <t>Văn Môn, Yên Phong, Bắc Ninh</t>
  </si>
  <si>
    <t>Cẩm Giàng, Hải Dương</t>
  </si>
  <si>
    <t>Lai Cách, Hải Dương</t>
  </si>
  <si>
    <t>KCN Tây Bắc Ga, Thanh Hóa</t>
  </si>
  <si>
    <t>Từ Sơn, Bắc Ninh</t>
  </si>
  <si>
    <t>Như Quỳnh, Văn Lâm, Hưng Yên</t>
  </si>
  <si>
    <t>Tân Lập, Mộc Châu, Sơn La</t>
  </si>
  <si>
    <t>Phong Khê, Bắc Ninh</t>
  </si>
  <si>
    <t>Ngũ Hiệp, Thanh Trì, Hà Nội</t>
  </si>
  <si>
    <t>Phúc Yên, Vĩnh Phúc</t>
  </si>
  <si>
    <t>KCN VSIP Bắc Ninh</t>
  </si>
  <si>
    <t>Yên Mỹ, Hưng Yên</t>
  </si>
  <si>
    <t>Bỉm Sơn, Thanh Hóa + KCN Nam Xá, TP. Nam Định</t>
  </si>
  <si>
    <t>SZLU6002852</t>
  </si>
  <si>
    <t>SZLU6000757</t>
  </si>
  <si>
    <t>TRHU5021978</t>
  </si>
  <si>
    <t>DRYU9592428</t>
  </si>
  <si>
    <t>BMOU9319285</t>
  </si>
  <si>
    <t>FSCU5870595</t>
  </si>
  <si>
    <t>OTPU6142507</t>
  </si>
  <si>
    <t>GAOU6143740</t>
  </si>
  <si>
    <t>AXEU6005758</t>
  </si>
  <si>
    <t>GAOU6143165</t>
  </si>
  <si>
    <t>SMCU1176464</t>
  </si>
  <si>
    <t>ZCSU6729113</t>
  </si>
  <si>
    <t>ZSCU7536058</t>
  </si>
  <si>
    <t>RXTU4508830</t>
  </si>
  <si>
    <t>TRHU6590407</t>
  </si>
  <si>
    <t>BEAU5895729</t>
  </si>
  <si>
    <t>KMTU9323018</t>
  </si>
  <si>
    <t>TCNU8846860</t>
  </si>
  <si>
    <t>TCNU6672862</t>
  </si>
  <si>
    <t>APZU4839050</t>
  </si>
  <si>
    <t>BMOU6854591</t>
  </si>
  <si>
    <t>DFSU3050673</t>
  </si>
  <si>
    <t>WHSU2383013</t>
  </si>
  <si>
    <t>TCNU4595767</t>
  </si>
  <si>
    <t>Thanh toán tiền điện bãi xe lấp cảm biến dầu xe 15C-180.99</t>
  </si>
  <si>
    <t xml:space="preserve">Mua kìm cắt chì cộng lực cho xe 15C-180.99 </t>
  </si>
  <si>
    <t>Thanh toán tiền sửa tổng phanh chia hơi xuống moóc, thay 1 bộ phớt, chế cút đồng ép táo pi 10, 16, 20 xe 15C-180.99 ngày 4/4"</t>
  </si>
  <si>
    <t>THÁNG 04.2022</t>
  </si>
  <si>
    <t>Định giá rơ mooc 15R-050.37</t>
  </si>
  <si>
    <t>Tiền góp của Mr. Thưởng</t>
  </si>
  <si>
    <t>Định giá xe cũ 15C-119.57</t>
  </si>
  <si>
    <t>Tiền góp của Mr. Thưởng (không bao gồm phần vốn lưu động) 40.01%</t>
  </si>
  <si>
    <t>Tiền góp của Mr. Phụng (không bao gồm phần vốn lưu động) 59.99%</t>
  </si>
  <si>
    <t>Định giá xe mới 15C-180.99</t>
  </si>
  <si>
    <t>Tỷ lệ</t>
  </si>
  <si>
    <t>Tiền góp của Mr. Phụng</t>
  </si>
  <si>
    <t>Thanh toán tiền mua lọc dầu nhớt, lọc nhiên liệu, nước làm mát xe 15C-180.99</t>
  </si>
  <si>
    <t>Dán decal xe 15C-180.99 + biển phụ inox rơ mooc</t>
  </si>
  <si>
    <t>THÁNG 05.2022</t>
  </si>
  <si>
    <t>THÁNG 06.2022</t>
  </si>
  <si>
    <t>Trả hàng NK sáng 02/06</t>
  </si>
  <si>
    <t>Trả hàng NK sáng 03/06</t>
  </si>
  <si>
    <t>Trả hàng NK sáng 04/06</t>
  </si>
  <si>
    <t>Đóng hàng chè sáng 09/06</t>
  </si>
  <si>
    <t>Đóng hàng chè sáng 11/06</t>
  </si>
  <si>
    <t>Đóng hàng chè sáng 13/06</t>
  </si>
  <si>
    <t>Đóng hàng chè sáng 14/06</t>
  </si>
  <si>
    <t>Đóng hàng XK sáng 15/06</t>
  </si>
  <si>
    <t>Đóng hàng chè sáng 16/06</t>
  </si>
  <si>
    <t>Đóng hàng XK chiều 17/06</t>
  </si>
  <si>
    <t>Đóng hàng chè sáng 20/06</t>
  </si>
  <si>
    <t>Trả hàng NK sáng 21/06</t>
  </si>
  <si>
    <t>Trả hàng NK sáng 22/06</t>
  </si>
  <si>
    <t>Đóng hàng chè sáng 23/06</t>
  </si>
  <si>
    <t>Trả hàng NK sáng 24/06</t>
  </si>
  <si>
    <t>Trả hàng Vietsun sáng 28/06</t>
  </si>
  <si>
    <t>Đóng hàng chè sáng 29/06</t>
  </si>
  <si>
    <t>Trả hàng NK sáng 30/06</t>
  </si>
  <si>
    <t>Trả hàng Vietsun sáng 04/05</t>
  </si>
  <si>
    <t>Trả hàng NK sáng 05/05</t>
  </si>
  <si>
    <t>Trả hàng NK sáng 06/05</t>
  </si>
  <si>
    <t>Trả hàng NK sáng 07/05</t>
  </si>
  <si>
    <t>Trả hàng NK sáng 09/05</t>
  </si>
  <si>
    <t>Trả hàng NK sáng 10/05</t>
  </si>
  <si>
    <t>Trả hàng NK sáng 11/05</t>
  </si>
  <si>
    <t>Đóng hàng chè sáng 12/05</t>
  </si>
  <si>
    <t>Trả hàng NK sáng 13/05</t>
  </si>
  <si>
    <t>Trả hàng NK đêm 13/05</t>
  </si>
  <si>
    <t>Trả hàng NK chiều 17/05</t>
  </si>
  <si>
    <t>Trả hàng NK sáng 18/05</t>
  </si>
  <si>
    <t>Đóng hàng chè sáng 19/05</t>
  </si>
  <si>
    <t>Đóng hàng chè sáng 20/05</t>
  </si>
  <si>
    <t>Trả hàng NK sáng 21/05</t>
  </si>
  <si>
    <t>Trả hàng Vietsun sáng 23/05</t>
  </si>
  <si>
    <t>Đóng hàng chè sáng 24/05</t>
  </si>
  <si>
    <t>Trả hàng NK sáng 25/05</t>
  </si>
  <si>
    <t>Trả hàng Vietsun sáng 26/05</t>
  </si>
  <si>
    <t>Trả hàng NK sáng 27/05</t>
  </si>
  <si>
    <t>Trả hàng Vietsun sáng 28/05</t>
  </si>
  <si>
    <t>DRYU9592921</t>
  </si>
  <si>
    <t>FCIU7233940</t>
  </si>
  <si>
    <t>CAIU4415516</t>
  </si>
  <si>
    <t>HLXU5342380</t>
  </si>
  <si>
    <t>JXLU7840570</t>
  </si>
  <si>
    <t>ZCSU7195861</t>
  </si>
  <si>
    <t>ZCSU7562680</t>
  </si>
  <si>
    <t>SEGU5303930</t>
  </si>
  <si>
    <t>BMOU5229497</t>
  </si>
  <si>
    <t>TGBU4844849</t>
  </si>
  <si>
    <t>SUDU7756642</t>
  </si>
  <si>
    <t>TGBU2068509</t>
  </si>
  <si>
    <t>TGBU4911931</t>
  </si>
  <si>
    <t>TGCU5032801</t>
  </si>
  <si>
    <t>TCNU5577557</t>
  </si>
  <si>
    <t>DRYU6672270</t>
  </si>
  <si>
    <t>TCNU4070104</t>
  </si>
  <si>
    <t>TRHU8584039</t>
  </si>
  <si>
    <t>HMMU6459580</t>
  </si>
  <si>
    <t>KMTU9353326</t>
  </si>
  <si>
    <t>TCNU4785896</t>
  </si>
  <si>
    <t>Kho DHL - Samsung, KCN VSIP Bắc Ninh</t>
  </si>
  <si>
    <t>Hải Bối, Đông Anh, Hà Nội</t>
  </si>
  <si>
    <t>Trưng Trắc, Văn Lâm, Hưng Yên</t>
  </si>
  <si>
    <t>Nguyên Khê, Đông Anh, Hà Nội</t>
  </si>
  <si>
    <t>Sài Đồng, Long Biên, Hà Nội</t>
  </si>
  <si>
    <t>cầu Thanh Trì, Hà Nội</t>
  </si>
  <si>
    <t>Nam Sách, Hải Dương</t>
  </si>
  <si>
    <t>KCN Phú Nghĩa, Chương Mỹ, Hà Nội</t>
  </si>
  <si>
    <t>Mỹ Bằng, Yên Sơn, Tuyên Quang</t>
  </si>
  <si>
    <t>Ngọc Long, Yên Mỹ, Hưng Yên</t>
  </si>
  <si>
    <t>KCN Quang Minh 2, Mê Linh, Hà Nội</t>
  </si>
  <si>
    <t>KCN Phú Thụy, Gia Lâm, Hà Nội</t>
  </si>
  <si>
    <t>Dân Hòa, Kỳ Sơn, Hòa Bình</t>
  </si>
  <si>
    <t>Thanh toán tiền đấu lại cụm zắc đèn pha xe 15C-180.99</t>
  </si>
  <si>
    <t>Thanh toán tiền thay RL xe 15C-180.99</t>
  </si>
  <si>
    <t>Thanh toán tiền mua đinh công xe 15C-180.99</t>
  </si>
  <si>
    <t>Thanh toán tiền sửa xe 15C-180.99 ( thông xúc két gió, phục hồi tăng áp ....)</t>
  </si>
  <si>
    <t>Chi tiền cứu hộ + thay 2 lốp cho xe 15C-180.99</t>
  </si>
  <si>
    <t>Thanh toán tiền bơm mỡ xe15C-180.99</t>
  </si>
  <si>
    <t>Thanh toán tiền mua bóng 906, tiền đảo lốp 2 cầu xe 15C-180.99</t>
  </si>
  <si>
    <t>Thanh toán tiền mua tua vít xe 15C-180.99 ngày 19/6</t>
  </si>
  <si>
    <t>Thanh toán tiền làm lốp đầu kéo xe 15C-180.99 ngày 12/5</t>
  </si>
  <si>
    <t>Thanh toán tiền đăng kiểm xe 15C-180.99</t>
  </si>
  <si>
    <t>TT. Lai  Cách, Cẩm Giàng, Hải Dương</t>
  </si>
  <si>
    <t>TT Trần Phú, Văn Chấn, Yên Bái</t>
  </si>
  <si>
    <t>KCN Phố Nối A, Văn Lâm, Hưng Yên</t>
  </si>
  <si>
    <t>KCN Đồng Văn, Hà Nam</t>
  </si>
  <si>
    <t>KCN Tam Quang, Vũ Thư, Thái Bình</t>
  </si>
  <si>
    <t>Phổ Yên, Thái Nguyên</t>
  </si>
  <si>
    <t>Số 18, Trần Thái Tông, TP. Thái Bình</t>
  </si>
  <si>
    <t>Mộc Châu, Sơn La</t>
  </si>
  <si>
    <t>WHLU0350611</t>
  </si>
  <si>
    <t>HSLU5005764</t>
  </si>
  <si>
    <t>BMOU2152940</t>
  </si>
  <si>
    <t>WHSU2813747</t>
  </si>
  <si>
    <t>BEAU4577699</t>
  </si>
  <si>
    <t>TGBU6457978</t>
  </si>
  <si>
    <t>WHLU5820180</t>
  </si>
  <si>
    <t>YMLU5717338</t>
  </si>
  <si>
    <t>TEMU7628930</t>
  </si>
  <si>
    <t>TRHU5979565</t>
  </si>
  <si>
    <t>YMLU8714121</t>
  </si>
  <si>
    <t>WHSU2545182</t>
  </si>
  <si>
    <t>SUDU1950326</t>
  </si>
  <si>
    <t>BMOU6148342</t>
  </si>
  <si>
    <t>INKU6462055</t>
  </si>
  <si>
    <t>DRYU9877694</t>
  </si>
  <si>
    <t>YMMU6409164</t>
  </si>
  <si>
    <t>NLLU9009870</t>
  </si>
  <si>
    <t>THÁNG 07.2022</t>
  </si>
  <si>
    <t>Trả hàng NK sáng 01/07</t>
  </si>
  <si>
    <t>Trả hàng Vietsun sáng 02/07</t>
  </si>
  <si>
    <t>Đóng hàng chè sáng 07/07</t>
  </si>
  <si>
    <t>Trả hàng NK sáng 08/07</t>
  </si>
  <si>
    <t>Trả hàng Vietsun sáng 09/07</t>
  </si>
  <si>
    <t>Đóng hàng chè sáng 10/07 - 11/07</t>
  </si>
  <si>
    <t>Đóng hàng XK sáng 13/07</t>
  </si>
  <si>
    <t>Trả hàng NK sáng 14/07</t>
  </si>
  <si>
    <t>Trả hàng NK sáng 15/07</t>
  </si>
  <si>
    <t>Đóng hàng chè sáng 16/07</t>
  </si>
  <si>
    <t>Đóng hàng chè sáng 19/07</t>
  </si>
  <si>
    <t>Đóng hàng chè sáng 20/07</t>
  </si>
  <si>
    <t>Đóng hàng chè sáng 21/07</t>
  </si>
  <si>
    <t>Đóng hàng XK sáng 22/07</t>
  </si>
  <si>
    <t>Đóng hàng chè sáng 23/07</t>
  </si>
  <si>
    <t>Đóng hàng chè chiều 26/07</t>
  </si>
  <si>
    <t>Trả hàng Vietsun sáng 27/07</t>
  </si>
  <si>
    <t>Trả hàng NK chiều 28/07 - 29/07</t>
  </si>
  <si>
    <t>Trả hàng NK sáng 30/07</t>
  </si>
  <si>
    <t>Km 12, đường Ngọc Hồi, Thanh Trì, Hà Nội</t>
  </si>
  <si>
    <t>Hưng Thịnh, Bình Giang, Hải Dương</t>
  </si>
  <si>
    <t>Bản Bo, TP. Tam Đường, Lai Châu</t>
  </si>
  <si>
    <t>Phù Ninh, Phú Thọ</t>
  </si>
  <si>
    <t>Cargill Phố Nối, Hưng Yên</t>
  </si>
  <si>
    <t>Kiêu Kỵ, Gia Lâm, Hà Nội</t>
  </si>
  <si>
    <t>FSCU5340445</t>
  </si>
  <si>
    <t>DRYU9961634</t>
  </si>
  <si>
    <t>TCNU1082354</t>
  </si>
  <si>
    <t>SEGU4565576</t>
  </si>
  <si>
    <t>CAIU4667884</t>
  </si>
  <si>
    <t>TCNU1854139</t>
  </si>
  <si>
    <t>WHSU6607045</t>
  </si>
  <si>
    <t>TLLU8678080</t>
  </si>
  <si>
    <t>TRHU4125957</t>
  </si>
  <si>
    <t>OCGU8051618</t>
  </si>
  <si>
    <t>SEGU6140652</t>
  </si>
  <si>
    <t>TGBU5092978</t>
  </si>
  <si>
    <t>FBLU0064991</t>
  </si>
  <si>
    <t>FCIU7413979</t>
  </si>
  <si>
    <t>OCGU8019025</t>
  </si>
  <si>
    <t>GESU5292960</t>
  </si>
  <si>
    <t>GAOU6506614</t>
  </si>
  <si>
    <t>OOLU1540124</t>
  </si>
  <si>
    <t>FSCU4745942</t>
  </si>
  <si>
    <t>Thanh toán tiền mua đèn hậu led, còi hơi xe 15C-180.99</t>
  </si>
  <si>
    <t>Thanh toán tiền mua 1 bì tì, đóng bạc 3 ngang dọc, át actizo + công thợ xe 15C-180.99 ngày 26/6</t>
  </si>
  <si>
    <t>Thanh toán công thay phớt, mua 2 vòng bi mayơ, phớt may ơ lái, dầu cầu xe 15C-180.99 ngày 15/6</t>
  </si>
  <si>
    <t>Thanh toán tiền mua dầu total Rubia Tir 7400 cho xe 15C-136.31, 15C-139.82, 15C-070.63,15C180.99 ngày 13/6</t>
  </si>
  <si>
    <t>Thanh toán tiền mua 4 lốp 295/75R22,5 ca su xe 15C-180.99 ngày 12-15/6</t>
  </si>
  <si>
    <t>Thanh toán tiền công thay lốp xe 15C-180.99 ngày 7/7</t>
  </si>
  <si>
    <t>Thanh toán tiền  đảo lốp xe 15C-180.99 ngày 8/7</t>
  </si>
  <si>
    <t>Thanh toán tiền làm lốp, thay săm xe 15C-180.99 ngày 23/7</t>
  </si>
  <si>
    <t>Mua phớt mayơ lái, bảo dưỡng 2 mayơ moóc, mỡ 4 cân, nắp mayơ, đường ống nước xe 15C-180.99 ngày 25/7</t>
  </si>
  <si>
    <t>Thanh toán tiền lọc nhiên liệu, lọc nhớt, cốc lọc, lọc nhiên liệu tách nước xe 15C-180.99 ngày 13/6</t>
  </si>
  <si>
    <t>THÁNG 08.2022</t>
  </si>
  <si>
    <t>Đóng hàng chè sáng 01/08</t>
  </si>
  <si>
    <t>Đóng hàng XK sáng 02/08</t>
  </si>
  <si>
    <t>Đóng hàng xỉ bọt sáng 03/08</t>
  </si>
  <si>
    <t>Đóng hàng chè sáng 04/08</t>
  </si>
  <si>
    <t>Đóng hàng chè sáng 06/08</t>
  </si>
  <si>
    <t>Đóng hàng chè sáng 08/08</t>
  </si>
  <si>
    <t>Trả hàng Vietsun chiều 09/08</t>
  </si>
  <si>
    <t>Đóng hàng chè sáng 10/08</t>
  </si>
  <si>
    <t>Đóng hàng chè sáng 11/08</t>
  </si>
  <si>
    <t>Đóng hàng gỗ sáng 12/08</t>
  </si>
  <si>
    <t>Đóng hàng chè chiều 15/08</t>
  </si>
  <si>
    <t>Đóng hàng XK sáng 16/08</t>
  </si>
  <si>
    <t>Trả hàng NK sáng 17/08</t>
  </si>
  <si>
    <t>Trả hàng NK sáng 18/08</t>
  </si>
  <si>
    <t>Đóng hàng chè sáng 19/08</t>
  </si>
  <si>
    <t>Trả hàng NK chiều 20/08</t>
  </si>
  <si>
    <t>Đóng hàng chè sáng 24/08</t>
  </si>
  <si>
    <t>Trả hàng Vietsun sáng 25/08</t>
  </si>
  <si>
    <t>Đóng hàng chè sáng 26/08</t>
  </si>
  <si>
    <t>Đóng hàng chè sáng 30/08</t>
  </si>
  <si>
    <t>FCIU9051550</t>
  </si>
  <si>
    <t>MIOU4960810</t>
  </si>
  <si>
    <t>DYLU5110265</t>
  </si>
  <si>
    <t>DFSU7821357</t>
  </si>
  <si>
    <t>TGBU4597461</t>
  </si>
  <si>
    <t>ONEU0072917</t>
  </si>
  <si>
    <t>TGCU5262717</t>
  </si>
  <si>
    <t>GAOU6554715</t>
  </si>
  <si>
    <t>WHLU4277150</t>
  </si>
  <si>
    <t>FFAU3524175</t>
  </si>
  <si>
    <t>OCGU8011030</t>
  </si>
  <si>
    <t>ONEU0152099</t>
  </si>
  <si>
    <t>TGCU0199798</t>
  </si>
  <si>
    <t>MSDU8950484</t>
  </si>
  <si>
    <t>OOCU7369075</t>
  </si>
  <si>
    <t>CMAU9438991</t>
  </si>
  <si>
    <t>TGBU7778503</t>
  </si>
  <si>
    <t>GAOU6799929</t>
  </si>
  <si>
    <t>OOLU9477917</t>
  </si>
  <si>
    <t>YMMU6276884</t>
  </si>
  <si>
    <t>Thổ Tang, Vĩnh Tường, Vĩnh Phúc</t>
  </si>
  <si>
    <t>Phả Lại, Hải Dương</t>
  </si>
  <si>
    <t>Thôn Ngọc Long, Yên Mỹ, Hưng Yên</t>
  </si>
  <si>
    <t>Quảng Chu, Chợ Mới, Bắc Cạn</t>
  </si>
  <si>
    <t>KCN Quang Châu, Bắc Giang</t>
  </si>
  <si>
    <t>Nghiêm Xuyên, Phú Xuyên, Hà Nội</t>
  </si>
  <si>
    <t>Phùng Xá, Thạch Thất, Hà Nội</t>
  </si>
  <si>
    <t>KCN Yên Phong, Bắc Ninh</t>
  </si>
  <si>
    <t>TT Tân Uyên, Tân Uyên, Lai Châu</t>
  </si>
  <si>
    <t>Thanh toán tiền tay quay lốp, dây SPH, khẩu 14+17, tay L, đai ống xả, bóng 9005 xe 15C-180.99</t>
  </si>
  <si>
    <t>Thanh toán tiền mua bóng 9006, RP7 bé xe 15C-180.99</t>
  </si>
  <si>
    <t>Thanh toán tiền thay lốc lạnh, lọc ga, bơm ga + dầu lạnh xe 15C-180.99</t>
  </si>
  <si>
    <t>Thanh toán tiền mua nhớt cầu xe 15C-180.99 ngày 8/8</t>
  </si>
  <si>
    <t>Mua 2 lá còn, phanh Acơ, lán bánh đà, bàn ép, mâm trung gian công hạ côn xe 15C-180.99</t>
  </si>
  <si>
    <t>Thanh toán tiền mua dây nối đồng, đan xiết, dây, lạt xe 15C-180.99 ngày 15/8</t>
  </si>
  <si>
    <t>Thanh toán tiền  đảo lốp xe 15C-180.99 ngày 17/8</t>
  </si>
  <si>
    <t>Thanh toán tiền nước xanh làm mát động cơ xe 15C-180.99</t>
  </si>
  <si>
    <t>Thanh toán tiền mua nối nhanh các loại, dây hơi, chổi gạt mưa, moóc kéo xe 15C-180.99 ngày 23/8</t>
  </si>
  <si>
    <t>Thanh toán tiền mua đèn xin nhan sườn xe 15C-180.99 ngày 23/8</t>
  </si>
  <si>
    <t>Thanh toán tiền mua đui đèn cốt xe 15C-180.99 ngày 18/8</t>
  </si>
  <si>
    <t>Thanh toán tiền đảo cầu xe 15C-180.99 ngày 22/8</t>
  </si>
  <si>
    <t>Thanh toán tiền mua rơ le + giá xe 15C-180.99 ngày 31/8</t>
  </si>
  <si>
    <t>Thanh toán tiền mua 6 đèn sườn moóc, làm điện xe 15C-180.99 ngày 31/8</t>
  </si>
  <si>
    <t>Lương lx (24/26)</t>
  </si>
  <si>
    <t>Lương lx (24/26) + tiền sinh nhật</t>
  </si>
  <si>
    <t xml:space="preserve">Lương lx (25/26) </t>
  </si>
  <si>
    <t>Lương lx ( ngày công 27/26)</t>
  </si>
  <si>
    <t xml:space="preserve">Tiền vé trạm thu phí Epass		</t>
  </si>
  <si>
    <t>Chi tiền ngoài đăng kiểm xe 15C-180.99</t>
  </si>
  <si>
    <t>Thanh toán tiền thay 1 ống tuy ô phanh bánh lái, 1 bát phanh lốc kè lái xe 15C-180.99 ngày 30/6</t>
  </si>
  <si>
    <t>Trả hàng NK sáng 01/09</t>
  </si>
  <si>
    <t>Đóng hàng chè sáng 05/09</t>
  </si>
  <si>
    <t>Đóng hàng chè sáng 07/09</t>
  </si>
  <si>
    <t>Đóng hàng chè sáng 08/09</t>
  </si>
  <si>
    <t>Đóng hàng chè chiều 09/09</t>
  </si>
  <si>
    <t>Đóng hàng XK chiều 10/09</t>
  </si>
  <si>
    <t>Đóng hàng chè sáng 12/09</t>
  </si>
  <si>
    <t>Trả hàng Vietsun sáng 13/09</t>
  </si>
  <si>
    <t>Đóng hàng chè sáng 15/09</t>
  </si>
  <si>
    <t>Đóng hàng bình khí chiều 16/09</t>
  </si>
  <si>
    <t>Đóng hàng chè sáng 17/09</t>
  </si>
  <si>
    <t>Trả hàng Vietsun sáng 20/09</t>
  </si>
  <si>
    <t>Đóng hàng chè sáng 21/09</t>
  </si>
  <si>
    <t>Đóng hàng chè chiều 22/09</t>
  </si>
  <si>
    <t>Đóng hàng chè chiều 24/09</t>
  </si>
  <si>
    <t>Đóng hàng XK sáng 26/09</t>
  </si>
  <si>
    <t>Trả hàng Vietsun sáng 28/09</t>
  </si>
  <si>
    <t>Đóng hàng chè sáng 29/09</t>
  </si>
  <si>
    <t>UACU4014078</t>
  </si>
  <si>
    <t>YMMU6105177</t>
  </si>
  <si>
    <t>CBHU7046197</t>
  </si>
  <si>
    <t>TCKU6974425</t>
  </si>
  <si>
    <t>EITU1842624</t>
  </si>
  <si>
    <t>AMFU3159068</t>
  </si>
  <si>
    <t>TCNU3099654</t>
  </si>
  <si>
    <t>DRYU9961260</t>
  </si>
  <si>
    <t>TXGU5855250</t>
  </si>
  <si>
    <t>DRYU3053687</t>
  </si>
  <si>
    <t>YMLU9033483</t>
  </si>
  <si>
    <t>YMMU6398455</t>
  </si>
  <si>
    <t>OOLU9129737</t>
  </si>
  <si>
    <t>FSCU7264370</t>
  </si>
  <si>
    <t>YMMU6629913</t>
  </si>
  <si>
    <t>TEMU2074203</t>
  </si>
  <si>
    <t>TGBU5509070</t>
  </si>
  <si>
    <t>SEGU4450920</t>
  </si>
  <si>
    <t>Yên Phong, Bắc Ninh</t>
  </si>
  <si>
    <t>Xuân Mai, Chương Mỹ, Hà Nội</t>
  </si>
  <si>
    <t>Ninh Hiệp, Gia Lâm, Hà Nội - Củ Chi, HCM</t>
  </si>
  <si>
    <t>KCN Yên Phong mở rộng, Yên Phong, Bắc Ninh</t>
  </si>
  <si>
    <t>Địch Quả, Thanh Sơn, Phú Thọ</t>
  </si>
  <si>
    <t>Bản Giang, Tam Đường, Lai Châu</t>
  </si>
  <si>
    <t>THÁNG 09.2022</t>
  </si>
  <si>
    <t>THÁNG 10.2022</t>
  </si>
  <si>
    <t>Đóng hàng chè sáng 04/10</t>
  </si>
  <si>
    <t>Trả hàng Vietsun tối 05/10</t>
  </si>
  <si>
    <t>Đóng hàng chè sáng 07/10</t>
  </si>
  <si>
    <t>Đóng hàng chè sáng 08/10</t>
  </si>
  <si>
    <t>Đóng hàng chè sáng 10/10</t>
  </si>
  <si>
    <t>Trả hàng Vietsun sáng 11/10</t>
  </si>
  <si>
    <t>Trả hàng NK sáng 12/10</t>
  </si>
  <si>
    <t>Đóng hàng chè sáng 13/10</t>
  </si>
  <si>
    <t>Trả hàng Vietsun sáng 14/10</t>
  </si>
  <si>
    <t>Trả hàng Vietsun sáng 15/10</t>
  </si>
  <si>
    <t>Đóng hàng chè sáng 18/10</t>
  </si>
  <si>
    <t>Đóng hàng chè sáng 19/10</t>
  </si>
  <si>
    <t>Đóng hàng chè sáng 20/10</t>
  </si>
  <si>
    <t>Đóng hàng chè sáng 21/10</t>
  </si>
  <si>
    <t>Trả hàng Vietsun sáng 24/10</t>
  </si>
  <si>
    <t>Đóng hàng xỉ bọt sáng 26/10</t>
  </si>
  <si>
    <t>Đóng hàng chè chiều 27/10</t>
  </si>
  <si>
    <t>Đóng hàng XK sáng 29/10</t>
  </si>
  <si>
    <t>Đóng hàng XK sáng 31/10</t>
  </si>
  <si>
    <t>KCN Đồng Văn, Duy Tiên, Hà Nam</t>
  </si>
  <si>
    <t>Nghi Phú, TP. Vinh, Nghệ An</t>
  </si>
  <si>
    <t>CJ Hà Nam, KCN Đồng Văn 2, Duy Tiên, Hà Nam</t>
  </si>
  <si>
    <t>Lai Cách, Cẩm Giàng, Hải Dương</t>
  </si>
  <si>
    <t>KCN Đồng Văn II, Duy Tiên, Hà Nam</t>
  </si>
  <si>
    <t>FFAU3542219</t>
  </si>
  <si>
    <t>NLLU4211548</t>
  </si>
  <si>
    <t>TLLU4946590</t>
  </si>
  <si>
    <t>BMOU6188643</t>
  </si>
  <si>
    <t>YMMU6125208</t>
  </si>
  <si>
    <t>GAOU6798584</t>
  </si>
  <si>
    <t>TGBU2424929</t>
  </si>
  <si>
    <t>SEGU6385418</t>
  </si>
  <si>
    <t>DRYU9718347</t>
  </si>
  <si>
    <t>TCNU4595495</t>
  </si>
  <si>
    <t>SEKU4582855</t>
  </si>
  <si>
    <t>DRYU9845887</t>
  </si>
  <si>
    <t>CMAU9258222</t>
  </si>
  <si>
    <t>BEAU6167353</t>
  </si>
  <si>
    <t>DRYU9718970</t>
  </si>
  <si>
    <t>SLSU8025773</t>
  </si>
  <si>
    <t>TGBU9840661</t>
  </si>
  <si>
    <t>CAIU6222959</t>
  </si>
  <si>
    <t>MEDU2699712</t>
  </si>
  <si>
    <t>Đóng hàng chè sáng 01/11</t>
  </si>
  <si>
    <t>Đóng hàng chè sáng 02/11</t>
  </si>
  <si>
    <t>Trả hàng NK tối 03/11</t>
  </si>
  <si>
    <t>Đóng hàng chè sáng 06/11</t>
  </si>
  <si>
    <t>Trả hàng Vietsun sáng 07/11</t>
  </si>
  <si>
    <t>Trả hàng phế liệu sáng 08/11</t>
  </si>
  <si>
    <t>Đóng hàng chè sáng 10/11</t>
  </si>
  <si>
    <t>Trả hàng NK sáng 11/11</t>
  </si>
  <si>
    <t>Trả hàng NK sáng 12/11</t>
  </si>
  <si>
    <t>Đóng hàng chè sáng 14/11</t>
  </si>
  <si>
    <t>Đóng hàng chè sáng 16/11</t>
  </si>
  <si>
    <t>Trả hàng NK sáng 17/11</t>
  </si>
  <si>
    <t>Đóng hàng XK sáng 18/11</t>
  </si>
  <si>
    <t>Đóng hàng chè chiều 20/11</t>
  </si>
  <si>
    <t>Trả hàng phế liệu sáng 22/11</t>
  </si>
  <si>
    <t>Trả hàng Vietsun sáng 24/11</t>
  </si>
  <si>
    <t>Trả hàng NK sáng 25/11</t>
  </si>
  <si>
    <t>Đóng hàng chè chiều 26/11</t>
  </si>
  <si>
    <t>Trả hàng NK chiều 29/11</t>
  </si>
  <si>
    <t>Trả hàng Vietsun sáng 30/11</t>
  </si>
  <si>
    <t>TRHU5578367</t>
  </si>
  <si>
    <t>TLLU4184258</t>
  </si>
  <si>
    <t>BEAU5408292</t>
  </si>
  <si>
    <t>TGBU5557186</t>
  </si>
  <si>
    <t>TEMU8595641</t>
  </si>
  <si>
    <t>BMOU6366370</t>
  </si>
  <si>
    <t>TLLU4078024</t>
  </si>
  <si>
    <t>SEGU1524629</t>
  </si>
  <si>
    <t>TGBU6932893</t>
  </si>
  <si>
    <t>YMMU6367264</t>
  </si>
  <si>
    <t>TRHU8162434</t>
  </si>
  <si>
    <t>MSKU0567767</t>
  </si>
  <si>
    <t>YMLU5147472</t>
  </si>
  <si>
    <t>TCKU7559985</t>
  </si>
  <si>
    <t>BMOU5783997</t>
  </si>
  <si>
    <t>GAOU6143606</t>
  </si>
  <si>
    <t>TCNU1242468</t>
  </si>
  <si>
    <t>TCNU3686456</t>
  </si>
  <si>
    <t>NLLU4205150</t>
  </si>
  <si>
    <t>YMMU6363187</t>
  </si>
  <si>
    <t>Phạm Văn Đồng, Từ Liêm, Hà Nội</t>
  </si>
  <si>
    <t>Đồng Tâm, Lạc Thủy, Hòa Bình</t>
  </si>
  <si>
    <t>TP. Việt Trì, Phú Thọ</t>
  </si>
  <si>
    <t>CP Xuân Mai, Xuân Mai, Chương Mỹ, Hà Nội</t>
  </si>
  <si>
    <t>KCN Thăng Long 2, Yên Mỹ, Hưng Yên</t>
  </si>
  <si>
    <t>Kho DHL - Samsung, KCN VSIP, Bắc Ninh</t>
  </si>
  <si>
    <t>Lạc Đạo, Văn Lâm, Hưng Yên</t>
  </si>
  <si>
    <t>QL17, Thuận Thành, Bắc Ninh</t>
  </si>
  <si>
    <t>THÁNG 11.2022</t>
  </si>
  <si>
    <t>Cấp bổ sung dầu bị hao hụt do xe hỏng ngày 14/10</t>
  </si>
  <si>
    <t>Thanh toàn tiền bảo dưỡng đề máy phát xe 15C-180.99 ngày 6/9</t>
  </si>
  <si>
    <t>Thanh toán tiền cân lốp + xịt lọc xe 15C-180.99 ngày 6/9</t>
  </si>
  <si>
    <t>Thanh toán tiền bơm mỡ, thây dầu, lọc, nắp lọc nhỏ, cứ hộ thay gioăng nhớt xe 15C-180.99 ngày 11/9</t>
  </si>
  <si>
    <t>Thanh toán tiền mua lọc nhiên liệu P550821; lọc nhiên liệu tách nước P550748; lọc dầu nhớt P551088 xe 15C-180.99</t>
  </si>
  <si>
    <t>Thanh toán tiền tháo lắp thay đổi két gió mới , thay 02 đai gió mới xe 15C-180.99 ngày 6/9</t>
  </si>
  <si>
    <t>Thanh toán tiền thay chân van xe 15C-180.99 ngày 11/9</t>
  </si>
  <si>
    <t>Thanh toán tiền kiểm tra, tháo lắp, vệ sinh cánh quạt, sửa lưỡi gà mặt hút, thay dầu côn cánh quạt xe 15C-180.99 ngày 19/9</t>
  </si>
  <si>
    <t>Thanh toán tiền mua 2 đèn hậu + công xe 15C-180.99 ngày 23/9</t>
  </si>
  <si>
    <t xml:space="preserve"> Tiền cứu hộ xe 15C-180.99 </t>
  </si>
  <si>
    <t>Thanh toán tiền mua đèn tròn hậu moóc, tay khóa ca bô MF xe 15C-180.99 ngày 6/10</t>
  </si>
  <si>
    <t>Thanh toán tiền mua lọc gió ngoài xe 15C-180.99 ngày 6/10</t>
  </si>
  <si>
    <t>Thanh toán tiền mua thân bơm cao áp , công tháo lắp xe 15C-180.99 ngày 1/10</t>
  </si>
  <si>
    <t>Thanh toán tiền thay yếm, lót ghệt to bé, công xe 15C-180.99</t>
  </si>
  <si>
    <t xml:space="preserve">Thanh toán tiền mua 3 hộp chì tạm cho xe </t>
  </si>
  <si>
    <t>Thanh toán tiền bảo dưỡng 4 mayơ moóc, mỡ 8 cân xe 15C-180.99 ngày 23/8</t>
  </si>
  <si>
    <t>Thanh toán tiền công làm 4 mỏ gạc, ắc + đóng bạc 4 mỏ gạc, 12 bạc , 12 ắc, 5 ốc tay giằng, công làm tay giằng xe 15C-180.99 ngày 29/8</t>
  </si>
  <si>
    <t>Thanh toán tiền mua bạc cabin MF2FW, bóng hơi cabin MF, giảm sóc MF xe 15C-180.99 ngày 16/10</t>
  </si>
  <si>
    <t xml:space="preserve">Thanh toán tiền mua bóng tải MF cho xe 15C-180.99 </t>
  </si>
  <si>
    <t>Thanh toán tiền ống gió tăng áp , quai nhê cho xe 15C-180.99</t>
  </si>
  <si>
    <t>Thanh toán tiền bơm mỡ xe 15C-180.99 ngày 22/10</t>
  </si>
  <si>
    <t>Thanh toán tiền thùng dầu cho Việt Phát cho xe 15C-139.82; 15C-070.63; 15C-136.31, 15C-180.99 ngày 10/9</t>
  </si>
  <si>
    <t>Thanh toán tiền mua tăng MF DC 8PK 2035 đẹp cho xe 15C-180.99 ngày 5/11</t>
  </si>
  <si>
    <t>Thanh toán tiền mua 8PK2020 day co cho xe 15C-180.99 ngày 4/11</t>
  </si>
  <si>
    <t>Thanh toán tiền làm luật đăng kiểm hết hạn xe 15C-180.99</t>
  </si>
  <si>
    <t>Thanh toán tiền phí đăng kiểm xe 15C-180.99</t>
  </si>
  <si>
    <t>Lương lx ( ngày công 26/26)</t>
  </si>
  <si>
    <t>"Thanh toán tiền thay bóng hơi tải, tán 4 bộ phanh đầu ké, 4 tầng bua, thay 8 con lăn, đóng bạc giảm xóc, dây hơi + công 
xe 15C-180.99 ngày 23/10"</t>
  </si>
  <si>
    <t>Thanh toán công thay bóng hơi cabin, thay 1 giảm xóc, ép bạc giảm xóc xe 15C-180.99 ngày 16/10</t>
  </si>
  <si>
    <t xml:space="preserve">Thanh toán tiền lắp đặt cảm biến dầu xe 15C-180.99 </t>
  </si>
  <si>
    <t>Thanh toán tiền bóng hơi tải Prostar cho xe 15C-180.99</t>
  </si>
  <si>
    <t>Thanh toán tiền đảo 2 cầu xe 15C-180.99 ngày 15/11</t>
  </si>
  <si>
    <t>Thanh toán tiền bảo hiểm TNDS xe 15C-180.99</t>
  </si>
  <si>
    <t>THanh toán tiền lọc ly tâm MF BD xe 15C-180.99 ngày 29/11</t>
  </si>
  <si>
    <t>Thanh toán tiền mua phớt may ơ cầu, công thay phớt xe 15C-180.99 ngày 8/8</t>
  </si>
  <si>
    <t>THÁNG 12.2022</t>
  </si>
  <si>
    <t>Trả hàng NK sáng 01/12</t>
  </si>
  <si>
    <t>Đóng hàng chè sáng 02/12</t>
  </si>
  <si>
    <t>Đóng hàng chè chiều 03/12</t>
  </si>
  <si>
    <t>Trả hàng Vietsun sáng 05/12</t>
  </si>
  <si>
    <t>Trả hàng NK sáng 06/12</t>
  </si>
  <si>
    <t>Đóng hàng chè chiều 07/12</t>
  </si>
  <si>
    <t>Đóng hàng chè sáng 09/12</t>
  </si>
  <si>
    <t>Đóng hàng chè sáng 13/12</t>
  </si>
  <si>
    <t>Trả hàng Vietsun sáng 14/12</t>
  </si>
  <si>
    <t>Đóng hàng chè sáng 16/12</t>
  </si>
  <si>
    <t>Đóng hàng chè chiều 17/12</t>
  </si>
  <si>
    <t>Trả hàng Vietsun sáng 19/12</t>
  </si>
  <si>
    <t>Trả hàng Vietsun chiều 20/12</t>
  </si>
  <si>
    <t>Đóng hàng chè chiều 21/12</t>
  </si>
  <si>
    <t>Đóng hàng chè sáng 23/12</t>
  </si>
  <si>
    <t>Đóng hàng chè chiều 24/12</t>
  </si>
  <si>
    <t>Đóng hàng XK sáng 27/12</t>
  </si>
  <si>
    <t>Đóng hàng chè sáng 28/12</t>
  </si>
  <si>
    <t>Trả hàng Vietsun sáng 29/12</t>
  </si>
  <si>
    <t>Trả hàng Vietsun sáng 30/12</t>
  </si>
  <si>
    <t>Đóng hàng chè sáng 31/12</t>
  </si>
  <si>
    <t>TCNU6903196</t>
  </si>
  <si>
    <t>OOCU8092200</t>
  </si>
  <si>
    <t>OOCU7775691</t>
  </si>
  <si>
    <t>GAOU6505475</t>
  </si>
  <si>
    <t>CULU6206844</t>
  </si>
  <si>
    <t>YMMU6631741</t>
  </si>
  <si>
    <t>TGBU5158627</t>
  </si>
  <si>
    <t>GAOU6506384</t>
  </si>
  <si>
    <t>SEKU5890195</t>
  </si>
  <si>
    <t>MIOU5132235</t>
  </si>
  <si>
    <t>TCNU4595999</t>
  </si>
  <si>
    <t>GAOU6505454</t>
  </si>
  <si>
    <t>FFAU1514007</t>
  </si>
  <si>
    <t>TGBU6097819</t>
  </si>
  <si>
    <t>YMLU8754660</t>
  </si>
  <si>
    <t>GLDU9894853</t>
  </si>
  <si>
    <t>TCNU4697120</t>
  </si>
  <si>
    <t>GAOU6507082</t>
  </si>
  <si>
    <t>GAOU6507333</t>
  </si>
  <si>
    <t>TLLU5757478</t>
  </si>
  <si>
    <t>Kho Vũ Hải, km 23 Bần Yên Nhân, Mỹ Hào, Hưng Yên</t>
  </si>
  <si>
    <t>Cargill KCN Phố Nối A, Hưng Yên</t>
  </si>
  <si>
    <t>P. Tân Phong, TP. Lai Châu, Lai Châu</t>
  </si>
  <si>
    <t>Kho Vinafco, Thanh Trì, Hà Nội</t>
  </si>
  <si>
    <t>Nậm Búng, Văn Chấn, Yên Bái</t>
  </si>
  <si>
    <t>Thanh toán tiền làm lốp xe 15C-180.99 ngày 02/12</t>
  </si>
  <si>
    <t>Thanh toán tiền đảo cầu xe 15C-180.99 ngày 3/12</t>
  </si>
  <si>
    <t>Thanh toán tiền tháo lắp hàn chốt két nước, thay ống cao su đường sấy nóng xe 15C-180.99 ngày 21/11</t>
  </si>
  <si>
    <t>Thanh toán tiền đóng bạc 3 dọc  2 đầu, công xe 15C-180.99 ngày 30/11</t>
  </si>
  <si>
    <t>Thanh toán tiền thay bóng hơi tải xe 15C-180.99 ngày 18/11</t>
  </si>
  <si>
    <t>Thanh toán tiền thay moto bơm nước, công sửa điện xe 15C-180.99 ngày 8/12</t>
  </si>
  <si>
    <t>Thanh toán tiền đảo cầu xe 15C-180.99 ngày 8/12</t>
  </si>
  <si>
    <t>Thanh toán tiền ủ dầu rửa xe 15C-180.99 ngày 18/12</t>
  </si>
  <si>
    <t>Thanh toán tiền mua áo phản quang xe 15C-180.99</t>
  </si>
  <si>
    <t>Thanh toán tiền làm lốp + lót ghệt thay xăm cũ xe 15C-180.99 ngày 24/12</t>
  </si>
  <si>
    <t>Thanh toán tiền đảo lốp xe 15C-180.99 ngày 27/12</t>
  </si>
  <si>
    <t>Thah toán tiền lốp L1100R20 casu881 cho xe 15C-180.99 ngày 26/12</t>
  </si>
  <si>
    <t>Thanh toán tiền sửa xe 15C-180.99 ( thay xi lanh, gioăng quy lát, bơm nhớt, cảm biến, bi tăng van khí, công thợ)</t>
  </si>
  <si>
    <t>Thanh toán tiền mua phớt bô li cánh quạt công thay xe 15C-180.99 ngày 08/12</t>
  </si>
  <si>
    <t>Thanh toán tiền làm 1 mayơ, mua phớt mayơ , dầu cầu xe 15C-180.99 ngày 20/12</t>
  </si>
  <si>
    <t>Thanh toán tiền mua phớt đầu , công thay xe 15C-180.99 ngày 22/12</t>
  </si>
  <si>
    <t>Lương lx ( ngày công 24/26)</t>
  </si>
  <si>
    <t>Trả hàng NK sáng 26/12</t>
  </si>
  <si>
    <t>GAOU6423187</t>
  </si>
  <si>
    <t>Thanh toán tiền mua dầu Total Quartz 7000 5w30 ngày 25/11xe 15C-136.31; 15C-180.99; 15C-070.63; 15C-139.82</t>
  </si>
  <si>
    <t>TCLU3778920</t>
  </si>
  <si>
    <t>Phí QL</t>
  </si>
  <si>
    <t>LN</t>
  </si>
  <si>
    <t>Thưởng 29.55%</t>
  </si>
  <si>
    <t>LN từ 119.57</t>
  </si>
  <si>
    <t>Thưởng Tết lái xe</t>
  </si>
  <si>
    <t>THÁNG 01.2023</t>
  </si>
  <si>
    <t>Trả hàng Vietsun sáng 04/01</t>
  </si>
  <si>
    <t>KCN Yên Mỹ 2, TT Yên Mỹ, Hưng Yên</t>
  </si>
  <si>
    <t>Trả hàng Vietsun sáng 05/01</t>
  </si>
  <si>
    <t>DRYU9592259</t>
  </si>
  <si>
    <t>Đóng hàng chè sáng 07/01</t>
  </si>
  <si>
    <t>EGHU9372341</t>
  </si>
  <si>
    <t>Đóng hàng chè chiều 09/01 - 10/01</t>
  </si>
  <si>
    <t>FFAU1520313</t>
  </si>
  <si>
    <t>Đóng hàng chè sáng 12/01</t>
  </si>
  <si>
    <t>YMMU6371264</t>
  </si>
  <si>
    <t>Đóng hàng chè sáng 14/01</t>
  </si>
  <si>
    <t>BEAU4843021</t>
  </si>
  <si>
    <t>Tiên Phú, Phù Ninh, Phú Thọ</t>
  </si>
  <si>
    <t>Đóng hàng chè sáng 16/01</t>
  </si>
  <si>
    <t>TGHU9802935</t>
  </si>
  <si>
    <t xml:space="preserve">Thanh toán tiền mua 2 đèn tròn hậu moóc, đèn sườn to xe 15C-180.99 </t>
  </si>
  <si>
    <t>chi tiền thưởng tết dương lịch</t>
  </si>
  <si>
    <t>Thanh toán tiền  đảo lốp xe 15C-180.99 ngày 8/1</t>
  </si>
  <si>
    <t>Thanh toán tiền mua 4 cáp nối bình xe 15C-180.99 ngày 11/1</t>
  </si>
  <si>
    <t>Chi tiền cứu hộ xe 15C-180.99 cont TGHU9802935</t>
  </si>
  <si>
    <t>Thanh toán tiền câu binh xe 15C-180.99</t>
  </si>
  <si>
    <t>Thanh toán tiền thay lốp dự phòng xe 15C-180.99</t>
  </si>
  <si>
    <t>Thanh toán tiền cho Đông Trọng Thịnh - mua lốp 1100R20 xe 15C-180.99 ngày 08/1</t>
  </si>
  <si>
    <t>THÁNG 02.2023</t>
  </si>
  <si>
    <t>Trả hàng NK sáng 03/02</t>
  </si>
  <si>
    <t>Đóng hàng chè sáng 06/02</t>
  </si>
  <si>
    <t>Trả hàng phế liệu sáng 07/02</t>
  </si>
  <si>
    <t>Trả hàng phế liệu sáng 08/02</t>
  </si>
  <si>
    <t>Trả hàng Vietsun sáng 09/02</t>
  </si>
  <si>
    <t>Đóng hàng chè sáng 12/02</t>
  </si>
  <si>
    <t>Đóng hàng XK sáng 14/02</t>
  </si>
  <si>
    <t>Trả hàng NK sáng 15/02</t>
  </si>
  <si>
    <t>Trả hàng Vietsun sáng 16/02</t>
  </si>
  <si>
    <t>Trả hàng Vietsun sáng 17/02</t>
  </si>
  <si>
    <t>Trả hàng NK chiều 18/02</t>
  </si>
  <si>
    <t>Trả hàng NK chiều 20/02</t>
  </si>
  <si>
    <t>Trả hàng + đóng hàng KH 21/02</t>
  </si>
  <si>
    <t>Trả hàng NK sáng 22/02</t>
  </si>
  <si>
    <t>Trả hàng Vietsun sáng 23/02</t>
  </si>
  <si>
    <t>Trả hàng + đóng hàng KH 25/02</t>
  </si>
  <si>
    <t>Đóng hàng chè sáng 27/02</t>
  </si>
  <si>
    <t>Trả hàng Vietsun sáng 28/02</t>
  </si>
  <si>
    <t>DFSU4311175</t>
  </si>
  <si>
    <t>EITU9366817</t>
  </si>
  <si>
    <t>CSLU1694315</t>
  </si>
  <si>
    <t>OOLU2987170</t>
  </si>
  <si>
    <t>CAAU5136299</t>
  </si>
  <si>
    <t>FFAU1259283</t>
  </si>
  <si>
    <t>TGBU4279347</t>
  </si>
  <si>
    <t>MSDU5523766</t>
  </si>
  <si>
    <t>TCNU6563938</t>
  </si>
  <si>
    <t>TEMU7920011</t>
  </si>
  <si>
    <t>TLLU3489946</t>
  </si>
  <si>
    <t>CICU8421131</t>
  </si>
  <si>
    <t>TGBU9854156</t>
  </si>
  <si>
    <t>GAOU6800017</t>
  </si>
  <si>
    <t>FCIU4683219</t>
  </si>
  <si>
    <t>CAIU7423665</t>
  </si>
  <si>
    <t>GAOU6506595</t>
  </si>
  <si>
    <t>Mông Hóa, Hòa Bình</t>
  </si>
  <si>
    <t>CCN Quất Động, Thường Tín, Hà Nội</t>
  </si>
  <si>
    <t>KCN Quang Minh, Hà Nội</t>
  </si>
  <si>
    <t>Máy soi Nam Hải Đình Vũ - Kỳ Sơn, Hòa Bình</t>
  </si>
  <si>
    <t>Phú Thị, Gia Lâm, Hà Nội</t>
  </si>
  <si>
    <t>Thanh Liêm, Hà Nam</t>
  </si>
  <si>
    <t>Nghi Sơn, Thanh Hóa - KCN Lễ Môn, Thanh Hóa</t>
  </si>
  <si>
    <t>Kho VSIP, Bắc Ninh</t>
  </si>
  <si>
    <t>Thay lắp chắn bùn trước, inox đai, đai bô, hàn tay gương xe 15C-180.99</t>
  </si>
  <si>
    <t xml:space="preserve">Thanh toán Cty định vị bách khoa tiền thu phí duy trì camera 4 xe 15C-136.31, 15C-139.82, 15C-070.63, 15C-180.99 hết 12/2023 </t>
  </si>
  <si>
    <t>Thanh toán tiền cứu hộ xe + thay 2 xăm xe 15C-180.99 ngày 12/2</t>
  </si>
  <si>
    <t>Thanh toán tiền mua đèn hậu, đèn sườn + công thợ xe 15C-180.99 ngày 10/2</t>
  </si>
  <si>
    <t>Thanh toán tiền thay dương, sửa điện pha bóp pha, cốt xe 15C-180.99 ngày 14/2</t>
  </si>
  <si>
    <t>Thanh toán tiền sửa vỉ điện, tổng phanh dưới mâm, thay bộ zoăng phớt xe 15C-180.99 ngày 10/2</t>
  </si>
  <si>
    <t>Thanh toán tiền dầu total rubia tir 7400 20W50-208L xe 15C-139.82; 15C-180.99; 15C-136.31; 15C-070.63</t>
  </si>
  <si>
    <t>Thanh toán tiền lốp L295/75/16/ casu /6111  xe 15C-180.99 ngày 10/2</t>
  </si>
  <si>
    <t>Thanh toán tiền thay ly tâm quạt gió xe 15C-180.99 ngày 23/2</t>
  </si>
  <si>
    <t>Thanh toán tiền bơm mỡ xe 15C-180.99 ngày 08/12/22</t>
  </si>
  <si>
    <t>Thanh toán tiền thay 1 cò nhôm mỡ ngoài cánh lái xe 15C-180.99 ngày 23/02</t>
  </si>
  <si>
    <t>Thanh toán tiền thay van điều áp trước bơm ga + dầu lạnh, công thợ xe 15C-180.99 ngày 13/2</t>
  </si>
  <si>
    <t>Lương lx ( ngày công 14/26)</t>
  </si>
  <si>
    <t>Lương lx ( ngày công 24/24)</t>
  </si>
  <si>
    <t>THÁNG 03.2023</t>
  </si>
  <si>
    <t>Trả hàng + đóng hàng KH 01/03</t>
  </si>
  <si>
    <t>Trả hàng phế liệu sáng 02/03</t>
  </si>
  <si>
    <t>Đóng hàng XK sáng 04/03</t>
  </si>
  <si>
    <t>Trả hàng + đóng hàng KH 06/03</t>
  </si>
  <si>
    <t>Trả hàng NK sáng 07/03</t>
  </si>
  <si>
    <t>Trả hàng NK sáng 08/03</t>
  </si>
  <si>
    <t>Đóng hàng XK sáng 09/03</t>
  </si>
  <si>
    <t>Trả hàng Vietsun sáng 10/03</t>
  </si>
  <si>
    <t>Trả hàng NK sáng 11/03</t>
  </si>
  <si>
    <t>Trả hàng phế liệu ngày 13/03</t>
  </si>
  <si>
    <t>Trả hàng NK chiều 14/03</t>
  </si>
  <si>
    <t>Đóng hàng XK sáng 17/03</t>
  </si>
  <si>
    <t>Đóng hàng XK sáng 18/03</t>
  </si>
  <si>
    <t>Đóng hàng chè sáng 20/03</t>
  </si>
  <si>
    <t>Trả hàng NK sáng 22/03</t>
  </si>
  <si>
    <t>Đóng hàng chè sáng 23/03</t>
  </si>
  <si>
    <t>Trả hàng Vietsun sáng 24/03</t>
  </si>
  <si>
    <t>Đóng hàng XK sáng 25/03</t>
  </si>
  <si>
    <t>Trả hàng phế liệu sáng 27/03</t>
  </si>
  <si>
    <t>Trả hàng Vietsun sáng 28/03</t>
  </si>
  <si>
    <t>Trả hàng Vietsun sáng 29/03</t>
  </si>
  <si>
    <t>Đóng hàng KH sáng 30/03</t>
  </si>
  <si>
    <t>Ninh Sơn, TP. Ninh Bình - KCN Lễ Môn, Thanh Hóa</t>
  </si>
  <si>
    <t>TT. Đồng Văn, Duy Tiên, Hà Nam - Phủ Lý, Hà Nam</t>
  </si>
  <si>
    <t>Phủ Lý, Hà Nam + KCN Đồng Văn IV, Hà Nam</t>
  </si>
  <si>
    <t>KCN Bảo Minh, Vụ Bản, Nam Định</t>
  </si>
  <si>
    <t>KCN Yên Bình, Hồng Tiến, Phổ Yên, Thái Nguyên</t>
  </si>
  <si>
    <t>KCN Đồng Văn IV, Đại Cương, Kim Bảng, Hà Nam</t>
  </si>
  <si>
    <t>Vân Nội, Đông Anh, Hà Nội</t>
  </si>
  <si>
    <t>Kho Masan, Dị Sử, Hưng Yên</t>
  </si>
  <si>
    <t>Văn Lâm, Hưng Yên</t>
  </si>
  <si>
    <t>TCKU3325720</t>
  </si>
  <si>
    <t>TRLU5745441</t>
  </si>
  <si>
    <t>MSDU1632650</t>
  </si>
  <si>
    <t>WHLU2932000</t>
  </si>
  <si>
    <t>CAIU7472778</t>
  </si>
  <si>
    <t>FSCU5985906</t>
  </si>
  <si>
    <t>TRLU9687111</t>
  </si>
  <si>
    <t>DRYU9969846</t>
  </si>
  <si>
    <t>CRSU9239604</t>
  </si>
  <si>
    <t>TEMU7875972</t>
  </si>
  <si>
    <t>DRYU9874648</t>
  </si>
  <si>
    <t>MSKU7932100</t>
  </si>
  <si>
    <t>BEAU5150551</t>
  </si>
  <si>
    <t>TGBU4548472</t>
  </si>
  <si>
    <t>MSMU7911113</t>
  </si>
  <si>
    <t>CAIU4966463</t>
  </si>
  <si>
    <t>WHLU5720956</t>
  </si>
  <si>
    <t>GAOU6798769</t>
  </si>
  <si>
    <t>ZCSU6706421</t>
  </si>
  <si>
    <t>CBHU8888076</t>
  </si>
  <si>
    <t>DRYU9592794</t>
  </si>
  <si>
    <t>TCNU4785284</t>
  </si>
  <si>
    <t>Thanh toán tiền lọc dầu nhớt P551088 , lọc nhiên liệu P550821, lọc nhiên liệu tách nước P550748 xe 15C-180.99</t>
  </si>
  <si>
    <t>Thanh toán tiền hàn gia cố ba đờ sốc , hàn ráp đinh mooc 2 bên, cắt tháo bình nước, xe 15C-180.99</t>
  </si>
  <si>
    <t>Ép dây lọc li tâm, công thợ xe 15C-180.99 ngày 08/1</t>
  </si>
  <si>
    <t>Mua 1 bạc nhíp tải, công thay bạc nhíp, tán 5 bộ phanh moóc, công thợ  xe 15C-180.99 ngày 15/3</t>
  </si>
  <si>
    <t>Mua 2 lò xo to, 2 co lăn, tán 1 bộ phanh moóc, công xe 15C-180.99 ngày 4/2</t>
  </si>
  <si>
    <t>THÁNG 04.2023</t>
  </si>
  <si>
    <t>Thanh Ba, Phú Thọ</t>
  </si>
  <si>
    <t>KCN Đông Mai, Quảng Yên, Quảng Ninh</t>
  </si>
  <si>
    <t>Nam Trực, Nam Định</t>
  </si>
  <si>
    <t>Thanh toán tiền thay zoăng két nước xe 15C-180.99</t>
  </si>
  <si>
    <t>Mua ép bạc giằng cầu, 2 bạc nhíp tải, công thay bạc nhíp, tay giằng xe 15C-180.99</t>
  </si>
  <si>
    <t xml:space="preserve">Thanh toán tiền mua cáp kéo xe 15C-180.99 </t>
  </si>
  <si>
    <t>Thanh toán tiền sửa chập điện moóc, thay loạt cầu chì tablo cho xe 15C-180.99</t>
  </si>
  <si>
    <t xml:space="preserve">Thanh toán tiền mua bình cứu hỏa, búa thoát hiểm </t>
  </si>
  <si>
    <t xml:space="preserve">Chi tiền thưởng nghỉ lễ 30/4-1/5 </t>
  </si>
  <si>
    <t>Thanh toán tiền mua dây hơi moóc xe 15C-180.99</t>
  </si>
  <si>
    <t xml:space="preserve">Thanh toán tiền mua tam giác moóc, tem cẩm lửa  </t>
  </si>
  <si>
    <t>Chuyển tiền thanh toán tiền phí bảo hiểm vật chất xe 15C-180.99</t>
  </si>
  <si>
    <t>Thanh toán tiền lán pitong , dầu số 4 l, công làm pitong, mua phớt pitong xe 15C-180.99 ngày 2/4</t>
  </si>
  <si>
    <t>THÁNG 05.2023</t>
  </si>
  <si>
    <t>Đóng hàng chè sáng 05/05</t>
  </si>
  <si>
    <t>xã Vân Lĩnh, Thanh Ba, Phú Thọ</t>
  </si>
  <si>
    <t>THÁNG 06.2023</t>
  </si>
  <si>
    <t>Trả hàng NK sáng 16/06</t>
  </si>
  <si>
    <t>Đóng hàng chè chiều 23/06</t>
  </si>
  <si>
    <t>Đóng hàng chè sáng 27/06</t>
  </si>
  <si>
    <t>Trả hàng NK sáng 01/06</t>
  </si>
  <si>
    <t>Đóng hàng XK chiều 03/06</t>
  </si>
  <si>
    <t>Trả hàng Vietsun sáng 05/06</t>
  </si>
  <si>
    <t>Đóng hàng KH 5/6 trả sáng 6/6</t>
  </si>
  <si>
    <t>Đóng hàng XK sáng 07/06</t>
  </si>
  <si>
    <t>Đóng hàng chè sáng 08/06</t>
  </si>
  <si>
    <t>Trả hàng Vietsun sáng 09/06</t>
  </si>
  <si>
    <t>Đóng hàng chè sáng 10/06</t>
  </si>
  <si>
    <t>Trả hàng Vietsun sáng 12/06</t>
  </si>
  <si>
    <t>Trả hàng Vietsun sáng 14/06</t>
  </si>
  <si>
    <t>Đóng hàng KH 14/06 trả 15/06</t>
  </si>
  <si>
    <t>Đóng hàng chè sáng 19/06</t>
  </si>
  <si>
    <t>Đóng hàng chè sáng 22/06</t>
  </si>
  <si>
    <t>Đóng hàng XK sáng 28/06</t>
  </si>
  <si>
    <t>Trả hàng Vietsun sáng 29/06</t>
  </si>
  <si>
    <t xml:space="preserve">WHSU6624000 </t>
  </si>
  <si>
    <t>TRHU6954710</t>
  </si>
  <si>
    <t>TLLU6078620</t>
  </si>
  <si>
    <t>CAIU4673207</t>
  </si>
  <si>
    <t>BSIU9437956</t>
  </si>
  <si>
    <t>WHSU2937183</t>
  </si>
  <si>
    <t>DRYU9718250</t>
  </si>
  <si>
    <t>SEGU5772182</t>
  </si>
  <si>
    <t>YMLU8689672</t>
  </si>
  <si>
    <t>GAOU6145825</t>
  </si>
  <si>
    <t>PIDU4131357</t>
  </si>
  <si>
    <t>CAIU4283662</t>
  </si>
  <si>
    <t>MSKU7243857</t>
  </si>
  <si>
    <t>TEMU7034245</t>
  </si>
  <si>
    <t>OOCU8030384</t>
  </si>
  <si>
    <t>CSNU6002696</t>
  </si>
  <si>
    <t>GESU6344899</t>
  </si>
  <si>
    <t>GAOU6144990</t>
  </si>
  <si>
    <t>Hoa Sơn, Anh Sơn, Nghệ An</t>
  </si>
  <si>
    <t>KCN Phúc Sơn, Ninh Bình</t>
  </si>
  <si>
    <t>KCN Thuận Thành 3, Bắc Ninh</t>
  </si>
  <si>
    <t>KCN Yên Mỹ 2, Yên Mỹ, Hưng Yên</t>
  </si>
  <si>
    <t>KCN Tân Quang, Văn Lâm, Hưng Yên</t>
  </si>
  <si>
    <t>Đại Sơn, Tứ Kỳ, Hải Dương</t>
  </si>
  <si>
    <t>Minh Đức, Thủy Nguyên, Hải Phòng</t>
  </si>
  <si>
    <t>Mai Lâm, Tĩnh Gia, Thanh Hóa</t>
  </si>
  <si>
    <t>Cargill, KCN Phố Nối A, Văn Lâm, Hưng Yên</t>
  </si>
  <si>
    <t>YMMU6776196</t>
  </si>
  <si>
    <t>BEAU6435760</t>
  </si>
  <si>
    <t>CSNU6967410</t>
  </si>
  <si>
    <t>YMMU6655240</t>
  </si>
  <si>
    <t>MSDU4177843</t>
  </si>
  <si>
    <t>LCGU8231561</t>
  </si>
  <si>
    <t>TLLU5707538</t>
  </si>
  <si>
    <t>OOLU9772466</t>
  </si>
  <si>
    <t>TGBU9206370</t>
  </si>
  <si>
    <t>TRHU3693926</t>
  </si>
  <si>
    <t>BEAU6020697</t>
  </si>
  <si>
    <t>TCNU3675786</t>
  </si>
  <si>
    <t>YMLU8739460</t>
  </si>
  <si>
    <t>TCNU5465840</t>
  </si>
  <si>
    <t>HASU4997941</t>
  </si>
  <si>
    <t>MSCU4497587</t>
  </si>
  <si>
    <t>TGBU7115687</t>
  </si>
  <si>
    <t>Đóng hàng chè sáng 04/05</t>
  </si>
  <si>
    <t>Đóng hàng chè sáng 07/05</t>
  </si>
  <si>
    <t>Đóng hàng XK sáng 09/05</t>
  </si>
  <si>
    <t>Đóng hàng chè sáng 11/05</t>
  </si>
  <si>
    <t>Đóng hàng chè sáng 13/05 - 14/05</t>
  </si>
  <si>
    <t>Đóng hàng chè sáng 16/05</t>
  </si>
  <si>
    <t>Đóng hàng XK sáng 17/05</t>
  </si>
  <si>
    <t>Đóng hàng chè chiều 18/05</t>
  </si>
  <si>
    <t>Trả hàng Vietsun sáng 19/05</t>
  </si>
  <si>
    <t>Đóng hàng chè sáng 21/05</t>
  </si>
  <si>
    <t>Đóng hàng chè sáng 25/05</t>
  </si>
  <si>
    <t>Đóng hàng XK sáng 26/05</t>
  </si>
  <si>
    <t>Đóng hàng XK sáng 29/05</t>
  </si>
  <si>
    <t>Đóng hàng chè sáng 30/05</t>
  </si>
  <si>
    <t>Vĩnh Ngọc, Đông Anh, Hà Nội</t>
  </si>
  <si>
    <t>KCN Châu Sơn, Phủ Lý, Hà Nam</t>
  </si>
  <si>
    <t>Hoàng Mai, Hà Nội</t>
  </si>
  <si>
    <t>KCN Nam Đình Vũ, Hải Phòng</t>
  </si>
  <si>
    <t>Thạch Thất, Hà Nội</t>
  </si>
  <si>
    <t>THÁNG 07.2023</t>
  </si>
  <si>
    <t>Đóng hàng chè sáng 01/07</t>
  </si>
  <si>
    <t>Đóng hàng XK chiều 03/07</t>
  </si>
  <si>
    <t>Trả hàng kết hợp chiều 04/07</t>
  </si>
  <si>
    <t>Đóng hàng chè sáng 05/07</t>
  </si>
  <si>
    <t>Đóng hàng chè sáng 06/07</t>
  </si>
  <si>
    <t>Đóng hàng XK sáng 07/07</t>
  </si>
  <si>
    <t>Đóng hàng chè sáng 09/07</t>
  </si>
  <si>
    <t>Đóng hàng XK sáng 10/07</t>
  </si>
  <si>
    <t>Trả hàng Vietsun sáng 11/07</t>
  </si>
  <si>
    <t>Đóng hàng chè sáng 12/07</t>
  </si>
  <si>
    <t>Đóng hàng chè sáng 14/07</t>
  </si>
  <si>
    <t>Đóng hàng chè sáng 17/07</t>
  </si>
  <si>
    <t>Trả hàng NK sáng 19/07</t>
  </si>
  <si>
    <t>Trà hàng NK sáng 22/07</t>
  </si>
  <si>
    <t>Đóng hàng chè sáng 24/07</t>
  </si>
  <si>
    <t>Trả hàng + đóng hàng KH 25/07</t>
  </si>
  <si>
    <t>Đóng hàng chè sáng 26/07</t>
  </si>
  <si>
    <t>Trả hàng NK sáng 27/07</t>
  </si>
  <si>
    <t>Đóng hàng chè chiều 28/07</t>
  </si>
  <si>
    <t>Đóng hàng XK sáng 31/07</t>
  </si>
  <si>
    <t>KCN Quế Võ 2, Bắc Ninh</t>
  </si>
  <si>
    <t>Phú Mỹ, Ba Vì, Hà Nội - Mỹ Bằng, Yên Sơn, TQ</t>
  </si>
  <si>
    <t>KCN Nguyên Khê, Đông Anh, Hà Nội</t>
  </si>
  <si>
    <t>Đông Anh, Hà Nội - Phú Lương, Thái Nguyên</t>
  </si>
  <si>
    <t>KCN VSIP, Bắc Ninh</t>
  </si>
  <si>
    <t>WBPU7036798</t>
  </si>
  <si>
    <t>MSMU7313641</t>
  </si>
  <si>
    <t>WHSU6869180</t>
  </si>
  <si>
    <t>BEAU4843715</t>
  </si>
  <si>
    <t>PCIU8711509</t>
  </si>
  <si>
    <t>YMMU6164375</t>
  </si>
  <si>
    <t>WHSU6120967</t>
  </si>
  <si>
    <t>DRYU9593358</t>
  </si>
  <si>
    <t>BEAU5263917</t>
  </si>
  <si>
    <t>SEGU5976709</t>
  </si>
  <si>
    <t>EMCU8280353</t>
  </si>
  <si>
    <t>CAIU4329423</t>
  </si>
  <si>
    <t>SKHU9901549</t>
  </si>
  <si>
    <t>TCLU5371403</t>
  </si>
  <si>
    <t>OOCU7244890</t>
  </si>
  <si>
    <t>HACU4181215</t>
  </si>
  <si>
    <t>OOCU7104564</t>
  </si>
  <si>
    <t>KMTU9339117</t>
  </si>
  <si>
    <t>YMMU6764430</t>
  </si>
  <si>
    <t>EGHU1023209</t>
  </si>
  <si>
    <t>GAOU6474121</t>
  </si>
  <si>
    <t>TLLU6022575</t>
  </si>
  <si>
    <t>THÁNG 08.2023</t>
  </si>
  <si>
    <t>Đóng hàng XK sáng 01/08</t>
  </si>
  <si>
    <t>Trả hàng NK sáng 02/08</t>
  </si>
  <si>
    <t>Đóng hàng KH chiều 02/08</t>
  </si>
  <si>
    <t>Trả hàng NK sáng 03/08</t>
  </si>
  <si>
    <t>Đóng hàng chè sáng 04/08 - 05/08</t>
  </si>
  <si>
    <t>Trả hàng Vietsun sáng 07/08</t>
  </si>
  <si>
    <t>Trả hàng NK sáng 08/08</t>
  </si>
  <si>
    <t>Đóng hàng chè sáng 09/08</t>
  </si>
  <si>
    <t>Trả hàng Vietsun sáng 11/08</t>
  </si>
  <si>
    <t>Đóng hàng XK sáng 12/08</t>
  </si>
  <si>
    <t>Đóng hàng XK sáng 14/08</t>
  </si>
  <si>
    <t>Đóng hàng chè sáng 15/08</t>
  </si>
  <si>
    <t>Đóng hàng chè sáng 18/08</t>
  </si>
  <si>
    <t>Đóng hàng XK sáng 19/08</t>
  </si>
  <si>
    <t>Đóng hàng chè sáng 21/08</t>
  </si>
  <si>
    <t>Đóng hàng chè chiều 22/08</t>
  </si>
  <si>
    <t>Đóng hàng chè 24/08 - 25/08</t>
  </si>
  <si>
    <t>Trả hàng NK sáng 26/08</t>
  </si>
  <si>
    <t>Đóng hàng chè sáng 28/08</t>
  </si>
  <si>
    <t>Trả hàng NK sáng 29/08</t>
  </si>
  <si>
    <t>Trả hàng NK sáng 30/08</t>
  </si>
  <si>
    <t>Trả hàng NK sáng 31/08</t>
  </si>
  <si>
    <t>CCLU5249195</t>
  </si>
  <si>
    <t>TCKU7161498</t>
  </si>
  <si>
    <t>OOLU9929010</t>
  </si>
  <si>
    <t>GAOU6144958</t>
  </si>
  <si>
    <t>TRHU2678167</t>
  </si>
  <si>
    <t>OOCU8290777</t>
  </si>
  <si>
    <t>DRYU9719019</t>
  </si>
  <si>
    <t>PCIU8815205</t>
  </si>
  <si>
    <t>GLDU9675578</t>
  </si>
  <si>
    <t>CAIU7967490</t>
  </si>
  <si>
    <t>FCIU7117880</t>
  </si>
  <si>
    <t>EMCU8388749</t>
  </si>
  <si>
    <t>IAAU2726044</t>
  </si>
  <si>
    <t>BEAU5278100</t>
  </si>
  <si>
    <t>OOCU8941396</t>
  </si>
  <si>
    <t>TEMU8811273</t>
  </si>
  <si>
    <t>WHSU6029754</t>
  </si>
  <si>
    <t>EITU1957808</t>
  </si>
  <si>
    <t>MSDU5130753</t>
  </si>
  <si>
    <t>MSMU4722559</t>
  </si>
  <si>
    <t>TLLU2182024</t>
  </si>
  <si>
    <t>KCN Quang Minh, Mê Linh, Hà Nội</t>
  </si>
  <si>
    <t>KCN Quang Châu, Vân Trung, Bắc Giang</t>
  </si>
  <si>
    <t>KCN Yên Mỹ, Yên Mỹ, Hưng Yên</t>
  </si>
  <si>
    <t>KCN Thuận Thành 2, Bắc Ninh</t>
  </si>
  <si>
    <t>TT. Đông Anh, Đông Anh, Hà Nội</t>
  </si>
  <si>
    <t>Phủ Lỗ, Sóc Sơn, Hà Nội</t>
  </si>
  <si>
    <t>Bình Giang, Hải Dương</t>
  </si>
  <si>
    <t>Mộc Châu, Sơn La - Thanh Sơn, Phú Thọ</t>
  </si>
  <si>
    <t>Việt Hùng, Đông Anh, Hà Nội</t>
  </si>
  <si>
    <t>Đóng hàng chè sáng 01/04</t>
  </si>
  <si>
    <t>Đóng hàng chè sáng 03/04</t>
  </si>
  <si>
    <t>Trả hàng Vietsun sáng 05/04</t>
  </si>
  <si>
    <t>Đóng hàng XK sáng 06/04</t>
  </si>
  <si>
    <t>Đóng hàng XK sáng 07/04</t>
  </si>
  <si>
    <t>Đóng hàng XK sáng 10/04</t>
  </si>
  <si>
    <t>Đóng hàng chè sáng 11/04</t>
  </si>
  <si>
    <t>Đóng hàng chè chiều 12/04</t>
  </si>
  <si>
    <t>Đóng hàng XK sáng 14/04</t>
  </si>
  <si>
    <t>Trả hàng NK chiều 15/04</t>
  </si>
  <si>
    <t>Đóng hàng chè sáng 17/04</t>
  </si>
  <si>
    <t>Đóng hàng XK sáng 18/04</t>
  </si>
  <si>
    <t>Trả hàng Vietsun sáng 19/04</t>
  </si>
  <si>
    <t>Trả hàng phế liệu sáng 20/04</t>
  </si>
  <si>
    <t>Đóng hàng XK sáng 21/04</t>
  </si>
  <si>
    <t>Đóng hàng chè sáng 23/04</t>
  </si>
  <si>
    <t>Đóng hàng XK tôi 24/04</t>
  </si>
  <si>
    <t>Đóng hàng XK sáng 25/04</t>
  </si>
  <si>
    <t>Đóng hàng XK chiều 28/04</t>
  </si>
  <si>
    <t>Đóng hàng XK sáng 29/04</t>
  </si>
  <si>
    <t>OOCU7402851</t>
  </si>
  <si>
    <t>TGBU8923015</t>
  </si>
  <si>
    <t>DRYU9878561</t>
  </si>
  <si>
    <t>MSMU7663017</t>
  </si>
  <si>
    <t>EITU3177565</t>
  </si>
  <si>
    <t>EITU0025316</t>
  </si>
  <si>
    <t>EGHU3220594</t>
  </si>
  <si>
    <t>CAIU4553264</t>
  </si>
  <si>
    <t>TLLU5744296</t>
  </si>
  <si>
    <t>VMLU3859310</t>
  </si>
  <si>
    <t>EMCU6215678</t>
  </si>
  <si>
    <t>TGBU4370550</t>
  </si>
  <si>
    <t>NYKU8507109</t>
  </si>
  <si>
    <t>GAOU6144942</t>
  </si>
  <si>
    <t>FSCU9419614</t>
  </si>
  <si>
    <t>MSDU4530077</t>
  </si>
  <si>
    <t>YMLU9009635</t>
  </si>
  <si>
    <t>BMOU4080114</t>
  </si>
  <si>
    <t>MSDU4110243</t>
  </si>
  <si>
    <t>CXDU2050608</t>
  </si>
  <si>
    <t>ZCSU8550472</t>
  </si>
  <si>
    <t>BMOU5612633</t>
  </si>
  <si>
    <t>HMMU2050844</t>
  </si>
  <si>
    <t>Vân Lĩnh, Thanh Ba, Phú Thọ</t>
  </si>
  <si>
    <t>Bỉm Sơn, Thanh Hóa</t>
  </si>
  <si>
    <t>KCN Nam Thăng Long, Từ Liêm, Hà Nội</t>
  </si>
  <si>
    <t>Thanh toán tiền công tắc phanh xe 15C-180.99 ngày 3/5</t>
  </si>
  <si>
    <t>Thanh toán tiền mua nước xanh cho xe 15C-136.31; 15C-180.99; 15C-139.82; 15C-070.63</t>
  </si>
  <si>
    <t>Thanh toán tiền hàn treo bình nước, hàn táp thùng đồ, hàn bình nước xe 15C-180.99</t>
  </si>
  <si>
    <t>Thanh toán tiền cân lốp, thay van xe 15C-180.99 ngày 08/5</t>
  </si>
  <si>
    <t>Thanh toán tiền bơm mỡ xe 15C-180.99 ngày 12/5</t>
  </si>
  <si>
    <t xml:space="preserve"> Thanh toán tiền lắp đai ống + tháo lắp hàn chắn bùn xe 15C-180.99 ngày 22/5</t>
  </si>
  <si>
    <t>Thanh tóa tiền thay 1 vỉ điện , 2 đèn hậu. rơ le + zắc, công tắc xe 15C-180.99 ngày 22/5</t>
  </si>
  <si>
    <t>Thanh toán tiền kiểm định xe 15C-180.99</t>
  </si>
  <si>
    <t>Thanh toán phí đường bộ xe 15C-180.99</t>
  </si>
  <si>
    <t>Thanh toán tiền bơm mỡ xe 15C-180.99 ngày 15/3</t>
  </si>
  <si>
    <t>Thanh toán tiền lọc nhớt, lọc nước xe 15C-136.31; 15C-139.82; 15C-070.63; 15C-180.99</t>
  </si>
  <si>
    <t>Thanh toán tiền thay chân van mới, công làm vá xe 15C-180.99</t>
  </si>
  <si>
    <t>Thanh toán mua 1 xô dầu nhớt 18L cho 15C-136.31 +  15C-180.99 +  15C-139.82</t>
  </si>
  <si>
    <t>Thanh toán tiền mua tam giác phản quang cho xe 15C-136.31; 15C-136.31; 15C-180.99; 15C-070.63</t>
  </si>
  <si>
    <t>Thanh toán tiền cân lốp + xịt lọc xe 15C-180.99 ngày 20/6</t>
  </si>
  <si>
    <t>Thanht oán tiền mua bóng 9005; 9006, dây moóc vải  cho xe 15C-180.99 ngày 17/6</t>
  </si>
  <si>
    <t>Thanh toán tiền đóng bạc 3 ngang 3 dọc, đóng bạc actizơ, 2 chốt cavét + công xe 15C-180.99 ngày 26/5</t>
  </si>
  <si>
    <t>Thanh toán tiền phục hồi van cơ, van điện , gioăng, công tháo lắp xe 15C-180.99 ngày 26/6</t>
  </si>
  <si>
    <t>Thanh toán tiền mua bọc chống nóng đuôi máy xe 15C-180.99 ngày 26/6</t>
  </si>
  <si>
    <t>Thanh toán tiền sửa tổng xả, điều tiết hơi ( thay zoăng nhĩ, cốc lọc khí, công) xe 15C-180.99 ngày 03/6</t>
  </si>
  <si>
    <t>Thanh bát phanh lái, ông tuy ô lái xe 15C-180.99 ngày 25/5</t>
  </si>
  <si>
    <t xml:space="preserve">Thanh toán tiền mua chì tạm cho xe 15C-136.31; 15C-139.82; 15C-180.99; 15C-070.63 </t>
  </si>
  <si>
    <t>Thanh toán tiền bơm mỡ xe 15C-180.99 ngày 7/7</t>
  </si>
  <si>
    <t>Thanh toán tiền thay 1 cảm biến ngắt lạnh, giá chổi than quạt sau, bơm bổ sung ga xe 15C-180.99 ngày 3/7</t>
  </si>
  <si>
    <t>Thanh toán tiền thay 1 quả bóng tải , chế 1 cút đồng ép táo 3 chạc pi 10 xe 15C-180.99 ngày 19/7</t>
  </si>
  <si>
    <t>Thanh toán tiền mua 1 bạc nhíp tải, công thay xe 15C-180.99 ngày 7/7</t>
  </si>
  <si>
    <t>Thanh toán tiền lốp 1100R20 CSM/881 cho xe 15C-180.99 ngày 03/7</t>
  </si>
  <si>
    <t>Thanh toán tiền thay ống nước pi 34  mặt máy xe 15C-180.99 ngày 1/8</t>
  </si>
  <si>
    <t>Lương lx ( ngày công 29/26)</t>
  </si>
  <si>
    <t>Lương lx ( ngày công 26/25)</t>
  </si>
  <si>
    <t>Chi hỗ trợ lái xe bị phạt vi phạm nội quy nhà máy</t>
  </si>
  <si>
    <t>THÁNG 09.2023</t>
  </si>
  <si>
    <t>Đóng hàng chè sáng 01/09</t>
  </si>
  <si>
    <t>Đóng hàng chè sáng 06/09</t>
  </si>
  <si>
    <t>Trả hàng NK sáng 08/09</t>
  </si>
  <si>
    <t>Trả hàng NK sáng 09/09</t>
  </si>
  <si>
    <t>Đóng hàng chè sáng 10/09</t>
  </si>
  <si>
    <t>Trả hàng phế liệu sáng 14/09</t>
  </si>
  <si>
    <t>Trả hàng Vietsun sáng 15/09</t>
  </si>
  <si>
    <t>Đóng hàng chè sáng 16/09</t>
  </si>
  <si>
    <t>Đóng hàng chè sáng 18/09</t>
  </si>
  <si>
    <t>Đóng hàng chè sáng 19/09</t>
  </si>
  <si>
    <t>Đóng hàng chè chiều 23/09</t>
  </si>
  <si>
    <t>Trả hàng NK sáng 27/09</t>
  </si>
  <si>
    <t>Trả hàng NK sáng 28/09</t>
  </si>
  <si>
    <t>Đóng hàng chè sáng 30/09</t>
  </si>
  <si>
    <t>BMOU5700349</t>
  </si>
  <si>
    <t>TRHU7473128</t>
  </si>
  <si>
    <t>EGHU9605309</t>
  </si>
  <si>
    <t>TCNU4666460</t>
  </si>
  <si>
    <t>UETU2321716</t>
  </si>
  <si>
    <t>SEGU9904230</t>
  </si>
  <si>
    <t>DRYU9792935</t>
  </si>
  <si>
    <t>EISU8566308</t>
  </si>
  <si>
    <t>GAOU6507098</t>
  </si>
  <si>
    <t>MOEU0712552</t>
  </si>
  <si>
    <t>DRYU9589548</t>
  </si>
  <si>
    <t>DRYU9906848</t>
  </si>
  <si>
    <t>TGBU7296501</t>
  </si>
  <si>
    <t>FFAU3079640</t>
  </si>
  <si>
    <t>DRYU9970071</t>
  </si>
  <si>
    <t>YMMU6038891</t>
  </si>
  <si>
    <t>OOCU8790598</t>
  </si>
  <si>
    <t>TGHU1803405</t>
  </si>
  <si>
    <t>MNBU1001495</t>
  </si>
  <si>
    <t>TCKU7564390</t>
  </si>
  <si>
    <t>EMCU8931136</t>
  </si>
  <si>
    <t>EMCU8566809</t>
  </si>
  <si>
    <t>Trả hàng NK sáng 02/10</t>
  </si>
  <si>
    <t>Đóng hàng chè chiều 03/10 - 05/10</t>
  </si>
  <si>
    <t>Trả lại hàng về Lai Châu sáng 07/10</t>
  </si>
  <si>
    <t>Đóng hàng chè chiều 08/10</t>
  </si>
  <si>
    <t>Đóng hàng XK sáng 12/10</t>
  </si>
  <si>
    <t>Trả hàng NK sáng 16/10</t>
  </si>
  <si>
    <t>Trả hàng NK sáng 17/10</t>
  </si>
  <si>
    <t>Trả hàng NK sáng 19/10</t>
  </si>
  <si>
    <t>Trả hàng đường ngắn/ ca xe 23/10</t>
  </si>
  <si>
    <t>Đóng hàng chè sáng 24/10</t>
  </si>
  <si>
    <t>Đóng hàng rút ruột sáng cont 25/10</t>
  </si>
  <si>
    <t>Đóng hàng chè sáng 26/10</t>
  </si>
  <si>
    <t>Trả hàng Vietsun sáng 27/10</t>
  </si>
  <si>
    <t>Trả hàng NK sáng 28/10</t>
  </si>
  <si>
    <t>Đóng hàng chè sáng 30/10</t>
  </si>
  <si>
    <t>OOCU7937540</t>
  </si>
  <si>
    <t>TCNU9713939</t>
  </si>
  <si>
    <t>HPCU4575919</t>
  </si>
  <si>
    <t>GLDU5276029</t>
  </si>
  <si>
    <t>FFAU3331108</t>
  </si>
  <si>
    <t>DRYU9961341</t>
  </si>
  <si>
    <t>BEAU4303893</t>
  </si>
  <si>
    <t>SEGU4578260</t>
  </si>
  <si>
    <t>TGBU6456781</t>
  </si>
  <si>
    <t>EMCU8866724</t>
  </si>
  <si>
    <t>CSLU6338003</t>
  </si>
  <si>
    <t>N/A</t>
  </si>
  <si>
    <t>TCNU6180712</t>
  </si>
  <si>
    <t>CRSU9015939</t>
  </si>
  <si>
    <t>WHSU0027179</t>
  </si>
  <si>
    <t>DRYU9592310</t>
  </si>
  <si>
    <t>PCIU1117516</t>
  </si>
  <si>
    <t>CICU3357030</t>
  </si>
  <si>
    <t>Nguyễn Văn Linh, TP. Hưng Yên</t>
  </si>
  <si>
    <t>Bản Bo, Tam Đường, Lai Châu</t>
  </si>
  <si>
    <t>Phúc Khoa, Tân Uyên, Lai Châu</t>
  </si>
  <si>
    <t>Tiền ca xe do hủy kế hoạch không chạy</t>
  </si>
  <si>
    <t>Sơn Hùng, Thanh Sơn, Phú Thọ</t>
  </si>
  <si>
    <t>Kho ngoại quan DKP, Đình Vũ, Hải Phòng</t>
  </si>
  <si>
    <t>Mỹ Hào, Hưng Yên</t>
  </si>
  <si>
    <t>THÁNG 10.2023</t>
  </si>
  <si>
    <t>THÁNG 11.2023</t>
  </si>
  <si>
    <t>PCIU1080886</t>
  </si>
  <si>
    <t>TSSU2055780</t>
  </si>
  <si>
    <t>FFAU1130845</t>
  </si>
  <si>
    <t>YMMU6645679</t>
  </si>
  <si>
    <t>TXGU5790143</t>
  </si>
  <si>
    <t>EGHU9380898</t>
  </si>
  <si>
    <t>GAOU2250400</t>
  </si>
  <si>
    <t>TGBU6676132</t>
  </si>
  <si>
    <t>TLLU7744989</t>
  </si>
  <si>
    <t>EMCU1720147</t>
  </si>
  <si>
    <t>DRYU9592773</t>
  </si>
  <si>
    <t>WHSU5783034</t>
  </si>
  <si>
    <t>MRKU7072520</t>
  </si>
  <si>
    <t>TLLU7890828</t>
  </si>
  <si>
    <t>YMMU6371367</t>
  </si>
  <si>
    <t>DFSU1518220</t>
  </si>
  <si>
    <t>GESU6160700</t>
  </si>
  <si>
    <t>DRYU9961531</t>
  </si>
  <si>
    <t>EMCU1674144</t>
  </si>
  <si>
    <t>TCNU8597428</t>
  </si>
  <si>
    <t>OOLU9481901</t>
  </si>
  <si>
    <t>YMMU6236900</t>
  </si>
  <si>
    <t>BEAU4806590</t>
  </si>
  <si>
    <t>KCN Thuận Thành, Bắc Ninh</t>
  </si>
  <si>
    <t>Hải Phòng</t>
  </si>
  <si>
    <t>Đường 196, Văn Lâm, Hưng Yên</t>
  </si>
  <si>
    <t>Cargill KCN Phố Nối A, Văn Lâm, Hưng Yên</t>
  </si>
  <si>
    <t>CCN Liên Phương, Thường Tín, Hà Nội</t>
  </si>
  <si>
    <t>Trại Ro, Quốc Oai, Hà Nội</t>
  </si>
  <si>
    <t>Hy Cương, TP. Việt Trì, Phú Thọ</t>
  </si>
  <si>
    <t>KCN Phúc Sơn, TP. Ninh Bình</t>
  </si>
  <si>
    <t>Trả hàng NK sáng 01/11</t>
  </si>
  <si>
    <t>Đóng hàng XK sáng 02/11</t>
  </si>
  <si>
    <t>Lái xe lấy vỏ không đạt yêu cầu 02/11</t>
  </si>
  <si>
    <t>Đóng hàng chè sáng 03/11</t>
  </si>
  <si>
    <t>Đóng hàng chè sáng 04/11</t>
  </si>
  <si>
    <t>Trả hàng NK sáng 07/11</t>
  </si>
  <si>
    <t>Đóng hàng XK sáng 08/11</t>
  </si>
  <si>
    <t>Đóng hàng chè sáng 09/11</t>
  </si>
  <si>
    <t>Đóng hàng chè sáng 11/11</t>
  </si>
  <si>
    <t>Trả hàng Vietsun sáng 13/11</t>
  </si>
  <si>
    <t>Đóng hàng XK sáng 15/11</t>
  </si>
  <si>
    <t>Trả hàng Vietsun sáng 16/11</t>
  </si>
  <si>
    <t>Đóng hàng chè chiều 18/11</t>
  </si>
  <si>
    <t>Đóng hàng XK sáng 20/11</t>
  </si>
  <si>
    <t>Đóng hàng chè sáng 21/11</t>
  </si>
  <si>
    <t>Trả hàng Vietsun sáng 22/11</t>
  </si>
  <si>
    <t>Đóng hàng chè sáng 24/11</t>
  </si>
  <si>
    <t>Đóng hàng chè sáng 26/11</t>
  </si>
  <si>
    <t>Trả hàng NK sáng 27/11</t>
  </si>
  <si>
    <t>Đóng hàng chè sáng 28/11</t>
  </si>
  <si>
    <t>Đóng hàng chè sáng 30/11</t>
  </si>
  <si>
    <t>Đóng hàng chè sáng 01/12</t>
  </si>
  <si>
    <t>Đóng hàng chè sáng 05/12</t>
  </si>
  <si>
    <t>Trả hàng Vietsun sáng 07/12</t>
  </si>
  <si>
    <t>Đóng hàng chè sáng 08/12</t>
  </si>
  <si>
    <t>Đóng hàng chè chiều 09/12</t>
  </si>
  <si>
    <t>Đóng hàng chè chiều 11/12</t>
  </si>
  <si>
    <t>Trả hàng NK sáng 12/12</t>
  </si>
  <si>
    <t>Trả hàng Vietsun sáng 13/12</t>
  </si>
  <si>
    <t>Đóng hàng XK sáng 14/12</t>
  </si>
  <si>
    <t>Đóng hàng XK sáng 15/12</t>
  </si>
  <si>
    <t>Đóng hàng chè sáng 19/12</t>
  </si>
  <si>
    <t>Đóng hàng chè sáng 20/12</t>
  </si>
  <si>
    <t>Trả hàng Vietsun sáng 25/12</t>
  </si>
  <si>
    <t>Đóng hàng XK sáng 26/12</t>
  </si>
  <si>
    <t>Đóng hàng chè sáng 27/12</t>
  </si>
  <si>
    <t>Đóng hàng chè sáng 30/12</t>
  </si>
  <si>
    <t>Đường D1, KCN Yên Mỹ II, Hưng Yên</t>
  </si>
  <si>
    <t>KCN Sông Khoai, Quảng Yên, Quảng Ninh</t>
  </si>
  <si>
    <t>Vũ Ninh, Kiến Xương, Thái Bình</t>
  </si>
  <si>
    <t>Sông Công, Thái Nguyên</t>
  </si>
  <si>
    <t>CAIU9166740</t>
  </si>
  <si>
    <t>MISU5150362</t>
  </si>
  <si>
    <t>DRYU9968710</t>
  </si>
  <si>
    <t>TCNU8675114</t>
  </si>
  <si>
    <t>GAOU6800362</t>
  </si>
  <si>
    <t>TGBU9929430</t>
  </si>
  <si>
    <t>TCNU7237140</t>
  </si>
  <si>
    <t>TCNU8828846</t>
  </si>
  <si>
    <t>TEMU3769191</t>
  </si>
  <si>
    <t>DRYU9718795</t>
  </si>
  <si>
    <t>EITU1378600</t>
  </si>
  <si>
    <t>TRHU2407231</t>
  </si>
  <si>
    <t>TGBU6319691</t>
  </si>
  <si>
    <t>TXGU5623341</t>
  </si>
  <si>
    <t>SVLU4443790</t>
  </si>
  <si>
    <t>CAIU4668704</t>
  </si>
  <si>
    <t>TGHU6340284</t>
  </si>
  <si>
    <t>YMLU9027618</t>
  </si>
  <si>
    <t>NLLU4171609</t>
  </si>
  <si>
    <t>SEGU6744288</t>
  </si>
  <si>
    <t>THÁNG 12.2023</t>
  </si>
  <si>
    <t>TT. Như Quỳnh, Văn Lâm, Hưng Yên</t>
  </si>
  <si>
    <t>KCN An Phát, Việt Hòa, TP. Hải Dương</t>
  </si>
  <si>
    <t>Bình Lục, Hà Nam</t>
  </si>
  <si>
    <t>Thay la răng xe 15C-180.99</t>
  </si>
  <si>
    <t>Thanh toán tiền sửa la zăng, xịt xe 15C-180.99 ngày 5/9</t>
  </si>
  <si>
    <t xml:space="preserve">Thanh toán tiền dầu nhớt cho 4 xe 15C-136.31; 15C-139.82; 15C-070.63; 15C-180.99 </t>
  </si>
  <si>
    <t>Thanh toán tiền đảo la răng xe 15C-180.99 ngày 8/9</t>
  </si>
  <si>
    <t>Thanh toán tiền mua 04 bình ắc quy xe 15C-180.99</t>
  </si>
  <si>
    <t>Thay lốp dự phòng xe 15C-180.99 ngày 19/9</t>
  </si>
  <si>
    <t>Thanh toán tiền rơ le ngắt lạnh xe 15C-180.99 ngày 09/9</t>
  </si>
  <si>
    <t>Thanh toán tiền thay lốc lạnh, lọc ga, bơm ga, dầu lạnh, thay sim, công xe 15C-180.99 ngày 29/8</t>
  </si>
  <si>
    <t>Thanh toán tiền mua 1 bạc nhíp lái, công thay xe 15C-180.99 ngày 6/8</t>
  </si>
  <si>
    <t>Thanh toán tiền lọc dầu nhớt P551088; lọc nhiên liệu P550821; Lọc nhiên liệu tách nước P550748, lọc dầu nhớt P574863 xe 15C-180.99"</t>
  </si>
  <si>
    <t>Thanh toán tiền làm lốp, dán lốp xe 15C-180.99 ngày 15/10</t>
  </si>
  <si>
    <t>Thanh toán tiền bơm mỡ xe 15C-180.99 ngày 11/10</t>
  </si>
  <si>
    <t>Thanh toán tiền thay 2 đèn sau biển số, 2 đèn sườn to, chạy dây vai moóc, dây điện xe 15C-180.99 ngày 23/10</t>
  </si>
  <si>
    <t>Thanh toán tiền lốp L1100R20 casu881 cho xe 15C-180.99 ngày 20/10</t>
  </si>
  <si>
    <t>Thanh toán tiền săm xe 15C-180.99 ngày 2/10</t>
  </si>
  <si>
    <t>Thanh toán tiền bảo dưỡng tổng phanh moóc + 24 m ống, zắc co xe 15C-180.99 ngày 31/10</t>
  </si>
  <si>
    <t>Thanh toán tiền lọc nhớt cho xe 15C-136.31; 15C-139.82; 15C-180.99 ngày 27/10</t>
  </si>
  <si>
    <t>Thanh toán tiền hàn ống lạnh, thay ống lạnh, bơm ga, dầu lạnh xe 15C-180.99 ngày 18/10</t>
  </si>
  <si>
    <t>Lương lx ( ngày công 25/26)</t>
  </si>
  <si>
    <t xml:space="preserve">Thanh toán tiền dầu nhớt  cho xe 15C-136.31; 15C-139.82; 15C-180.99; 15C-070.63 </t>
  </si>
  <si>
    <t xml:space="preserve">Thanh toán tiền thay ắc quy xe 15C-180.99 </t>
  </si>
  <si>
    <t>Thanh toán tiền phí sử dụng đường bộ xe 15C-180.99</t>
  </si>
  <si>
    <t>Thanh toán tiền lệ phí đăng kiểm xe 15C-180.99</t>
  </si>
  <si>
    <t>Thanh toán tiền đảo lốp lái xe 15C-180.99 ngày 23/11</t>
  </si>
  <si>
    <t>Thanh toán tiền bảo hiểm dân sự xe 15C-180.99</t>
  </si>
  <si>
    <t>Thanh toán tiền thay 1 quả bóng tải , 1 bộ chia hơi bóng tải xe 15C-180.99 ngày 15/11</t>
  </si>
  <si>
    <t>Thanh toán tiền làm lốp đứt van xe 15C-180.99 ngày 02/12</t>
  </si>
  <si>
    <t>Thanh toán tiền bơm mỡ đầu kéo + moóc xe 15C-180.99 ngày 29/11</t>
  </si>
  <si>
    <t>Thanh toán tiền mua lọc nhiên liệu P550821; lọc nhiên liệu tách nước P550748 xe 15C-180.99</t>
  </si>
  <si>
    <t>Thanh toán tiền mua chì tạm cho xe 15C-136.31; 15C-139.82; 15C-180.99; 15C-070.63</t>
  </si>
  <si>
    <t>Thanh toán tiền mua 2 ống gió, 2 đai cùm + công thay xe 15C-180.99 ngày 29/11</t>
  </si>
  <si>
    <t>Thanh toán tiền tán 2 bộ phanh, thay 3 vòng i, dây coro, đóng bạc 3 dọc, công thay xe 15C-180.99 ngày 22/11</t>
  </si>
  <si>
    <t>Thay bình nước phụ mới, hàn bình dầu bên lái + công thợ tháo lắp xe 15C-180.99 ngày 13/11</t>
  </si>
  <si>
    <t>Thanh toán tiền BD đế + MF, thay đi ot xe 15C-180.99 ngày 23/11</t>
  </si>
  <si>
    <t>Thanh toán tiền 2 lọ dầu trợ lực lái cho xe 15C-180.99</t>
  </si>
  <si>
    <t>Thanh toán tiền thay quả bóng hơi, bộ chia hơi , sửa tổng hơi xe 15C-180.99 ngày 12/12</t>
  </si>
  <si>
    <t>Thanh toán tiền cứu hộ xe ở Hưng yên , tháo lắp bơm hơi xe 15C-180.99 ngày 18/12</t>
  </si>
  <si>
    <t>Thanh toán tiền thay ống dầu cấp, công thợ xe 15C-180.99 ngày 06/12</t>
  </si>
  <si>
    <t>Thanh toán tiền lốp xe 295/75R22.5/16 CSM11 cho xe 15C-180.99 ngày 29/12</t>
  </si>
  <si>
    <t>Thanh toán tiền săm cho xe 15C-180.99 ngày 27/12</t>
  </si>
  <si>
    <t>Thanh toán tiền mua phớt bớt lái, dầu bớt lái xe 15C-180.99 ngày 29/12</t>
  </si>
  <si>
    <t>THÁNG 01.2024</t>
  </si>
  <si>
    <t>Đóng hàng chè sáng 02/01</t>
  </si>
  <si>
    <t>Đóng hàng XK sáng 03/01</t>
  </si>
  <si>
    <t>Đóng hàng chè sáng 04/01</t>
  </si>
  <si>
    <t>Đóng hàng chè sáng 05/01</t>
  </si>
  <si>
    <t>Trả hàng Vietsun sáng 06/01</t>
  </si>
  <si>
    <t>Đóng hàng KH Vietsun chiều 06/01</t>
  </si>
  <si>
    <t>Đóng hàng chè sáng 08/01</t>
  </si>
  <si>
    <t>Đóng hàng chè chiều 09/01</t>
  </si>
  <si>
    <t>Trả hàng Vietsun sáng 10/01</t>
  </si>
  <si>
    <t>Trả hàng NK sáng 11/01</t>
  </si>
  <si>
    <t>Đóng hàng chè sáng 15/01</t>
  </si>
  <si>
    <t>Trả hàng Vietsun sáng 16/01</t>
  </si>
  <si>
    <t>Đóng hàng chè sáng 17/01</t>
  </si>
  <si>
    <t>Trả hàng NK sáng 18/01</t>
  </si>
  <si>
    <t>Đóng hàng chè sáng 19/01</t>
  </si>
  <si>
    <t>Đóng hàng đường ngắn sáng 20/01</t>
  </si>
  <si>
    <t>Trả hàng NK sáng 22/01</t>
  </si>
  <si>
    <t>Đóng hàng chè sáng 23/01</t>
  </si>
  <si>
    <t>Trả hàng Vietsun sáng 24/01</t>
  </si>
  <si>
    <t>Đóng hàng chè sáng 25/01</t>
  </si>
  <si>
    <t>Trả hàng NK sáng 26/01</t>
  </si>
  <si>
    <t>Trả hàng NK sáng 27/01</t>
  </si>
  <si>
    <t>Đóng hàng chè sáng 29/01</t>
  </si>
  <si>
    <t>Đóng hàng chè sáng 30/01</t>
  </si>
  <si>
    <t>Đóng hàng chè chiều 31/01</t>
  </si>
  <si>
    <t>Tiên Cường, Tiên Lãng, Hải Phòng</t>
  </si>
  <si>
    <t>Cảng nội địa, Việt Hòa, TP. Hải Dương</t>
  </si>
  <si>
    <t>KCN Đại An, Hải Dương</t>
  </si>
  <si>
    <t>KCN Quang Châu, Việt Yên, Bắc Giang</t>
  </si>
  <si>
    <t>KCN Hòa Mạc, Duy Tiên, Hà Nam</t>
  </si>
  <si>
    <t>NM chè Thành Đạt, Thanh Chương, Nghệ An</t>
  </si>
  <si>
    <t>Ninh Dân, Thanh Ba, Phú Thọ</t>
  </si>
  <si>
    <t>GCXU5443215</t>
  </si>
  <si>
    <t>WHSU6948817</t>
  </si>
  <si>
    <t>ZCSU6865017</t>
  </si>
  <si>
    <t>OOCU8361593</t>
  </si>
  <si>
    <t>VSGU4230228</t>
  </si>
  <si>
    <t>YMMU6418309</t>
  </si>
  <si>
    <t>TCNU3786711</t>
  </si>
  <si>
    <t>MRSU6091318</t>
  </si>
  <si>
    <t>MIOU5128826</t>
  </si>
  <si>
    <t>TEMU7889343</t>
  </si>
  <si>
    <t>GAOU6145105</t>
  </si>
  <si>
    <t>YMMU6675288</t>
  </si>
  <si>
    <t>TLLU2620590</t>
  </si>
  <si>
    <t>YMMU6226820</t>
  </si>
  <si>
    <t>BMOU4511823</t>
  </si>
  <si>
    <t>TCLU5780850</t>
  </si>
  <si>
    <t>YMMU6412609</t>
  </si>
  <si>
    <t>GAOU6145609</t>
  </si>
  <si>
    <t>BURU6692475</t>
  </si>
  <si>
    <t>TEMU5242580</t>
  </si>
  <si>
    <t>TGBU6874945</t>
  </si>
  <si>
    <t>WHSU6759705</t>
  </si>
  <si>
    <t>YMMU6593410</t>
  </si>
  <si>
    <t>OOCU8599196</t>
  </si>
  <si>
    <t>THÁNG 02.2024</t>
  </si>
  <si>
    <t>Trả hàng NK sáng 01/02</t>
  </si>
  <si>
    <t>Trả hàng NK sáng 02/02</t>
  </si>
  <si>
    <t>Trả hàng NK sáng 05/02</t>
  </si>
  <si>
    <t>Trả hàng Vietsun chiều 15/02</t>
  </si>
  <si>
    <t>Trả hàng NK sáng 20/02</t>
  </si>
  <si>
    <t>Trả hàng NK sáng 21/02</t>
  </si>
  <si>
    <t>Trả hàng Vietsun sáng 22/02</t>
  </si>
  <si>
    <t>Trả hàng + đóng hàng KH 23/02</t>
  </si>
  <si>
    <t>Trả hàng NK sáng 24/02</t>
  </si>
  <si>
    <t>Trả  hàng Vietsun sáng 26/02</t>
  </si>
  <si>
    <t>Trả hàng NK sáng 27/02</t>
  </si>
  <si>
    <t>Đóng hàng KH chiều 28/02 trả 29/02</t>
  </si>
  <si>
    <t>KCN Minh Phương, Đình Vũ - KCN VSIP Bắc Ninh</t>
  </si>
  <si>
    <t>Thượng Thanh, Long Biên, Hà Nội</t>
  </si>
  <si>
    <t>TT Cẩm Giàng, Hải Dương</t>
  </si>
  <si>
    <t>CCN Ngọc Hồi, Thanh Trì, Hà Nội</t>
  </si>
  <si>
    <t>tt. Bần Yên Nhân, Yên Mỹ, Hưng Yên</t>
  </si>
  <si>
    <t>CCN Hà Mãn - Trí Quả, Thuận Thành, Bắc Ninh</t>
  </si>
  <si>
    <t>Như Quỳnh, Văn Lâm, HY - KCN Thăng Long, Hà Nội</t>
  </si>
  <si>
    <t>KCN Quế Võ III, Bắc Ninh</t>
  </si>
  <si>
    <t>CCN Thanh Oai, Hà Đông, Hà Nội</t>
  </si>
  <si>
    <t>Văn Tảo, Thường Tín, Hà Nội</t>
  </si>
  <si>
    <t>RLTU3052969</t>
  </si>
  <si>
    <t>GCXU5181054</t>
  </si>
  <si>
    <t>PIDU4031738</t>
  </si>
  <si>
    <t>WHSU6234492</t>
  </si>
  <si>
    <t>YMMU6534280</t>
  </si>
  <si>
    <t>GAOU6506825</t>
  </si>
  <si>
    <t>DRYU9591490</t>
  </si>
  <si>
    <t>GAOU6798558</t>
  </si>
  <si>
    <t>MRKU0486405</t>
  </si>
  <si>
    <t>TGBU8778410</t>
  </si>
  <si>
    <t>DRYU9592618</t>
  </si>
  <si>
    <t>BEAU5331246</t>
  </si>
  <si>
    <t>EMCU1570047</t>
  </si>
  <si>
    <t>TCNU4595366</t>
  </si>
  <si>
    <t>TCLU5425578</t>
  </si>
  <si>
    <t>TEMU7055377</t>
  </si>
  <si>
    <t>THÁNG 03.2024</t>
  </si>
  <si>
    <t>Đóng hàng XK sáng 01/03</t>
  </si>
  <si>
    <t>Trả hàng Vietsun sáng 02/03</t>
  </si>
  <si>
    <t>Đóng hàng chè sáng 04/03</t>
  </si>
  <si>
    <t>Trả hàng Vietsun sáng 05/03</t>
  </si>
  <si>
    <t>Trả hàng Vietsun sáng 06/03</t>
  </si>
  <si>
    <t>Trả hàng Vietsun sáng 08/03</t>
  </si>
  <si>
    <t>Trả hàng Vietsun sáng 13/03</t>
  </si>
  <si>
    <t>Trả hàng Vietsun sáng 14/03</t>
  </si>
  <si>
    <t>Trả hàng Vietsun sáng 15/03</t>
  </si>
  <si>
    <t>Trả hàng Vietsun sáng 19/03</t>
  </si>
  <si>
    <t>Trả hàng Vietsun sáng 21/03</t>
  </si>
  <si>
    <t>Trả hàng NK sáng 26/03</t>
  </si>
  <si>
    <t>Đóng hàng KH chiều 26/03</t>
  </si>
  <si>
    <t>Trả hàng NK sáng 27/03</t>
  </si>
  <si>
    <t>Trả hàng NK sáng 29/03</t>
  </si>
  <si>
    <t>Đóng hàng XK sáng 30/03</t>
  </si>
  <si>
    <t>Yên Mỹ, Hưng Yên - KCN Đại An, Hải Dương</t>
  </si>
  <si>
    <t>Kho Vũ Hải, Km23 Bần Yên Nhân, Mỹ Hào, Hưng Yên</t>
  </si>
  <si>
    <t>KCN Việt Hưng, Hạ Long, Quảng Ninh</t>
  </si>
  <si>
    <t>Long Hưng, Văn Giang, Hưng Yên</t>
  </si>
  <si>
    <t>Phương Viên, Hạ Hòa, Phú Thọ</t>
  </si>
  <si>
    <t>Tân Dĩnh, Lạng Giang, Bắc Giang</t>
  </si>
  <si>
    <t>KCN Đại Đồng - Hoàn Sơn, Bắc Ninh</t>
  </si>
  <si>
    <t>Nam Thanh, Nam Trực, Nam Định</t>
  </si>
  <si>
    <t>KKTU8075204</t>
  </si>
  <si>
    <t>YMLU8668807</t>
  </si>
  <si>
    <t>EGSU9198249</t>
  </si>
  <si>
    <t>GAOU6143289</t>
  </si>
  <si>
    <t>GAOU6798820</t>
  </si>
  <si>
    <t>MSKU9080996</t>
  </si>
  <si>
    <t>TEMU7034348</t>
  </si>
  <si>
    <t>DRYU9962950</t>
  </si>
  <si>
    <t>GAOU6143083</t>
  </si>
  <si>
    <t>YMLU8700025</t>
  </si>
  <si>
    <t>TTNU8343874</t>
  </si>
  <si>
    <t>YMLU8948177</t>
  </si>
  <si>
    <t>WHLU4311402</t>
  </si>
  <si>
    <t>YMLU6645880</t>
  </si>
  <si>
    <t>OOCU8807999</t>
  </si>
  <si>
    <t>OOLU9673247</t>
  </si>
  <si>
    <t>TEMU6346676</t>
  </si>
  <si>
    <t>TGHU9865065</t>
  </si>
  <si>
    <t>IAAU2848443</t>
  </si>
  <si>
    <t>THÁNG 04.2024</t>
  </si>
  <si>
    <t>Trả hàng Vietsun chiều 01/04</t>
  </si>
  <si>
    <t>Đóng hàng chè sáng 02/04</t>
  </si>
  <si>
    <t>Trả hàng Vietsun sáng 04/04</t>
  </si>
  <si>
    <t>Đóng hàng chè sáng 09/04</t>
  </si>
  <si>
    <t>Trả hàng Vietsun sáng 10/04</t>
  </si>
  <si>
    <t>Trả hàng Vietsun sáng 11/04</t>
  </si>
  <si>
    <t>Đóng hàng XK sáng 12/04</t>
  </si>
  <si>
    <t>Trả hàng Vietsun sáng 13/04</t>
  </si>
  <si>
    <t>Trả hàng Vietsun sáng 15/04</t>
  </si>
  <si>
    <t>Đóng hàng chè chiều 25/04</t>
  </si>
  <si>
    <t>Đóng hàng chè sáng 27/04</t>
  </si>
  <si>
    <t>TCNU3063184</t>
  </si>
  <si>
    <t>GAOU6799889</t>
  </si>
  <si>
    <t>CMAU6449863</t>
  </si>
  <si>
    <t>TCNU4595474</t>
  </si>
  <si>
    <t>TRHU5169667</t>
  </si>
  <si>
    <t>DRYU9969810</t>
  </si>
  <si>
    <t>GAOU6144813</t>
  </si>
  <si>
    <t>TRHU2046756</t>
  </si>
  <si>
    <t>TEMU8801927</t>
  </si>
  <si>
    <t>BSIU9660677</t>
  </si>
  <si>
    <t>KCN Thuận Thành 3, Thuận Thành, Bắc Ninh</t>
  </si>
  <si>
    <t>Võ Miếu, Thanh Sơn, Phú Thọ</t>
  </si>
  <si>
    <t>Cẩm Sơn, TP. Cẩm Phả, Quảng Ninh</t>
  </si>
  <si>
    <t>Khu 5, TT Thanh Ba, Phú Thọ</t>
  </si>
  <si>
    <t>THÁNG 05.2024</t>
  </si>
  <si>
    <t>Đóng hàng chè sáng 09/05</t>
  </si>
  <si>
    <t>Trả hàng đường ngắn 10/05</t>
  </si>
  <si>
    <t>Đóng hàng chè sáng 13/05</t>
  </si>
  <si>
    <t>Đóng hàng chè sáng 22/05</t>
  </si>
  <si>
    <t>Trả hàng Vietsun sáng 24/05</t>
  </si>
  <si>
    <t>Đóng hàng chè sáng 26/05</t>
  </si>
  <si>
    <t>Đóng hàng chè sáng 27/05</t>
  </si>
  <si>
    <t>Đóng hàng chè sáng 29/05</t>
  </si>
  <si>
    <t>Đóng hàng chè sáng 31/05</t>
  </si>
  <si>
    <t>Kho 87 Vạn Mỹ, Ngô Quyền, Hải Phòng</t>
  </si>
  <si>
    <t>Yên Trung, Yên Phong, Bắc Ninh</t>
  </si>
  <si>
    <t>YMMU6664555</t>
  </si>
  <si>
    <t>CSLU6278820</t>
  </si>
  <si>
    <t>FSCU8712525</t>
  </si>
  <si>
    <t>CULU6128485</t>
  </si>
  <si>
    <t>EMCU6347210</t>
  </si>
  <si>
    <t>FFAU3177353</t>
  </si>
  <si>
    <t>VOLU4524947</t>
  </si>
  <si>
    <t>DRYU9876091</t>
  </si>
  <si>
    <t>CSNU8317455</t>
  </si>
  <si>
    <t>FFAU1654009</t>
  </si>
  <si>
    <t>FSCU8548962</t>
  </si>
  <si>
    <t>BMOU6282475</t>
  </si>
  <si>
    <t>OOCU8586012</t>
  </si>
  <si>
    <t>THÁNG 06.2024</t>
  </si>
  <si>
    <t>HNKU6241515</t>
  </si>
  <si>
    <t>TGBU6756351</t>
  </si>
  <si>
    <t>CSNU7638574</t>
  </si>
  <si>
    <t>WHSU6691945</t>
  </si>
  <si>
    <t>GAOU6143041</t>
  </si>
  <si>
    <t>CIPU5038080</t>
  </si>
  <si>
    <t>EMCU1783187</t>
  </si>
  <si>
    <t>GAOU6799024</t>
  </si>
  <si>
    <t>OOCU6949905</t>
  </si>
  <si>
    <t>CSNU6594044</t>
  </si>
  <si>
    <t>PONU7309589</t>
  </si>
  <si>
    <t>OOLU9191754</t>
  </si>
  <si>
    <t>TGBU7276906</t>
  </si>
  <si>
    <t>SLLU4979947</t>
  </si>
  <si>
    <t>SEGU5308696</t>
  </si>
  <si>
    <t>HPCU4613789</t>
  </si>
  <si>
    <t>Cẩm Đông, Cẩm Giàng, Hải Dương</t>
  </si>
  <si>
    <t>Mai Đình, Phủ Lỗ, Sóc Sơn, Hà Nội</t>
  </si>
  <si>
    <t>Yên Viên, Hà Nội - Bản Bo, Tam Đường, Lai Châu</t>
  </si>
  <si>
    <t>Tân Phong, TP. Lai Châu</t>
  </si>
  <si>
    <t>Đóng hàng chè sáng 06/06</t>
  </si>
  <si>
    <t>Đóng hàng chè chiều 08/06</t>
  </si>
  <si>
    <t>Đóng hàng chè chiều 14/06</t>
  </si>
  <si>
    <t>Đóng hàng Vietsun sáng 17/06</t>
  </si>
  <si>
    <t>Đóng hàng chè sáng 18/06</t>
  </si>
  <si>
    <t>Đóng hàng chè chiều 20/06</t>
  </si>
  <si>
    <t>Đóng hàng chè sáng 25/06</t>
  </si>
  <si>
    <t>Đóng hàng chè sáng 28/06</t>
  </si>
  <si>
    <t>OOCU8510573</t>
  </si>
  <si>
    <t>Thanh toán tiền đổ dầu thải bót lái xe 15C-180.99</t>
  </si>
  <si>
    <t>Thanh toán tiền thay ống vào két nước xe 15C-180.99</t>
  </si>
  <si>
    <t>Thanh toán tiền lọc nhớt xe 15C-180.99 ngày 15/1</t>
  </si>
  <si>
    <t>Thanh toán tiền thay zoăng khớp nối két nước ba giàn , công thợ xe 15C-180.99 ngày 07/1</t>
  </si>
  <si>
    <t>Thanh toán thay lưỡi gạt mưa xe 15C-180.99 ngày 20/1</t>
  </si>
  <si>
    <t>Thanh toán tiển sửa hàn điện, vittong nhanh chậm xe 15C-180.99 ngày 24/1</t>
  </si>
  <si>
    <t xml:space="preserve">Thùng dầu Việt Phát </t>
  </si>
  <si>
    <t>Thanh toán tiền mua đèn cho xe 15C-136.31; 15C-139.82; 15C-180.99; 15C-070.63</t>
  </si>
  <si>
    <t>Thanh toán tiền thay đèn hậu led, công hàn lại gạt mưa xe 15C-180.99 ngày 19/2</t>
  </si>
  <si>
    <t>Thanh toán tiền hàn đắp khóa mâm, thay đinh,.. công thợ  xe 15C-180.99</t>
  </si>
  <si>
    <t>Thanh toán Cty định vị bách khoa tiền thu phí duy trì camera 4 xe 15C-136.31, 15C-139.82, 15C-070.63, 15C-180.99 hết T03/2025</t>
  </si>
  <si>
    <t>Thanh toán tiền lốp 11.00R20 CSM 881 xe 15C-180.99 ngày 15/2 ( cả săm yếm)</t>
  </si>
  <si>
    <t>Thanh toán tiền lọc gió xe 15C-180.99  ngày 27/2</t>
  </si>
  <si>
    <t>Thanh toán tiền bơm mỡ xe 15C-180.99</t>
  </si>
  <si>
    <t>Thanh toán tiền sửa điện cabin thay đèn led xe 15C-180.99</t>
  </si>
  <si>
    <t>Thanh toán tiền kiểm định rơ mooc 15R-05037 xe 15C-180.99</t>
  </si>
  <si>
    <t>Thanh toán tiền sửa ghế, trải sàn, bọc ghế xe 15C-180.99</t>
  </si>
  <si>
    <t>Thanh toán tiền mua chì cho xe 15C-139.82; 15C-070.63; 15C-180.99; 15C-136.31</t>
  </si>
  <si>
    <t>Thanh toán tiền bơm lốp, thay chân van xe 15C-180.99 ngày 28/3</t>
  </si>
  <si>
    <t>Thanh toán tiền sửa chập điện đầu kéo, thay đèn led hậu xe 15C-180.99 ngày 28/3</t>
  </si>
  <si>
    <t>Thanh toán phục hồi van điện egr, man nước, gioăng egr, thông xúc sinh hàn khí thải, cò các kim phun xe 15C-180.99 ngày 25/3</t>
  </si>
  <si>
    <t>Thanh toán tiền sửa ly tâm cánh quạt , van nhiệt , công tháp lắp van xe 15C-180.99  ngày 18/3</t>
  </si>
  <si>
    <t>Thanh toán lọc nước làm mát, nước cất pha nước làm mát xe 15C-180.99</t>
  </si>
  <si>
    <t>Hàn chế 2 kê nhíp, công hàn cho xe 15C-180.99</t>
  </si>
  <si>
    <t>Thanh toán tiền bảo hiểm vật chất xe 15C-180.99 ngày 31/03</t>
  </si>
  <si>
    <t>Thanh toán tiền cứu hộ , lắp bi xe 15C-180.99 ngày 14/5</t>
  </si>
  <si>
    <t>Thanh toán tiền đi đường cứu hộ xe 15C-180.99 ngày 14/5</t>
  </si>
  <si>
    <t>Thanh toán tiền dầu đi cứu hộ xe 15C-180.99 ngày 14/5</t>
  </si>
  <si>
    <t>Thanh toán tiền thay lốp , thay đèn làm kiểm định xe 15C-180.99</t>
  </si>
  <si>
    <t xml:space="preserve">Thanh toán tiền kiểm định đầu kéo xe 15C-180.99 </t>
  </si>
  <si>
    <t>Thanh toán phí sử dụng đường bộ xe 15C-180.99</t>
  </si>
  <si>
    <t>Thanh toán tiền thay mặt mâm moóc , công thợ cắt hàn xe 15C-180.99</t>
  </si>
  <si>
    <t xml:space="preserve">Thanh toán giường chắn mâm xe 15C-180.99 </t>
  </si>
  <si>
    <t>TT tiền đảo lốp xe 15C-180.99</t>
  </si>
  <si>
    <t>Thanh toán tiền thuê lốp cũ xe 15C-180.99 ngày 28/5</t>
  </si>
  <si>
    <t>Thanh toán tiền trợ lực lái xe 15C-180.99 ngày 07/6</t>
  </si>
  <si>
    <t>Thanh toán tiền dầu trợ lực lái xe 15C-180.99 ngày 08/6</t>
  </si>
  <si>
    <t>Thanh toán tiền thủy lực cho xe 15C-180.99 ngày 13/6</t>
  </si>
  <si>
    <t>Thanh toán tiền thủy lực cho xe 15C-180.99 ngày 14/6</t>
  </si>
  <si>
    <t>Thanh toán tiền trợ lực lái xe 15C-180.99 ngày 10/6</t>
  </si>
  <si>
    <t>"Thanh toán tiền tán 6 phanh mốc, 6 thăng bua moóc, 12 con lăn phanh, bảo dưỡng, 12 bạc, 12 ắc , 24 ốc, 6 bộ lò xo, công  , đóng bạc 3 ngang, 3 dọc xe 15C-180.99 ngày 30/3"</t>
  </si>
  <si>
    <t>Thanh toán tiền chạy dây chế công tắc còi hơi xe 15C-180.99 ngày 18/6</t>
  </si>
  <si>
    <t>Thanh toán tiền mua dầu phanh xe 15C-180.99 ngày 22/6</t>
  </si>
  <si>
    <t>Thanh toán tiền nước làm mát xe 15C-180.99 ngày 18/6</t>
  </si>
  <si>
    <t>Thanh toán tiền đóng bạc 3 dọc 2 đầu, 01 giảm sóc tải, công thay xe 15C-180.99 ngày 12/4</t>
  </si>
  <si>
    <t>Thanh toán tiền tháo lắp két gió, hàn chảy 3 két gió xe 15C-180.99 ngày 07/4</t>
  </si>
  <si>
    <t xml:space="preserve">Thanh toán tiền đóng bạc áctizơ, trộn 2 canh, công , dầu cầu xe 15C-180.99 ngày 07/1 </t>
  </si>
  <si>
    <t>Thanh toán mua phớt bớt lái, dầu thủy lực 3 lít, công thay phớt xe 15C-180.99 ngày 21/2</t>
  </si>
  <si>
    <t>Thanh toán tiền làm bớt lái, công tháo lắp, dầu lái xe 15C-180.99 ngày 2/2</t>
  </si>
  <si>
    <t>Thanh toán tiền mua mâm trung gian, phanh, tán 2 lá côn, hãm côn , công hạ côn xe 15C-180.99 ngày 13/1</t>
  </si>
  <si>
    <t>Thanh toán tiền dầu chữ L, lọc tinh , công thợ xe 15C-180.99 ngày 4/6</t>
  </si>
  <si>
    <t>THÁNG 07.2024</t>
  </si>
  <si>
    <t>Đóng hàng chè chiều 01/07</t>
  </si>
  <si>
    <t>Đóng hàng chè sáng 03/07</t>
  </si>
  <si>
    <t>Trả hàng Vietsun sáng 04/07</t>
  </si>
  <si>
    <t>Trả hàng NK sáng 05/07</t>
  </si>
  <si>
    <t>Trả hàng NK sáng 06/07</t>
  </si>
  <si>
    <t>Đóng hàng XK sáng 09/07</t>
  </si>
  <si>
    <t>Đóng hàng chè sáng 18/07</t>
  </si>
  <si>
    <t>Trả hàng Vietsun sáng 19/07</t>
  </si>
  <si>
    <t>Trả hàng NK sáng 22/07</t>
  </si>
  <si>
    <t>Đóng hàng KH chiều 22/7 trả sáng 23/7</t>
  </si>
  <si>
    <t>Trả hàng NK sáng 24/07</t>
  </si>
  <si>
    <t>Đóng hàng chè sáng 27/07</t>
  </si>
  <si>
    <t>Đóng hàng chè sáng 29/07</t>
  </si>
  <si>
    <t>TGBU4341470</t>
  </si>
  <si>
    <t>FFAU3248586</t>
  </si>
  <si>
    <t>GAOU6143340</t>
  </si>
  <si>
    <t>TGBU4663331</t>
  </si>
  <si>
    <t>OOLU1787963</t>
  </si>
  <si>
    <t>TGBU4791250</t>
  </si>
  <si>
    <t>TCNU6187189</t>
  </si>
  <si>
    <t>CBHU8927819</t>
  </si>
  <si>
    <t>GAOU6799066</t>
  </si>
  <si>
    <t>CBHU9542283</t>
  </si>
  <si>
    <t>CSNU8358686</t>
  </si>
  <si>
    <t>BSIU9831450</t>
  </si>
  <si>
    <t>YMMU6857214</t>
  </si>
  <si>
    <t>GAOU6800110</t>
  </si>
  <si>
    <t>OOCU8848160</t>
  </si>
  <si>
    <t>OOCU8855955</t>
  </si>
  <si>
    <t>TXGU5663200</t>
  </si>
  <si>
    <t>YMMU6507345</t>
  </si>
  <si>
    <t>TIIU5061106</t>
  </si>
  <si>
    <t>TGCU2070351</t>
  </si>
  <si>
    <t>Kho Vinafco, KCN Tiên Sơn, Bắc Ninh</t>
  </si>
  <si>
    <t>Giai Phạm, Yên Mỹ, Hưng Yên</t>
  </si>
  <si>
    <t>TT An Lão, An Lão, Hải Phòng</t>
  </si>
  <si>
    <t>Lục Sơn, Lục Nam, Bắc Giang</t>
  </si>
  <si>
    <t>Thanh Hà, Thanh Liêm, Hà Nam</t>
  </si>
  <si>
    <t>KCN Tân Trường, Cẩm Giàng, Hải Dương</t>
  </si>
  <si>
    <t>TK Cờ Đỏ, tt NT Mộc Châu, Sơn La</t>
  </si>
  <si>
    <t>Khu 1, Vân Lĩnh, Thanh Ba, Phú Thọ</t>
  </si>
  <si>
    <t>KCN Phố Nối A, Văn Lâm, Hưng Yên + VSIP Bắc Ninh</t>
  </si>
  <si>
    <t>Minh Hải, Văn Lâm, Hưng Yên</t>
  </si>
  <si>
    <t>Đóng hàng KH chiều 03/08</t>
  </si>
  <si>
    <t>Trả hàng NK sáng 5/8</t>
  </si>
  <si>
    <t>Đóng hàng KH chiều 5/8</t>
  </si>
  <si>
    <t>Đóng hàng XK sáng 6/8</t>
  </si>
  <si>
    <t>Trả hàng NK sáng 7/8</t>
  </si>
  <si>
    <t>Đóng hàng chè sáng 8/8</t>
  </si>
  <si>
    <t>Đóng hàng XK chiều 9/8</t>
  </si>
  <si>
    <t>Đóng hàng chè tối 12/8</t>
  </si>
  <si>
    <t>Đóng hàng chè chiều 13/8</t>
  </si>
  <si>
    <t>Đóng hàng chè chiều 14/8 --&gt; sáng 15/8</t>
  </si>
  <si>
    <t>Trả hàng Vietsun sáng 19/8</t>
  </si>
  <si>
    <t>Trả hàng NK sáng 20/8</t>
  </si>
  <si>
    <t>Đóng hàng KH chiều 20/8 trả 21/8</t>
  </si>
  <si>
    <t>Đóng hàng chè sáng 22/8</t>
  </si>
  <si>
    <t>Đóng hàng chè sáng 24/8</t>
  </si>
  <si>
    <t>Trả hàng phế liệu sáng 26/8</t>
  </si>
  <si>
    <t>Đóng hàng chè sáng 27/8</t>
  </si>
  <si>
    <t>Trả hàng NK chiều 28/8</t>
  </si>
  <si>
    <t>Trả hàng NK sáng 29/8</t>
  </si>
  <si>
    <t>Đóng hàng chè sáng 30/8</t>
  </si>
  <si>
    <t>Trả hàng NK sáng 31/8</t>
  </si>
  <si>
    <t>OOCU7984304</t>
  </si>
  <si>
    <t>TGBU9964174</t>
  </si>
  <si>
    <t>EITU9149811</t>
  </si>
  <si>
    <t>TCLU2711048</t>
  </si>
  <si>
    <t>HLXU8219018</t>
  </si>
  <si>
    <t>YMMU6430623</t>
  </si>
  <si>
    <t>GLDU5749862</t>
  </si>
  <si>
    <t>KOCU4427743</t>
  </si>
  <si>
    <t>FFAU3408339</t>
  </si>
  <si>
    <t>TCLU5661022</t>
  </si>
  <si>
    <t>GAOU6506358</t>
  </si>
  <si>
    <t>DFSU4229405</t>
  </si>
  <si>
    <t>OOCU7775095</t>
  </si>
  <si>
    <t>YMLU8536420</t>
  </si>
  <si>
    <t>HDMU6403073</t>
  </si>
  <si>
    <t>BXAU4533826</t>
  </si>
  <si>
    <t>TWCU8121567</t>
  </si>
  <si>
    <t>OOLU9966939</t>
  </si>
  <si>
    <t>FFAU5487070</t>
  </si>
  <si>
    <t>DFSU6638608</t>
  </si>
  <si>
    <t>Minh Sơn, Hữu Lũng, Lạng Sơn</t>
  </si>
  <si>
    <t>Đỗ Xá, Thường Tín, Hà Nội</t>
  </si>
  <si>
    <t>Khánh Phú, Yên Khánh, Ninh Bình</t>
  </si>
  <si>
    <t>Bạch Sam, Mỹ Hào, Hưng Yên</t>
  </si>
  <si>
    <t>CCN TP. Bắc Ninh. Bắc Ninh</t>
  </si>
  <si>
    <t>Lùng Vai, Mường Khương, Lào Cai</t>
  </si>
  <si>
    <t>Lạng Giang, Bắc Giang</t>
  </si>
  <si>
    <t>Nghĩa Hưng, Lạng Giang, Bắc Giang</t>
  </si>
  <si>
    <t>Đóng hàng chè sáng 3/9</t>
  </si>
  <si>
    <t>Trả hàng Vietsun sáng 5/9</t>
  </si>
  <si>
    <t>Đóng hàng chè chiều 6/9</t>
  </si>
  <si>
    <t>Đóng hàng XK sáng 9/9</t>
  </si>
  <si>
    <t>Đóng hàng chè sáng 10 - 11/9</t>
  </si>
  <si>
    <t>Đóng hàng chè chiều 12/9</t>
  </si>
  <si>
    <t>Đóng hàng chè chiều 13/9</t>
  </si>
  <si>
    <t>Trả hàng Vietsun chiều 14/9</t>
  </si>
  <si>
    <t>Đóng hàng XK sáng 16/9</t>
  </si>
  <si>
    <t>Đóng hàng chè sáng 17/9</t>
  </si>
  <si>
    <t>Đóng hàng chè chiều 19/9</t>
  </si>
  <si>
    <t>Đóng hàng chè chiều 21/9</t>
  </si>
  <si>
    <t>Đóng hàng chè sáng 23/9</t>
  </si>
  <si>
    <t>Đóng hàng chè sáng 24/9</t>
  </si>
  <si>
    <t>Đóng hàng chè chiều 26/9</t>
  </si>
  <si>
    <t>Trả hàng Vietsun chiều 27/9</t>
  </si>
  <si>
    <t>Đóng hàng chè sáng 30/9</t>
  </si>
  <si>
    <t>THÁNG 09.2024</t>
  </si>
  <si>
    <t>REGU5147918</t>
  </si>
  <si>
    <t>GAOU6145635</t>
  </si>
  <si>
    <t>OOCU8677690</t>
  </si>
  <si>
    <t>TCLU6825711</t>
  </si>
  <si>
    <t>YMLU8632229</t>
  </si>
  <si>
    <t>EMCU1680527</t>
  </si>
  <si>
    <t>OOCU9003871</t>
  </si>
  <si>
    <t>GAOU6507354</t>
  </si>
  <si>
    <t>WHLU0570128</t>
  </si>
  <si>
    <t>YMMU6622837</t>
  </si>
  <si>
    <t>CSLU6340269</t>
  </si>
  <si>
    <t>OOCU6563960</t>
  </si>
  <si>
    <t>EMCU6199469</t>
  </si>
  <si>
    <t>CSNU7875977</t>
  </si>
  <si>
    <t>OOLU9475766</t>
  </si>
  <si>
    <t>GAOU6144855</t>
  </si>
  <si>
    <t>FFAU1878673</t>
  </si>
  <si>
    <t>Đóng hàng chè sáng 2/10</t>
  </si>
  <si>
    <t>Đóng hàng chè chiều 4/10</t>
  </si>
  <si>
    <t>Đóng hàng XK chiều 5/10</t>
  </si>
  <si>
    <t>Đóng hàng chè sáng 7/10</t>
  </si>
  <si>
    <t>Đóng hàng chè sáng 9/10</t>
  </si>
  <si>
    <t>Trả hàng Vietsun sáng 10/10</t>
  </si>
  <si>
    <t>Đóng hàng chè sáng 11/10</t>
  </si>
  <si>
    <t>Đóng hàng KH chiều 14/10</t>
  </si>
  <si>
    <t>Trả hàng Vietsun sáng 16/10</t>
  </si>
  <si>
    <t>Đóng hàng chè sáng 17/10 - 18/10</t>
  </si>
  <si>
    <t>Trả hàng Vietsun sáng 21/10</t>
  </si>
  <si>
    <t>Đóng hàng chè sáng 23/10</t>
  </si>
  <si>
    <t>Trả hàng Vietsun sáng 28/10</t>
  </si>
  <si>
    <t>Đóng hàng chè sáng 31/10</t>
  </si>
  <si>
    <t>TGBU6037682</t>
  </si>
  <si>
    <t>EMCU9912589</t>
  </si>
  <si>
    <t>TGHU1524798</t>
  </si>
  <si>
    <t>TGBU7770673</t>
  </si>
  <si>
    <t>WHSU5158551</t>
  </si>
  <si>
    <t>GAOU6799528</t>
  </si>
  <si>
    <t>TGBU4782520</t>
  </si>
  <si>
    <t>GAOU67999071</t>
  </si>
  <si>
    <t>GAOU6143910</t>
  </si>
  <si>
    <t>CAIU4668767</t>
  </si>
  <si>
    <t>TEMU7010496</t>
  </si>
  <si>
    <t>OOCU8629773</t>
  </si>
  <si>
    <t>GAOU6143756</t>
  </si>
  <si>
    <t>EGHU8252207</t>
  </si>
  <si>
    <t>EGSU9475528</t>
  </si>
  <si>
    <t>EITU9285546</t>
  </si>
  <si>
    <t>GAOU6143252</t>
  </si>
  <si>
    <t>GAOU7242584</t>
  </si>
  <si>
    <t>KOCU4972028</t>
  </si>
  <si>
    <t>HMMU6334788</t>
  </si>
  <si>
    <t>TT Yên Viên, Gia Lâm, Hà Nội</t>
  </si>
  <si>
    <t>NM giấy An Hòa, Sơn Dương, Tuyên Quang</t>
  </si>
  <si>
    <t>KCN Đồng Văn II, Bạch Thượng, Duy Tiên, Hà Nam</t>
  </si>
  <si>
    <t>KCN Từ Sơn, Bắc Ninh</t>
  </si>
  <si>
    <t>Thanh toán tiền thay 4 đèn sườn moóc, 2 đèn tròn đỏ xe 15C-180.99 ngày 01/7</t>
  </si>
  <si>
    <t>Thanh toán tiền lọc dầu nhớt P551088, lọc nhiên liệu P550821, lọc nh.liệu tách nước P550748 xe 15C-180.99 ngày 01/7</t>
  </si>
  <si>
    <t>Thanh toán tiền bơm mỡ cho xe 15C-180.99 ngày 2/7</t>
  </si>
  <si>
    <t>Thanh toán tiền làm lốp đầu kéo xe 15C-180.99 ngày 11/7</t>
  </si>
  <si>
    <t>Thanh toán tiền lõi lọc xe 15C-180.99 ngày 3/7</t>
  </si>
  <si>
    <t>Thanh toán tiền cứu hộ lốp xe 15C-180.99 ngày 22/7</t>
  </si>
  <si>
    <t>Thanh toán tiền hàn giá treo bình nước xe 15C-180.99 ngày 19/7</t>
  </si>
  <si>
    <t>Thanh toán tiền 3 vòng bi 6304 Nhật và 02 dây curoa xe 15C-180.99 ngày 28/7</t>
  </si>
  <si>
    <t xml:space="preserve">Thanh toán tiền làm lốp xe 15C-180.99 ngày 27/7 </t>
  </si>
  <si>
    <t>Thanh toán tiền bóng cabin MF xe 15C-180.99</t>
  </si>
  <si>
    <t xml:space="preserve">Thanh toán tiền thay dầu lái 2 lít xe 15C-180.99 ngày 03/08 </t>
  </si>
  <si>
    <t>Thanh toán tiền bảo dưỡng bộ tây đầm số, thay 1 bát phanh đầu xe 15C-180.99 ngày 02/4</t>
  </si>
  <si>
    <t>Thanh toán tháo lắp hàn ống hơi, thay 1 bát phanh moóc xe 15C-180.99 ngày 20/6</t>
  </si>
  <si>
    <t>Thanh toán tiền thay 1 ống tuýp phanh bánh lái, bảo dưỡng 1 tổng moóc xe 15C-180.99 ngày 19/7</t>
  </si>
  <si>
    <t>Thanh toán tiền thay 1 tổng chia hơi lốc kê đầu, chế 1 cút đồng 3 chạc xe 15C-180.99 ngày 30/7</t>
  </si>
  <si>
    <t>Thanh toán tiền lốp 11.00R20 xe 15C-180.99 ngày 30/5</t>
  </si>
  <si>
    <t>Thanh toán tiền lốp 295/75R22.5/16 xe 15C-180.99 ngày 05/6</t>
  </si>
  <si>
    <t>Thanh toán tiền thay bi chân moóc, thay ren ruột, ruột chân moóc, bánh răng, bảo dưỡng xe 15C-180.99 ngày 10/8</t>
  </si>
  <si>
    <t>Thanh toán tiền  đảo cầu xịt bole xe 15C-180.99 ngày 12/8</t>
  </si>
  <si>
    <t>Thanh toán tiền thay lốc, phin lọc, ống lạnh, ga, dầu lạnh, thay sim xe 15C-180.99 ngày 02/7</t>
  </si>
  <si>
    <t>Thanh toán tiền thay van điều tiết sau, hàn giàn nóng, chấu lạnh, công xe 15C-180.99 ngày 30/05</t>
  </si>
  <si>
    <t>Thanh toán tiền 02 lốp 295/75R22.5/16 CSM881 ngày 19/7 cho xe 15C-180.99</t>
  </si>
  <si>
    <t>Thay toán tiền mua ốc mayơ lái, phớt, 2 vòng bi, 1 nắp mayơ lái, dầu cầu, đóng áo phớt, áo bi xe 15C-180.99 ngày 15/5</t>
  </si>
  <si>
    <t>Thanh toán tiền nhíp lái, bu lông, 2 bạc nhíp, ép bạc ra vào, công sửa xe 15C-180.99 ngày 26/5</t>
  </si>
  <si>
    <t>Thanh toán tiền chạy dây đấu điện, 1 đèn xe 15C-180.99 ngày 18/8</t>
  </si>
  <si>
    <t>Thanh toán tiền lốp 295/75R225 Black lion 171 cho xe 15C-180.99 ngày 12/08</t>
  </si>
  <si>
    <t>Thanh toán tiền mua 2 phớt ngang bớt lái, dầu thủy lực, công thay xe 15C-180.99 ngày 15/6</t>
  </si>
  <si>
    <t>Thanh toán tiền trợ côn dưới MF, dầu côn xe 15C-180.99 ngày 04/9</t>
  </si>
  <si>
    <t>Thanh toán tiền dây cáp 1.8m ép 2 đầu , công cho xe 15C-180.99</t>
  </si>
  <si>
    <t>Thanh toán tiền thay lọc nhiên liệu P550821 xe 15C-180.99 ngày 26/8</t>
  </si>
  <si>
    <t>Thanh toán tiền lọc nhớt P551088 cho xe 15C-180.99 ngày 09/9</t>
  </si>
  <si>
    <t>Thanh toán tiền sửa 1 quả lốc kê đầu, thay 2 bát phanh, 1 lò xo to xe 15C-180.99 ngày 14/8</t>
  </si>
  <si>
    <t>Thanh toán tiền tháo lắp 2 quả bóng hơi, chế 1 van 1 chiều , lắp cút đồng xe 15C-180.99 ngày 04/8</t>
  </si>
  <si>
    <t>Thanh toán tiền thay may ơ moóc 10C bi 445 , tắc kê moóc xe 15C-180.99 ngày 05/9</t>
  </si>
  <si>
    <t>Thanh toán tiền thay ly tâm bãi + công thợ xe 15C-180.99 ngày 30/7</t>
  </si>
  <si>
    <t>Thanh toán tiền mua bạc nhip tải, đóng bạc tay giằng, 2 phớt bớt lái ngang, 1 phớt trên, dầu bớt lái, công xe 15C-180.99 ngày 10.8</t>
  </si>
  <si>
    <t>Thanh toán tiền thay lắp bình hơi moóc, 4 ốc, 2 zắc chuyển đổi, công thợ xe 15C-180.99 ngày 25/9</t>
  </si>
  <si>
    <t>Thanh toán tiền moto bơm nước, lọc nước, dây tiơ nước, bép nước xe 15C-180.99 ngày 28.9</t>
  </si>
  <si>
    <t>Thanh toán tiền ống nước MF đen dài , bình hơi moóc xe 15C-180.99 ngày 25/9</t>
  </si>
  <si>
    <t>Đưa tiền lấy ống nước xe 15C-180.99 ngày 05/10</t>
  </si>
  <si>
    <t>Thanh toán tiền bảo dưỡng hộp diêm chuyển tầng đuôi xe 15C-180.99 ngày 19.10</t>
  </si>
  <si>
    <t>Thanh toán tiền  2 lốp 295/75R22.5/16/CSM 611 xe 15C-180.99 ngày 18/9</t>
  </si>
  <si>
    <t>Thanh toán tiền nắn , hàn táp vai trước xe  15C-180.99 ngày 27/10</t>
  </si>
  <si>
    <t>Thanh toán tiền nắn nối cản sau, tháp lắp T, nắn hàn xương bóng hơi xe 15C-180.99 ngày 23/3</t>
  </si>
  <si>
    <t>Tán 1 bộ phanh moóc, phớt mayơ, 2 vòng bi , công thay xe 15C-180.99 ngày 05.9</t>
  </si>
  <si>
    <t>Làm ống nước van điều tiết xe 15C-180.99 ngày 26.9</t>
  </si>
  <si>
    <t>Thanh toán tiền nước làm mát xe 15C-139.82; 15C-136.31; 15C-070.63; 15C-180.99 ngày 16/10</t>
  </si>
  <si>
    <t>Thanh toán tiền thay 1 ống tuy ô phanh xe 15C-180.99 ngày 23/9</t>
  </si>
  <si>
    <t>Thanh toán tiền giảm sóc 918 WC, 924 WC , ốc 16 Đt xe 15C-180.99 ngày 19/10</t>
  </si>
  <si>
    <t>Mua 3 phớt mayơ tải, tán 4 bộ, 4 bộ lò xo phanh,8 con lăn… xe 15C-180.99 ngày 19/10</t>
  </si>
  <si>
    <t>Lương lx ( ngày công 28/26)</t>
  </si>
  <si>
    <t>Lương lx ( ngày công 13/26)</t>
  </si>
  <si>
    <t>Lương lx ( ngày công 20/26)</t>
  </si>
  <si>
    <t>Chi tiền thưởng 2-9</t>
  </si>
  <si>
    <t>Thông súc rửa két nước, két gió, thông bình phụ thay gioăng xe 15C-180.99 ngày 15/6</t>
  </si>
  <si>
    <t xml:space="preserve">Chi tiền tết âm lịch </t>
  </si>
  <si>
    <t xml:space="preserve">Lì xì đầu năm </t>
  </si>
  <si>
    <t xml:space="preserve">Chi tiền tết dương lịch </t>
  </si>
  <si>
    <t>THÁNG 11.2024</t>
  </si>
  <si>
    <t>THÁNG 10.2024</t>
  </si>
  <si>
    <t>Trả hàng Vietsun sáng 1/11</t>
  </si>
  <si>
    <t>Trả hàng Vietsun sáng 4/11</t>
  </si>
  <si>
    <t>Trả hàng Vietsun sáng 5/11</t>
  </si>
  <si>
    <t>Trả hàng Vietsun chiều 6/11</t>
  </si>
  <si>
    <t>Đóng hàng chè sáng 7/11</t>
  </si>
  <si>
    <t>Đóng hàng XK sáng 8/11</t>
  </si>
  <si>
    <t>Trả hàng Vietsun sáng 9/11</t>
  </si>
  <si>
    <t>Trả hàng Vietsun sáng 11/11</t>
  </si>
  <si>
    <t>Đóng hàng KH chiều 11/11</t>
  </si>
  <si>
    <t>Đóng hàng XK sáng 12/11</t>
  </si>
  <si>
    <t>Trả hàng NK sáng 14 - 15/11</t>
  </si>
  <si>
    <t>Trả hàng NK sáng 16/11</t>
  </si>
  <si>
    <t>Đóng hàng chè sáng 17/11</t>
  </si>
  <si>
    <t>Đóng hàng chè sáng 20/11</t>
  </si>
  <si>
    <t>Trả hàng NK sáng 21/11</t>
  </si>
  <si>
    <t>Đóng hàng chè sáng 22/11</t>
  </si>
  <si>
    <t>Trả hàng Vietsun sáng 23/11</t>
  </si>
  <si>
    <t>Đóng hàng chè sáng 29/11</t>
  </si>
  <si>
    <t>DRYU9718413</t>
  </si>
  <si>
    <t>TCNU4595643</t>
  </si>
  <si>
    <t>DRYU9590472</t>
  </si>
  <si>
    <t>GAOU6507035</t>
  </si>
  <si>
    <t>BEAU4490201</t>
  </si>
  <si>
    <t>TCNU3655835</t>
  </si>
  <si>
    <t>DRYU9589907</t>
  </si>
  <si>
    <t>DRYU9718727</t>
  </si>
  <si>
    <t>FBIU0523885</t>
  </si>
  <si>
    <t>TCNU4595031</t>
  </si>
  <si>
    <t>ONEU2126566</t>
  </si>
  <si>
    <t>TGCU5171936</t>
  </si>
  <si>
    <t>SEGU6740132</t>
  </si>
  <si>
    <t>TCKU7976232</t>
  </si>
  <si>
    <t>WHSU5135556</t>
  </si>
  <si>
    <t>GAOU7223666</t>
  </si>
  <si>
    <t>TCNU4785577</t>
  </si>
  <si>
    <t>CSNU8886214</t>
  </si>
  <si>
    <t>Xuân Canh, Đông Anh, Hà Nội</t>
  </si>
  <si>
    <t>Nam Trung, Nam Sách, Hải Dương</t>
  </si>
  <si>
    <t>Vedan, Lô 06, KCN Quang Minh, Hà Nội</t>
  </si>
  <si>
    <t>KCN Minh Quang, Mỹ Hào, Hưng Yên</t>
  </si>
  <si>
    <t>Mỹ Thái, Lạng Giang, Bắc Giang</t>
  </si>
  <si>
    <t>Bản Ngoại, Đại Từ, Thái Nguyên</t>
  </si>
  <si>
    <t>Long Biên, Gia Lâm, Hà Nội</t>
  </si>
  <si>
    <t>Hùng Sơn, Đại Từ, Thái Nguyên</t>
  </si>
  <si>
    <t>Trả hàng Vietsun sáng 2/12</t>
  </si>
  <si>
    <t>Trả hàng Vietsun sáng 3/12</t>
  </si>
  <si>
    <t>Trả hàng Vietsun chiều 3/12</t>
  </si>
  <si>
    <t>Trả hàng Vietsun sáng 4/12</t>
  </si>
  <si>
    <t>Đóng hàng XK sáng 5/12</t>
  </si>
  <si>
    <t>Trả hàng NK sáng 6/12</t>
  </si>
  <si>
    <t>Trả hàng NK sáng 7/12</t>
  </si>
  <si>
    <t>Đóng hàng KH chiều 7/12</t>
  </si>
  <si>
    <t>Đóng hàng chè sáng 9/12</t>
  </si>
  <si>
    <t>Trả hàng Vietsun sáng 10/12</t>
  </si>
  <si>
    <t>Trả hàng Vietsun sáng 11/12</t>
  </si>
  <si>
    <t>Đóng hàng chè sáng 12/12</t>
  </si>
  <si>
    <t>Đóng hàng chè sáng 15/12</t>
  </si>
  <si>
    <t>Đóng hàng XK sáng 17/12</t>
  </si>
  <si>
    <t>Trả hàng Vietsun sáng 18/12</t>
  </si>
  <si>
    <t>Đóng hàng KH Vietsun chiều 18/12</t>
  </si>
  <si>
    <t>Đóng hàng XK sáng 19/12</t>
  </si>
  <si>
    <t>Trả hàng Vietsun sáng 20/12</t>
  </si>
  <si>
    <t>Trả hàng Vietsun sáng 21/12</t>
  </si>
  <si>
    <t>Đóng hàng chè chiều 23/12</t>
  </si>
  <si>
    <t>Trả hàng NK sáng 25/12</t>
  </si>
  <si>
    <t>Đóng hàng chè sáng 26/12</t>
  </si>
  <si>
    <t>Trả hàng Vietsun sáng 28/12</t>
  </si>
  <si>
    <t>Đóng hàng chè sáng 29/12</t>
  </si>
  <si>
    <t>Đóng hàng XK sáng 30/12</t>
  </si>
  <si>
    <t>Đóng hàng chè chiều 31/12</t>
  </si>
  <si>
    <t>GAOU6799805</t>
  </si>
  <si>
    <t>VSGU4240484</t>
  </si>
  <si>
    <t>VSGU4242321</t>
  </si>
  <si>
    <t>DRYU9593492</t>
  </si>
  <si>
    <t>MSKU5541425</t>
  </si>
  <si>
    <t>FFAU5476610</t>
  </si>
  <si>
    <t>UETU5337296</t>
  </si>
  <si>
    <t>EMCU1844765</t>
  </si>
  <si>
    <t>TCNU2208283</t>
  </si>
  <si>
    <t>TCNU4595263</t>
  </si>
  <si>
    <t>HMMU6671330</t>
  </si>
  <si>
    <t>YMMU6937900</t>
  </si>
  <si>
    <t>VSGU4241623</t>
  </si>
  <si>
    <t>TCNU4335918</t>
  </si>
  <si>
    <t>MEDU8861142</t>
  </si>
  <si>
    <t>GAOU6799180</t>
  </si>
  <si>
    <t>MSKU7342757</t>
  </si>
  <si>
    <t>CAIU4670574</t>
  </si>
  <si>
    <t>DRYU9592686</t>
  </si>
  <si>
    <t>TIIU4584252</t>
  </si>
  <si>
    <t>TGBU6604596</t>
  </si>
  <si>
    <t>TLLU4662681</t>
  </si>
  <si>
    <t>WHSU6202999</t>
  </si>
  <si>
    <t>DRYU9592433</t>
  </si>
  <si>
    <t>OOCU8106875</t>
  </si>
  <si>
    <t>OOLU1736945</t>
  </si>
  <si>
    <t>TGBU5557205</t>
  </si>
  <si>
    <t>Phú Nghĩa, Chương Mỹ, Hà Nội</t>
  </si>
  <si>
    <t>Giáp Lai, Thanh Sơn, Phú Thọ</t>
  </si>
  <si>
    <t>TT NT Mộc Châu, Mộc Châu, Sơn La</t>
  </si>
  <si>
    <t>Kho Thăng Long, Dị Sử, Mỹ Hào, Hưng Yên</t>
  </si>
  <si>
    <t>Khu 1, Ninh Dân, Thanh Ba, Phú Thọ</t>
  </si>
  <si>
    <t>Vinamilk Tiên Sơn, Tiên Du, Bắc Ninh</t>
  </si>
  <si>
    <t>CCN Đại Đồng, Chỉ Đạo, Văn Lâm, Hưng Yên</t>
  </si>
  <si>
    <t>Minh Đài, Tân Sơn, Phú Thọ</t>
  </si>
  <si>
    <t>THÁNG 12.2024</t>
  </si>
  <si>
    <t>Thanh toán tiền sửa bơm hơi MF, thay 1 bộ côn , bộ căn thép,xe 15C-180.99 ngày 01/11</t>
  </si>
  <si>
    <t>Thanh toán tiền nhíp lái MF LS1, bạc 47 XM, San tan 12, công ép bạc xe 15C-180.99 ngày 06/11</t>
  </si>
  <si>
    <t>Thanh toán tiền bơm mỡ xe 15C-180.99 ngày 06.11</t>
  </si>
  <si>
    <t>Thay tán phanh moóc, bi mayơ, phớt mayơ, mua phớt, dầu, công thợ xe 15C-180.99 ngày 03/10</t>
  </si>
  <si>
    <t>Thanh toán đổi quạt trước xe 15C-180.99 ngày 06/10</t>
  </si>
  <si>
    <t>Thanh toán thay dàn nóng, thay sim, bơm ga- dầu lạnh, công thợ xe 15C-180.99 ngày 18/9</t>
  </si>
  <si>
    <t xml:space="preserve">Thanh toán tiền đăng kiểm, phí đường bộ xe 15C-180.99 </t>
  </si>
  <si>
    <t xml:space="preserve">Thanh toán tiền 2 lần chỉnh phanh xe 15C-180.99 để đăng kiểm </t>
  </si>
  <si>
    <t xml:space="preserve">Thanh toán tiền thay 3 đèn tròn hậu xe 15C-180.99 </t>
  </si>
  <si>
    <t>Thanh toán tiền đảo cầu, cân lốp, tháo săm cũ xe 15C-180.99 ngày 19.11</t>
  </si>
  <si>
    <t>Thanh toán tiền lọc nhớt P551088 xe 15C-180.99 ngày 21/11</t>
  </si>
  <si>
    <t>Làm điện chập xe 15C-180.99 ngày 19/11</t>
  </si>
  <si>
    <t>Thanh toán tiền mua seal tạm cho xe 15C-136.31; 15C-139.82; 15C-070.63; 15C-180.99</t>
  </si>
  <si>
    <t>Thanh toán tháo lắp tay đầm số, sửa 6 quả lốc kê moóc xe 15C-180.99 ngày 08/12</t>
  </si>
  <si>
    <t>Thanh toán công làm 1 bộ nhíp lái xe 15C-180.99 ngày 06/11</t>
  </si>
  <si>
    <t>Thanh toán tiền mua 2 rotin- 3 ngang, tháo lắp , công làm xe 15C-180.99 ngày 15/11</t>
  </si>
  <si>
    <t>Thanh toán tiền tán 2 lá côn, sửa xương côn, láng bánh đà, bàn ép, mâm trung gian, mua hãm côn,. xe 15C-180.99 ngày 28/11</t>
  </si>
  <si>
    <t>Thanh toán tiền mua bạc nhíp tải + công thay xe 15C-180.99 ngày 10/12</t>
  </si>
  <si>
    <t xml:space="preserve">Thanh toán tiền Bảo hiểm TNDS xe 15C-180.99 </t>
  </si>
  <si>
    <t>Thanh toán  Săm yếm xe 15C-180.99 ngày 19/11</t>
  </si>
  <si>
    <t>Thanh toán tiền Xe 15C-180.99 thay lốp 295/75R225 Black lion 171 ngày 04/10</t>
  </si>
  <si>
    <t>Thanh toán tiền dầu cho xe 15C-136.31; 15C-139.82; 15C-180.99; 15C-070.63</t>
  </si>
  <si>
    <t>Thanh toán tiền đồng tốc ET CH, phanh a cơ ET xe 15C-180.99 ngày 27/11</t>
  </si>
  <si>
    <t>Thanh toán tiền làm đèn gầm, công làm xe 15C-180.99 ngày 08/12</t>
  </si>
  <si>
    <t>Thanh toán tiền làm 2 cây quét lốp, tay chốt mâm bắt lại bình nước xe 15C-180.99 ngày 23.12</t>
  </si>
  <si>
    <t>Lương lx ( ngày công 21/26)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</si>
</sst>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1010000]d/m/yy;@"/>
    <numFmt numFmtId="165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sz val="10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0"/>
      <color rgb="FF00B050"/>
      <name val="Arial Narrow"/>
      <family val="2"/>
    </font>
    <font>
      <i/>
      <sz val="10"/>
      <color rgb="FFFF0000"/>
      <name val="Arial Narrow"/>
      <family val="2"/>
    </font>
    <font>
      <b/>
      <i/>
      <sz val="10"/>
      <color rgb="FFFF0000"/>
      <name val="Arial Narrow"/>
      <family val="2"/>
    </font>
    <font>
      <i/>
      <strike/>
      <sz val="10"/>
      <color rgb="FFFF0000"/>
      <name val="Arial Narrow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/>
    <xf numFmtId="0" fontId="0" fillId="0" borderId="1" xfId="0" applyBorder="1"/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4" fontId="8" fillId="2" borderId="2" xfId="0" applyNumberFormat="1" applyFont="1" applyFill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3" fontId="6" fillId="0" borderId="2" xfId="0" applyNumberFormat="1" applyFont="1" applyBorder="1" applyAlignment="1">
      <alignment vertical="center"/>
    </xf>
    <xf numFmtId="165" fontId="6" fillId="0" borderId="2" xfId="1" applyNumberFormat="1" applyFont="1" applyBorder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49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3" fontId="8" fillId="0" borderId="3" xfId="0" applyNumberFormat="1" applyFont="1" applyBorder="1" applyAlignment="1">
      <alignment vertical="center"/>
    </xf>
    <xf numFmtId="3" fontId="9" fillId="0" borderId="3" xfId="0" applyNumberFormat="1" applyFont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0" fontId="9" fillId="0" borderId="3" xfId="0" applyFont="1" applyBorder="1" applyAlignment="1">
      <alignment vertical="center"/>
    </xf>
    <xf numFmtId="3" fontId="8" fillId="0" borderId="2" xfId="0" applyNumberFormat="1" applyFont="1" applyBorder="1" applyAlignment="1">
      <alignment vertical="center"/>
    </xf>
    <xf numFmtId="164" fontId="8" fillId="0" borderId="7" xfId="0" applyNumberFormat="1" applyFont="1" applyBorder="1" applyAlignment="1">
      <alignment vertical="center"/>
    </xf>
    <xf numFmtId="3" fontId="8" fillId="0" borderId="11" xfId="0" applyNumberFormat="1" applyFont="1" applyBorder="1" applyAlignment="1">
      <alignment vertical="center"/>
    </xf>
    <xf numFmtId="165" fontId="7" fillId="0" borderId="1" xfId="1" applyNumberFormat="1" applyFont="1" applyFill="1" applyBorder="1" applyAlignment="1">
      <alignment vertical="center"/>
    </xf>
    <xf numFmtId="3" fontId="7" fillId="0" borderId="1" xfId="0" applyNumberFormat="1" applyFont="1" applyBorder="1" applyAlignment="1">
      <alignment vertical="center"/>
    </xf>
    <xf numFmtId="3" fontId="10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9" fillId="0" borderId="3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9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3" fontId="13" fillId="0" borderId="3" xfId="0" applyNumberFormat="1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3" fontId="10" fillId="0" borderId="3" xfId="0" applyNumberFormat="1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3" fontId="0" fillId="0" borderId="1" xfId="0" applyNumberFormat="1" applyBorder="1"/>
    <xf numFmtId="10" fontId="0" fillId="0" borderId="0" xfId="2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8" fillId="4" borderId="3" xfId="0" applyNumberFormat="1" applyFont="1" applyFill="1" applyBorder="1" applyAlignment="1">
      <alignment vertical="center"/>
    </xf>
    <xf numFmtId="3" fontId="9" fillId="4" borderId="3" xfId="0" applyNumberFormat="1" applyFont="1" applyFill="1" applyBorder="1" applyAlignment="1">
      <alignment vertical="center"/>
    </xf>
    <xf numFmtId="3" fontId="13" fillId="4" borderId="3" xfId="0" applyNumberFormat="1" applyFont="1" applyFill="1" applyBorder="1" applyAlignment="1">
      <alignment vertical="center"/>
    </xf>
    <xf numFmtId="3" fontId="9" fillId="5" borderId="3" xfId="0" applyNumberFormat="1" applyFont="1" applyFill="1" applyBorder="1" applyAlignment="1">
      <alignment vertical="center"/>
    </xf>
    <xf numFmtId="0" fontId="13" fillId="0" borderId="6" xfId="0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3" fontId="8" fillId="5" borderId="3" xfId="0" applyNumberFormat="1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3" fontId="9" fillId="2" borderId="3" xfId="0" applyNumberFormat="1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3" fontId="10" fillId="4" borderId="3" xfId="0" applyNumberFormat="1" applyFont="1" applyFill="1" applyBorder="1" applyAlignment="1">
      <alignment vertical="center"/>
    </xf>
    <xf numFmtId="3" fontId="13" fillId="5" borderId="3" xfId="0" applyNumberFormat="1" applyFont="1" applyFill="1" applyBorder="1" applyAlignment="1">
      <alignment vertical="center"/>
    </xf>
    <xf numFmtId="49" fontId="8" fillId="5" borderId="3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vertical="center"/>
    </xf>
    <xf numFmtId="3" fontId="7" fillId="4" borderId="0" xfId="0" applyNumberFormat="1" applyFont="1" applyFill="1" applyAlignment="1">
      <alignment vertical="center"/>
    </xf>
    <xf numFmtId="3" fontId="7" fillId="5" borderId="0" xfId="0" applyNumberFormat="1" applyFont="1" applyFill="1" applyAlignment="1">
      <alignment vertical="center"/>
    </xf>
    <xf numFmtId="0" fontId="8" fillId="0" borderId="11" xfId="0" applyFont="1" applyBorder="1" applyAlignment="1">
      <alignment vertical="center"/>
    </xf>
    <xf numFmtId="0" fontId="13" fillId="0" borderId="17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164" fontId="8" fillId="2" borderId="20" xfId="0" applyNumberFormat="1" applyFont="1" applyFill="1" applyBorder="1" applyAlignment="1">
      <alignment vertical="center"/>
    </xf>
    <xf numFmtId="0" fontId="8" fillId="0" borderId="20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2" borderId="20" xfId="0" applyFont="1" applyFill="1" applyBorder="1" applyAlignment="1">
      <alignment vertical="center"/>
    </xf>
    <xf numFmtId="3" fontId="6" fillId="0" borderId="20" xfId="0" applyNumberFormat="1" applyFont="1" applyBorder="1" applyAlignment="1">
      <alignment vertical="center"/>
    </xf>
    <xf numFmtId="165" fontId="6" fillId="0" borderId="20" xfId="1" applyNumberFormat="1" applyFont="1" applyBorder="1" applyAlignment="1">
      <alignment vertical="center"/>
    </xf>
    <xf numFmtId="3" fontId="6" fillId="2" borderId="20" xfId="0" applyNumberFormat="1" applyFont="1" applyFill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vertical="center" wrapText="1"/>
    </xf>
    <xf numFmtId="49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vertical="center"/>
    </xf>
    <xf numFmtId="3" fontId="8" fillId="2" borderId="21" xfId="0" applyNumberFormat="1" applyFont="1" applyFill="1" applyBorder="1" applyAlignment="1">
      <alignment vertical="center"/>
    </xf>
    <xf numFmtId="0" fontId="8" fillId="2" borderId="21" xfId="0" applyFont="1" applyFill="1" applyBorder="1" applyAlignment="1">
      <alignment vertical="center"/>
    </xf>
    <xf numFmtId="3" fontId="9" fillId="2" borderId="21" xfId="0" applyNumberFormat="1" applyFont="1" applyFill="1" applyBorder="1" applyAlignment="1">
      <alignment vertical="center"/>
    </xf>
    <xf numFmtId="3" fontId="9" fillId="0" borderId="21" xfId="0" applyNumberFormat="1" applyFont="1" applyBorder="1" applyAlignment="1">
      <alignment vertical="center"/>
    </xf>
    <xf numFmtId="3" fontId="8" fillId="0" borderId="21" xfId="0" applyNumberFormat="1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3" fontId="10" fillId="0" borderId="7" xfId="0" applyNumberFormat="1" applyFont="1" applyBorder="1" applyAlignment="1">
      <alignment vertical="center"/>
    </xf>
    <xf numFmtId="3" fontId="8" fillId="0" borderId="7" xfId="0" applyNumberFormat="1" applyFont="1" applyBorder="1" applyAlignment="1">
      <alignment vertical="center"/>
    </xf>
    <xf numFmtId="3" fontId="8" fillId="4" borderId="21" xfId="0" applyNumberFormat="1" applyFont="1" applyFill="1" applyBorder="1" applyAlignment="1">
      <alignment vertical="center"/>
    </xf>
    <xf numFmtId="3" fontId="13" fillId="4" borderId="7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8" fillId="0" borderId="20" xfId="0" applyNumberFormat="1" applyFont="1" applyBorder="1" applyAlignment="1">
      <alignment vertical="center"/>
    </xf>
    <xf numFmtId="165" fontId="6" fillId="0" borderId="20" xfId="1" applyNumberFormat="1" applyFont="1" applyFill="1" applyBorder="1" applyAlignment="1">
      <alignment vertical="center"/>
    </xf>
    <xf numFmtId="3" fontId="13" fillId="0" borderId="7" xfId="0" applyNumberFormat="1" applyFont="1" applyBorder="1" applyAlignment="1">
      <alignment vertical="center"/>
    </xf>
    <xf numFmtId="3" fontId="11" fillId="0" borderId="1" xfId="0" applyNumberFormat="1" applyFont="1" applyBorder="1" applyAlignment="1">
      <alignment vertical="center"/>
    </xf>
    <xf numFmtId="3" fontId="6" fillId="0" borderId="3" xfId="0" applyNumberFormat="1" applyFont="1" applyBorder="1" applyAlignment="1">
      <alignment vertical="center"/>
    </xf>
    <xf numFmtId="3" fontId="6" fillId="0" borderId="5" xfId="0" applyNumberFormat="1" applyFont="1" applyBorder="1" applyAlignment="1">
      <alignment vertical="center"/>
    </xf>
    <xf numFmtId="3" fontId="16" fillId="0" borderId="22" xfId="0" applyNumberFormat="1" applyFont="1" applyBorder="1" applyAlignment="1">
      <alignment horizontal="right" wrapText="1"/>
    </xf>
    <xf numFmtId="3" fontId="7" fillId="5" borderId="1" xfId="0" applyNumberFormat="1" applyFont="1" applyFill="1" applyBorder="1" applyAlignment="1">
      <alignment vertical="center"/>
    </xf>
    <xf numFmtId="3" fontId="16" fillId="5" borderId="0" xfId="0" applyNumberFormat="1" applyFont="1" applyFill="1"/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/>
    </xf>
    <xf numFmtId="3" fontId="7" fillId="3" borderId="13" xfId="0" applyNumberFormat="1" applyFont="1" applyFill="1" applyBorder="1" applyAlignment="1">
      <alignment horizontal="center" vertical="center"/>
    </xf>
    <xf numFmtId="3" fontId="7" fillId="3" borderId="12" xfId="0" applyNumberFormat="1" applyFont="1" applyFill="1" applyBorder="1" applyAlignment="1">
      <alignment horizontal="center" vertical="center" wrapText="1"/>
    </xf>
    <xf numFmtId="3" fontId="7" fillId="3" borderId="13" xfId="0" applyNumberFormat="1" applyFont="1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/>
    </xf>
    <xf numFmtId="164" fontId="7" fillId="3" borderId="13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4" fontId="7" fillId="0" borderId="12" xfId="0" applyNumberFormat="1" applyFont="1" applyBorder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/>
    </xf>
    <xf numFmtId="3" fontId="7" fillId="0" borderId="13" xfId="0" applyNumberFormat="1" applyFont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8BFC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an Kim Phung" id="{8ECC6E00-1A4A-4C1F-8F81-751C45896CD3}" userId="S::pete@nepocorp.onmicrosoft.com::266e06cc-fcc1-4215-80fb-5c0c7e7afed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4" dT="2023-02-15T11:23:05.37" personId="{8ECC6E00-1A4A-4C1F-8F81-751C45896CD3}" id="{A775B570-76D9-46C4-AEA7-FE3B8AD2507C}">
    <text>Ghi nhầm đơn giá dầu, thiếu số 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C21" sqref="C21"/>
    </sheetView>
  </sheetViews>
  <sheetFormatPr defaultRowHeight="14.5" x14ac:dyDescent="0.35"/>
  <cols>
    <col min="2" max="2" width="90.54296875" customWidth="1"/>
    <col min="3" max="3" width="16.26953125" customWidth="1"/>
  </cols>
  <sheetData>
    <row r="1" spans="1:4" ht="18.5" x14ac:dyDescent="0.45">
      <c r="A1" s="122" t="s">
        <v>4</v>
      </c>
      <c r="B1" s="122"/>
      <c r="C1" s="122"/>
    </row>
    <row r="2" spans="1:4" x14ac:dyDescent="0.35">
      <c r="A2" s="1"/>
      <c r="C2" s="2"/>
    </row>
    <row r="3" spans="1:4" x14ac:dyDescent="0.35">
      <c r="A3" s="3" t="s">
        <v>0</v>
      </c>
      <c r="B3" s="3" t="s">
        <v>1</v>
      </c>
      <c r="C3" s="4" t="s">
        <v>2</v>
      </c>
    </row>
    <row r="4" spans="1:4" ht="16" customHeight="1" x14ac:dyDescent="0.35">
      <c r="A4" s="5">
        <v>1</v>
      </c>
      <c r="B4" s="7" t="s">
        <v>5</v>
      </c>
      <c r="C4" s="55">
        <v>740000000</v>
      </c>
    </row>
    <row r="5" spans="1:4" x14ac:dyDescent="0.35">
      <c r="A5" s="5">
        <v>2</v>
      </c>
      <c r="B5" s="7" t="s">
        <v>147</v>
      </c>
      <c r="C5" s="55">
        <v>140000000</v>
      </c>
    </row>
    <row r="6" spans="1:4" x14ac:dyDescent="0.35">
      <c r="A6" s="5"/>
      <c r="B6" s="3" t="s">
        <v>3</v>
      </c>
      <c r="C6" s="6">
        <f>SUM(C4:C5)</f>
        <v>880000000</v>
      </c>
    </row>
    <row r="7" spans="1:4" x14ac:dyDescent="0.35">
      <c r="A7" s="1"/>
      <c r="C7" s="2"/>
    </row>
    <row r="8" spans="1:4" x14ac:dyDescent="0.35">
      <c r="A8" s="1"/>
      <c r="B8" s="57" t="s">
        <v>149</v>
      </c>
      <c r="C8" s="58">
        <v>650000000</v>
      </c>
      <c r="D8" s="57" t="s">
        <v>153</v>
      </c>
    </row>
    <row r="9" spans="1:4" x14ac:dyDescent="0.35">
      <c r="A9" s="1"/>
      <c r="B9" t="s">
        <v>150</v>
      </c>
      <c r="C9" s="2">
        <f>C8*40.01%</f>
        <v>260064999.99999997</v>
      </c>
      <c r="D9" s="56">
        <f>C9/C8</f>
        <v>0.40009999999999996</v>
      </c>
    </row>
    <row r="10" spans="1:4" x14ac:dyDescent="0.35">
      <c r="A10" s="1"/>
      <c r="B10" t="s">
        <v>151</v>
      </c>
      <c r="C10" s="2">
        <f>C8*59.99%</f>
        <v>389935000</v>
      </c>
      <c r="D10" s="56">
        <f>C10/C8</f>
        <v>0.59989999999999999</v>
      </c>
    </row>
    <row r="12" spans="1:4" x14ac:dyDescent="0.35">
      <c r="B12" s="57" t="s">
        <v>152</v>
      </c>
      <c r="C12" s="58">
        <f>C6</f>
        <v>880000000</v>
      </c>
      <c r="D12" s="57" t="s">
        <v>153</v>
      </c>
    </row>
    <row r="13" spans="1:4" x14ac:dyDescent="0.35">
      <c r="B13" t="s">
        <v>148</v>
      </c>
      <c r="C13" s="2">
        <f>C9</f>
        <v>260064999.99999997</v>
      </c>
      <c r="D13" s="56">
        <f>C13/C12</f>
        <v>0.29552840909090905</v>
      </c>
    </row>
    <row r="14" spans="1:4" x14ac:dyDescent="0.35">
      <c r="B14" t="s">
        <v>154</v>
      </c>
      <c r="C14" s="2">
        <f>C12-C13</f>
        <v>619935000</v>
      </c>
      <c r="D14" s="56">
        <f>C14/C12</f>
        <v>0.70447159090909095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6146-7B49-4726-816B-C2F89ADAFDAB}">
  <dimension ref="A1:U57"/>
  <sheetViews>
    <sheetView topLeftCell="A40" workbookViewId="0">
      <selection activeCell="H62" sqref="H62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11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1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1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1" ht="15.5" x14ac:dyDescent="0.35">
      <c r="A3" s="127" t="s">
        <v>48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1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1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1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1" ht="24" customHeight="1" x14ac:dyDescent="0.35">
      <c r="A8" s="21">
        <v>1</v>
      </c>
      <c r="B8" s="22">
        <v>44641</v>
      </c>
      <c r="C8" s="23" t="s">
        <v>49</v>
      </c>
      <c r="D8" s="24" t="s">
        <v>67</v>
      </c>
      <c r="E8" s="23" t="s">
        <v>60</v>
      </c>
      <c r="F8" s="25"/>
      <c r="G8" s="26">
        <v>19</v>
      </c>
      <c r="H8" s="26">
        <f>G8*23630</f>
        <v>448970</v>
      </c>
      <c r="I8" s="25"/>
      <c r="J8" s="59">
        <v>300000</v>
      </c>
      <c r="K8" s="27"/>
      <c r="L8" s="27"/>
      <c r="M8" s="26"/>
      <c r="N8" s="26"/>
      <c r="O8" s="26">
        <f>H8+J8+K8+L8+M8+N8</f>
        <v>748970</v>
      </c>
      <c r="P8" s="26">
        <v>2000000</v>
      </c>
      <c r="Q8" s="26">
        <f>P8-O8</f>
        <v>1251030</v>
      </c>
      <c r="R8" s="46"/>
      <c r="S8" s="47"/>
      <c r="T8" s="10"/>
      <c r="U8" s="10"/>
    </row>
    <row r="9" spans="1:21" ht="24" customHeight="1" x14ac:dyDescent="0.35">
      <c r="A9" s="21">
        <v>2</v>
      </c>
      <c r="B9" s="22">
        <v>44641</v>
      </c>
      <c r="C9" s="23" t="s">
        <v>50</v>
      </c>
      <c r="D9" s="24" t="s">
        <v>68</v>
      </c>
      <c r="E9" s="23" t="s">
        <v>60</v>
      </c>
      <c r="F9" s="25"/>
      <c r="G9" s="26"/>
      <c r="H9" s="26">
        <f t="shared" ref="H9:H19" si="0">G9*23630</f>
        <v>0</v>
      </c>
      <c r="I9" s="25"/>
      <c r="J9" s="59">
        <v>300000</v>
      </c>
      <c r="K9" s="27"/>
      <c r="L9" s="27"/>
      <c r="M9" s="26"/>
      <c r="N9" s="26"/>
      <c r="O9" s="26">
        <f t="shared" ref="O9:O45" si="1">H9+J9+K9+L9+M9+N9</f>
        <v>300000</v>
      </c>
      <c r="P9" s="26">
        <v>2000000</v>
      </c>
      <c r="Q9" s="26">
        <f t="shared" ref="Q9:Q47" si="2">P9-O9</f>
        <v>1700000</v>
      </c>
      <c r="R9" s="46"/>
      <c r="S9" s="47"/>
      <c r="T9" s="10"/>
      <c r="U9" s="10"/>
    </row>
    <row r="10" spans="1:21" ht="24" customHeight="1" x14ac:dyDescent="0.35">
      <c r="A10" s="21">
        <v>3</v>
      </c>
      <c r="B10" s="22">
        <v>44641</v>
      </c>
      <c r="C10" s="23" t="s">
        <v>51</v>
      </c>
      <c r="D10" s="24" t="s">
        <v>69</v>
      </c>
      <c r="E10" s="23" t="s">
        <v>60</v>
      </c>
      <c r="F10" s="25"/>
      <c r="G10" s="26">
        <v>15</v>
      </c>
      <c r="H10" s="26">
        <f t="shared" si="0"/>
        <v>354450</v>
      </c>
      <c r="I10" s="25"/>
      <c r="J10" s="59">
        <v>300000</v>
      </c>
      <c r="K10" s="27"/>
      <c r="L10" s="27"/>
      <c r="M10" s="26"/>
      <c r="N10" s="26"/>
      <c r="O10" s="26">
        <f t="shared" si="1"/>
        <v>654450</v>
      </c>
      <c r="P10" s="26">
        <v>2000000</v>
      </c>
      <c r="Q10" s="26">
        <f t="shared" si="2"/>
        <v>1345550</v>
      </c>
      <c r="R10" s="46"/>
      <c r="S10" s="47"/>
      <c r="T10" s="10"/>
      <c r="U10" s="10"/>
    </row>
    <row r="11" spans="1:21" ht="24" customHeight="1" x14ac:dyDescent="0.35">
      <c r="A11" s="21">
        <v>4</v>
      </c>
      <c r="B11" s="22">
        <v>44641</v>
      </c>
      <c r="C11" s="23" t="s">
        <v>51</v>
      </c>
      <c r="D11" s="24" t="s">
        <v>70</v>
      </c>
      <c r="E11" s="23" t="s">
        <v>60</v>
      </c>
      <c r="F11" s="25"/>
      <c r="G11" s="26">
        <v>4</v>
      </c>
      <c r="H11" s="26">
        <f t="shared" si="0"/>
        <v>94520</v>
      </c>
      <c r="I11" s="25"/>
      <c r="J11" s="59">
        <v>300000</v>
      </c>
      <c r="K11" s="27"/>
      <c r="L11" s="27"/>
      <c r="M11" s="26"/>
      <c r="N11" s="26"/>
      <c r="O11" s="26">
        <f t="shared" si="1"/>
        <v>394520</v>
      </c>
      <c r="P11" s="26">
        <v>2000000</v>
      </c>
      <c r="Q11" s="26">
        <f t="shared" si="2"/>
        <v>1605480</v>
      </c>
      <c r="R11" s="46"/>
      <c r="S11" s="47"/>
      <c r="T11" s="10"/>
      <c r="U11" s="10"/>
    </row>
    <row r="12" spans="1:21" ht="24" customHeight="1" x14ac:dyDescent="0.35">
      <c r="A12" s="21">
        <v>5</v>
      </c>
      <c r="B12" s="22">
        <v>44644</v>
      </c>
      <c r="C12" s="23" t="s">
        <v>52</v>
      </c>
      <c r="D12" s="24" t="s">
        <v>71</v>
      </c>
      <c r="E12" s="23" t="s">
        <v>61</v>
      </c>
      <c r="F12" s="25"/>
      <c r="G12" s="26">
        <v>280</v>
      </c>
      <c r="H12" s="26">
        <f t="shared" si="0"/>
        <v>6616400</v>
      </c>
      <c r="I12" s="25"/>
      <c r="J12" s="59">
        <v>4200000</v>
      </c>
      <c r="K12" s="27"/>
      <c r="L12" s="27"/>
      <c r="M12" s="26"/>
      <c r="N12" s="26"/>
      <c r="O12" s="26">
        <f t="shared" si="1"/>
        <v>10816400</v>
      </c>
      <c r="P12" s="26">
        <v>15650000</v>
      </c>
      <c r="Q12" s="26">
        <f t="shared" si="2"/>
        <v>4833600</v>
      </c>
      <c r="R12" s="46"/>
      <c r="S12" s="47"/>
      <c r="T12" s="10"/>
      <c r="U12" s="10"/>
    </row>
    <row r="13" spans="1:21" ht="24" customHeight="1" x14ac:dyDescent="0.35">
      <c r="A13" s="21">
        <v>6</v>
      </c>
      <c r="B13" s="22">
        <v>44644</v>
      </c>
      <c r="C13" s="23" t="s">
        <v>53</v>
      </c>
      <c r="D13" s="24" t="s">
        <v>72</v>
      </c>
      <c r="E13" s="23" t="s">
        <v>62</v>
      </c>
      <c r="F13" s="25"/>
      <c r="G13" s="26">
        <v>111</v>
      </c>
      <c r="H13" s="26">
        <f t="shared" si="0"/>
        <v>2622930</v>
      </c>
      <c r="I13" s="25"/>
      <c r="J13" s="59">
        <v>1150000</v>
      </c>
      <c r="K13" s="27"/>
      <c r="L13" s="27"/>
      <c r="M13" s="26"/>
      <c r="N13" s="26"/>
      <c r="O13" s="26">
        <f t="shared" si="1"/>
        <v>3772930</v>
      </c>
      <c r="P13" s="26">
        <v>5650000</v>
      </c>
      <c r="Q13" s="26">
        <f t="shared" si="2"/>
        <v>1877070</v>
      </c>
      <c r="R13" s="46"/>
      <c r="S13" s="47"/>
      <c r="T13" s="10"/>
      <c r="U13" s="10"/>
    </row>
    <row r="14" spans="1:21" ht="24" customHeight="1" x14ac:dyDescent="0.35">
      <c r="A14" s="21">
        <v>7</v>
      </c>
      <c r="B14" s="22">
        <v>44645</v>
      </c>
      <c r="C14" s="23" t="s">
        <v>54</v>
      </c>
      <c r="D14" s="24" t="s">
        <v>73</v>
      </c>
      <c r="E14" s="23" t="s">
        <v>63</v>
      </c>
      <c r="F14" s="25"/>
      <c r="G14" s="26">
        <v>264</v>
      </c>
      <c r="H14" s="26">
        <f t="shared" si="0"/>
        <v>6238320</v>
      </c>
      <c r="I14" s="25"/>
      <c r="J14" s="59">
        <v>1720000</v>
      </c>
      <c r="K14" s="27"/>
      <c r="L14" s="27"/>
      <c r="M14" s="26"/>
      <c r="N14" s="26"/>
      <c r="O14" s="26">
        <f t="shared" si="1"/>
        <v>7958320</v>
      </c>
      <c r="P14" s="26">
        <v>10650000</v>
      </c>
      <c r="Q14" s="26">
        <f t="shared" si="2"/>
        <v>2691680</v>
      </c>
      <c r="R14" s="46"/>
      <c r="S14" s="47"/>
      <c r="T14" s="10"/>
      <c r="U14" s="10"/>
    </row>
    <row r="15" spans="1:21" ht="24" customHeight="1" x14ac:dyDescent="0.35">
      <c r="A15" s="21">
        <v>8</v>
      </c>
      <c r="B15" s="22">
        <v>44648</v>
      </c>
      <c r="C15" s="23" t="s">
        <v>55</v>
      </c>
      <c r="D15" s="24" t="s">
        <v>74</v>
      </c>
      <c r="E15" s="23" t="s">
        <v>64</v>
      </c>
      <c r="F15" s="25"/>
      <c r="G15" s="26">
        <v>164</v>
      </c>
      <c r="H15" s="26">
        <f t="shared" si="0"/>
        <v>3875320</v>
      </c>
      <c r="I15" s="25"/>
      <c r="J15" s="59">
        <v>1990000</v>
      </c>
      <c r="K15" s="27"/>
      <c r="L15" s="27"/>
      <c r="M15" s="26"/>
      <c r="N15" s="26"/>
      <c r="O15" s="26">
        <f t="shared" si="1"/>
        <v>5865320</v>
      </c>
      <c r="P15" s="26">
        <v>4600000</v>
      </c>
      <c r="Q15" s="26">
        <f t="shared" si="2"/>
        <v>-1265320</v>
      </c>
      <c r="R15" s="46"/>
      <c r="S15" s="47"/>
      <c r="T15" s="10"/>
      <c r="U15" s="10"/>
    </row>
    <row r="16" spans="1:21" ht="24" customHeight="1" x14ac:dyDescent="0.35">
      <c r="A16" s="21">
        <v>9</v>
      </c>
      <c r="B16" s="22">
        <v>44648</v>
      </c>
      <c r="C16" s="23" t="s">
        <v>56</v>
      </c>
      <c r="D16" s="24" t="s">
        <v>74</v>
      </c>
      <c r="E16" s="23" t="s">
        <v>65</v>
      </c>
      <c r="F16" s="25"/>
      <c r="G16" s="26"/>
      <c r="H16" s="26">
        <f t="shared" si="0"/>
        <v>0</v>
      </c>
      <c r="I16" s="25"/>
      <c r="J16" s="26">
        <v>0</v>
      </c>
      <c r="K16" s="27"/>
      <c r="L16" s="27"/>
      <c r="M16" s="26"/>
      <c r="N16" s="26"/>
      <c r="O16" s="26">
        <f t="shared" si="1"/>
        <v>0</v>
      </c>
      <c r="P16" s="26">
        <v>3800000</v>
      </c>
      <c r="Q16" s="26">
        <f t="shared" si="2"/>
        <v>3800000</v>
      </c>
      <c r="R16" s="46"/>
      <c r="S16" s="47"/>
      <c r="T16" s="10"/>
      <c r="U16" s="10"/>
    </row>
    <row r="17" spans="1:21" ht="24" customHeight="1" x14ac:dyDescent="0.35">
      <c r="A17" s="21">
        <v>10</v>
      </c>
      <c r="B17" s="22">
        <v>44648</v>
      </c>
      <c r="C17" s="23" t="s">
        <v>57</v>
      </c>
      <c r="D17" s="24" t="s">
        <v>75</v>
      </c>
      <c r="E17" s="23" t="s">
        <v>60</v>
      </c>
      <c r="F17" s="25"/>
      <c r="G17" s="26">
        <v>10</v>
      </c>
      <c r="H17" s="26">
        <f t="shared" si="0"/>
        <v>236300</v>
      </c>
      <c r="I17" s="25"/>
      <c r="J17" s="59">
        <v>300000</v>
      </c>
      <c r="K17" s="27"/>
      <c r="L17" s="27"/>
      <c r="M17" s="26"/>
      <c r="N17" s="26"/>
      <c r="O17" s="26">
        <f t="shared" si="1"/>
        <v>536300</v>
      </c>
      <c r="P17" s="26">
        <v>2000000</v>
      </c>
      <c r="Q17" s="26">
        <f t="shared" si="2"/>
        <v>1463700</v>
      </c>
      <c r="R17" s="46"/>
      <c r="S17" s="47"/>
      <c r="T17" s="10"/>
      <c r="U17" s="10"/>
    </row>
    <row r="18" spans="1:21" ht="24" customHeight="1" x14ac:dyDescent="0.35">
      <c r="A18" s="21">
        <v>11</v>
      </c>
      <c r="B18" s="22">
        <v>44649</v>
      </c>
      <c r="C18" s="23" t="s">
        <v>58</v>
      </c>
      <c r="D18" s="24" t="s">
        <v>76</v>
      </c>
      <c r="E18" s="23" t="s">
        <v>60</v>
      </c>
      <c r="F18" s="25"/>
      <c r="G18" s="26">
        <v>17</v>
      </c>
      <c r="H18" s="26">
        <f t="shared" si="0"/>
        <v>401710</v>
      </c>
      <c r="I18" s="25"/>
      <c r="J18" s="59">
        <v>300000</v>
      </c>
      <c r="K18" s="27"/>
      <c r="L18" s="27"/>
      <c r="M18" s="26"/>
      <c r="N18" s="26"/>
      <c r="O18" s="26">
        <f t="shared" si="1"/>
        <v>701710</v>
      </c>
      <c r="P18" s="26">
        <v>2200000</v>
      </c>
      <c r="Q18" s="26">
        <f t="shared" si="2"/>
        <v>1498290</v>
      </c>
      <c r="R18" s="46"/>
      <c r="S18" s="47"/>
      <c r="T18" s="10"/>
      <c r="U18" s="10"/>
    </row>
    <row r="19" spans="1:21" ht="24" customHeight="1" x14ac:dyDescent="0.35">
      <c r="A19" s="21">
        <v>12</v>
      </c>
      <c r="B19" s="22">
        <v>44649</v>
      </c>
      <c r="C19" s="23" t="s">
        <v>58</v>
      </c>
      <c r="D19" s="24" t="s">
        <v>77</v>
      </c>
      <c r="E19" s="23" t="s">
        <v>60</v>
      </c>
      <c r="F19" s="25"/>
      <c r="G19" s="26"/>
      <c r="H19" s="26">
        <f t="shared" si="0"/>
        <v>0</v>
      </c>
      <c r="I19" s="25"/>
      <c r="J19" s="59">
        <v>300000</v>
      </c>
      <c r="K19" s="27"/>
      <c r="L19" s="27"/>
      <c r="M19" s="26"/>
      <c r="N19" s="26"/>
      <c r="O19" s="26">
        <f t="shared" si="1"/>
        <v>300000</v>
      </c>
      <c r="P19" s="26">
        <v>2200000</v>
      </c>
      <c r="Q19" s="26">
        <f t="shared" si="2"/>
        <v>1900000</v>
      </c>
      <c r="R19" s="46"/>
      <c r="S19" s="47"/>
      <c r="T19" s="10"/>
      <c r="U19" s="10"/>
    </row>
    <row r="20" spans="1:21" ht="24" customHeight="1" x14ac:dyDescent="0.35">
      <c r="A20" s="25">
        <v>13</v>
      </c>
      <c r="B20" s="22">
        <v>44650</v>
      </c>
      <c r="C20" s="23" t="s">
        <v>59</v>
      </c>
      <c r="D20" s="24" t="s">
        <v>78</v>
      </c>
      <c r="E20" s="23" t="s">
        <v>66</v>
      </c>
      <c r="F20" s="40"/>
      <c r="G20" s="27">
        <v>340</v>
      </c>
      <c r="H20" s="26">
        <f>G20*25080</f>
        <v>8527200</v>
      </c>
      <c r="I20" s="29"/>
      <c r="J20" s="60">
        <v>3820000</v>
      </c>
      <c r="K20" s="27"/>
      <c r="L20" s="27"/>
      <c r="M20" s="26"/>
      <c r="N20" s="26"/>
      <c r="O20" s="26">
        <f t="shared" si="1"/>
        <v>12347200</v>
      </c>
      <c r="P20" s="26">
        <v>20032407</v>
      </c>
      <c r="Q20" s="26">
        <f t="shared" si="2"/>
        <v>7685207</v>
      </c>
      <c r="R20" s="46"/>
      <c r="S20" s="47"/>
      <c r="T20" s="10"/>
      <c r="U20" s="10"/>
    </row>
    <row r="21" spans="1:21" ht="24" customHeight="1" x14ac:dyDescent="0.35">
      <c r="A21" s="25"/>
      <c r="B21" s="22"/>
      <c r="C21" s="23"/>
      <c r="D21" s="24"/>
      <c r="E21" s="23"/>
      <c r="F21" s="40"/>
      <c r="G21" s="27"/>
      <c r="H21" s="26"/>
      <c r="I21" s="29"/>
      <c r="J21" s="27"/>
      <c r="K21" s="27"/>
      <c r="L21" s="27"/>
      <c r="M21" s="26"/>
      <c r="N21" s="26"/>
      <c r="O21" s="26"/>
      <c r="P21" s="26"/>
      <c r="Q21" s="26">
        <f t="shared" si="2"/>
        <v>0</v>
      </c>
      <c r="R21" s="46"/>
      <c r="S21" s="47"/>
      <c r="T21" s="10"/>
      <c r="U21" s="10"/>
    </row>
    <row r="22" spans="1:21" ht="24" customHeight="1" x14ac:dyDescent="0.35">
      <c r="A22" s="25"/>
      <c r="B22" s="22"/>
      <c r="C22" s="123" t="s">
        <v>10</v>
      </c>
      <c r="D22" s="124"/>
      <c r="E22" s="125"/>
      <c r="F22" s="40"/>
      <c r="G22" s="27"/>
      <c r="H22" s="26"/>
      <c r="I22" s="29"/>
      <c r="J22" s="27"/>
      <c r="K22" s="27"/>
      <c r="L22" s="60">
        <v>9900000</v>
      </c>
      <c r="M22" s="26"/>
      <c r="N22" s="26"/>
      <c r="O22" s="26">
        <f t="shared" si="1"/>
        <v>9900000</v>
      </c>
      <c r="P22" s="26"/>
      <c r="Q22" s="26">
        <f t="shared" si="2"/>
        <v>-9900000</v>
      </c>
      <c r="R22" s="46"/>
      <c r="S22" s="47"/>
      <c r="T22" s="10"/>
      <c r="U22" s="10"/>
    </row>
    <row r="23" spans="1:21" ht="24" customHeight="1" x14ac:dyDescent="0.35">
      <c r="A23" s="25"/>
      <c r="B23" s="22"/>
      <c r="C23" s="123" t="s">
        <v>11</v>
      </c>
      <c r="D23" s="124"/>
      <c r="E23" s="125"/>
      <c r="F23" s="40"/>
      <c r="G23" s="27"/>
      <c r="H23" s="26"/>
      <c r="I23" s="29"/>
      <c r="J23" s="27"/>
      <c r="K23" s="27"/>
      <c r="L23" s="60">
        <v>150000</v>
      </c>
      <c r="M23" s="26"/>
      <c r="N23" s="26"/>
      <c r="O23" s="26">
        <f t="shared" si="1"/>
        <v>150000</v>
      </c>
      <c r="P23" s="26"/>
      <c r="Q23" s="26">
        <f t="shared" si="2"/>
        <v>-150000</v>
      </c>
      <c r="R23" s="46"/>
      <c r="S23" s="47"/>
      <c r="T23" s="10"/>
      <c r="U23" s="10"/>
    </row>
    <row r="24" spans="1:21" ht="24" customHeight="1" x14ac:dyDescent="0.35">
      <c r="A24" s="25"/>
      <c r="B24" s="22"/>
      <c r="C24" s="123" t="s">
        <v>15</v>
      </c>
      <c r="D24" s="124"/>
      <c r="E24" s="125"/>
      <c r="F24" s="40"/>
      <c r="G24" s="27"/>
      <c r="H24" s="26"/>
      <c r="I24" s="29"/>
      <c r="J24" s="27"/>
      <c r="K24" s="27"/>
      <c r="L24" s="60">
        <v>300000</v>
      </c>
      <c r="M24" s="26"/>
      <c r="N24" s="26"/>
      <c r="O24" s="26">
        <f t="shared" si="1"/>
        <v>300000</v>
      </c>
      <c r="P24" s="26"/>
      <c r="Q24" s="26">
        <f t="shared" si="2"/>
        <v>-300000</v>
      </c>
      <c r="R24" s="46"/>
      <c r="S24" s="47"/>
      <c r="T24" s="10"/>
      <c r="U24" s="10"/>
    </row>
    <row r="25" spans="1:21" ht="24" customHeight="1" x14ac:dyDescent="0.35">
      <c r="A25" s="25"/>
      <c r="B25" s="22"/>
      <c r="C25" s="123" t="s">
        <v>6</v>
      </c>
      <c r="D25" s="124"/>
      <c r="E25" s="125"/>
      <c r="F25" s="40"/>
      <c r="G25" s="27"/>
      <c r="H25" s="26"/>
      <c r="I25" s="29"/>
      <c r="J25" s="27"/>
      <c r="K25" s="27"/>
      <c r="L25" s="60"/>
      <c r="M25" s="26"/>
      <c r="N25" s="60">
        <v>2900000</v>
      </c>
      <c r="O25" s="26">
        <f t="shared" si="1"/>
        <v>2900000</v>
      </c>
      <c r="P25" s="26"/>
      <c r="Q25" s="26">
        <f t="shared" si="2"/>
        <v>-2900000</v>
      </c>
      <c r="R25" s="46"/>
      <c r="S25" s="47"/>
      <c r="T25" s="10"/>
      <c r="U25" s="10"/>
    </row>
    <row r="26" spans="1:21" ht="24" customHeight="1" x14ac:dyDescent="0.35">
      <c r="A26" s="25"/>
      <c r="B26" s="22"/>
      <c r="C26" s="25" t="s">
        <v>7</v>
      </c>
      <c r="D26" s="24"/>
      <c r="E26" s="23"/>
      <c r="F26" s="40"/>
      <c r="G26" s="27"/>
      <c r="H26" s="26"/>
      <c r="I26" s="29"/>
      <c r="J26" s="27"/>
      <c r="K26" s="27"/>
      <c r="L26" s="60">
        <v>2500000</v>
      </c>
      <c r="M26" s="26"/>
      <c r="N26" s="26"/>
      <c r="O26" s="26">
        <f t="shared" si="1"/>
        <v>2500000</v>
      </c>
      <c r="P26" s="26"/>
      <c r="Q26" s="26">
        <f t="shared" si="2"/>
        <v>-2500000</v>
      </c>
      <c r="R26" s="46"/>
      <c r="S26" s="47"/>
      <c r="T26" s="10"/>
      <c r="U26" s="10"/>
    </row>
    <row r="27" spans="1:21" ht="24" customHeight="1" x14ac:dyDescent="0.35">
      <c r="A27" s="25"/>
      <c r="B27" s="22"/>
      <c r="C27" s="25" t="s">
        <v>8</v>
      </c>
      <c r="D27" s="24"/>
      <c r="E27" s="23"/>
      <c r="F27" s="40"/>
      <c r="G27" s="27"/>
      <c r="H27" s="26"/>
      <c r="I27" s="29"/>
      <c r="J27" s="27"/>
      <c r="K27" s="27"/>
      <c r="L27" s="60">
        <v>800000</v>
      </c>
      <c r="M27" s="26"/>
      <c r="N27" s="26"/>
      <c r="O27" s="26">
        <f t="shared" si="1"/>
        <v>800000</v>
      </c>
      <c r="P27" s="26"/>
      <c r="Q27" s="26">
        <f t="shared" si="2"/>
        <v>-800000</v>
      </c>
      <c r="R27" s="46"/>
      <c r="S27" s="47"/>
      <c r="T27" s="10"/>
      <c r="U27" s="10"/>
    </row>
    <row r="28" spans="1:21" ht="24" customHeight="1" x14ac:dyDescent="0.35">
      <c r="A28" s="25"/>
      <c r="B28" s="22"/>
      <c r="C28" s="25" t="s">
        <v>9</v>
      </c>
      <c r="D28" s="24"/>
      <c r="E28" s="23"/>
      <c r="F28" s="40"/>
      <c r="G28" s="27"/>
      <c r="H28" s="26"/>
      <c r="I28" s="29"/>
      <c r="J28" s="27"/>
      <c r="K28" s="27"/>
      <c r="L28" s="60">
        <v>740000</v>
      </c>
      <c r="M28" s="26"/>
      <c r="N28" s="26"/>
      <c r="O28" s="26">
        <f t="shared" si="1"/>
        <v>740000</v>
      </c>
      <c r="P28" s="26"/>
      <c r="Q28" s="26">
        <f t="shared" si="2"/>
        <v>-740000</v>
      </c>
      <c r="R28" s="46"/>
      <c r="S28" s="47"/>
      <c r="T28" s="10"/>
      <c r="U28" s="10"/>
    </row>
    <row r="29" spans="1:21" ht="24" customHeight="1" x14ac:dyDescent="0.35">
      <c r="A29" s="25"/>
      <c r="B29" s="22"/>
      <c r="C29" s="25" t="s">
        <v>12</v>
      </c>
      <c r="D29" s="24"/>
      <c r="E29" s="23"/>
      <c r="F29" s="40"/>
      <c r="G29" s="27"/>
      <c r="H29" s="26"/>
      <c r="I29" s="29"/>
      <c r="J29" s="27"/>
      <c r="K29" s="27"/>
      <c r="L29" s="60">
        <v>580000</v>
      </c>
      <c r="M29" s="26"/>
      <c r="N29" s="26"/>
      <c r="O29" s="26">
        <f t="shared" si="1"/>
        <v>580000</v>
      </c>
      <c r="P29" s="26"/>
      <c r="Q29" s="26">
        <f t="shared" si="2"/>
        <v>-580000</v>
      </c>
      <c r="R29" s="46"/>
      <c r="S29" s="47"/>
      <c r="T29" s="10"/>
      <c r="U29" s="10"/>
    </row>
    <row r="30" spans="1:21" ht="24" customHeight="1" x14ac:dyDescent="0.35">
      <c r="A30" s="25"/>
      <c r="B30" s="22"/>
      <c r="C30" s="25" t="s">
        <v>13</v>
      </c>
      <c r="D30" s="24"/>
      <c r="E30" s="23"/>
      <c r="F30" s="40"/>
      <c r="G30" s="27"/>
      <c r="H30" s="26"/>
      <c r="I30" s="29"/>
      <c r="J30" s="27"/>
      <c r="K30" s="27"/>
      <c r="L30" s="60">
        <v>550000</v>
      </c>
      <c r="M30" s="26"/>
      <c r="N30" s="26"/>
      <c r="O30" s="26">
        <f t="shared" si="1"/>
        <v>550000</v>
      </c>
      <c r="P30" s="26"/>
      <c r="Q30" s="26">
        <f t="shared" si="2"/>
        <v>-550000</v>
      </c>
      <c r="R30" s="46"/>
      <c r="S30" s="47"/>
      <c r="T30" s="10"/>
      <c r="U30" s="10"/>
    </row>
    <row r="31" spans="1:21" ht="24" customHeight="1" x14ac:dyDescent="0.35">
      <c r="A31" s="25"/>
      <c r="B31" s="22"/>
      <c r="C31" s="25" t="s">
        <v>14</v>
      </c>
      <c r="D31" s="24"/>
      <c r="E31" s="23"/>
      <c r="F31" s="40"/>
      <c r="G31" s="27"/>
      <c r="H31" s="26"/>
      <c r="I31" s="29"/>
      <c r="J31" s="27"/>
      <c r="K31" s="27"/>
      <c r="L31" s="60">
        <v>1050000</v>
      </c>
      <c r="M31" s="26"/>
      <c r="N31" s="26"/>
      <c r="O31" s="26">
        <f t="shared" si="1"/>
        <v>1050000</v>
      </c>
      <c r="P31" s="26"/>
      <c r="Q31" s="26">
        <f t="shared" si="2"/>
        <v>-1050000</v>
      </c>
      <c r="R31" s="46"/>
      <c r="S31" s="47"/>
      <c r="T31" s="10"/>
      <c r="U31" s="10"/>
    </row>
    <row r="32" spans="1:21" ht="24" customHeight="1" x14ac:dyDescent="0.35">
      <c r="A32" s="25"/>
      <c r="B32" s="22"/>
      <c r="C32" s="123" t="s">
        <v>156</v>
      </c>
      <c r="D32" s="124"/>
      <c r="E32" s="125"/>
      <c r="F32" s="40"/>
      <c r="G32" s="27"/>
      <c r="H32" s="26"/>
      <c r="I32" s="29"/>
      <c r="J32" s="27"/>
      <c r="K32" s="27"/>
      <c r="L32" s="60">
        <v>1200000</v>
      </c>
      <c r="M32" s="26"/>
      <c r="N32" s="26"/>
      <c r="O32" s="26">
        <f t="shared" si="1"/>
        <v>1200000</v>
      </c>
      <c r="P32" s="26"/>
      <c r="Q32" s="26">
        <f t="shared" si="2"/>
        <v>-1200000</v>
      </c>
      <c r="R32" s="46"/>
      <c r="S32" s="47"/>
      <c r="T32" s="10"/>
      <c r="U32" s="10"/>
    </row>
    <row r="33" spans="1:21" ht="24" customHeight="1" x14ac:dyDescent="0.35">
      <c r="A33" s="25"/>
      <c r="B33" s="22"/>
      <c r="C33" s="123" t="s">
        <v>16</v>
      </c>
      <c r="D33" s="124"/>
      <c r="E33" s="125"/>
      <c r="F33" s="40"/>
      <c r="G33" s="27"/>
      <c r="H33" s="26"/>
      <c r="I33" s="29"/>
      <c r="J33" s="27"/>
      <c r="K33" s="27"/>
      <c r="L33" s="60"/>
      <c r="M33" s="60">
        <v>11540000</v>
      </c>
      <c r="N33" s="26"/>
      <c r="O33" s="26">
        <f t="shared" si="1"/>
        <v>11540000</v>
      </c>
      <c r="P33" s="26"/>
      <c r="Q33" s="26">
        <f t="shared" si="2"/>
        <v>-11540000</v>
      </c>
      <c r="R33" s="46"/>
      <c r="S33" s="47"/>
      <c r="T33" s="10"/>
      <c r="U33" s="10"/>
    </row>
    <row r="34" spans="1:21" ht="24" customHeight="1" x14ac:dyDescent="0.35">
      <c r="A34" s="25"/>
      <c r="B34" s="22"/>
      <c r="C34" s="123" t="s">
        <v>17</v>
      </c>
      <c r="D34" s="124"/>
      <c r="E34" s="125"/>
      <c r="F34" s="40"/>
      <c r="G34" s="27"/>
      <c r="H34" s="26"/>
      <c r="I34" s="29"/>
      <c r="J34" s="27"/>
      <c r="K34" s="27"/>
      <c r="L34" s="60">
        <v>250000</v>
      </c>
      <c r="M34" s="26"/>
      <c r="N34" s="26"/>
      <c r="O34" s="26">
        <f t="shared" si="1"/>
        <v>250000</v>
      </c>
      <c r="P34" s="26"/>
      <c r="Q34" s="26">
        <f t="shared" si="2"/>
        <v>-250000</v>
      </c>
      <c r="R34" s="46"/>
      <c r="S34" s="47"/>
      <c r="T34" s="10"/>
      <c r="U34" s="10"/>
    </row>
    <row r="35" spans="1:21" ht="24" customHeight="1" x14ac:dyDescent="0.35">
      <c r="A35" s="25"/>
      <c r="B35" s="22"/>
      <c r="C35" s="123" t="s">
        <v>18</v>
      </c>
      <c r="D35" s="124"/>
      <c r="E35" s="125"/>
      <c r="F35" s="40"/>
      <c r="G35" s="27"/>
      <c r="H35" s="26"/>
      <c r="I35" s="29"/>
      <c r="J35" s="27"/>
      <c r="K35" s="27"/>
      <c r="L35" s="60">
        <v>150000</v>
      </c>
      <c r="M35" s="26"/>
      <c r="N35" s="26"/>
      <c r="O35" s="26">
        <f t="shared" si="1"/>
        <v>150000</v>
      </c>
      <c r="P35" s="26"/>
      <c r="Q35" s="26">
        <f t="shared" si="2"/>
        <v>-150000</v>
      </c>
      <c r="R35" s="46"/>
      <c r="S35" s="47"/>
      <c r="T35" s="10"/>
      <c r="U35" s="10"/>
    </row>
    <row r="36" spans="1:21" ht="24" customHeight="1" x14ac:dyDescent="0.35">
      <c r="A36" s="25"/>
      <c r="B36" s="22"/>
      <c r="C36" s="123" t="s">
        <v>143</v>
      </c>
      <c r="D36" s="124"/>
      <c r="E36" s="125"/>
      <c r="F36" s="40"/>
      <c r="G36" s="27"/>
      <c r="H36" s="26"/>
      <c r="I36" s="29"/>
      <c r="J36" s="27"/>
      <c r="K36" s="27"/>
      <c r="L36" s="60">
        <v>50000</v>
      </c>
      <c r="M36" s="26"/>
      <c r="N36" s="26"/>
      <c r="O36" s="26">
        <f t="shared" si="1"/>
        <v>50000</v>
      </c>
      <c r="P36" s="26"/>
      <c r="Q36" s="26">
        <f t="shared" si="2"/>
        <v>-50000</v>
      </c>
      <c r="R36" s="46"/>
      <c r="S36" s="47"/>
      <c r="T36" s="10"/>
      <c r="U36" s="10"/>
    </row>
    <row r="37" spans="1:21" ht="24" customHeight="1" x14ac:dyDescent="0.35">
      <c r="A37" s="25"/>
      <c r="B37" s="22"/>
      <c r="C37" s="25" t="s">
        <v>19</v>
      </c>
      <c r="D37" s="24"/>
      <c r="E37" s="23"/>
      <c r="F37" s="40"/>
      <c r="G37" s="27"/>
      <c r="H37" s="26"/>
      <c r="I37" s="29"/>
      <c r="J37" s="27"/>
      <c r="K37" s="27"/>
      <c r="L37" s="60">
        <v>1230000</v>
      </c>
      <c r="M37" s="26"/>
      <c r="N37" s="26"/>
      <c r="O37" s="26">
        <f t="shared" si="1"/>
        <v>1230000</v>
      </c>
      <c r="P37" s="26"/>
      <c r="Q37" s="26">
        <f t="shared" si="2"/>
        <v>-1230000</v>
      </c>
      <c r="R37" s="46"/>
      <c r="S37" s="47"/>
      <c r="T37" s="10"/>
      <c r="U37" s="10"/>
    </row>
    <row r="38" spans="1:21" ht="24" customHeight="1" x14ac:dyDescent="0.35">
      <c r="A38" s="25"/>
      <c r="B38" s="22"/>
      <c r="C38" s="123" t="s">
        <v>20</v>
      </c>
      <c r="D38" s="124"/>
      <c r="E38" s="125"/>
      <c r="F38" s="40"/>
      <c r="G38" s="27"/>
      <c r="H38" s="26"/>
      <c r="I38" s="29"/>
      <c r="J38" s="27"/>
      <c r="K38" s="27"/>
      <c r="L38" s="60">
        <v>475000</v>
      </c>
      <c r="M38" s="26"/>
      <c r="N38" s="26"/>
      <c r="O38" s="26">
        <f t="shared" si="1"/>
        <v>475000</v>
      </c>
      <c r="P38" s="26"/>
      <c r="Q38" s="26">
        <f t="shared" si="2"/>
        <v>-475000</v>
      </c>
      <c r="R38" s="46"/>
      <c r="S38" s="47"/>
      <c r="T38" s="10"/>
      <c r="U38" s="10"/>
    </row>
    <row r="39" spans="1:21" ht="24" customHeight="1" x14ac:dyDescent="0.35">
      <c r="A39" s="25"/>
      <c r="B39" s="22"/>
      <c r="C39" s="25" t="s">
        <v>21</v>
      </c>
      <c r="D39" s="24"/>
      <c r="E39" s="23"/>
      <c r="F39" s="40"/>
      <c r="G39" s="27"/>
      <c r="H39" s="26"/>
      <c r="I39" s="29"/>
      <c r="J39" s="27"/>
      <c r="K39" s="27"/>
      <c r="L39" s="60">
        <v>1300000</v>
      </c>
      <c r="M39" s="26"/>
      <c r="N39" s="26"/>
      <c r="O39" s="26">
        <f t="shared" si="1"/>
        <v>1300000</v>
      </c>
      <c r="P39" s="26"/>
      <c r="Q39" s="26">
        <f t="shared" si="2"/>
        <v>-1300000</v>
      </c>
      <c r="R39" s="46"/>
      <c r="S39" s="47"/>
      <c r="T39" s="10"/>
      <c r="U39" s="10"/>
    </row>
    <row r="40" spans="1:21" ht="24" customHeight="1" x14ac:dyDescent="0.35">
      <c r="A40" s="25"/>
      <c r="B40" s="22"/>
      <c r="C40" s="123" t="s">
        <v>144</v>
      </c>
      <c r="D40" s="124"/>
      <c r="E40" s="125"/>
      <c r="F40" s="40"/>
      <c r="G40" s="27"/>
      <c r="H40" s="26"/>
      <c r="I40" s="29"/>
      <c r="J40" s="27"/>
      <c r="K40" s="27"/>
      <c r="L40" s="60">
        <v>300000</v>
      </c>
      <c r="M40" s="26"/>
      <c r="N40" s="26"/>
      <c r="O40" s="26">
        <f t="shared" si="1"/>
        <v>300000</v>
      </c>
      <c r="P40" s="26"/>
      <c r="Q40" s="26">
        <f t="shared" si="2"/>
        <v>-300000</v>
      </c>
      <c r="R40" s="46"/>
      <c r="S40" s="47"/>
      <c r="T40" s="10"/>
      <c r="U40" s="10"/>
    </row>
    <row r="41" spans="1:21" ht="24" customHeight="1" x14ac:dyDescent="0.35">
      <c r="A41" s="25"/>
      <c r="B41" s="22"/>
      <c r="C41" s="123" t="s">
        <v>22</v>
      </c>
      <c r="D41" s="124"/>
      <c r="E41" s="125"/>
      <c r="F41" s="40"/>
      <c r="G41" s="27"/>
      <c r="H41" s="26"/>
      <c r="I41" s="29"/>
      <c r="J41" s="27"/>
      <c r="K41" s="27"/>
      <c r="L41" s="60">
        <v>200000</v>
      </c>
      <c r="M41" s="26"/>
      <c r="N41" s="26"/>
      <c r="O41" s="26">
        <f t="shared" si="1"/>
        <v>200000</v>
      </c>
      <c r="P41" s="26"/>
      <c r="Q41" s="26">
        <f t="shared" si="2"/>
        <v>-200000</v>
      </c>
      <c r="R41" s="46"/>
      <c r="S41" s="47"/>
      <c r="T41" s="10"/>
      <c r="U41" s="10"/>
    </row>
    <row r="42" spans="1:21" ht="24" customHeight="1" x14ac:dyDescent="0.35">
      <c r="A42" s="25"/>
      <c r="B42" s="22"/>
      <c r="C42" s="25" t="s">
        <v>145</v>
      </c>
      <c r="D42" s="24"/>
      <c r="E42" s="23"/>
      <c r="F42" s="40"/>
      <c r="G42" s="27"/>
      <c r="H42" s="26"/>
      <c r="I42" s="29"/>
      <c r="J42" s="27"/>
      <c r="K42" s="27"/>
      <c r="L42" s="60">
        <v>950000</v>
      </c>
      <c r="M42" s="26"/>
      <c r="N42" s="26"/>
      <c r="O42" s="26">
        <f t="shared" si="1"/>
        <v>950000</v>
      </c>
      <c r="P42" s="26"/>
      <c r="Q42" s="26">
        <f t="shared" si="2"/>
        <v>-950000</v>
      </c>
      <c r="R42" s="46"/>
      <c r="S42" s="47"/>
      <c r="T42" s="10"/>
      <c r="U42" s="10"/>
    </row>
    <row r="43" spans="1:21" ht="24" customHeight="1" x14ac:dyDescent="0.35">
      <c r="A43" s="25"/>
      <c r="B43" s="22"/>
      <c r="C43" s="25" t="s">
        <v>23</v>
      </c>
      <c r="D43" s="24"/>
      <c r="E43" s="23"/>
      <c r="F43" s="40"/>
      <c r="G43" s="27"/>
      <c r="H43" s="26"/>
      <c r="I43" s="29"/>
      <c r="J43" s="27"/>
      <c r="K43" s="27"/>
      <c r="L43" s="60">
        <v>600000</v>
      </c>
      <c r="M43" s="26"/>
      <c r="N43" s="26"/>
      <c r="O43" s="26">
        <f t="shared" si="1"/>
        <v>600000</v>
      </c>
      <c r="P43" s="26"/>
      <c r="Q43" s="26">
        <f t="shared" si="2"/>
        <v>-600000</v>
      </c>
      <c r="R43" s="46"/>
      <c r="S43" s="47"/>
      <c r="T43" s="10"/>
      <c r="U43" s="10"/>
    </row>
    <row r="44" spans="1:21" ht="24" customHeight="1" x14ac:dyDescent="0.35">
      <c r="A44" s="25"/>
      <c r="B44" s="22"/>
      <c r="C44" s="123" t="s">
        <v>24</v>
      </c>
      <c r="D44" s="124"/>
      <c r="E44" s="125"/>
      <c r="F44" s="40"/>
      <c r="G44" s="27"/>
      <c r="H44" s="26"/>
      <c r="I44" s="29"/>
      <c r="J44" s="27"/>
      <c r="K44" s="27"/>
      <c r="L44" s="27">
        <v>4180000</v>
      </c>
      <c r="M44" s="26"/>
      <c r="N44" s="26"/>
      <c r="O44" s="26">
        <f t="shared" si="1"/>
        <v>4180000</v>
      </c>
      <c r="P44" s="26"/>
      <c r="Q44" s="26">
        <f t="shared" si="2"/>
        <v>-4180000</v>
      </c>
      <c r="R44" s="46"/>
      <c r="S44" s="47"/>
      <c r="T44" s="10"/>
      <c r="U44" s="10"/>
    </row>
    <row r="45" spans="1:21" ht="24" customHeight="1" x14ac:dyDescent="0.35">
      <c r="A45" s="25"/>
      <c r="B45" s="22"/>
      <c r="C45" s="25" t="s">
        <v>155</v>
      </c>
      <c r="D45" s="24"/>
      <c r="E45" s="23"/>
      <c r="F45" s="40"/>
      <c r="G45" s="27"/>
      <c r="H45" s="26"/>
      <c r="I45" s="29"/>
      <c r="J45" s="27"/>
      <c r="K45" s="27"/>
      <c r="L45" s="62"/>
      <c r="M45" s="26"/>
      <c r="N45" s="62">
        <v>2335000</v>
      </c>
      <c r="O45" s="26">
        <f t="shared" si="1"/>
        <v>2335000</v>
      </c>
      <c r="P45" s="26"/>
      <c r="Q45" s="26">
        <f t="shared" si="2"/>
        <v>-2335000</v>
      </c>
      <c r="R45" s="46"/>
      <c r="S45" s="47"/>
      <c r="T45" s="10"/>
      <c r="U45" s="10"/>
    </row>
    <row r="46" spans="1:21" ht="24" customHeight="1" x14ac:dyDescent="0.35">
      <c r="A46" s="25"/>
      <c r="B46" s="25"/>
      <c r="C46" s="139" t="s">
        <v>79</v>
      </c>
      <c r="D46" s="140"/>
      <c r="E46" s="140"/>
      <c r="F46" s="141"/>
      <c r="G46" s="54"/>
      <c r="H46" s="53"/>
      <c r="I46" s="54"/>
      <c r="J46" s="53"/>
      <c r="K46" s="61">
        <v>2761538</v>
      </c>
      <c r="L46" s="53"/>
      <c r="M46" s="53"/>
      <c r="N46" s="53"/>
      <c r="O46" s="26">
        <f t="shared" ref="O46:O47" si="3">H46+J46+K46+L46+M46+N46</f>
        <v>2761538</v>
      </c>
      <c r="P46" s="26"/>
      <c r="Q46" s="26">
        <f t="shared" si="2"/>
        <v>-2761538</v>
      </c>
      <c r="R46" s="48"/>
      <c r="S46" s="49"/>
    </row>
    <row r="47" spans="1:21" ht="24" customHeight="1" x14ac:dyDescent="0.35">
      <c r="A47" s="25"/>
      <c r="B47" s="31"/>
      <c r="C47" s="142" t="s">
        <v>44</v>
      </c>
      <c r="D47" s="143"/>
      <c r="E47" s="143"/>
      <c r="F47" s="144"/>
      <c r="G47" s="54"/>
      <c r="H47" s="53"/>
      <c r="I47" s="54"/>
      <c r="J47" s="53"/>
      <c r="K47" s="51"/>
      <c r="L47" s="61">
        <v>1200000</v>
      </c>
      <c r="M47" s="51"/>
      <c r="N47" s="51"/>
      <c r="O47" s="26">
        <f t="shared" si="3"/>
        <v>1200000</v>
      </c>
      <c r="P47" s="26"/>
      <c r="Q47" s="26">
        <f t="shared" si="2"/>
        <v>-1200000</v>
      </c>
      <c r="R47" s="48"/>
      <c r="S47" s="49"/>
    </row>
    <row r="48" spans="1:21" ht="24" customHeight="1" x14ac:dyDescent="0.35">
      <c r="A48" s="136" t="s">
        <v>45</v>
      </c>
      <c r="B48" s="137"/>
      <c r="C48" s="137"/>
      <c r="D48" s="137"/>
      <c r="E48" s="137"/>
      <c r="F48" s="138"/>
      <c r="G48" s="33">
        <f>SUM(G8:G47)</f>
        <v>1224</v>
      </c>
      <c r="H48" s="33">
        <f t="shared" ref="H48:P48" si="4">SUM(H8:H47)</f>
        <v>29416120</v>
      </c>
      <c r="I48" s="33">
        <f t="shared" si="4"/>
        <v>0</v>
      </c>
      <c r="J48" s="33">
        <f t="shared" si="4"/>
        <v>14980000</v>
      </c>
      <c r="K48" s="33">
        <f t="shared" si="4"/>
        <v>2761538</v>
      </c>
      <c r="L48" s="33">
        <f t="shared" si="4"/>
        <v>28655000</v>
      </c>
      <c r="M48" s="33">
        <f t="shared" si="4"/>
        <v>11540000</v>
      </c>
      <c r="N48" s="33">
        <f t="shared" si="4"/>
        <v>5235000</v>
      </c>
      <c r="O48" s="33">
        <f t="shared" si="4"/>
        <v>92587658</v>
      </c>
      <c r="P48" s="33">
        <f t="shared" si="4"/>
        <v>74782407</v>
      </c>
      <c r="Q48" s="34">
        <f>P48-O48</f>
        <v>-17805251</v>
      </c>
      <c r="R48" s="50"/>
    </row>
    <row r="49" spans="2:18" x14ac:dyDescent="0.35">
      <c r="O49" s="35"/>
      <c r="Q49" s="36"/>
    </row>
    <row r="50" spans="2:18" x14ac:dyDescent="0.35">
      <c r="O50" s="37"/>
      <c r="P50" s="38" t="s">
        <v>46</v>
      </c>
      <c r="Q50" s="39">
        <f>Q48</f>
        <v>-17805251</v>
      </c>
    </row>
    <row r="51" spans="2:18" x14ac:dyDescent="0.35">
      <c r="O51" s="37"/>
      <c r="P51" s="38"/>
      <c r="Q51" s="39"/>
    </row>
    <row r="52" spans="2:18" x14ac:dyDescent="0.35">
      <c r="O52" s="37"/>
      <c r="P52" s="38"/>
      <c r="Q52" s="39"/>
    </row>
    <row r="53" spans="2:18" x14ac:dyDescent="0.35">
      <c r="P53" s="37"/>
      <c r="Q53" s="37"/>
      <c r="R53" s="50"/>
    </row>
    <row r="54" spans="2:18" x14ac:dyDescent="0.35">
      <c r="B54" s="8"/>
    </row>
    <row r="55" spans="2:18" x14ac:dyDescent="0.35">
      <c r="B55" s="8"/>
    </row>
    <row r="56" spans="2:18" x14ac:dyDescent="0.35">
      <c r="B56" s="8"/>
    </row>
    <row r="57" spans="2:18" x14ac:dyDescent="0.35">
      <c r="B57" s="8"/>
      <c r="H57" s="8"/>
      <c r="J57" s="8"/>
      <c r="K57" s="8"/>
      <c r="L57" s="8"/>
      <c r="M57" s="8"/>
      <c r="N57" s="8"/>
      <c r="O57" s="8"/>
      <c r="P57" s="8"/>
      <c r="Q57" s="8"/>
      <c r="R57" s="8"/>
    </row>
  </sheetData>
  <mergeCells count="35">
    <mergeCell ref="A48:F48"/>
    <mergeCell ref="C46:F46"/>
    <mergeCell ref="C47:F47"/>
    <mergeCell ref="K5:K6"/>
    <mergeCell ref="J5:J6"/>
    <mergeCell ref="I5:I6"/>
    <mergeCell ref="G5:H5"/>
    <mergeCell ref="F5:F6"/>
    <mergeCell ref="E5:E6"/>
    <mergeCell ref="D5:D6"/>
    <mergeCell ref="C5:C6"/>
    <mergeCell ref="C35:E35"/>
    <mergeCell ref="C34:E34"/>
    <mergeCell ref="C33:E33"/>
    <mergeCell ref="C32:E32"/>
    <mergeCell ref="C36:E36"/>
    <mergeCell ref="A1:Q1"/>
    <mergeCell ref="A2:Q2"/>
    <mergeCell ref="A3:Q3"/>
    <mergeCell ref="L5:L6"/>
    <mergeCell ref="N5:N6"/>
    <mergeCell ref="M5:M6"/>
    <mergeCell ref="O5:O6"/>
    <mergeCell ref="B5:B6"/>
    <mergeCell ref="A5:A6"/>
    <mergeCell ref="P5:P6"/>
    <mergeCell ref="Q5:Q6"/>
    <mergeCell ref="C40:E40"/>
    <mergeCell ref="C41:E41"/>
    <mergeCell ref="C44:E44"/>
    <mergeCell ref="C22:E22"/>
    <mergeCell ref="C23:E23"/>
    <mergeCell ref="C24:E24"/>
    <mergeCell ref="C25:E25"/>
    <mergeCell ref="C38:E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AD5B-1AA4-45A0-AEE6-AA38C3BBA704}">
  <dimension ref="A1:T46"/>
  <sheetViews>
    <sheetView topLeftCell="A24" workbookViewId="0">
      <selection activeCell="A37" sqref="A37:F37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146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44652</v>
      </c>
      <c r="C8" s="23" t="s">
        <v>80</v>
      </c>
      <c r="D8" s="24" t="s">
        <v>119</v>
      </c>
      <c r="E8" s="23" t="s">
        <v>60</v>
      </c>
      <c r="F8" s="25"/>
      <c r="G8" s="26">
        <v>17</v>
      </c>
      <c r="H8" s="26">
        <f>G8*25080</f>
        <v>426360</v>
      </c>
      <c r="I8" s="25"/>
      <c r="J8" s="59">
        <v>300000</v>
      </c>
      <c r="K8" s="27"/>
      <c r="L8" s="27"/>
      <c r="M8" s="26"/>
      <c r="N8" s="26"/>
      <c r="O8" s="26">
        <f>H8+J8+K8+L8+M8+N8</f>
        <v>726360</v>
      </c>
      <c r="P8" s="26">
        <v>2000000</v>
      </c>
      <c r="Q8" s="26">
        <f>P8-O8</f>
        <v>1273640</v>
      </c>
      <c r="R8" s="46"/>
      <c r="S8" s="10"/>
      <c r="T8" s="10"/>
    </row>
    <row r="9" spans="1:20" ht="24" customHeight="1" x14ac:dyDescent="0.35">
      <c r="A9" s="21">
        <v>2</v>
      </c>
      <c r="B9" s="22">
        <v>44652</v>
      </c>
      <c r="C9" s="23" t="s">
        <v>80</v>
      </c>
      <c r="D9" s="24" t="s">
        <v>120</v>
      </c>
      <c r="E9" s="23" t="s">
        <v>60</v>
      </c>
      <c r="F9" s="25"/>
      <c r="G9" s="26"/>
      <c r="H9" s="26">
        <f t="shared" ref="H9:H13" si="0">G9*25080</f>
        <v>0</v>
      </c>
      <c r="I9" s="25"/>
      <c r="J9" s="59">
        <v>300000</v>
      </c>
      <c r="K9" s="27"/>
      <c r="L9" s="27"/>
      <c r="M9" s="26"/>
      <c r="N9" s="26"/>
      <c r="O9" s="26">
        <f t="shared" ref="O9:O36" si="1">H9+J9+K9+L9+M9+N9</f>
        <v>300000</v>
      </c>
      <c r="P9" s="26">
        <v>2000000</v>
      </c>
      <c r="Q9" s="26">
        <f t="shared" ref="Q9:Q33" si="2">P9-O9</f>
        <v>1700000</v>
      </c>
      <c r="R9" s="46"/>
      <c r="S9" s="10"/>
      <c r="T9" s="10"/>
    </row>
    <row r="10" spans="1:20" ht="24" customHeight="1" x14ac:dyDescent="0.35">
      <c r="A10" s="21">
        <v>3</v>
      </c>
      <c r="B10" s="22">
        <v>44655</v>
      </c>
      <c r="C10" s="23" t="s">
        <v>81</v>
      </c>
      <c r="D10" s="24" t="s">
        <v>121</v>
      </c>
      <c r="E10" s="23" t="s">
        <v>103</v>
      </c>
      <c r="F10" s="25"/>
      <c r="G10" s="26">
        <v>87</v>
      </c>
      <c r="H10" s="26">
        <f t="shared" si="0"/>
        <v>2181960</v>
      </c>
      <c r="I10" s="25"/>
      <c r="J10" s="59">
        <v>1150000</v>
      </c>
      <c r="K10" s="27"/>
      <c r="L10" s="27"/>
      <c r="M10" s="26"/>
      <c r="N10" s="26"/>
      <c r="O10" s="26">
        <f t="shared" si="1"/>
        <v>3331960</v>
      </c>
      <c r="P10" s="26">
        <v>4600000</v>
      </c>
      <c r="Q10" s="26">
        <f t="shared" si="2"/>
        <v>1268040</v>
      </c>
      <c r="R10" s="46"/>
      <c r="S10" s="10"/>
      <c r="T10" s="10"/>
    </row>
    <row r="11" spans="1:20" ht="24" customHeight="1" x14ac:dyDescent="0.35">
      <c r="A11" s="21">
        <v>4</v>
      </c>
      <c r="B11" s="22">
        <v>44656</v>
      </c>
      <c r="C11" s="23" t="s">
        <v>82</v>
      </c>
      <c r="D11" s="24" t="s">
        <v>122</v>
      </c>
      <c r="E11" s="23" t="s">
        <v>104</v>
      </c>
      <c r="F11" s="25"/>
      <c r="G11" s="26">
        <v>79</v>
      </c>
      <c r="H11" s="26">
        <f t="shared" si="0"/>
        <v>1981320</v>
      </c>
      <c r="I11" s="25"/>
      <c r="J11" s="59">
        <v>1150000</v>
      </c>
      <c r="K11" s="27"/>
      <c r="L11" s="27"/>
      <c r="M11" s="26"/>
      <c r="N11" s="26"/>
      <c r="O11" s="26">
        <f t="shared" si="1"/>
        <v>3131320</v>
      </c>
      <c r="P11" s="26">
        <v>4907778</v>
      </c>
      <c r="Q11" s="26">
        <f t="shared" si="2"/>
        <v>1776458</v>
      </c>
      <c r="R11" s="46"/>
      <c r="S11" s="10"/>
      <c r="T11" s="10"/>
    </row>
    <row r="12" spans="1:20" ht="24" customHeight="1" x14ac:dyDescent="0.35">
      <c r="A12" s="21">
        <v>5</v>
      </c>
      <c r="B12" s="22">
        <v>44658</v>
      </c>
      <c r="C12" s="23" t="s">
        <v>83</v>
      </c>
      <c r="D12" s="24" t="s">
        <v>123</v>
      </c>
      <c r="E12" s="23" t="s">
        <v>60</v>
      </c>
      <c r="F12" s="25"/>
      <c r="G12" s="26">
        <v>17</v>
      </c>
      <c r="H12" s="26">
        <f t="shared" si="0"/>
        <v>426360</v>
      </c>
      <c r="I12" s="25"/>
      <c r="J12" s="59">
        <v>300000</v>
      </c>
      <c r="K12" s="27"/>
      <c r="L12" s="27"/>
      <c r="M12" s="26"/>
      <c r="N12" s="26"/>
      <c r="O12" s="26">
        <f t="shared" si="1"/>
        <v>726360</v>
      </c>
      <c r="P12" s="26">
        <v>2000000</v>
      </c>
      <c r="Q12" s="26">
        <f t="shared" si="2"/>
        <v>1273640</v>
      </c>
      <c r="R12" s="46"/>
      <c r="S12" s="10"/>
      <c r="T12" s="10"/>
    </row>
    <row r="13" spans="1:20" ht="24" customHeight="1" x14ac:dyDescent="0.35">
      <c r="A13" s="21">
        <v>6</v>
      </c>
      <c r="B13" s="22">
        <v>44658</v>
      </c>
      <c r="C13" s="23" t="s">
        <v>83</v>
      </c>
      <c r="D13" s="24" t="s">
        <v>124</v>
      </c>
      <c r="E13" s="23" t="s">
        <v>60</v>
      </c>
      <c r="F13" s="25"/>
      <c r="G13" s="26"/>
      <c r="H13" s="26">
        <f t="shared" si="0"/>
        <v>0</v>
      </c>
      <c r="I13" s="25"/>
      <c r="J13" s="59">
        <v>300000</v>
      </c>
      <c r="K13" s="27"/>
      <c r="L13" s="27"/>
      <c r="M13" s="26"/>
      <c r="N13" s="26"/>
      <c r="O13" s="26">
        <f t="shared" si="1"/>
        <v>300000</v>
      </c>
      <c r="P13" s="26">
        <v>2000000</v>
      </c>
      <c r="Q13" s="26">
        <f t="shared" si="2"/>
        <v>1700000</v>
      </c>
      <c r="R13" s="46"/>
      <c r="S13" s="10"/>
      <c r="T13" s="10"/>
    </row>
    <row r="14" spans="1:20" ht="24" customHeight="1" x14ac:dyDescent="0.35">
      <c r="A14" s="21">
        <v>7</v>
      </c>
      <c r="B14" s="22">
        <v>44658</v>
      </c>
      <c r="C14" s="23" t="s">
        <v>84</v>
      </c>
      <c r="D14" s="24" t="s">
        <v>125</v>
      </c>
      <c r="E14" s="23" t="s">
        <v>60</v>
      </c>
      <c r="F14" s="25"/>
      <c r="G14" s="26">
        <v>65</v>
      </c>
      <c r="H14" s="26">
        <f>G14*24380</f>
        <v>1584700</v>
      </c>
      <c r="I14" s="25"/>
      <c r="J14" s="59">
        <v>300000</v>
      </c>
      <c r="K14" s="27"/>
      <c r="L14" s="27"/>
      <c r="M14" s="26"/>
      <c r="N14" s="26"/>
      <c r="O14" s="26">
        <f t="shared" si="1"/>
        <v>1884700</v>
      </c>
      <c r="P14" s="26">
        <v>2000000</v>
      </c>
      <c r="Q14" s="26">
        <f t="shared" si="2"/>
        <v>115300</v>
      </c>
      <c r="R14" s="46"/>
      <c r="S14" s="10"/>
      <c r="T14" s="10"/>
    </row>
    <row r="15" spans="1:20" ht="24" customHeight="1" x14ac:dyDescent="0.35">
      <c r="A15" s="21">
        <v>8</v>
      </c>
      <c r="B15" s="22">
        <v>44658</v>
      </c>
      <c r="C15" s="23" t="s">
        <v>85</v>
      </c>
      <c r="D15" s="24" t="s">
        <v>126</v>
      </c>
      <c r="E15" s="23" t="s">
        <v>105</v>
      </c>
      <c r="F15" s="25"/>
      <c r="G15" s="26"/>
      <c r="H15" s="26">
        <f t="shared" ref="H15:H17" si="3">G15*24380</f>
        <v>0</v>
      </c>
      <c r="I15" s="25"/>
      <c r="J15" s="59">
        <v>790000</v>
      </c>
      <c r="K15" s="27"/>
      <c r="L15" s="27"/>
      <c r="M15" s="26"/>
      <c r="N15" s="26"/>
      <c r="O15" s="26">
        <f t="shared" si="1"/>
        <v>790000</v>
      </c>
      <c r="P15" s="26">
        <v>3260000</v>
      </c>
      <c r="Q15" s="26">
        <f t="shared" si="2"/>
        <v>2470000</v>
      </c>
      <c r="R15" s="46"/>
      <c r="S15" s="10"/>
      <c r="T15" s="10"/>
    </row>
    <row r="16" spans="1:20" ht="24" customHeight="1" x14ac:dyDescent="0.35">
      <c r="A16" s="21">
        <v>9</v>
      </c>
      <c r="B16" s="22">
        <v>44659</v>
      </c>
      <c r="C16" s="23" t="s">
        <v>86</v>
      </c>
      <c r="D16" s="24" t="s">
        <v>127</v>
      </c>
      <c r="E16" s="23" t="s">
        <v>103</v>
      </c>
      <c r="F16" s="25"/>
      <c r="G16" s="26">
        <v>84</v>
      </c>
      <c r="H16" s="26">
        <f t="shared" si="3"/>
        <v>2047920</v>
      </c>
      <c r="I16" s="25"/>
      <c r="J16" s="59">
        <v>1150000</v>
      </c>
      <c r="K16" s="27"/>
      <c r="L16" s="27"/>
      <c r="M16" s="26"/>
      <c r="N16" s="26"/>
      <c r="O16" s="26">
        <f t="shared" si="1"/>
        <v>3197920</v>
      </c>
      <c r="P16" s="26">
        <v>4600000</v>
      </c>
      <c r="Q16" s="26">
        <f t="shared" si="2"/>
        <v>1402080</v>
      </c>
      <c r="R16" s="46"/>
      <c r="S16" s="10"/>
      <c r="T16" s="10"/>
    </row>
    <row r="17" spans="1:20" ht="24" customHeight="1" x14ac:dyDescent="0.35">
      <c r="A17" s="21">
        <v>10</v>
      </c>
      <c r="B17" s="22">
        <v>44663</v>
      </c>
      <c r="C17" s="23" t="s">
        <v>87</v>
      </c>
      <c r="D17" s="24" t="s">
        <v>128</v>
      </c>
      <c r="E17" s="23" t="s">
        <v>106</v>
      </c>
      <c r="F17" s="25"/>
      <c r="G17" s="26">
        <v>99</v>
      </c>
      <c r="H17" s="26">
        <f t="shared" si="3"/>
        <v>2413620</v>
      </c>
      <c r="I17" s="25"/>
      <c r="J17" s="59">
        <v>1150000</v>
      </c>
      <c r="K17" s="27"/>
      <c r="L17" s="27"/>
      <c r="M17" s="26"/>
      <c r="N17" s="26"/>
      <c r="O17" s="26">
        <f t="shared" si="1"/>
        <v>3563620</v>
      </c>
      <c r="P17" s="26">
        <v>4517778</v>
      </c>
      <c r="Q17" s="26">
        <f t="shared" si="2"/>
        <v>954158</v>
      </c>
      <c r="R17" s="46"/>
      <c r="S17" s="10"/>
      <c r="T17" s="10"/>
    </row>
    <row r="18" spans="1:20" ht="24" customHeight="1" x14ac:dyDescent="0.35">
      <c r="A18" s="21">
        <v>11</v>
      </c>
      <c r="B18" s="22">
        <v>44663</v>
      </c>
      <c r="C18" s="23" t="s">
        <v>88</v>
      </c>
      <c r="D18" s="24" t="s">
        <v>128</v>
      </c>
      <c r="E18" s="23" t="s">
        <v>107</v>
      </c>
      <c r="F18" s="25"/>
      <c r="G18" s="26"/>
      <c r="H18" s="26"/>
      <c r="I18" s="25"/>
      <c r="J18" s="59">
        <v>600000</v>
      </c>
      <c r="K18" s="27"/>
      <c r="L18" s="27"/>
      <c r="M18" s="26"/>
      <c r="N18" s="26"/>
      <c r="O18" s="26">
        <f t="shared" si="1"/>
        <v>600000</v>
      </c>
      <c r="P18" s="26">
        <v>3000000</v>
      </c>
      <c r="Q18" s="26">
        <f t="shared" si="2"/>
        <v>2400000</v>
      </c>
      <c r="R18" s="46"/>
      <c r="S18" s="10"/>
      <c r="T18" s="10"/>
    </row>
    <row r="19" spans="1:20" ht="24" customHeight="1" x14ac:dyDescent="0.35">
      <c r="A19" s="21">
        <v>12</v>
      </c>
      <c r="B19" s="22">
        <v>44664</v>
      </c>
      <c r="C19" s="23" t="s">
        <v>89</v>
      </c>
      <c r="D19" s="24" t="s">
        <v>129</v>
      </c>
      <c r="E19" s="23" t="s">
        <v>108</v>
      </c>
      <c r="F19" s="25"/>
      <c r="G19" s="26">
        <v>50</v>
      </c>
      <c r="H19" s="26">
        <f>G19*24380</f>
        <v>1219000</v>
      </c>
      <c r="I19" s="25"/>
      <c r="J19" s="59">
        <v>700000</v>
      </c>
      <c r="K19" s="27"/>
      <c r="L19" s="27"/>
      <c r="M19" s="26"/>
      <c r="N19" s="26"/>
      <c r="O19" s="26">
        <f t="shared" si="1"/>
        <v>1919000</v>
      </c>
      <c r="P19" s="26">
        <v>3200000</v>
      </c>
      <c r="Q19" s="26">
        <f t="shared" si="2"/>
        <v>1281000</v>
      </c>
      <c r="R19" s="46"/>
      <c r="S19" s="10"/>
      <c r="T19" s="10"/>
    </row>
    <row r="20" spans="1:20" ht="24" customHeight="1" x14ac:dyDescent="0.35">
      <c r="A20" s="21">
        <v>13</v>
      </c>
      <c r="B20" s="22">
        <v>44665</v>
      </c>
      <c r="C20" s="23" t="s">
        <v>90</v>
      </c>
      <c r="D20" s="24" t="s">
        <v>130</v>
      </c>
      <c r="E20" s="23" t="s">
        <v>109</v>
      </c>
      <c r="F20" s="40"/>
      <c r="G20" s="27">
        <v>148</v>
      </c>
      <c r="H20" s="26">
        <f t="shared" ref="H20:H22" si="4">G20*24380</f>
        <v>3608240</v>
      </c>
      <c r="I20" s="29"/>
      <c r="J20" s="59">
        <v>1000000</v>
      </c>
      <c r="K20" s="27"/>
      <c r="L20" s="27"/>
      <c r="M20" s="26"/>
      <c r="N20" s="26"/>
      <c r="O20" s="26">
        <f t="shared" si="1"/>
        <v>4608240</v>
      </c>
      <c r="P20" s="26">
        <v>7000000</v>
      </c>
      <c r="Q20" s="26">
        <f t="shared" si="2"/>
        <v>2391760</v>
      </c>
      <c r="R20" s="46"/>
      <c r="S20" s="10"/>
      <c r="T20" s="10"/>
    </row>
    <row r="21" spans="1:20" ht="24" customHeight="1" x14ac:dyDescent="0.35">
      <c r="A21" s="21">
        <v>14</v>
      </c>
      <c r="B21" s="22">
        <v>44667</v>
      </c>
      <c r="C21" s="23" t="s">
        <v>91</v>
      </c>
      <c r="D21" s="24" t="s">
        <v>131</v>
      </c>
      <c r="E21" s="23" t="s">
        <v>110</v>
      </c>
      <c r="F21" s="40"/>
      <c r="G21" s="26">
        <v>92</v>
      </c>
      <c r="H21" s="26">
        <f t="shared" si="4"/>
        <v>2242960</v>
      </c>
      <c r="I21" s="25"/>
      <c r="J21" s="59">
        <v>1150000</v>
      </c>
      <c r="K21" s="27"/>
      <c r="L21" s="27"/>
      <c r="M21" s="26"/>
      <c r="N21" s="26"/>
      <c r="O21" s="26">
        <f t="shared" si="1"/>
        <v>3392960</v>
      </c>
      <c r="P21" s="26">
        <v>4800000</v>
      </c>
      <c r="Q21" s="30">
        <f t="shared" si="2"/>
        <v>1407040</v>
      </c>
      <c r="R21" s="46"/>
      <c r="S21" s="10"/>
      <c r="T21" s="10"/>
    </row>
    <row r="22" spans="1:20" ht="24" customHeight="1" x14ac:dyDescent="0.35">
      <c r="A22" s="21">
        <v>15</v>
      </c>
      <c r="B22" s="22">
        <v>44670</v>
      </c>
      <c r="C22" s="23" t="s">
        <v>92</v>
      </c>
      <c r="D22" s="24" t="s">
        <v>132</v>
      </c>
      <c r="E22" s="23" t="s">
        <v>111</v>
      </c>
      <c r="F22" s="40"/>
      <c r="G22" s="26">
        <v>70</v>
      </c>
      <c r="H22" s="26">
        <f t="shared" si="4"/>
        <v>1706600</v>
      </c>
      <c r="I22" s="25"/>
      <c r="J22" s="59">
        <v>1150000</v>
      </c>
      <c r="K22" s="27"/>
      <c r="L22" s="27"/>
      <c r="M22" s="26"/>
      <c r="N22" s="26"/>
      <c r="O22" s="26">
        <f t="shared" si="1"/>
        <v>2856600</v>
      </c>
      <c r="P22" s="26">
        <v>4000000</v>
      </c>
      <c r="Q22" s="30">
        <f t="shared" si="2"/>
        <v>1143400</v>
      </c>
      <c r="R22" s="46"/>
      <c r="S22" s="10"/>
      <c r="T22" s="10"/>
    </row>
    <row r="23" spans="1:20" ht="24" customHeight="1" x14ac:dyDescent="0.35">
      <c r="A23" s="21">
        <v>16</v>
      </c>
      <c r="B23" s="22">
        <v>44670</v>
      </c>
      <c r="C23" s="23" t="s">
        <v>93</v>
      </c>
      <c r="D23" s="24" t="s">
        <v>133</v>
      </c>
      <c r="E23" s="23" t="s">
        <v>62</v>
      </c>
      <c r="F23" s="40"/>
      <c r="G23" s="26">
        <v>113</v>
      </c>
      <c r="H23" s="26">
        <f>G23*25350</f>
        <v>2864550</v>
      </c>
      <c r="I23" s="25"/>
      <c r="J23" s="59">
        <v>1150000</v>
      </c>
      <c r="K23" s="27"/>
      <c r="L23" s="27"/>
      <c r="M23" s="26"/>
      <c r="N23" s="26"/>
      <c r="O23" s="26">
        <f t="shared" si="1"/>
        <v>4014550</v>
      </c>
      <c r="P23" s="26">
        <v>5750000</v>
      </c>
      <c r="Q23" s="30">
        <f t="shared" si="2"/>
        <v>1735450</v>
      </c>
      <c r="R23" s="46"/>
      <c r="S23" s="10"/>
      <c r="T23" s="10"/>
    </row>
    <row r="24" spans="1:20" ht="24" customHeight="1" x14ac:dyDescent="0.35">
      <c r="A24" s="21">
        <v>17</v>
      </c>
      <c r="B24" s="22">
        <v>44671</v>
      </c>
      <c r="C24" s="23" t="s">
        <v>94</v>
      </c>
      <c r="D24" s="24" t="s">
        <v>134</v>
      </c>
      <c r="E24" s="23" t="s">
        <v>112</v>
      </c>
      <c r="F24" s="40"/>
      <c r="G24" s="26">
        <v>253</v>
      </c>
      <c r="H24" s="26">
        <f t="shared" ref="H24:H33" si="5">G24*25350</f>
        <v>6413550</v>
      </c>
      <c r="I24" s="25"/>
      <c r="J24" s="59">
        <v>2740000</v>
      </c>
      <c r="K24" s="27"/>
      <c r="L24" s="27"/>
      <c r="M24" s="26"/>
      <c r="N24" s="26"/>
      <c r="O24" s="26">
        <f t="shared" si="1"/>
        <v>9153550</v>
      </c>
      <c r="P24" s="26">
        <v>14636364</v>
      </c>
      <c r="Q24" s="30">
        <f t="shared" si="2"/>
        <v>5482814</v>
      </c>
      <c r="R24" s="46"/>
      <c r="S24" s="10"/>
      <c r="T24" s="10"/>
    </row>
    <row r="25" spans="1:20" ht="24" customHeight="1" x14ac:dyDescent="0.35">
      <c r="A25" s="21">
        <v>18</v>
      </c>
      <c r="B25" s="22">
        <v>44673</v>
      </c>
      <c r="C25" s="23" t="s">
        <v>95</v>
      </c>
      <c r="D25" s="24" t="s">
        <v>135</v>
      </c>
      <c r="E25" s="23" t="s">
        <v>113</v>
      </c>
      <c r="F25" s="40"/>
      <c r="G25" s="26">
        <v>79</v>
      </c>
      <c r="H25" s="26">
        <f t="shared" si="5"/>
        <v>2002650</v>
      </c>
      <c r="I25" s="25"/>
      <c r="J25" s="59">
        <v>1150000</v>
      </c>
      <c r="K25" s="27"/>
      <c r="L25" s="27"/>
      <c r="M25" s="26"/>
      <c r="N25" s="26"/>
      <c r="O25" s="26">
        <f t="shared" si="1"/>
        <v>3152650</v>
      </c>
      <c r="P25" s="26">
        <v>4700000</v>
      </c>
      <c r="Q25" s="30">
        <f t="shared" si="2"/>
        <v>1547350</v>
      </c>
      <c r="R25" s="46"/>
      <c r="S25" s="10"/>
      <c r="T25" s="10"/>
    </row>
    <row r="26" spans="1:20" ht="24" customHeight="1" x14ac:dyDescent="0.35">
      <c r="A26" s="21">
        <v>19</v>
      </c>
      <c r="B26" s="22">
        <v>44673</v>
      </c>
      <c r="C26" s="23" t="s">
        <v>96</v>
      </c>
      <c r="D26" s="24" t="s">
        <v>136</v>
      </c>
      <c r="E26" s="23" t="s">
        <v>114</v>
      </c>
      <c r="F26" s="40"/>
      <c r="G26" s="26">
        <v>124</v>
      </c>
      <c r="H26" s="26">
        <f t="shared" si="5"/>
        <v>3143400</v>
      </c>
      <c r="I26" s="25"/>
      <c r="J26" s="59">
        <v>1150000</v>
      </c>
      <c r="K26" s="27"/>
      <c r="L26" s="27"/>
      <c r="M26" s="26"/>
      <c r="N26" s="26"/>
      <c r="O26" s="26">
        <f t="shared" si="1"/>
        <v>4293400</v>
      </c>
      <c r="P26" s="26">
        <v>6200000</v>
      </c>
      <c r="Q26" s="30">
        <f t="shared" si="2"/>
        <v>1906600</v>
      </c>
      <c r="R26" s="46"/>
      <c r="S26" s="10"/>
      <c r="T26" s="10"/>
    </row>
    <row r="27" spans="1:20" ht="24" customHeight="1" x14ac:dyDescent="0.35">
      <c r="A27" s="21">
        <v>20</v>
      </c>
      <c r="B27" s="22">
        <v>44674</v>
      </c>
      <c r="C27" s="23" t="s">
        <v>97</v>
      </c>
      <c r="D27" s="24" t="s">
        <v>136</v>
      </c>
      <c r="E27" s="23" t="s">
        <v>115</v>
      </c>
      <c r="F27" s="40"/>
      <c r="G27" s="26"/>
      <c r="H27" s="26">
        <f t="shared" si="5"/>
        <v>0</v>
      </c>
      <c r="I27" s="25"/>
      <c r="J27" s="59">
        <v>380000</v>
      </c>
      <c r="K27" s="27"/>
      <c r="L27" s="27"/>
      <c r="M27" s="26"/>
      <c r="N27" s="26"/>
      <c r="O27" s="26">
        <f t="shared" si="1"/>
        <v>380000</v>
      </c>
      <c r="P27" s="26">
        <v>0</v>
      </c>
      <c r="Q27" s="30">
        <f t="shared" si="2"/>
        <v>-380000</v>
      </c>
      <c r="R27" s="46"/>
      <c r="S27" s="10"/>
      <c r="T27" s="10"/>
    </row>
    <row r="28" spans="1:20" ht="24" customHeight="1" x14ac:dyDescent="0.35">
      <c r="A28" s="21">
        <v>21</v>
      </c>
      <c r="B28" s="22">
        <v>44676</v>
      </c>
      <c r="C28" s="23" t="s">
        <v>98</v>
      </c>
      <c r="D28" s="24" t="s">
        <v>137</v>
      </c>
      <c r="E28" s="23" t="s">
        <v>43</v>
      </c>
      <c r="F28" s="40"/>
      <c r="G28" s="26">
        <v>72</v>
      </c>
      <c r="H28" s="26">
        <f t="shared" si="5"/>
        <v>1825200</v>
      </c>
      <c r="I28" s="25"/>
      <c r="J28" s="59">
        <v>1150000</v>
      </c>
      <c r="K28" s="27"/>
      <c r="L28" s="27"/>
      <c r="M28" s="26"/>
      <c r="N28" s="26"/>
      <c r="O28" s="26">
        <f t="shared" si="1"/>
        <v>2975200</v>
      </c>
      <c r="P28" s="26">
        <v>4420000</v>
      </c>
      <c r="Q28" s="30">
        <f t="shared" si="2"/>
        <v>1444800</v>
      </c>
      <c r="R28" s="46"/>
      <c r="S28" s="10"/>
      <c r="T28" s="10"/>
    </row>
    <row r="29" spans="1:20" ht="24" customHeight="1" x14ac:dyDescent="0.35">
      <c r="A29" s="21">
        <v>22</v>
      </c>
      <c r="B29" s="22">
        <v>44676</v>
      </c>
      <c r="C29" s="23" t="s">
        <v>99</v>
      </c>
      <c r="D29" s="24" t="s">
        <v>138</v>
      </c>
      <c r="E29" s="23" t="s">
        <v>116</v>
      </c>
      <c r="F29" s="40"/>
      <c r="G29" s="26">
        <v>86</v>
      </c>
      <c r="H29" s="26">
        <f t="shared" si="5"/>
        <v>2180100</v>
      </c>
      <c r="I29" s="25"/>
      <c r="J29" s="59">
        <v>1150000</v>
      </c>
      <c r="K29" s="27"/>
      <c r="L29" s="27"/>
      <c r="M29" s="26"/>
      <c r="N29" s="26"/>
      <c r="O29" s="26">
        <f t="shared" si="1"/>
        <v>3330100</v>
      </c>
      <c r="P29" s="26">
        <v>4600000</v>
      </c>
      <c r="Q29" s="30">
        <f t="shared" si="2"/>
        <v>1269900</v>
      </c>
      <c r="R29" s="46"/>
      <c r="S29" s="10"/>
      <c r="T29" s="10"/>
    </row>
    <row r="30" spans="1:20" ht="24" customHeight="1" x14ac:dyDescent="0.35">
      <c r="A30" s="21">
        <v>23</v>
      </c>
      <c r="B30" s="22">
        <v>44678</v>
      </c>
      <c r="C30" s="23" t="s">
        <v>100</v>
      </c>
      <c r="D30" s="24" t="s">
        <v>139</v>
      </c>
      <c r="E30" s="23" t="s">
        <v>117</v>
      </c>
      <c r="F30" s="40"/>
      <c r="G30" s="26">
        <v>66</v>
      </c>
      <c r="H30" s="26">
        <f t="shared" si="5"/>
        <v>1673100</v>
      </c>
      <c r="I30" s="25"/>
      <c r="J30" s="59">
        <v>790000</v>
      </c>
      <c r="K30" s="27"/>
      <c r="L30" s="27"/>
      <c r="M30" s="26"/>
      <c r="N30" s="26"/>
      <c r="O30" s="26">
        <f t="shared" si="1"/>
        <v>2463100</v>
      </c>
      <c r="P30" s="26">
        <v>3500000</v>
      </c>
      <c r="Q30" s="30">
        <f t="shared" si="2"/>
        <v>1036900</v>
      </c>
      <c r="R30" s="46"/>
      <c r="S30" s="10"/>
      <c r="T30" s="10"/>
    </row>
    <row r="31" spans="1:20" ht="24" customHeight="1" x14ac:dyDescent="0.35">
      <c r="A31" s="21">
        <v>24</v>
      </c>
      <c r="B31" s="22">
        <v>44678</v>
      </c>
      <c r="C31" s="23" t="s">
        <v>101</v>
      </c>
      <c r="D31" s="24" t="s">
        <v>140</v>
      </c>
      <c r="E31" s="23" t="s">
        <v>112</v>
      </c>
      <c r="F31" s="40"/>
      <c r="G31" s="26">
        <v>258</v>
      </c>
      <c r="H31" s="26">
        <f t="shared" si="5"/>
        <v>6540300</v>
      </c>
      <c r="I31" s="25"/>
      <c r="J31" s="59">
        <v>2740000</v>
      </c>
      <c r="K31" s="27"/>
      <c r="L31" s="27"/>
      <c r="M31" s="26"/>
      <c r="N31" s="26"/>
      <c r="O31" s="26">
        <f t="shared" si="1"/>
        <v>9280300</v>
      </c>
      <c r="P31" s="26">
        <v>8842593</v>
      </c>
      <c r="Q31" s="30">
        <f t="shared" si="2"/>
        <v>-437707</v>
      </c>
      <c r="R31" s="46"/>
      <c r="S31" s="10"/>
      <c r="T31" s="10"/>
    </row>
    <row r="32" spans="1:20" ht="24" customHeight="1" x14ac:dyDescent="0.35">
      <c r="A32" s="21">
        <v>25</v>
      </c>
      <c r="B32" s="22">
        <v>44678</v>
      </c>
      <c r="C32" s="23" t="s">
        <v>101</v>
      </c>
      <c r="D32" s="24" t="s">
        <v>141</v>
      </c>
      <c r="E32" s="23" t="s">
        <v>112</v>
      </c>
      <c r="F32" s="40"/>
      <c r="G32" s="26"/>
      <c r="H32" s="26">
        <f>G32*25350</f>
        <v>0</v>
      </c>
      <c r="I32" s="25"/>
      <c r="J32" s="59">
        <v>300000</v>
      </c>
      <c r="K32" s="27"/>
      <c r="L32" s="27"/>
      <c r="M32" s="26"/>
      <c r="N32" s="26"/>
      <c r="O32" s="26">
        <f t="shared" si="1"/>
        <v>300000</v>
      </c>
      <c r="P32" s="26">
        <v>8842593</v>
      </c>
      <c r="Q32" s="30">
        <f t="shared" si="2"/>
        <v>8542593</v>
      </c>
      <c r="R32" s="46"/>
      <c r="S32" s="10"/>
      <c r="T32" s="10"/>
    </row>
    <row r="33" spans="1:20" ht="24" customHeight="1" x14ac:dyDescent="0.35">
      <c r="A33" s="21">
        <v>26</v>
      </c>
      <c r="B33" s="22">
        <v>44679</v>
      </c>
      <c r="C33" s="23" t="s">
        <v>102</v>
      </c>
      <c r="D33" s="24" t="s">
        <v>142</v>
      </c>
      <c r="E33" s="23" t="s">
        <v>118</v>
      </c>
      <c r="F33" s="40"/>
      <c r="G33" s="26">
        <v>126</v>
      </c>
      <c r="H33" s="26">
        <f t="shared" si="5"/>
        <v>3194100</v>
      </c>
      <c r="I33" s="25"/>
      <c r="J33" s="59">
        <v>1200000</v>
      </c>
      <c r="K33" s="27"/>
      <c r="L33" s="27"/>
      <c r="M33" s="26"/>
      <c r="N33" s="26"/>
      <c r="O33" s="26">
        <f t="shared" si="1"/>
        <v>4394100</v>
      </c>
      <c r="P33" s="26">
        <v>7676296</v>
      </c>
      <c r="Q33" s="30">
        <f t="shared" si="2"/>
        <v>3282196</v>
      </c>
      <c r="R33" s="46"/>
      <c r="S33" s="10"/>
      <c r="T33" s="10"/>
    </row>
    <row r="34" spans="1:20" ht="24" customHeight="1" x14ac:dyDescent="0.35">
      <c r="A34" s="25"/>
      <c r="B34" s="28"/>
      <c r="C34" s="139"/>
      <c r="D34" s="140"/>
      <c r="E34" s="140"/>
      <c r="F34" s="141"/>
      <c r="G34" s="51"/>
      <c r="H34" s="51"/>
      <c r="I34" s="52"/>
      <c r="J34" s="51"/>
      <c r="K34" s="51"/>
      <c r="L34" s="51"/>
      <c r="M34" s="53"/>
      <c r="N34" s="53"/>
      <c r="O34" s="26">
        <f t="shared" si="1"/>
        <v>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5"/>
      <c r="C35" s="139" t="s">
        <v>39</v>
      </c>
      <c r="D35" s="140"/>
      <c r="E35" s="140"/>
      <c r="F35" s="141"/>
      <c r="G35" s="54"/>
      <c r="H35" s="53"/>
      <c r="I35" s="54"/>
      <c r="J35" s="53"/>
      <c r="K35" s="51">
        <v>8000000</v>
      </c>
      <c r="L35" s="53"/>
      <c r="M35" s="53"/>
      <c r="N35" s="53"/>
      <c r="O35" s="26">
        <f t="shared" si="1"/>
        <v>8000000</v>
      </c>
      <c r="P35" s="26"/>
      <c r="Q35" s="26"/>
      <c r="R35" s="48"/>
    </row>
    <row r="36" spans="1:20" ht="24" customHeight="1" x14ac:dyDescent="0.35">
      <c r="A36" s="25"/>
      <c r="B36" s="31"/>
      <c r="C36" s="142" t="s">
        <v>44</v>
      </c>
      <c r="D36" s="143"/>
      <c r="E36" s="143"/>
      <c r="F36" s="144"/>
      <c r="G36" s="54"/>
      <c r="H36" s="53"/>
      <c r="I36" s="54"/>
      <c r="J36" s="53"/>
      <c r="K36" s="51"/>
      <c r="L36" s="51">
        <v>1200000</v>
      </c>
      <c r="M36" s="51"/>
      <c r="N36" s="51"/>
      <c r="O36" s="26">
        <f t="shared" si="1"/>
        <v>1200000</v>
      </c>
      <c r="P36" s="26"/>
      <c r="Q36" s="32"/>
      <c r="R36" s="48"/>
    </row>
    <row r="37" spans="1:20" ht="24" customHeight="1" x14ac:dyDescent="0.35">
      <c r="A37" s="136" t="s">
        <v>45</v>
      </c>
      <c r="B37" s="137"/>
      <c r="C37" s="137"/>
      <c r="D37" s="137"/>
      <c r="E37" s="137"/>
      <c r="F37" s="138"/>
      <c r="G37" s="33">
        <f>SUM(G8:G36)</f>
        <v>1985</v>
      </c>
      <c r="H37" s="34">
        <f t="shared" ref="H37:N37" si="6">SUM(H7:H36)</f>
        <v>49675990</v>
      </c>
      <c r="I37" s="34">
        <f t="shared" si="6"/>
        <v>0</v>
      </c>
      <c r="J37" s="34">
        <f t="shared" si="6"/>
        <v>25390000</v>
      </c>
      <c r="K37" s="34">
        <f t="shared" si="6"/>
        <v>8000000</v>
      </c>
      <c r="L37" s="34">
        <f t="shared" si="6"/>
        <v>1200000</v>
      </c>
      <c r="M37" s="34">
        <f t="shared" si="6"/>
        <v>0</v>
      </c>
      <c r="N37" s="34">
        <f t="shared" si="6"/>
        <v>0</v>
      </c>
      <c r="O37" s="34">
        <f>SUM(O8:O36)</f>
        <v>84265990</v>
      </c>
      <c r="P37" s="34">
        <f>SUM(P8:P36)</f>
        <v>123053402</v>
      </c>
      <c r="Q37" s="34">
        <f>P37-O37</f>
        <v>38787412</v>
      </c>
      <c r="R37" s="50"/>
    </row>
    <row r="38" spans="1:20" x14ac:dyDescent="0.35">
      <c r="O38" s="35"/>
      <c r="Q38" s="36"/>
    </row>
    <row r="39" spans="1:20" x14ac:dyDescent="0.35">
      <c r="O39" s="37"/>
      <c r="P39" s="38" t="s">
        <v>46</v>
      </c>
      <c r="Q39" s="39">
        <f>'03.2022'!Q50+'04.2022'!Q37</f>
        <v>20982161</v>
      </c>
    </row>
    <row r="40" spans="1:20" x14ac:dyDescent="0.35">
      <c r="O40" s="37"/>
      <c r="P40" s="38"/>
      <c r="Q40" s="39"/>
    </row>
    <row r="41" spans="1:20" x14ac:dyDescent="0.35">
      <c r="O41" s="37"/>
      <c r="P41" s="38"/>
      <c r="Q41" s="39"/>
    </row>
    <row r="42" spans="1:20" x14ac:dyDescent="0.35">
      <c r="P42" s="37"/>
      <c r="Q42" s="37"/>
      <c r="R42" s="50"/>
    </row>
    <row r="43" spans="1:20" x14ac:dyDescent="0.35">
      <c r="B43" s="8"/>
    </row>
    <row r="44" spans="1:20" x14ac:dyDescent="0.35">
      <c r="B44" s="8"/>
    </row>
    <row r="45" spans="1:20" x14ac:dyDescent="0.35">
      <c r="B45" s="8"/>
    </row>
    <row r="46" spans="1:20" x14ac:dyDescent="0.35">
      <c r="B46" s="8"/>
      <c r="H46" s="8"/>
      <c r="J46" s="8"/>
      <c r="K46" s="8"/>
      <c r="L46" s="8"/>
      <c r="M46" s="8"/>
      <c r="N46" s="8"/>
      <c r="O46" s="8"/>
      <c r="P46" s="8"/>
      <c r="Q46" s="8"/>
      <c r="R46" s="8"/>
    </row>
  </sheetData>
  <mergeCells count="23">
    <mergeCell ref="A37:F37"/>
    <mergeCell ref="C36:F36"/>
    <mergeCell ref="I5:I6"/>
    <mergeCell ref="J5:J6"/>
    <mergeCell ref="K5:K6"/>
    <mergeCell ref="C34:F34"/>
    <mergeCell ref="C35:F35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  <mergeCell ref="L5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10AA-529D-48D7-8FF4-26AA58EB28CC}">
  <dimension ref="A1:T46"/>
  <sheetViews>
    <sheetView topLeftCell="A21" workbookViewId="0">
      <selection activeCell="J37" sqref="J37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157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44684</v>
      </c>
      <c r="C8" s="23" t="s">
        <v>177</v>
      </c>
      <c r="D8" s="24" t="s">
        <v>198</v>
      </c>
      <c r="E8" s="23" t="s">
        <v>219</v>
      </c>
      <c r="F8" s="25"/>
      <c r="G8" s="26">
        <v>80</v>
      </c>
      <c r="H8" s="26">
        <f>G8*25530</f>
        <v>2042400</v>
      </c>
      <c r="I8" s="25"/>
      <c r="J8" s="26">
        <v>1150000</v>
      </c>
      <c r="K8" s="27"/>
      <c r="L8" s="27"/>
      <c r="M8" s="26"/>
      <c r="N8" s="26"/>
      <c r="O8" s="26">
        <f>H8+J8+K8+L8+M8+N8</f>
        <v>3192400</v>
      </c>
      <c r="P8" s="26">
        <v>4517778</v>
      </c>
      <c r="Q8" s="26">
        <f>P8-O8</f>
        <v>1325378</v>
      </c>
      <c r="R8" s="46"/>
      <c r="S8" s="10"/>
      <c r="T8" s="10"/>
    </row>
    <row r="9" spans="1:20" ht="24" customHeight="1" x14ac:dyDescent="0.35">
      <c r="A9" s="21">
        <v>2</v>
      </c>
      <c r="B9" s="22">
        <v>44685</v>
      </c>
      <c r="C9" s="23" t="s">
        <v>178</v>
      </c>
      <c r="D9" s="24" t="s">
        <v>199</v>
      </c>
      <c r="E9" s="23" t="s">
        <v>220</v>
      </c>
      <c r="F9" s="25"/>
      <c r="G9" s="26">
        <v>87</v>
      </c>
      <c r="H9" s="26">
        <f t="shared" ref="H9:H13" si="0">G9*25530</f>
        <v>2221110</v>
      </c>
      <c r="I9" s="25"/>
      <c r="J9" s="26">
        <v>1150000</v>
      </c>
      <c r="K9" s="27"/>
      <c r="L9" s="27"/>
      <c r="M9" s="26"/>
      <c r="N9" s="26"/>
      <c r="O9" s="26">
        <f t="shared" ref="O9:O36" si="1">H9+J9+K9+L9+M9+N9</f>
        <v>3371110</v>
      </c>
      <c r="P9" s="26">
        <v>4700000</v>
      </c>
      <c r="Q9" s="26">
        <f t="shared" ref="Q9:Q28" si="2">P9-O9</f>
        <v>1328890</v>
      </c>
      <c r="R9" s="46"/>
      <c r="S9" s="10"/>
      <c r="T9" s="10"/>
    </row>
    <row r="10" spans="1:20" ht="24" customHeight="1" x14ac:dyDescent="0.35">
      <c r="A10" s="21">
        <v>3</v>
      </c>
      <c r="B10" s="22">
        <v>44686</v>
      </c>
      <c r="C10" s="23" t="s">
        <v>179</v>
      </c>
      <c r="D10" s="24" t="s">
        <v>200</v>
      </c>
      <c r="E10" s="23" t="s">
        <v>221</v>
      </c>
      <c r="F10" s="25"/>
      <c r="G10" s="26">
        <v>71</v>
      </c>
      <c r="H10" s="26">
        <f t="shared" si="0"/>
        <v>1812630</v>
      </c>
      <c r="I10" s="25"/>
      <c r="J10" s="26">
        <v>790000</v>
      </c>
      <c r="K10" s="27"/>
      <c r="L10" s="27"/>
      <c r="M10" s="26"/>
      <c r="N10" s="26"/>
      <c r="O10" s="26">
        <f t="shared" si="1"/>
        <v>2602630</v>
      </c>
      <c r="P10" s="26">
        <v>3700000</v>
      </c>
      <c r="Q10" s="26">
        <f t="shared" si="2"/>
        <v>1097370</v>
      </c>
      <c r="R10" s="46"/>
      <c r="S10" s="10"/>
      <c r="T10" s="10"/>
    </row>
    <row r="11" spans="1:20" ht="24" customHeight="1" x14ac:dyDescent="0.35">
      <c r="A11" s="21">
        <v>4</v>
      </c>
      <c r="B11" s="22">
        <v>44688</v>
      </c>
      <c r="C11" s="23" t="s">
        <v>180</v>
      </c>
      <c r="D11" s="24" t="s">
        <v>201</v>
      </c>
      <c r="E11" s="23" t="s">
        <v>222</v>
      </c>
      <c r="F11" s="25"/>
      <c r="G11" s="26">
        <v>91</v>
      </c>
      <c r="H11" s="26">
        <f t="shared" si="0"/>
        <v>2323230</v>
      </c>
      <c r="I11" s="25"/>
      <c r="J11" s="26">
        <v>1150000</v>
      </c>
      <c r="K11" s="27"/>
      <c r="L11" s="27"/>
      <c r="M11" s="26"/>
      <c r="N11" s="26"/>
      <c r="O11" s="26">
        <f t="shared" si="1"/>
        <v>3473230</v>
      </c>
      <c r="P11" s="26">
        <v>4700000</v>
      </c>
      <c r="Q11" s="26">
        <f t="shared" si="2"/>
        <v>1226770</v>
      </c>
      <c r="R11" s="46"/>
      <c r="S11" s="10"/>
      <c r="T11" s="10"/>
    </row>
    <row r="12" spans="1:20" ht="24" customHeight="1" x14ac:dyDescent="0.35">
      <c r="A12" s="21">
        <v>5</v>
      </c>
      <c r="B12" s="22">
        <v>44690</v>
      </c>
      <c r="C12" s="23" t="s">
        <v>181</v>
      </c>
      <c r="D12" s="24" t="s">
        <v>202</v>
      </c>
      <c r="E12" s="23" t="s">
        <v>104</v>
      </c>
      <c r="F12" s="25"/>
      <c r="G12" s="26">
        <v>93</v>
      </c>
      <c r="H12" s="26">
        <f t="shared" si="0"/>
        <v>2374290</v>
      </c>
      <c r="I12" s="25"/>
      <c r="J12" s="26">
        <v>1150000</v>
      </c>
      <c r="K12" s="27"/>
      <c r="L12" s="27"/>
      <c r="M12" s="26"/>
      <c r="N12" s="26"/>
      <c r="O12" s="26">
        <f t="shared" si="1"/>
        <v>3524290</v>
      </c>
      <c r="P12" s="26">
        <v>4800000</v>
      </c>
      <c r="Q12" s="26">
        <f t="shared" si="2"/>
        <v>1275710</v>
      </c>
      <c r="R12" s="46"/>
      <c r="S12" s="10"/>
      <c r="T12" s="10"/>
    </row>
    <row r="13" spans="1:20" ht="24" customHeight="1" x14ac:dyDescent="0.35">
      <c r="A13" s="21">
        <v>6</v>
      </c>
      <c r="B13" s="22">
        <v>44690</v>
      </c>
      <c r="C13" s="23" t="s">
        <v>182</v>
      </c>
      <c r="D13" s="24" t="s">
        <v>203</v>
      </c>
      <c r="E13" s="23" t="s">
        <v>109</v>
      </c>
      <c r="F13" s="25"/>
      <c r="G13" s="26">
        <v>149</v>
      </c>
      <c r="H13" s="26">
        <f t="shared" si="0"/>
        <v>3803970</v>
      </c>
      <c r="I13" s="25"/>
      <c r="J13" s="26">
        <v>1000000</v>
      </c>
      <c r="K13" s="27"/>
      <c r="L13" s="27"/>
      <c r="M13" s="26"/>
      <c r="N13" s="26"/>
      <c r="O13" s="26">
        <f t="shared" si="1"/>
        <v>4803970</v>
      </c>
      <c r="P13" s="26">
        <v>6900000</v>
      </c>
      <c r="Q13" s="26">
        <f t="shared" si="2"/>
        <v>2096030</v>
      </c>
      <c r="R13" s="46"/>
      <c r="S13" s="10"/>
      <c r="T13" s="10"/>
    </row>
    <row r="14" spans="1:20" ht="24" customHeight="1" x14ac:dyDescent="0.35">
      <c r="A14" s="21">
        <v>7</v>
      </c>
      <c r="B14" s="22">
        <v>44691</v>
      </c>
      <c r="C14" s="23" t="s">
        <v>183</v>
      </c>
      <c r="D14" s="24" t="s">
        <v>204</v>
      </c>
      <c r="E14" s="23" t="s">
        <v>109</v>
      </c>
      <c r="F14" s="25"/>
      <c r="G14" s="26">
        <v>149</v>
      </c>
      <c r="H14" s="26">
        <f>G14*26650</f>
        <v>3970850</v>
      </c>
      <c r="I14" s="25"/>
      <c r="J14" s="26">
        <v>1000000</v>
      </c>
      <c r="K14" s="27"/>
      <c r="L14" s="27"/>
      <c r="M14" s="26"/>
      <c r="N14" s="26"/>
      <c r="O14" s="26">
        <f t="shared" si="1"/>
        <v>4970850</v>
      </c>
      <c r="P14" s="26">
        <v>6900000</v>
      </c>
      <c r="Q14" s="26">
        <f t="shared" si="2"/>
        <v>1929150</v>
      </c>
      <c r="R14" s="46"/>
      <c r="S14" s="10"/>
      <c r="T14" s="10"/>
    </row>
    <row r="15" spans="1:20" ht="24" customHeight="1" x14ac:dyDescent="0.35">
      <c r="A15" s="21">
        <v>8</v>
      </c>
      <c r="B15" s="22">
        <v>44692</v>
      </c>
      <c r="C15" s="23" t="s">
        <v>184</v>
      </c>
      <c r="D15" s="24" t="s">
        <v>205</v>
      </c>
      <c r="E15" s="23" t="s">
        <v>62</v>
      </c>
      <c r="F15" s="25"/>
      <c r="G15" s="26">
        <v>111</v>
      </c>
      <c r="H15" s="26">
        <f t="shared" ref="H15:H21" si="3">G15*26650</f>
        <v>2958150</v>
      </c>
      <c r="I15" s="25"/>
      <c r="J15" s="26">
        <v>1150000</v>
      </c>
      <c r="K15" s="27"/>
      <c r="L15" s="27"/>
      <c r="M15" s="26"/>
      <c r="N15" s="26"/>
      <c r="O15" s="26">
        <f t="shared" si="1"/>
        <v>4108150</v>
      </c>
      <c r="P15" s="26">
        <v>5850000</v>
      </c>
      <c r="Q15" s="26">
        <f t="shared" si="2"/>
        <v>1741850</v>
      </c>
      <c r="R15" s="46"/>
      <c r="S15" s="10"/>
      <c r="T15" s="10"/>
    </row>
    <row r="16" spans="1:20" ht="24" customHeight="1" x14ac:dyDescent="0.35">
      <c r="A16" s="21">
        <v>9</v>
      </c>
      <c r="B16" s="22">
        <v>44693</v>
      </c>
      <c r="C16" s="23" t="s">
        <v>185</v>
      </c>
      <c r="D16" s="24" t="s">
        <v>206</v>
      </c>
      <c r="E16" s="23" t="s">
        <v>223</v>
      </c>
      <c r="F16" s="25"/>
      <c r="G16" s="26">
        <v>76</v>
      </c>
      <c r="H16" s="26">
        <f t="shared" si="3"/>
        <v>2025400</v>
      </c>
      <c r="I16" s="25"/>
      <c r="J16" s="26">
        <v>1150000</v>
      </c>
      <c r="K16" s="27"/>
      <c r="L16" s="27"/>
      <c r="M16" s="26"/>
      <c r="N16" s="26"/>
      <c r="O16" s="26">
        <f t="shared" si="1"/>
        <v>3175400</v>
      </c>
      <c r="P16" s="26">
        <v>4400000</v>
      </c>
      <c r="Q16" s="26">
        <f t="shared" si="2"/>
        <v>1224600</v>
      </c>
      <c r="R16" s="46"/>
      <c r="S16" s="10"/>
      <c r="T16" s="10"/>
    </row>
    <row r="17" spans="1:20" ht="24" customHeight="1" x14ac:dyDescent="0.35">
      <c r="A17" s="21">
        <v>10</v>
      </c>
      <c r="B17" s="22">
        <v>44695</v>
      </c>
      <c r="C17" s="23" t="s">
        <v>186</v>
      </c>
      <c r="D17" s="24" t="s">
        <v>207</v>
      </c>
      <c r="E17" s="23" t="s">
        <v>224</v>
      </c>
      <c r="F17" s="25"/>
      <c r="G17" s="26">
        <v>80</v>
      </c>
      <c r="H17" s="26">
        <f t="shared" si="3"/>
        <v>2132000</v>
      </c>
      <c r="I17" s="25"/>
      <c r="J17" s="26">
        <v>1150000</v>
      </c>
      <c r="K17" s="27"/>
      <c r="L17" s="27"/>
      <c r="M17" s="26"/>
      <c r="N17" s="26"/>
      <c r="O17" s="26">
        <f t="shared" si="1"/>
        <v>3282000</v>
      </c>
      <c r="P17" s="26">
        <v>4600000</v>
      </c>
      <c r="Q17" s="26">
        <f t="shared" si="2"/>
        <v>1318000</v>
      </c>
      <c r="R17" s="46"/>
      <c r="S17" s="10"/>
      <c r="T17" s="10"/>
    </row>
    <row r="18" spans="1:20" ht="24" customHeight="1" x14ac:dyDescent="0.35">
      <c r="A18" s="21">
        <v>11</v>
      </c>
      <c r="B18" s="22">
        <v>44698</v>
      </c>
      <c r="C18" s="23" t="s">
        <v>187</v>
      </c>
      <c r="D18" s="24" t="s">
        <v>208</v>
      </c>
      <c r="E18" s="23" t="s">
        <v>225</v>
      </c>
      <c r="F18" s="25"/>
      <c r="G18" s="26">
        <v>51</v>
      </c>
      <c r="H18" s="26">
        <f t="shared" si="3"/>
        <v>1359150</v>
      </c>
      <c r="I18" s="25"/>
      <c r="J18" s="26">
        <v>700000</v>
      </c>
      <c r="K18" s="27"/>
      <c r="L18" s="27"/>
      <c r="M18" s="26"/>
      <c r="N18" s="26"/>
      <c r="O18" s="26">
        <f t="shared" si="1"/>
        <v>2059150</v>
      </c>
      <c r="P18" s="26">
        <v>3300000</v>
      </c>
      <c r="Q18" s="26">
        <f t="shared" si="2"/>
        <v>1240850</v>
      </c>
      <c r="R18" s="46"/>
      <c r="S18" s="10"/>
      <c r="T18" s="10"/>
    </row>
    <row r="19" spans="1:20" ht="24" customHeight="1" x14ac:dyDescent="0.35">
      <c r="A19" s="21">
        <v>12</v>
      </c>
      <c r="B19" s="22">
        <v>44698</v>
      </c>
      <c r="C19" s="23" t="s">
        <v>188</v>
      </c>
      <c r="D19" s="24" t="s">
        <v>209</v>
      </c>
      <c r="E19" s="23" t="s">
        <v>226</v>
      </c>
      <c r="F19" s="25"/>
      <c r="G19" s="26">
        <v>102</v>
      </c>
      <c r="H19" s="26">
        <f t="shared" si="3"/>
        <v>2718300</v>
      </c>
      <c r="I19" s="25"/>
      <c r="J19" s="26">
        <v>1150000</v>
      </c>
      <c r="K19" s="27"/>
      <c r="L19" s="27"/>
      <c r="M19" s="26"/>
      <c r="N19" s="26"/>
      <c r="O19" s="26">
        <f t="shared" si="1"/>
        <v>3868300</v>
      </c>
      <c r="P19" s="26">
        <v>4700000</v>
      </c>
      <c r="Q19" s="26">
        <f t="shared" si="2"/>
        <v>831700</v>
      </c>
      <c r="R19" s="46"/>
      <c r="S19" s="10"/>
      <c r="T19" s="10"/>
    </row>
    <row r="20" spans="1:20" ht="24" customHeight="1" x14ac:dyDescent="0.35">
      <c r="A20" s="21">
        <v>13</v>
      </c>
      <c r="B20" s="22">
        <v>44700</v>
      </c>
      <c r="C20" s="23" t="s">
        <v>189</v>
      </c>
      <c r="D20" s="24" t="s">
        <v>210</v>
      </c>
      <c r="E20" s="23" t="s">
        <v>227</v>
      </c>
      <c r="F20" s="40"/>
      <c r="G20" s="27">
        <v>180</v>
      </c>
      <c r="H20" s="26">
        <f t="shared" si="3"/>
        <v>4797000</v>
      </c>
      <c r="I20" s="29"/>
      <c r="J20" s="26">
        <v>1890000</v>
      </c>
      <c r="K20" s="27"/>
      <c r="L20" s="27"/>
      <c r="M20" s="26"/>
      <c r="N20" s="26"/>
      <c r="O20" s="26">
        <f t="shared" si="1"/>
        <v>6687000</v>
      </c>
      <c r="P20" s="26">
        <v>9716667</v>
      </c>
      <c r="Q20" s="26">
        <f t="shared" si="2"/>
        <v>3029667</v>
      </c>
      <c r="R20" s="46"/>
      <c r="S20" s="10"/>
      <c r="T20" s="10"/>
    </row>
    <row r="21" spans="1:20" ht="24" customHeight="1" x14ac:dyDescent="0.35">
      <c r="A21" s="21">
        <v>14</v>
      </c>
      <c r="B21" s="22">
        <v>44700</v>
      </c>
      <c r="C21" s="23" t="s">
        <v>190</v>
      </c>
      <c r="D21" s="24" t="s">
        <v>211</v>
      </c>
      <c r="E21" s="23" t="s">
        <v>62</v>
      </c>
      <c r="F21" s="40"/>
      <c r="G21" s="26">
        <v>111</v>
      </c>
      <c r="H21" s="26">
        <f t="shared" si="3"/>
        <v>2958150</v>
      </c>
      <c r="I21" s="25"/>
      <c r="J21" s="26">
        <v>1150000</v>
      </c>
      <c r="K21" s="27"/>
      <c r="L21" s="27"/>
      <c r="M21" s="26"/>
      <c r="N21" s="26"/>
      <c r="O21" s="26">
        <f t="shared" si="1"/>
        <v>4108150</v>
      </c>
      <c r="P21" s="26">
        <v>5980000</v>
      </c>
      <c r="Q21" s="30">
        <f t="shared" si="2"/>
        <v>1871850</v>
      </c>
      <c r="R21" s="46"/>
      <c r="S21" s="10"/>
      <c r="T21" s="10"/>
    </row>
    <row r="22" spans="1:20" ht="24" customHeight="1" x14ac:dyDescent="0.35">
      <c r="A22" s="21">
        <v>15</v>
      </c>
      <c r="B22" s="22">
        <v>44701</v>
      </c>
      <c r="C22" s="23" t="s">
        <v>191</v>
      </c>
      <c r="D22" s="24" t="s">
        <v>212</v>
      </c>
      <c r="E22" s="23" t="s">
        <v>228</v>
      </c>
      <c r="F22" s="40"/>
      <c r="G22" s="26">
        <v>83</v>
      </c>
      <c r="H22" s="26">
        <f>G22*26650</f>
        <v>2211950</v>
      </c>
      <c r="I22" s="25"/>
      <c r="J22" s="26">
        <v>790000</v>
      </c>
      <c r="K22" s="27"/>
      <c r="L22" s="27"/>
      <c r="M22" s="26"/>
      <c r="N22" s="26"/>
      <c r="O22" s="26">
        <f t="shared" si="1"/>
        <v>3001950</v>
      </c>
      <c r="P22" s="26">
        <v>3800000</v>
      </c>
      <c r="Q22" s="30">
        <f t="shared" si="2"/>
        <v>798050</v>
      </c>
      <c r="R22" s="46"/>
      <c r="S22" s="10"/>
      <c r="T22" s="10"/>
    </row>
    <row r="23" spans="1:20" ht="24" customHeight="1" x14ac:dyDescent="0.35">
      <c r="A23" s="21">
        <v>16</v>
      </c>
      <c r="B23" s="22">
        <v>44704</v>
      </c>
      <c r="C23" s="23" t="s">
        <v>192</v>
      </c>
      <c r="D23" s="24" t="s">
        <v>213</v>
      </c>
      <c r="E23" s="23" t="s">
        <v>229</v>
      </c>
      <c r="F23" s="40"/>
      <c r="G23" s="26">
        <v>98</v>
      </c>
      <c r="H23" s="26">
        <f>G23*25550</f>
        <v>2503900</v>
      </c>
      <c r="I23" s="25"/>
      <c r="J23" s="26">
        <v>1150000</v>
      </c>
      <c r="K23" s="27"/>
      <c r="L23" s="27"/>
      <c r="M23" s="26"/>
      <c r="N23" s="26"/>
      <c r="O23" s="26">
        <f t="shared" si="1"/>
        <v>3653900</v>
      </c>
      <c r="P23" s="26">
        <v>4180000</v>
      </c>
      <c r="Q23" s="30">
        <f t="shared" si="2"/>
        <v>526100</v>
      </c>
      <c r="R23" s="46"/>
      <c r="S23" s="10"/>
      <c r="T23" s="10"/>
    </row>
    <row r="24" spans="1:20" ht="24" customHeight="1" x14ac:dyDescent="0.35">
      <c r="A24" s="21">
        <v>17</v>
      </c>
      <c r="B24" s="22">
        <v>44704</v>
      </c>
      <c r="C24" s="23" t="s">
        <v>193</v>
      </c>
      <c r="D24" s="24" t="s">
        <v>214</v>
      </c>
      <c r="E24" s="23" t="s">
        <v>62</v>
      </c>
      <c r="F24" s="40"/>
      <c r="G24" s="26">
        <v>111</v>
      </c>
      <c r="H24" s="26">
        <f t="shared" ref="H24:H28" si="4">G24*25550</f>
        <v>2836050</v>
      </c>
      <c r="I24" s="25"/>
      <c r="J24" s="26">
        <v>1150000</v>
      </c>
      <c r="K24" s="27"/>
      <c r="L24" s="27"/>
      <c r="M24" s="26"/>
      <c r="N24" s="26"/>
      <c r="O24" s="26">
        <f t="shared" si="1"/>
        <v>3986050</v>
      </c>
      <c r="P24" s="26">
        <v>5980000</v>
      </c>
      <c r="Q24" s="30">
        <f t="shared" si="2"/>
        <v>1993950</v>
      </c>
      <c r="R24" s="46"/>
      <c r="S24" s="10"/>
      <c r="T24" s="10"/>
    </row>
    <row r="25" spans="1:20" ht="24" customHeight="1" x14ac:dyDescent="0.35">
      <c r="A25" s="21">
        <v>18</v>
      </c>
      <c r="B25" s="22">
        <v>44706</v>
      </c>
      <c r="C25" s="23" t="s">
        <v>194</v>
      </c>
      <c r="D25" s="24" t="s">
        <v>215</v>
      </c>
      <c r="E25" s="23" t="s">
        <v>116</v>
      </c>
      <c r="F25" s="40"/>
      <c r="G25" s="26">
        <v>100</v>
      </c>
      <c r="H25" s="26">
        <f t="shared" si="4"/>
        <v>2555000</v>
      </c>
      <c r="I25" s="25"/>
      <c r="J25" s="26">
        <v>1150000</v>
      </c>
      <c r="K25" s="27"/>
      <c r="L25" s="27"/>
      <c r="M25" s="26"/>
      <c r="N25" s="26"/>
      <c r="O25" s="26">
        <f t="shared" si="1"/>
        <v>3705000</v>
      </c>
      <c r="P25" s="26">
        <v>4900000</v>
      </c>
      <c r="Q25" s="30">
        <f t="shared" si="2"/>
        <v>1195000</v>
      </c>
      <c r="R25" s="46"/>
      <c r="S25" s="10"/>
      <c r="T25" s="10"/>
    </row>
    <row r="26" spans="1:20" ht="24" customHeight="1" x14ac:dyDescent="0.35">
      <c r="A26" s="21">
        <v>19</v>
      </c>
      <c r="B26" s="22">
        <v>44706</v>
      </c>
      <c r="C26" s="23" t="s">
        <v>195</v>
      </c>
      <c r="D26" s="24" t="s">
        <v>216</v>
      </c>
      <c r="E26" s="23" t="s">
        <v>230</v>
      </c>
      <c r="F26" s="40"/>
      <c r="G26" s="26">
        <v>73</v>
      </c>
      <c r="H26" s="26">
        <f t="shared" si="4"/>
        <v>1865150</v>
      </c>
      <c r="I26" s="25"/>
      <c r="J26" s="26">
        <v>1150000</v>
      </c>
      <c r="K26" s="27"/>
      <c r="L26" s="27"/>
      <c r="M26" s="26"/>
      <c r="N26" s="26"/>
      <c r="O26" s="26">
        <f t="shared" si="1"/>
        <v>3015150</v>
      </c>
      <c r="P26" s="26">
        <v>4110000</v>
      </c>
      <c r="Q26" s="30">
        <f t="shared" si="2"/>
        <v>1094850</v>
      </c>
      <c r="R26" s="46"/>
      <c r="S26" s="10"/>
      <c r="T26" s="10"/>
    </row>
    <row r="27" spans="1:20" ht="24" customHeight="1" x14ac:dyDescent="0.35">
      <c r="A27" s="21">
        <v>20</v>
      </c>
      <c r="B27" s="22">
        <v>44707</v>
      </c>
      <c r="C27" s="23" t="s">
        <v>196</v>
      </c>
      <c r="D27" s="24" t="s">
        <v>217</v>
      </c>
      <c r="E27" s="23" t="s">
        <v>231</v>
      </c>
      <c r="F27" s="40"/>
      <c r="G27" s="26">
        <v>129</v>
      </c>
      <c r="H27" s="26">
        <f t="shared" si="4"/>
        <v>3295950</v>
      </c>
      <c r="I27" s="25"/>
      <c r="J27" s="26">
        <v>1610000</v>
      </c>
      <c r="K27" s="27"/>
      <c r="L27" s="27"/>
      <c r="M27" s="26"/>
      <c r="N27" s="26"/>
      <c r="O27" s="26">
        <f t="shared" si="1"/>
        <v>4905950</v>
      </c>
      <c r="P27" s="26">
        <v>6250000</v>
      </c>
      <c r="Q27" s="30">
        <f t="shared" si="2"/>
        <v>1344050</v>
      </c>
      <c r="R27" s="46"/>
      <c r="S27" s="10"/>
      <c r="T27" s="10"/>
    </row>
    <row r="28" spans="1:20" ht="24" customHeight="1" x14ac:dyDescent="0.35">
      <c r="A28" s="21">
        <v>21</v>
      </c>
      <c r="B28" s="22">
        <v>44708</v>
      </c>
      <c r="C28" s="23" t="s">
        <v>197</v>
      </c>
      <c r="D28" s="24" t="s">
        <v>218</v>
      </c>
      <c r="E28" s="23" t="s">
        <v>219</v>
      </c>
      <c r="F28" s="40"/>
      <c r="G28" s="26">
        <v>80</v>
      </c>
      <c r="H28" s="26">
        <f t="shared" si="4"/>
        <v>2044000</v>
      </c>
      <c r="I28" s="25"/>
      <c r="J28" s="26">
        <v>1150000</v>
      </c>
      <c r="K28" s="27"/>
      <c r="L28" s="27"/>
      <c r="M28" s="26"/>
      <c r="N28" s="26"/>
      <c r="O28" s="26">
        <f t="shared" si="1"/>
        <v>3194000</v>
      </c>
      <c r="P28" s="26">
        <v>4517778</v>
      </c>
      <c r="Q28" s="30">
        <f t="shared" si="2"/>
        <v>1323778</v>
      </c>
      <c r="R28" s="46"/>
      <c r="S28" s="10"/>
      <c r="T28" s="10"/>
    </row>
    <row r="29" spans="1:20" ht="24" customHeight="1" x14ac:dyDescent="0.35">
      <c r="A29" s="25"/>
      <c r="B29" s="28"/>
      <c r="C29" s="139"/>
      <c r="D29" s="140"/>
      <c r="E29" s="140"/>
      <c r="F29" s="141"/>
      <c r="G29" s="51"/>
      <c r="H29" s="51"/>
      <c r="I29" s="52"/>
      <c r="J29" s="51"/>
      <c r="K29" s="51"/>
      <c r="L29" s="51"/>
      <c r="M29" s="53"/>
      <c r="N29" s="53"/>
      <c r="O29" s="26">
        <f t="shared" si="1"/>
        <v>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49" t="s">
        <v>144</v>
      </c>
      <c r="D30" s="150"/>
      <c r="E30" s="150"/>
      <c r="F30" s="63"/>
      <c r="G30" s="51"/>
      <c r="H30" s="51"/>
      <c r="I30" s="52"/>
      <c r="J30" s="51"/>
      <c r="K30" s="51"/>
      <c r="L30" s="51">
        <v>300000</v>
      </c>
      <c r="M30" s="53"/>
      <c r="N30" s="53"/>
      <c r="O30" s="26">
        <f t="shared" si="1"/>
        <v>300000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49" t="s">
        <v>22</v>
      </c>
      <c r="D31" s="150"/>
      <c r="E31" s="150"/>
      <c r="F31" s="63"/>
      <c r="G31" s="51"/>
      <c r="H31" s="51"/>
      <c r="I31" s="52"/>
      <c r="J31" s="51"/>
      <c r="K31" s="51"/>
      <c r="L31" s="51">
        <v>200000</v>
      </c>
      <c r="M31" s="53"/>
      <c r="N31" s="53"/>
      <c r="O31" s="26">
        <f t="shared" si="1"/>
        <v>200000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49" t="s">
        <v>240</v>
      </c>
      <c r="D32" s="150"/>
      <c r="E32" s="150"/>
      <c r="F32" s="63"/>
      <c r="G32" s="51"/>
      <c r="H32" s="51"/>
      <c r="I32" s="52"/>
      <c r="J32" s="51"/>
      <c r="K32" s="51"/>
      <c r="L32" s="51">
        <v>300000</v>
      </c>
      <c r="M32" s="53"/>
      <c r="N32" s="53"/>
      <c r="O32" s="26">
        <f t="shared" si="1"/>
        <v>300000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49" t="s">
        <v>241</v>
      </c>
      <c r="D33" s="150"/>
      <c r="E33" s="150"/>
      <c r="F33" s="63"/>
      <c r="G33" s="51"/>
      <c r="H33" s="51"/>
      <c r="I33" s="52"/>
      <c r="J33" s="51"/>
      <c r="K33" s="51"/>
      <c r="L33" s="51">
        <v>8249000</v>
      </c>
      <c r="M33" s="53"/>
      <c r="N33" s="53"/>
      <c r="O33" s="26">
        <f t="shared" si="1"/>
        <v>8249000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49" t="s">
        <v>392</v>
      </c>
      <c r="D34" s="150"/>
      <c r="E34" s="150"/>
      <c r="F34" s="151"/>
      <c r="G34" s="51"/>
      <c r="H34" s="51"/>
      <c r="I34" s="52"/>
      <c r="J34" s="51"/>
      <c r="K34" s="51"/>
      <c r="L34" s="51">
        <v>300000</v>
      </c>
      <c r="M34" s="53"/>
      <c r="N34" s="53"/>
      <c r="O34" s="26">
        <f t="shared" si="1"/>
        <v>300000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5"/>
      <c r="C35" s="149" t="s">
        <v>387</v>
      </c>
      <c r="D35" s="150"/>
      <c r="E35" s="150"/>
      <c r="F35" s="151"/>
      <c r="G35" s="54"/>
      <c r="H35" s="53"/>
      <c r="I35" s="54"/>
      <c r="J35" s="53"/>
      <c r="K35" s="51">
        <v>7400000</v>
      </c>
      <c r="L35" s="53"/>
      <c r="M35" s="53"/>
      <c r="N35" s="53"/>
      <c r="O35" s="26">
        <f t="shared" si="1"/>
        <v>7400000</v>
      </c>
      <c r="P35" s="26"/>
      <c r="Q35" s="26"/>
      <c r="R35" s="48"/>
    </row>
    <row r="36" spans="1:20" ht="24" customHeight="1" x14ac:dyDescent="0.35">
      <c r="A36" s="25"/>
      <c r="B36" s="31"/>
      <c r="C36" s="142" t="s">
        <v>44</v>
      </c>
      <c r="D36" s="143"/>
      <c r="E36" s="143"/>
      <c r="F36" s="144"/>
      <c r="G36" s="54"/>
      <c r="H36" s="53"/>
      <c r="I36" s="54"/>
      <c r="J36" s="53"/>
      <c r="K36" s="51"/>
      <c r="L36" s="51">
        <v>1200000</v>
      </c>
      <c r="M36" s="51"/>
      <c r="N36" s="51"/>
      <c r="O36" s="26">
        <f t="shared" si="1"/>
        <v>1200000</v>
      </c>
      <c r="P36" s="26"/>
      <c r="Q36" s="32"/>
      <c r="R36" s="48"/>
    </row>
    <row r="37" spans="1:20" ht="24" customHeight="1" x14ac:dyDescent="0.35">
      <c r="A37" s="136" t="s">
        <v>45</v>
      </c>
      <c r="B37" s="137"/>
      <c r="C37" s="137"/>
      <c r="D37" s="137"/>
      <c r="E37" s="137"/>
      <c r="F37" s="138"/>
      <c r="G37" s="33">
        <f>SUM(G8:G36)</f>
        <v>2105</v>
      </c>
      <c r="H37" s="34">
        <f t="shared" ref="H37:N37" si="5">SUM(H7:H36)</f>
        <v>54808630</v>
      </c>
      <c r="I37" s="34">
        <f t="shared" si="5"/>
        <v>0</v>
      </c>
      <c r="J37" s="34">
        <f t="shared" si="5"/>
        <v>23880000</v>
      </c>
      <c r="K37" s="34">
        <f t="shared" si="5"/>
        <v>7400000</v>
      </c>
      <c r="L37" s="34">
        <f t="shared" si="5"/>
        <v>10549000</v>
      </c>
      <c r="M37" s="34">
        <f t="shared" si="5"/>
        <v>0</v>
      </c>
      <c r="N37" s="34">
        <f t="shared" si="5"/>
        <v>0</v>
      </c>
      <c r="O37" s="34">
        <f>SUM(O8:O36)</f>
        <v>96637630</v>
      </c>
      <c r="P37" s="34">
        <f>SUM(P8:P36)</f>
        <v>108502223</v>
      </c>
      <c r="Q37" s="34">
        <f>P37-O37</f>
        <v>11864593</v>
      </c>
      <c r="R37" s="50"/>
    </row>
    <row r="38" spans="1:20" x14ac:dyDescent="0.35">
      <c r="O38" s="35"/>
      <c r="Q38" s="36"/>
    </row>
    <row r="39" spans="1:20" x14ac:dyDescent="0.35">
      <c r="O39" s="37"/>
      <c r="P39" s="38" t="s">
        <v>46</v>
      </c>
      <c r="Q39" s="39">
        <f>'04.2022'!Q39+'05.2022'!Q37</f>
        <v>32846754</v>
      </c>
    </row>
    <row r="40" spans="1:20" x14ac:dyDescent="0.35">
      <c r="O40" s="37"/>
      <c r="P40" s="38"/>
      <c r="Q40" s="39"/>
    </row>
    <row r="41" spans="1:20" x14ac:dyDescent="0.35">
      <c r="O41" s="37"/>
      <c r="P41" s="38"/>
      <c r="Q41" s="39"/>
    </row>
    <row r="42" spans="1:20" x14ac:dyDescent="0.35">
      <c r="P42" s="37"/>
      <c r="Q42" s="37"/>
      <c r="R42" s="50"/>
    </row>
    <row r="43" spans="1:20" x14ac:dyDescent="0.35">
      <c r="B43" s="8"/>
    </row>
    <row r="44" spans="1:20" x14ac:dyDescent="0.35">
      <c r="B44" s="8"/>
    </row>
    <row r="45" spans="1:20" x14ac:dyDescent="0.35">
      <c r="B45" s="8"/>
    </row>
    <row r="46" spans="1:20" x14ac:dyDescent="0.35">
      <c r="B46" s="8"/>
      <c r="H46" s="8"/>
      <c r="J46" s="8"/>
      <c r="K46" s="8"/>
      <c r="L46" s="8"/>
      <c r="M46" s="8"/>
      <c r="N46" s="8"/>
      <c r="O46" s="8"/>
      <c r="P46" s="8"/>
      <c r="Q46" s="8"/>
      <c r="R46" s="8"/>
    </row>
  </sheetData>
  <mergeCells count="28">
    <mergeCell ref="A37:F37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  <mergeCell ref="C36:F36"/>
    <mergeCell ref="I5:I6"/>
    <mergeCell ref="J5:J6"/>
    <mergeCell ref="K5:K6"/>
    <mergeCell ref="L5:L6"/>
    <mergeCell ref="C30:E30"/>
    <mergeCell ref="C31:E31"/>
    <mergeCell ref="C32:E32"/>
    <mergeCell ref="C33:E33"/>
    <mergeCell ref="C29:F29"/>
    <mergeCell ref="C35:F35"/>
    <mergeCell ref="C34:F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D06A-FE93-4DD4-8B89-529DEC4439F3}">
  <dimension ref="A1:T53"/>
  <sheetViews>
    <sheetView topLeftCell="A31" workbookViewId="0">
      <selection activeCell="K27" sqref="K27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158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44713</v>
      </c>
      <c r="C8" s="23" t="s">
        <v>159</v>
      </c>
      <c r="D8" s="24" t="s">
        <v>250</v>
      </c>
      <c r="E8" s="23" t="s">
        <v>117</v>
      </c>
      <c r="F8" s="25"/>
      <c r="G8" s="26">
        <v>85</v>
      </c>
      <c r="H8" s="26">
        <f>G8*26390</f>
        <v>2243150</v>
      </c>
      <c r="I8" s="25"/>
      <c r="J8" s="26">
        <v>430000</v>
      </c>
      <c r="K8" s="27"/>
      <c r="L8" s="27"/>
      <c r="M8" s="26"/>
      <c r="N8" s="26"/>
      <c r="O8" s="26">
        <f>H8+J8+K8+L8+M8+N8</f>
        <v>2673150</v>
      </c>
      <c r="P8" s="26">
        <v>4400000</v>
      </c>
      <c r="Q8" s="26">
        <f>P8-O8</f>
        <v>1726850</v>
      </c>
      <c r="R8" s="46"/>
      <c r="S8" s="10"/>
      <c r="T8" s="10"/>
    </row>
    <row r="9" spans="1:20" ht="24" customHeight="1" x14ac:dyDescent="0.35">
      <c r="A9" s="21">
        <v>2</v>
      </c>
      <c r="B9" s="22">
        <v>44714</v>
      </c>
      <c r="C9" s="23" t="s">
        <v>160</v>
      </c>
      <c r="D9" s="24" t="s">
        <v>251</v>
      </c>
      <c r="E9" s="23" t="s">
        <v>43</v>
      </c>
      <c r="F9" s="25"/>
      <c r="G9" s="26">
        <v>67</v>
      </c>
      <c r="H9" s="26">
        <f t="shared" ref="H9:H11" si="0">G9*26390</f>
        <v>1768130</v>
      </c>
      <c r="I9" s="25"/>
      <c r="J9" s="26">
        <v>790000</v>
      </c>
      <c r="K9" s="27"/>
      <c r="L9" s="27"/>
      <c r="M9" s="26"/>
      <c r="N9" s="26"/>
      <c r="O9" s="26">
        <f t="shared" ref="O9:O43" si="1">H9+J9+K9+L9+M9+N9</f>
        <v>2558130</v>
      </c>
      <c r="P9" s="26">
        <v>4300000</v>
      </c>
      <c r="Q9" s="26">
        <f t="shared" ref="Q9:Q25" si="2">P9-O9</f>
        <v>1741870</v>
      </c>
      <c r="R9" s="46"/>
      <c r="S9" s="10"/>
      <c r="T9" s="10"/>
    </row>
    <row r="10" spans="1:20" ht="24" customHeight="1" x14ac:dyDescent="0.35">
      <c r="A10" s="21">
        <v>3</v>
      </c>
      <c r="B10" s="22">
        <v>44716</v>
      </c>
      <c r="C10" s="23" t="s">
        <v>161</v>
      </c>
      <c r="D10" s="24" t="s">
        <v>252</v>
      </c>
      <c r="E10" s="23" t="s">
        <v>242</v>
      </c>
      <c r="F10" s="25"/>
      <c r="G10" s="26">
        <v>60</v>
      </c>
      <c r="H10" s="26">
        <f t="shared" si="0"/>
        <v>1583400</v>
      </c>
      <c r="I10" s="25"/>
      <c r="J10" s="26">
        <v>340000</v>
      </c>
      <c r="K10" s="27"/>
      <c r="L10" s="27"/>
      <c r="M10" s="26"/>
      <c r="N10" s="26"/>
      <c r="O10" s="26">
        <f t="shared" si="1"/>
        <v>1923400</v>
      </c>
      <c r="P10" s="26">
        <v>3700000</v>
      </c>
      <c r="Q10" s="26">
        <f t="shared" si="2"/>
        <v>1776600</v>
      </c>
      <c r="R10" s="46"/>
      <c r="S10" s="10"/>
      <c r="T10" s="10"/>
    </row>
    <row r="11" spans="1:20" ht="24" customHeight="1" x14ac:dyDescent="0.35">
      <c r="A11" s="21">
        <v>4</v>
      </c>
      <c r="B11" s="22">
        <v>44720</v>
      </c>
      <c r="C11" s="23" t="s">
        <v>162</v>
      </c>
      <c r="D11" s="24" t="s">
        <v>253</v>
      </c>
      <c r="E11" s="23" t="s">
        <v>66</v>
      </c>
      <c r="F11" s="25"/>
      <c r="G11" s="26">
        <v>340</v>
      </c>
      <c r="H11" s="26">
        <f t="shared" si="0"/>
        <v>8972600</v>
      </c>
      <c r="I11" s="25"/>
      <c r="J11" s="26">
        <v>3460000</v>
      </c>
      <c r="K11" s="27"/>
      <c r="L11" s="27"/>
      <c r="M11" s="26"/>
      <c r="N11" s="26"/>
      <c r="O11" s="26">
        <f t="shared" si="1"/>
        <v>12432600</v>
      </c>
      <c r="P11" s="26">
        <v>19768519</v>
      </c>
      <c r="Q11" s="26">
        <f t="shared" si="2"/>
        <v>7335919</v>
      </c>
      <c r="R11" s="46"/>
      <c r="S11" s="10"/>
      <c r="T11" s="10"/>
    </row>
    <row r="12" spans="1:20" ht="24" customHeight="1" x14ac:dyDescent="0.35">
      <c r="A12" s="21">
        <v>5</v>
      </c>
      <c r="B12" s="22">
        <v>44722</v>
      </c>
      <c r="C12" s="23" t="s">
        <v>163</v>
      </c>
      <c r="D12" s="24" t="s">
        <v>254</v>
      </c>
      <c r="E12" s="23" t="s">
        <v>62</v>
      </c>
      <c r="F12" s="25"/>
      <c r="G12" s="26">
        <v>111</v>
      </c>
      <c r="H12" s="26">
        <f>G12*29020</f>
        <v>3221220</v>
      </c>
      <c r="I12" s="25"/>
      <c r="J12" s="26">
        <v>790000</v>
      </c>
      <c r="K12" s="27"/>
      <c r="L12" s="27"/>
      <c r="M12" s="26"/>
      <c r="N12" s="26"/>
      <c r="O12" s="26">
        <f t="shared" si="1"/>
        <v>4011220</v>
      </c>
      <c r="P12" s="26">
        <v>5980000</v>
      </c>
      <c r="Q12" s="26">
        <f t="shared" si="2"/>
        <v>1968780</v>
      </c>
      <c r="R12" s="46"/>
      <c r="S12" s="10"/>
      <c r="T12" s="10"/>
    </row>
    <row r="13" spans="1:20" ht="24" customHeight="1" x14ac:dyDescent="0.35">
      <c r="A13" s="21">
        <v>6</v>
      </c>
      <c r="B13" s="22">
        <v>44723</v>
      </c>
      <c r="C13" s="23" t="s">
        <v>164</v>
      </c>
      <c r="D13" s="24" t="s">
        <v>255</v>
      </c>
      <c r="E13" s="23" t="s">
        <v>62</v>
      </c>
      <c r="F13" s="25"/>
      <c r="G13" s="26">
        <v>111</v>
      </c>
      <c r="H13" s="26">
        <f t="shared" ref="H13:H18" si="3">G13*29020</f>
        <v>3221220</v>
      </c>
      <c r="I13" s="25"/>
      <c r="J13" s="26">
        <v>790000</v>
      </c>
      <c r="K13" s="27"/>
      <c r="L13" s="27"/>
      <c r="M13" s="26"/>
      <c r="N13" s="26"/>
      <c r="O13" s="26">
        <f t="shared" si="1"/>
        <v>4011220</v>
      </c>
      <c r="P13" s="26">
        <v>5980000</v>
      </c>
      <c r="Q13" s="26">
        <f t="shared" si="2"/>
        <v>1968780</v>
      </c>
      <c r="R13" s="46"/>
      <c r="S13" s="10"/>
      <c r="T13" s="10"/>
    </row>
    <row r="14" spans="1:20" ht="24" customHeight="1" x14ac:dyDescent="0.35">
      <c r="A14" s="21">
        <v>7</v>
      </c>
      <c r="B14" s="22">
        <v>44725</v>
      </c>
      <c r="C14" s="23" t="s">
        <v>165</v>
      </c>
      <c r="D14" s="24" t="s">
        <v>256</v>
      </c>
      <c r="E14" s="23" t="s">
        <v>243</v>
      </c>
      <c r="F14" s="25"/>
      <c r="G14" s="26">
        <v>180</v>
      </c>
      <c r="H14" s="26">
        <f t="shared" si="3"/>
        <v>5223600</v>
      </c>
      <c r="I14" s="25"/>
      <c r="J14" s="26">
        <v>1530000</v>
      </c>
      <c r="K14" s="27"/>
      <c r="L14" s="27"/>
      <c r="M14" s="26"/>
      <c r="N14" s="26"/>
      <c r="O14" s="26">
        <f t="shared" si="1"/>
        <v>6753600</v>
      </c>
      <c r="P14" s="26">
        <v>11666667</v>
      </c>
      <c r="Q14" s="26">
        <f t="shared" si="2"/>
        <v>4913067</v>
      </c>
      <c r="R14" s="46"/>
      <c r="S14" s="10"/>
      <c r="T14" s="10"/>
    </row>
    <row r="15" spans="1:20" ht="24" customHeight="1" x14ac:dyDescent="0.35">
      <c r="A15" s="21">
        <v>8</v>
      </c>
      <c r="B15" s="22">
        <v>44726</v>
      </c>
      <c r="C15" s="23" t="s">
        <v>166</v>
      </c>
      <c r="D15" s="24" t="s">
        <v>257</v>
      </c>
      <c r="E15" s="23" t="s">
        <v>244</v>
      </c>
      <c r="F15" s="25"/>
      <c r="G15" s="26">
        <v>77</v>
      </c>
      <c r="H15" s="26">
        <f t="shared" si="3"/>
        <v>2234540</v>
      </c>
      <c r="I15" s="25"/>
      <c r="J15" s="26">
        <v>430000</v>
      </c>
      <c r="K15" s="27"/>
      <c r="L15" s="27"/>
      <c r="M15" s="26"/>
      <c r="N15" s="26"/>
      <c r="O15" s="26">
        <f t="shared" si="1"/>
        <v>2664540</v>
      </c>
      <c r="P15" s="26">
        <v>4000000</v>
      </c>
      <c r="Q15" s="26">
        <f t="shared" si="2"/>
        <v>1335460</v>
      </c>
      <c r="R15" s="46"/>
      <c r="S15" s="10"/>
      <c r="T15" s="10"/>
    </row>
    <row r="16" spans="1:20" ht="24" customHeight="1" x14ac:dyDescent="0.35">
      <c r="A16" s="21">
        <v>9</v>
      </c>
      <c r="B16" s="22">
        <v>44727</v>
      </c>
      <c r="C16" s="23" t="s">
        <v>167</v>
      </c>
      <c r="D16" s="24" t="s">
        <v>258</v>
      </c>
      <c r="E16" s="23" t="s">
        <v>61</v>
      </c>
      <c r="F16" s="25"/>
      <c r="G16" s="26">
        <v>278</v>
      </c>
      <c r="H16" s="26">
        <f t="shared" si="3"/>
        <v>8067560</v>
      </c>
      <c r="I16" s="25"/>
      <c r="J16" s="26">
        <v>3940000</v>
      </c>
      <c r="K16" s="27"/>
      <c r="L16" s="27"/>
      <c r="M16" s="26"/>
      <c r="N16" s="26"/>
      <c r="O16" s="26">
        <f t="shared" si="1"/>
        <v>12007560</v>
      </c>
      <c r="P16" s="26">
        <v>16342593</v>
      </c>
      <c r="Q16" s="26">
        <f t="shared" si="2"/>
        <v>4335033</v>
      </c>
      <c r="R16" s="46"/>
      <c r="S16" s="10"/>
      <c r="T16" s="10"/>
    </row>
    <row r="17" spans="1:20" ht="24" customHeight="1" x14ac:dyDescent="0.35">
      <c r="A17" s="21">
        <v>10</v>
      </c>
      <c r="B17" s="22">
        <v>44729</v>
      </c>
      <c r="C17" s="23" t="s">
        <v>168</v>
      </c>
      <c r="D17" s="24" t="s">
        <v>259</v>
      </c>
      <c r="E17" s="23" t="s">
        <v>245</v>
      </c>
      <c r="F17" s="25"/>
      <c r="G17" s="26">
        <v>91</v>
      </c>
      <c r="H17" s="26">
        <f t="shared" si="3"/>
        <v>2640820</v>
      </c>
      <c r="I17" s="25"/>
      <c r="J17" s="26">
        <v>430000</v>
      </c>
      <c r="K17" s="27"/>
      <c r="L17" s="27"/>
      <c r="M17" s="26"/>
      <c r="N17" s="26"/>
      <c r="O17" s="26">
        <f t="shared" si="1"/>
        <v>3070820</v>
      </c>
      <c r="P17" s="26">
        <v>4700000</v>
      </c>
      <c r="Q17" s="26">
        <f t="shared" si="2"/>
        <v>1629180</v>
      </c>
      <c r="R17" s="46"/>
      <c r="S17" s="10"/>
      <c r="T17" s="10"/>
    </row>
    <row r="18" spans="1:20" ht="24" customHeight="1" x14ac:dyDescent="0.35">
      <c r="A18" s="21">
        <v>11</v>
      </c>
      <c r="B18" s="22">
        <v>44732</v>
      </c>
      <c r="C18" s="23" t="s">
        <v>169</v>
      </c>
      <c r="D18" s="24" t="s">
        <v>260</v>
      </c>
      <c r="E18" s="23" t="s">
        <v>62</v>
      </c>
      <c r="F18" s="25"/>
      <c r="G18" s="26">
        <v>111</v>
      </c>
      <c r="H18" s="26">
        <f t="shared" si="3"/>
        <v>3221220</v>
      </c>
      <c r="I18" s="25"/>
      <c r="J18" s="26">
        <v>790000</v>
      </c>
      <c r="K18" s="27"/>
      <c r="L18" s="27"/>
      <c r="M18" s="26"/>
      <c r="N18" s="26"/>
      <c r="O18" s="26">
        <f t="shared" si="1"/>
        <v>4011220</v>
      </c>
      <c r="P18" s="26">
        <v>6200000</v>
      </c>
      <c r="Q18" s="26">
        <f t="shared" si="2"/>
        <v>2188780</v>
      </c>
      <c r="R18" s="46"/>
      <c r="S18" s="10"/>
      <c r="T18" s="10"/>
    </row>
    <row r="19" spans="1:20" ht="24" customHeight="1" x14ac:dyDescent="0.35">
      <c r="A19" s="21">
        <v>12</v>
      </c>
      <c r="B19" s="22">
        <v>44733</v>
      </c>
      <c r="C19" s="23" t="s">
        <v>170</v>
      </c>
      <c r="D19" s="24" t="s">
        <v>261</v>
      </c>
      <c r="E19" s="23" t="s">
        <v>246</v>
      </c>
      <c r="F19" s="25"/>
      <c r="G19" s="26">
        <v>68</v>
      </c>
      <c r="H19" s="26">
        <f>G19*30010</f>
        <v>2040680</v>
      </c>
      <c r="I19" s="25"/>
      <c r="J19" s="26">
        <f>790000-360000</f>
        <v>430000</v>
      </c>
      <c r="K19" s="27"/>
      <c r="L19" s="27"/>
      <c r="M19" s="26"/>
      <c r="N19" s="26"/>
      <c r="O19" s="26">
        <f t="shared" si="1"/>
        <v>2470680</v>
      </c>
      <c r="P19" s="26">
        <v>4000000</v>
      </c>
      <c r="Q19" s="26">
        <f t="shared" si="2"/>
        <v>1529320</v>
      </c>
      <c r="R19" s="46"/>
      <c r="S19" s="10"/>
      <c r="T19" s="10"/>
    </row>
    <row r="20" spans="1:20" ht="24" customHeight="1" x14ac:dyDescent="0.35">
      <c r="A20" s="21">
        <v>13</v>
      </c>
      <c r="B20" s="22">
        <v>44733</v>
      </c>
      <c r="C20" s="23" t="s">
        <v>171</v>
      </c>
      <c r="D20" s="24" t="s">
        <v>262</v>
      </c>
      <c r="E20" s="23" t="s">
        <v>117</v>
      </c>
      <c r="F20" s="40"/>
      <c r="G20" s="27">
        <v>73</v>
      </c>
      <c r="H20" s="26">
        <f t="shared" ref="H20:H21" si="4">G20*30010</f>
        <v>2190730</v>
      </c>
      <c r="I20" s="29"/>
      <c r="J20" s="26">
        <v>430000</v>
      </c>
      <c r="K20" s="27"/>
      <c r="L20" s="27"/>
      <c r="M20" s="26"/>
      <c r="N20" s="26"/>
      <c r="O20" s="26">
        <f t="shared" si="1"/>
        <v>2620730</v>
      </c>
      <c r="P20" s="26">
        <v>4250000</v>
      </c>
      <c r="Q20" s="26">
        <f t="shared" si="2"/>
        <v>1629270</v>
      </c>
      <c r="R20" s="46"/>
      <c r="S20" s="10"/>
      <c r="T20" s="10"/>
    </row>
    <row r="21" spans="1:20" ht="24" customHeight="1" x14ac:dyDescent="0.35">
      <c r="A21" s="21">
        <v>14</v>
      </c>
      <c r="B21" s="22">
        <v>44734</v>
      </c>
      <c r="C21" s="23" t="s">
        <v>172</v>
      </c>
      <c r="D21" s="24" t="s">
        <v>263</v>
      </c>
      <c r="E21" s="23" t="s">
        <v>61</v>
      </c>
      <c r="F21" s="40"/>
      <c r="G21" s="26">
        <v>278</v>
      </c>
      <c r="H21" s="26">
        <f t="shared" si="4"/>
        <v>8342780</v>
      </c>
      <c r="I21" s="25"/>
      <c r="J21" s="26">
        <v>3940000</v>
      </c>
      <c r="K21" s="27"/>
      <c r="L21" s="27"/>
      <c r="M21" s="26"/>
      <c r="N21" s="26"/>
      <c r="O21" s="26">
        <f t="shared" si="1"/>
        <v>12282780</v>
      </c>
      <c r="P21" s="26">
        <v>16583333</v>
      </c>
      <c r="Q21" s="30">
        <f t="shared" si="2"/>
        <v>4300553</v>
      </c>
      <c r="R21" s="46"/>
      <c r="S21" s="10"/>
      <c r="T21" s="10"/>
    </row>
    <row r="22" spans="1:20" ht="24" customHeight="1" x14ac:dyDescent="0.35">
      <c r="A22" s="21">
        <v>15</v>
      </c>
      <c r="B22" s="22">
        <v>44735</v>
      </c>
      <c r="C22" s="23" t="s">
        <v>173</v>
      </c>
      <c r="D22" s="24" t="s">
        <v>264</v>
      </c>
      <c r="E22" s="23" t="s">
        <v>247</v>
      </c>
      <c r="F22" s="40"/>
      <c r="G22" s="26">
        <v>115</v>
      </c>
      <c r="H22" s="26">
        <f>G22*30010</f>
        <v>3451150</v>
      </c>
      <c r="I22" s="25"/>
      <c r="J22" s="26">
        <v>830000</v>
      </c>
      <c r="K22" s="27"/>
      <c r="L22" s="27"/>
      <c r="M22" s="26"/>
      <c r="N22" s="26"/>
      <c r="O22" s="26">
        <f t="shared" si="1"/>
        <v>4281150</v>
      </c>
      <c r="P22" s="26">
        <v>6800000</v>
      </c>
      <c r="Q22" s="30">
        <f t="shared" si="2"/>
        <v>2518850</v>
      </c>
      <c r="R22" s="46"/>
      <c r="S22" s="10"/>
      <c r="T22" s="10"/>
    </row>
    <row r="23" spans="1:20" ht="24" customHeight="1" x14ac:dyDescent="0.35">
      <c r="A23" s="21">
        <v>16</v>
      </c>
      <c r="B23" s="22">
        <v>44740</v>
      </c>
      <c r="C23" s="23" t="s">
        <v>174</v>
      </c>
      <c r="D23" s="24" t="s">
        <v>265</v>
      </c>
      <c r="E23" s="23" t="s">
        <v>248</v>
      </c>
      <c r="F23" s="40"/>
      <c r="G23" s="26">
        <v>57</v>
      </c>
      <c r="H23" s="26">
        <f t="shared" ref="H23:H24" si="5">G23*30010</f>
        <v>1710570</v>
      </c>
      <c r="I23" s="25"/>
      <c r="J23" s="26">
        <v>430000</v>
      </c>
      <c r="K23" s="27"/>
      <c r="L23" s="27"/>
      <c r="M23" s="26"/>
      <c r="N23" s="26"/>
      <c r="O23" s="26">
        <f t="shared" si="1"/>
        <v>2140570</v>
      </c>
      <c r="P23" s="26">
        <v>3966296</v>
      </c>
      <c r="Q23" s="30">
        <f t="shared" si="2"/>
        <v>1825726</v>
      </c>
      <c r="R23" s="46"/>
      <c r="S23" s="10"/>
      <c r="T23" s="10"/>
    </row>
    <row r="24" spans="1:20" ht="24" customHeight="1" x14ac:dyDescent="0.35">
      <c r="A24" s="21">
        <v>17</v>
      </c>
      <c r="B24" s="22">
        <v>44740</v>
      </c>
      <c r="C24" s="23" t="s">
        <v>175</v>
      </c>
      <c r="D24" s="24" t="s">
        <v>266</v>
      </c>
      <c r="E24" s="23" t="s">
        <v>249</v>
      </c>
      <c r="F24" s="40"/>
      <c r="G24" s="26">
        <v>240</v>
      </c>
      <c r="H24" s="26">
        <f t="shared" si="5"/>
        <v>7202400</v>
      </c>
      <c r="I24" s="25"/>
      <c r="J24" s="26">
        <v>2020000</v>
      </c>
      <c r="K24" s="27"/>
      <c r="L24" s="27"/>
      <c r="M24" s="26"/>
      <c r="N24" s="26"/>
      <c r="O24" s="26">
        <f t="shared" si="1"/>
        <v>9222400</v>
      </c>
      <c r="P24" s="26">
        <v>15925926</v>
      </c>
      <c r="Q24" s="30">
        <f t="shared" si="2"/>
        <v>6703526</v>
      </c>
      <c r="R24" s="46"/>
      <c r="S24" s="10"/>
      <c r="T24" s="10"/>
    </row>
    <row r="25" spans="1:20" ht="24" customHeight="1" x14ac:dyDescent="0.35">
      <c r="A25" s="21">
        <v>18</v>
      </c>
      <c r="B25" s="22">
        <v>44741</v>
      </c>
      <c r="C25" s="23" t="s">
        <v>176</v>
      </c>
      <c r="D25" s="24" t="s">
        <v>267</v>
      </c>
      <c r="E25" s="23" t="s">
        <v>246</v>
      </c>
      <c r="F25" s="40"/>
      <c r="G25" s="26">
        <v>68</v>
      </c>
      <c r="H25" s="26">
        <f>G25*29610</f>
        <v>2013480</v>
      </c>
      <c r="I25" s="25"/>
      <c r="J25" s="26">
        <v>430000</v>
      </c>
      <c r="K25" s="27"/>
      <c r="L25" s="27"/>
      <c r="M25" s="26"/>
      <c r="N25" s="26"/>
      <c r="O25" s="26">
        <f t="shared" si="1"/>
        <v>2443480</v>
      </c>
      <c r="P25" s="26">
        <v>4000000</v>
      </c>
      <c r="Q25" s="30">
        <f t="shared" si="2"/>
        <v>1556520</v>
      </c>
      <c r="R25" s="46"/>
      <c r="S25" s="10"/>
      <c r="T25" s="10"/>
    </row>
    <row r="26" spans="1:20" ht="24" customHeight="1" x14ac:dyDescent="0.35">
      <c r="A26" s="25"/>
      <c r="B26" s="28"/>
      <c r="C26" s="139"/>
      <c r="D26" s="140"/>
      <c r="E26" s="140"/>
      <c r="F26" s="141"/>
      <c r="G26" s="51"/>
      <c r="H26" s="51"/>
      <c r="I26" s="52"/>
      <c r="J26" s="51"/>
      <c r="K26" s="51"/>
      <c r="L26" s="51"/>
      <c r="M26" s="53"/>
      <c r="N26" s="53"/>
      <c r="O26" s="26">
        <f t="shared" si="1"/>
        <v>0</v>
      </c>
      <c r="P26" s="26"/>
      <c r="Q26" s="30"/>
      <c r="R26" s="46"/>
      <c r="S26" s="10"/>
      <c r="T26" s="10"/>
    </row>
    <row r="27" spans="1:20" ht="24" customHeight="1" x14ac:dyDescent="0.35">
      <c r="A27" s="25"/>
      <c r="B27" s="28"/>
      <c r="C27" s="139" t="s">
        <v>232</v>
      </c>
      <c r="D27" s="140"/>
      <c r="E27" s="140"/>
      <c r="F27" s="63"/>
      <c r="G27" s="51"/>
      <c r="H27" s="51"/>
      <c r="I27" s="52"/>
      <c r="J27" s="51"/>
      <c r="K27" s="51"/>
      <c r="L27" s="51">
        <v>150000</v>
      </c>
      <c r="M27" s="53"/>
      <c r="N27" s="53"/>
      <c r="O27" s="26">
        <f t="shared" si="1"/>
        <v>150000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233</v>
      </c>
      <c r="D28" s="140"/>
      <c r="E28" s="140"/>
      <c r="F28" s="63"/>
      <c r="G28" s="51"/>
      <c r="H28" s="51"/>
      <c r="I28" s="52"/>
      <c r="J28" s="51"/>
      <c r="K28" s="51"/>
      <c r="L28" s="51">
        <v>400000</v>
      </c>
      <c r="M28" s="53"/>
      <c r="N28" s="53"/>
      <c r="O28" s="26">
        <f t="shared" si="1"/>
        <v>400000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234</v>
      </c>
      <c r="D29" s="140"/>
      <c r="E29" s="140"/>
      <c r="F29" s="63"/>
      <c r="G29" s="51"/>
      <c r="H29" s="51"/>
      <c r="I29" s="52"/>
      <c r="J29" s="51"/>
      <c r="K29" s="51"/>
      <c r="L29" s="51">
        <v>280000</v>
      </c>
      <c r="M29" s="53"/>
      <c r="N29" s="53"/>
      <c r="O29" s="26">
        <f t="shared" si="1"/>
        <v>280000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235</v>
      </c>
      <c r="D30" s="140"/>
      <c r="E30" s="140"/>
      <c r="F30" s="63"/>
      <c r="G30" s="51"/>
      <c r="H30" s="51"/>
      <c r="I30" s="52"/>
      <c r="J30" s="51"/>
      <c r="K30" s="51"/>
      <c r="L30" s="51">
        <v>24700000</v>
      </c>
      <c r="M30" s="53"/>
      <c r="N30" s="53"/>
      <c r="O30" s="26">
        <f t="shared" si="1"/>
        <v>24700000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236</v>
      </c>
      <c r="D31" s="140"/>
      <c r="E31" s="140"/>
      <c r="F31" s="63"/>
      <c r="G31" s="51"/>
      <c r="H31" s="51"/>
      <c r="I31" s="52"/>
      <c r="J31" s="51"/>
      <c r="K31" s="51"/>
      <c r="L31" s="51">
        <v>400000</v>
      </c>
      <c r="M31" s="53"/>
      <c r="N31" s="53"/>
      <c r="O31" s="26">
        <f t="shared" si="1"/>
        <v>400000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66" t="s">
        <v>237</v>
      </c>
      <c r="D32" s="67"/>
      <c r="E32" s="67"/>
      <c r="F32" s="63"/>
      <c r="G32" s="51"/>
      <c r="H32" s="51"/>
      <c r="I32" s="52"/>
      <c r="J32" s="51"/>
      <c r="K32" s="51"/>
      <c r="L32" s="51">
        <v>200000</v>
      </c>
      <c r="M32" s="53"/>
      <c r="N32" s="53"/>
      <c r="O32" s="26">
        <f t="shared" si="1"/>
        <v>200000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238</v>
      </c>
      <c r="D33" s="140"/>
      <c r="E33" s="140"/>
      <c r="F33" s="141"/>
      <c r="G33" s="51"/>
      <c r="H33" s="51"/>
      <c r="I33" s="52"/>
      <c r="J33" s="51"/>
      <c r="K33" s="51"/>
      <c r="L33" s="51">
        <v>180000</v>
      </c>
      <c r="M33" s="53"/>
      <c r="N33" s="53"/>
      <c r="O33" s="26">
        <f t="shared" si="1"/>
        <v>180000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239</v>
      </c>
      <c r="D34" s="140"/>
      <c r="E34" s="140"/>
      <c r="F34" s="63"/>
      <c r="G34" s="51"/>
      <c r="H34" s="51"/>
      <c r="I34" s="52"/>
      <c r="J34" s="51"/>
      <c r="K34" s="51"/>
      <c r="L34" s="51">
        <v>35000</v>
      </c>
      <c r="M34" s="53"/>
      <c r="N34" s="53"/>
      <c r="O34" s="26">
        <f t="shared" si="1"/>
        <v>35000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314</v>
      </c>
      <c r="D35" s="140"/>
      <c r="E35" s="140"/>
      <c r="F35" s="141"/>
      <c r="G35" s="51"/>
      <c r="H35" s="51"/>
      <c r="I35" s="52"/>
      <c r="J35" s="51"/>
      <c r="K35" s="51"/>
      <c r="L35" s="51">
        <v>3280000</v>
      </c>
      <c r="M35" s="53"/>
      <c r="N35" s="53"/>
      <c r="O35" s="26">
        <f t="shared" si="1"/>
        <v>3280000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315</v>
      </c>
      <c r="D36" s="140"/>
      <c r="E36" s="140"/>
      <c r="F36" s="141"/>
      <c r="G36" s="51"/>
      <c r="H36" s="51"/>
      <c r="I36" s="52"/>
      <c r="J36" s="51"/>
      <c r="K36" s="51"/>
      <c r="L36" s="51">
        <v>1400000</v>
      </c>
      <c r="M36" s="53"/>
      <c r="N36" s="53"/>
      <c r="O36" s="26">
        <f t="shared" si="1"/>
        <v>1400000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52" t="s">
        <v>316</v>
      </c>
      <c r="D37" s="153"/>
      <c r="E37" s="153"/>
      <c r="F37" s="154"/>
      <c r="G37" s="51"/>
      <c r="H37" s="51"/>
      <c r="I37" s="52"/>
      <c r="J37" s="51"/>
      <c r="K37" s="51"/>
      <c r="L37" s="51"/>
      <c r="M37" s="53"/>
      <c r="N37" s="53">
        <v>3250000</v>
      </c>
      <c r="O37" s="26">
        <f t="shared" si="1"/>
        <v>3250000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317</v>
      </c>
      <c r="D38" s="140"/>
      <c r="E38" s="140"/>
      <c r="F38" s="141"/>
      <c r="G38" s="51"/>
      <c r="H38" s="51"/>
      <c r="I38" s="52"/>
      <c r="J38" s="51"/>
      <c r="K38" s="51"/>
      <c r="L38" s="51"/>
      <c r="M38" s="53">
        <v>19600000</v>
      </c>
      <c r="N38" s="53"/>
      <c r="O38" s="26">
        <f t="shared" si="1"/>
        <v>19600000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322</v>
      </c>
      <c r="D39" s="140"/>
      <c r="E39" s="140"/>
      <c r="F39" s="141"/>
      <c r="G39" s="51"/>
      <c r="H39" s="51"/>
      <c r="I39" s="52"/>
      <c r="J39" s="51"/>
      <c r="K39" s="51"/>
      <c r="L39" s="51">
        <v>2311200</v>
      </c>
      <c r="M39" s="53"/>
      <c r="N39" s="53"/>
      <c r="O39" s="26">
        <f t="shared" si="1"/>
        <v>2311200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391</v>
      </c>
      <c r="D40" s="140"/>
      <c r="E40" s="140"/>
      <c r="F40" s="141"/>
      <c r="G40" s="51"/>
      <c r="H40" s="51"/>
      <c r="I40" s="52"/>
      <c r="J40" s="51"/>
      <c r="K40" s="51">
        <v>7394000</v>
      </c>
      <c r="L40" s="51"/>
      <c r="M40" s="53"/>
      <c r="N40" s="53"/>
      <c r="O40" s="26">
        <f t="shared" si="1"/>
        <v>7394000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393</v>
      </c>
      <c r="D41" s="140"/>
      <c r="E41" s="140"/>
      <c r="F41" s="141"/>
      <c r="G41" s="51"/>
      <c r="H41" s="51"/>
      <c r="I41" s="52"/>
      <c r="J41" s="51"/>
      <c r="K41" s="51"/>
      <c r="L41" s="51">
        <v>350000</v>
      </c>
      <c r="M41" s="53"/>
      <c r="N41" s="53"/>
      <c r="O41" s="26">
        <f t="shared" si="1"/>
        <v>350000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5"/>
      <c r="C42" s="139" t="s">
        <v>388</v>
      </c>
      <c r="D42" s="140"/>
      <c r="E42" s="140"/>
      <c r="F42" s="141"/>
      <c r="G42" s="54"/>
      <c r="H42" s="53"/>
      <c r="I42" s="54"/>
      <c r="J42" s="53"/>
      <c r="K42" s="51">
        <v>7900000</v>
      </c>
      <c r="L42" s="53"/>
      <c r="M42" s="53"/>
      <c r="N42" s="53"/>
      <c r="O42" s="26">
        <f t="shared" si="1"/>
        <v>7900000</v>
      </c>
      <c r="P42" s="26"/>
      <c r="Q42" s="26"/>
      <c r="R42" s="48"/>
    </row>
    <row r="43" spans="1:20" ht="24" customHeight="1" x14ac:dyDescent="0.35">
      <c r="A43" s="25"/>
      <c r="B43" s="31"/>
      <c r="C43" s="142" t="s">
        <v>44</v>
      </c>
      <c r="D43" s="143"/>
      <c r="E43" s="143"/>
      <c r="F43" s="144"/>
      <c r="G43" s="54"/>
      <c r="H43" s="53"/>
      <c r="I43" s="54"/>
      <c r="J43" s="53"/>
      <c r="K43" s="51"/>
      <c r="L43" s="51">
        <v>1200000</v>
      </c>
      <c r="M43" s="51"/>
      <c r="N43" s="51"/>
      <c r="O43" s="26">
        <f t="shared" si="1"/>
        <v>1200000</v>
      </c>
      <c r="P43" s="26"/>
      <c r="Q43" s="32"/>
      <c r="R43" s="48"/>
    </row>
    <row r="44" spans="1:20" ht="24" customHeight="1" x14ac:dyDescent="0.35">
      <c r="A44" s="136" t="s">
        <v>45</v>
      </c>
      <c r="B44" s="137"/>
      <c r="C44" s="137"/>
      <c r="D44" s="137"/>
      <c r="E44" s="137"/>
      <c r="F44" s="138"/>
      <c r="G44" s="33">
        <f>SUM(G8:G43)</f>
        <v>2410</v>
      </c>
      <c r="H44" s="34">
        <f t="shared" ref="H44:N44" si="6">SUM(H7:H43)</f>
        <v>69349250</v>
      </c>
      <c r="I44" s="34">
        <f t="shared" si="6"/>
        <v>0</v>
      </c>
      <c r="J44" s="34">
        <f t="shared" si="6"/>
        <v>22230000</v>
      </c>
      <c r="K44" s="34">
        <f t="shared" si="6"/>
        <v>15294000</v>
      </c>
      <c r="L44" s="34">
        <f t="shared" si="6"/>
        <v>34886200</v>
      </c>
      <c r="M44" s="34">
        <f t="shared" si="6"/>
        <v>19600000</v>
      </c>
      <c r="N44" s="34">
        <f t="shared" si="6"/>
        <v>3250000</v>
      </c>
      <c r="O44" s="34">
        <f>SUM(O8:O43)</f>
        <v>164609450</v>
      </c>
      <c r="P44" s="34">
        <f>SUM(P8:P43)</f>
        <v>142563334</v>
      </c>
      <c r="Q44" s="34">
        <f>P44-O44</f>
        <v>-22046116</v>
      </c>
      <c r="R44" s="50"/>
    </row>
    <row r="45" spans="1:20" x14ac:dyDescent="0.35">
      <c r="O45" s="35"/>
      <c r="Q45" s="36"/>
    </row>
    <row r="46" spans="1:20" x14ac:dyDescent="0.35">
      <c r="O46" s="37"/>
      <c r="P46" s="38" t="s">
        <v>46</v>
      </c>
      <c r="Q46" s="39">
        <f>'05.2022'!Q39+'06.2022'!Q44</f>
        <v>10800638</v>
      </c>
    </row>
    <row r="47" spans="1:20" x14ac:dyDescent="0.35">
      <c r="O47" s="37"/>
      <c r="P47" s="38"/>
      <c r="Q47" s="39"/>
    </row>
    <row r="48" spans="1:20" x14ac:dyDescent="0.35">
      <c r="O48" s="37"/>
      <c r="P48" s="38"/>
      <c r="Q48" s="39"/>
    </row>
    <row r="49" spans="2:18" x14ac:dyDescent="0.35">
      <c r="P49" s="37"/>
      <c r="Q49" s="37"/>
      <c r="R49" s="50"/>
    </row>
    <row r="50" spans="2:18" x14ac:dyDescent="0.35">
      <c r="B50" s="8"/>
    </row>
    <row r="51" spans="2:18" x14ac:dyDescent="0.35">
      <c r="B51" s="8"/>
    </row>
    <row r="52" spans="2:18" x14ac:dyDescent="0.35">
      <c r="B52" s="8"/>
    </row>
    <row r="53" spans="2:18" x14ac:dyDescent="0.35">
      <c r="B53" s="8"/>
      <c r="H53" s="8"/>
      <c r="J53" s="8"/>
      <c r="K53" s="8"/>
      <c r="L53" s="8"/>
      <c r="M53" s="8"/>
      <c r="N53" s="8"/>
      <c r="O53" s="8"/>
      <c r="P53" s="8"/>
      <c r="Q53" s="8"/>
      <c r="R53" s="8"/>
    </row>
  </sheetData>
  <mergeCells count="37">
    <mergeCell ref="A44:F44"/>
    <mergeCell ref="K5:K6"/>
    <mergeCell ref="L5:L6"/>
    <mergeCell ref="M5:M6"/>
    <mergeCell ref="C26:F26"/>
    <mergeCell ref="C41:F41"/>
    <mergeCell ref="C42:F42"/>
    <mergeCell ref="C43:F43"/>
    <mergeCell ref="C27:E27"/>
    <mergeCell ref="C28:E28"/>
    <mergeCell ref="C29:E29"/>
    <mergeCell ref="C36:F36"/>
    <mergeCell ref="C37:F37"/>
    <mergeCell ref="C38:F38"/>
    <mergeCell ref="C39:F39"/>
    <mergeCell ref="C40:F40"/>
    <mergeCell ref="C35:F35"/>
    <mergeCell ref="C30:E30"/>
    <mergeCell ref="C31:E31"/>
    <mergeCell ref="C33:F33"/>
    <mergeCell ref="C34:E34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P5:P6"/>
    <mergeCell ref="Q5:Q6"/>
    <mergeCell ref="O5:O6"/>
    <mergeCell ref="N5:N6"/>
    <mergeCell ref="I5:I6"/>
    <mergeCell ref="J5:J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CF95-4C32-458D-959F-9D608E87D58C}">
  <dimension ref="A1:T44"/>
  <sheetViews>
    <sheetView topLeftCell="A23" workbookViewId="0">
      <selection activeCell="J23" sqref="J23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268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44742</v>
      </c>
      <c r="C8" s="23" t="s">
        <v>269</v>
      </c>
      <c r="D8" s="24" t="s">
        <v>294</v>
      </c>
      <c r="E8" s="23" t="s">
        <v>288</v>
      </c>
      <c r="F8" s="25"/>
      <c r="G8" s="26">
        <v>85</v>
      </c>
      <c r="H8" s="26">
        <f>G8*29610</f>
        <v>2516850</v>
      </c>
      <c r="I8" s="25"/>
      <c r="J8" s="26">
        <v>890000</v>
      </c>
      <c r="K8" s="27"/>
      <c r="L8" s="27"/>
      <c r="M8" s="26"/>
      <c r="N8" s="26"/>
      <c r="O8" s="26">
        <f>H8+J8+K8+L8+M8+N8</f>
        <v>3406850</v>
      </c>
      <c r="P8" s="26">
        <v>5400000</v>
      </c>
      <c r="Q8" s="26">
        <f>P8-O8</f>
        <v>1993150</v>
      </c>
      <c r="R8" s="46"/>
      <c r="S8" s="10"/>
      <c r="T8" s="10"/>
    </row>
    <row r="9" spans="1:20" ht="24" customHeight="1" x14ac:dyDescent="0.35">
      <c r="A9" s="21">
        <v>2</v>
      </c>
      <c r="B9" s="22">
        <v>44748</v>
      </c>
      <c r="C9" s="23" t="s">
        <v>270</v>
      </c>
      <c r="D9" s="24" t="s">
        <v>295</v>
      </c>
      <c r="E9" s="23" t="s">
        <v>244</v>
      </c>
      <c r="F9" s="25"/>
      <c r="G9" s="26">
        <v>62</v>
      </c>
      <c r="H9" s="26">
        <f t="shared" ref="H9:H13" si="0">G9*29610</f>
        <v>1835820</v>
      </c>
      <c r="I9" s="25"/>
      <c r="J9" s="26">
        <v>430000</v>
      </c>
      <c r="K9" s="27"/>
      <c r="L9" s="27"/>
      <c r="M9" s="26"/>
      <c r="N9" s="26"/>
      <c r="O9" s="26">
        <f t="shared" ref="O9:O34" si="1">H9+J9+K9+L9+M9+N9</f>
        <v>2265820</v>
      </c>
      <c r="P9" s="26">
        <v>3680000</v>
      </c>
      <c r="Q9" s="26">
        <f t="shared" ref="Q9:Q26" si="2">P9-O9</f>
        <v>1414180</v>
      </c>
      <c r="R9" s="46"/>
      <c r="S9" s="10"/>
      <c r="T9" s="10"/>
    </row>
    <row r="10" spans="1:20" ht="24" customHeight="1" x14ac:dyDescent="0.35">
      <c r="A10" s="21">
        <v>3</v>
      </c>
      <c r="B10" s="22">
        <v>44748</v>
      </c>
      <c r="C10" s="23" t="s">
        <v>271</v>
      </c>
      <c r="D10" s="24" t="s">
        <v>296</v>
      </c>
      <c r="E10" s="23" t="s">
        <v>62</v>
      </c>
      <c r="F10" s="25"/>
      <c r="G10" s="26">
        <v>111</v>
      </c>
      <c r="H10" s="26">
        <f t="shared" si="0"/>
        <v>3286710</v>
      </c>
      <c r="I10" s="25"/>
      <c r="J10" s="26">
        <v>790000</v>
      </c>
      <c r="K10" s="27"/>
      <c r="L10" s="27"/>
      <c r="M10" s="26"/>
      <c r="N10" s="26"/>
      <c r="O10" s="26">
        <f t="shared" si="1"/>
        <v>4076710</v>
      </c>
      <c r="P10" s="26">
        <v>6250000</v>
      </c>
      <c r="Q10" s="26">
        <f t="shared" si="2"/>
        <v>2173290</v>
      </c>
      <c r="R10" s="46"/>
      <c r="S10" s="10"/>
      <c r="T10" s="10"/>
    </row>
    <row r="11" spans="1:20" ht="24" customHeight="1" x14ac:dyDescent="0.35">
      <c r="A11" s="21">
        <v>4</v>
      </c>
      <c r="B11" s="22">
        <v>44749</v>
      </c>
      <c r="C11" s="23" t="s">
        <v>272</v>
      </c>
      <c r="D11" s="24" t="s">
        <v>297</v>
      </c>
      <c r="E11" s="23" t="s">
        <v>289</v>
      </c>
      <c r="F11" s="25"/>
      <c r="G11" s="26">
        <v>59</v>
      </c>
      <c r="H11" s="26">
        <f t="shared" si="0"/>
        <v>1746990</v>
      </c>
      <c r="I11" s="25"/>
      <c r="J11" s="26">
        <v>340000</v>
      </c>
      <c r="K11" s="27"/>
      <c r="L11" s="27"/>
      <c r="M11" s="26"/>
      <c r="N11" s="26"/>
      <c r="O11" s="26">
        <f t="shared" si="1"/>
        <v>2086990</v>
      </c>
      <c r="P11" s="26">
        <v>3400000</v>
      </c>
      <c r="Q11" s="26">
        <f t="shared" si="2"/>
        <v>1313010</v>
      </c>
      <c r="R11" s="46"/>
      <c r="S11" s="10"/>
      <c r="T11" s="10"/>
    </row>
    <row r="12" spans="1:20" ht="24" customHeight="1" x14ac:dyDescent="0.35">
      <c r="A12" s="21">
        <v>5</v>
      </c>
      <c r="B12" s="22">
        <v>44750</v>
      </c>
      <c r="C12" s="23" t="s">
        <v>273</v>
      </c>
      <c r="D12" s="24" t="s">
        <v>298</v>
      </c>
      <c r="E12" s="23" t="s">
        <v>107</v>
      </c>
      <c r="F12" s="25"/>
      <c r="G12" s="26">
        <v>52</v>
      </c>
      <c r="H12" s="26">
        <f t="shared" si="0"/>
        <v>1539720</v>
      </c>
      <c r="I12" s="25"/>
      <c r="J12" s="26">
        <v>340000</v>
      </c>
      <c r="K12" s="27"/>
      <c r="L12" s="27"/>
      <c r="M12" s="26"/>
      <c r="N12" s="26"/>
      <c r="O12" s="26">
        <f t="shared" si="1"/>
        <v>1879720</v>
      </c>
      <c r="P12" s="26">
        <v>3349259</v>
      </c>
      <c r="Q12" s="26">
        <f t="shared" si="2"/>
        <v>1469539</v>
      </c>
      <c r="R12" s="46"/>
      <c r="S12" s="10"/>
      <c r="T12" s="10"/>
    </row>
    <row r="13" spans="1:20" ht="24" customHeight="1" x14ac:dyDescent="0.35">
      <c r="A13" s="21">
        <v>6</v>
      </c>
      <c r="B13" s="22">
        <v>44751</v>
      </c>
      <c r="C13" s="23" t="s">
        <v>274</v>
      </c>
      <c r="D13" s="24" t="s">
        <v>299</v>
      </c>
      <c r="E13" s="23" t="s">
        <v>290</v>
      </c>
      <c r="F13" s="25"/>
      <c r="G13" s="26">
        <v>383</v>
      </c>
      <c r="H13" s="26">
        <f t="shared" si="0"/>
        <v>11340630</v>
      </c>
      <c r="I13" s="25"/>
      <c r="J13" s="26">
        <f>4940000+400000</f>
        <v>5340000</v>
      </c>
      <c r="K13" s="27"/>
      <c r="L13" s="27"/>
      <c r="M13" s="26"/>
      <c r="N13" s="26"/>
      <c r="O13" s="26">
        <f t="shared" si="1"/>
        <v>16680630</v>
      </c>
      <c r="P13" s="26">
        <v>25000000</v>
      </c>
      <c r="Q13" s="26">
        <f t="shared" si="2"/>
        <v>8319370</v>
      </c>
      <c r="R13" s="46"/>
      <c r="S13" s="10"/>
      <c r="T13" s="10"/>
    </row>
    <row r="14" spans="1:20" ht="24" customHeight="1" x14ac:dyDescent="0.35">
      <c r="A14" s="21">
        <v>7</v>
      </c>
      <c r="B14" s="22">
        <v>44754</v>
      </c>
      <c r="C14" s="23" t="s">
        <v>275</v>
      </c>
      <c r="D14" s="24" t="s">
        <v>300</v>
      </c>
      <c r="E14" s="23" t="s">
        <v>247</v>
      </c>
      <c r="F14" s="25"/>
      <c r="G14" s="26">
        <v>113</v>
      </c>
      <c r="H14" s="26">
        <f>G14*26590</f>
        <v>3004670</v>
      </c>
      <c r="I14" s="25"/>
      <c r="J14" s="26">
        <v>830000</v>
      </c>
      <c r="K14" s="27"/>
      <c r="L14" s="27"/>
      <c r="M14" s="26"/>
      <c r="N14" s="26"/>
      <c r="O14" s="26">
        <f t="shared" si="1"/>
        <v>3834670</v>
      </c>
      <c r="P14" s="26">
        <v>5400000</v>
      </c>
      <c r="Q14" s="26">
        <f t="shared" si="2"/>
        <v>1565330</v>
      </c>
      <c r="R14" s="46"/>
      <c r="S14" s="10"/>
      <c r="T14" s="10"/>
    </row>
    <row r="15" spans="1:20" ht="24" customHeight="1" x14ac:dyDescent="0.35">
      <c r="A15" s="21">
        <v>8</v>
      </c>
      <c r="B15" s="22">
        <v>44755</v>
      </c>
      <c r="C15" s="23" t="s">
        <v>276</v>
      </c>
      <c r="D15" s="24" t="s">
        <v>301</v>
      </c>
      <c r="E15" s="23" t="s">
        <v>116</v>
      </c>
      <c r="F15" s="25"/>
      <c r="G15" s="26">
        <v>84</v>
      </c>
      <c r="H15" s="26">
        <f t="shared" ref="H15:H19" si="3">G15*26590</f>
        <v>2233560</v>
      </c>
      <c r="I15" s="25"/>
      <c r="J15" s="26">
        <v>790000</v>
      </c>
      <c r="K15" s="27"/>
      <c r="L15" s="27"/>
      <c r="M15" s="26"/>
      <c r="N15" s="26"/>
      <c r="O15" s="26">
        <f t="shared" si="1"/>
        <v>3023560</v>
      </c>
      <c r="P15" s="26">
        <v>4600000</v>
      </c>
      <c r="Q15" s="26">
        <f t="shared" si="2"/>
        <v>1576440</v>
      </c>
      <c r="R15" s="46"/>
      <c r="S15" s="10"/>
      <c r="T15" s="10"/>
    </row>
    <row r="16" spans="1:20" ht="24" customHeight="1" x14ac:dyDescent="0.35">
      <c r="A16" s="21">
        <v>9</v>
      </c>
      <c r="B16" s="22">
        <v>44756</v>
      </c>
      <c r="C16" s="23" t="s">
        <v>277</v>
      </c>
      <c r="D16" s="24" t="s">
        <v>302</v>
      </c>
      <c r="E16" s="23" t="s">
        <v>116</v>
      </c>
      <c r="F16" s="25"/>
      <c r="G16" s="26">
        <v>84</v>
      </c>
      <c r="H16" s="26">
        <f t="shared" si="3"/>
        <v>2233560</v>
      </c>
      <c r="I16" s="25"/>
      <c r="J16" s="26">
        <v>790000</v>
      </c>
      <c r="K16" s="27"/>
      <c r="L16" s="27"/>
      <c r="M16" s="26"/>
      <c r="N16" s="26"/>
      <c r="O16" s="26">
        <f t="shared" si="1"/>
        <v>3023560</v>
      </c>
      <c r="P16" s="26">
        <v>4600000</v>
      </c>
      <c r="Q16" s="26">
        <f t="shared" si="2"/>
        <v>1576440</v>
      </c>
      <c r="R16" s="46"/>
      <c r="S16" s="10"/>
      <c r="T16" s="10"/>
    </row>
    <row r="17" spans="1:20" ht="24" customHeight="1" x14ac:dyDescent="0.35">
      <c r="A17" s="21">
        <v>10</v>
      </c>
      <c r="B17" s="22">
        <v>44757</v>
      </c>
      <c r="C17" s="23" t="s">
        <v>278</v>
      </c>
      <c r="D17" s="24" t="s">
        <v>303</v>
      </c>
      <c r="E17" s="23" t="s">
        <v>62</v>
      </c>
      <c r="F17" s="25"/>
      <c r="G17" s="26">
        <v>111</v>
      </c>
      <c r="H17" s="26">
        <f t="shared" si="3"/>
        <v>2951490</v>
      </c>
      <c r="I17" s="25"/>
      <c r="J17" s="26">
        <v>790000</v>
      </c>
      <c r="K17" s="27"/>
      <c r="L17" s="27"/>
      <c r="M17" s="26"/>
      <c r="N17" s="26"/>
      <c r="O17" s="26">
        <f t="shared" si="1"/>
        <v>3741490</v>
      </c>
      <c r="P17" s="26">
        <v>5900000</v>
      </c>
      <c r="Q17" s="26">
        <f t="shared" si="2"/>
        <v>2158510</v>
      </c>
      <c r="R17" s="46"/>
      <c r="S17" s="10"/>
      <c r="T17" s="10"/>
    </row>
    <row r="18" spans="1:20" ht="24" customHeight="1" x14ac:dyDescent="0.35">
      <c r="A18" s="21">
        <v>11</v>
      </c>
      <c r="B18" s="22">
        <v>44761</v>
      </c>
      <c r="C18" s="23" t="s">
        <v>279</v>
      </c>
      <c r="D18" s="24" t="s">
        <v>304</v>
      </c>
      <c r="E18" s="23" t="s">
        <v>291</v>
      </c>
      <c r="F18" s="25"/>
      <c r="G18" s="26">
        <v>147</v>
      </c>
      <c r="H18" s="26">
        <f>G18*26590</f>
        <v>3908730</v>
      </c>
      <c r="I18" s="25"/>
      <c r="J18" s="26">
        <v>1240000</v>
      </c>
      <c r="K18" s="27"/>
      <c r="L18" s="27"/>
      <c r="M18" s="26"/>
      <c r="N18" s="26"/>
      <c r="O18" s="26">
        <f t="shared" si="1"/>
        <v>5148730</v>
      </c>
      <c r="P18" s="26">
        <v>7300000</v>
      </c>
      <c r="Q18" s="26">
        <f t="shared" si="2"/>
        <v>2151270</v>
      </c>
      <c r="R18" s="46"/>
      <c r="S18" s="10"/>
      <c r="T18" s="10"/>
    </row>
    <row r="19" spans="1:20" ht="24" customHeight="1" x14ac:dyDescent="0.35">
      <c r="A19" s="21">
        <v>12</v>
      </c>
      <c r="B19" s="22">
        <v>44762</v>
      </c>
      <c r="C19" s="23" t="s">
        <v>280</v>
      </c>
      <c r="D19" s="24" t="s">
        <v>305</v>
      </c>
      <c r="E19" s="23" t="s">
        <v>62</v>
      </c>
      <c r="F19" s="25"/>
      <c r="G19" s="26">
        <v>111</v>
      </c>
      <c r="H19" s="26">
        <f t="shared" si="3"/>
        <v>2951490</v>
      </c>
      <c r="I19" s="25"/>
      <c r="J19" s="26">
        <v>790000</v>
      </c>
      <c r="K19" s="27"/>
      <c r="L19" s="27"/>
      <c r="M19" s="26"/>
      <c r="N19" s="26"/>
      <c r="O19" s="26">
        <f t="shared" si="1"/>
        <v>3741490</v>
      </c>
      <c r="P19" s="26">
        <v>5900000</v>
      </c>
      <c r="Q19" s="26">
        <f t="shared" si="2"/>
        <v>2158510</v>
      </c>
      <c r="R19" s="46"/>
      <c r="S19" s="10"/>
      <c r="T19" s="10"/>
    </row>
    <row r="20" spans="1:20" ht="24" customHeight="1" x14ac:dyDescent="0.35">
      <c r="A20" s="21">
        <v>13</v>
      </c>
      <c r="B20" s="22">
        <v>44762</v>
      </c>
      <c r="C20" s="23" t="s">
        <v>281</v>
      </c>
      <c r="D20" s="24" t="s">
        <v>306</v>
      </c>
      <c r="E20" s="23" t="s">
        <v>227</v>
      </c>
      <c r="F20" s="40"/>
      <c r="G20" s="27">
        <v>193</v>
      </c>
      <c r="H20" s="26">
        <f>G20*24850</f>
        <v>4796050</v>
      </c>
      <c r="I20" s="29"/>
      <c r="J20" s="26">
        <v>1530000</v>
      </c>
      <c r="K20" s="27"/>
      <c r="L20" s="27"/>
      <c r="M20" s="26"/>
      <c r="N20" s="26"/>
      <c r="O20" s="26">
        <f t="shared" si="1"/>
        <v>6326050</v>
      </c>
      <c r="P20" s="26">
        <v>10124074</v>
      </c>
      <c r="Q20" s="26">
        <f t="shared" si="2"/>
        <v>3798024</v>
      </c>
      <c r="R20" s="46"/>
      <c r="S20" s="10"/>
      <c r="T20" s="10"/>
    </row>
    <row r="21" spans="1:20" ht="24" customHeight="1" x14ac:dyDescent="0.35">
      <c r="A21" s="21">
        <v>14</v>
      </c>
      <c r="B21" s="22">
        <v>44764</v>
      </c>
      <c r="C21" s="23" t="s">
        <v>282</v>
      </c>
      <c r="D21" s="24" t="s">
        <v>307</v>
      </c>
      <c r="E21" s="23" t="s">
        <v>244</v>
      </c>
      <c r="F21" s="40"/>
      <c r="G21" s="26">
        <v>78</v>
      </c>
      <c r="H21" s="26">
        <f t="shared" ref="H21:H25" si="4">G21*24850</f>
        <v>1938300</v>
      </c>
      <c r="I21" s="25"/>
      <c r="J21" s="26">
        <v>430000</v>
      </c>
      <c r="K21" s="27"/>
      <c r="L21" s="27"/>
      <c r="M21" s="26"/>
      <c r="N21" s="26"/>
      <c r="O21" s="26">
        <f t="shared" si="1"/>
        <v>2368300</v>
      </c>
      <c r="P21" s="26">
        <v>4000000</v>
      </c>
      <c r="Q21" s="30">
        <f t="shared" si="2"/>
        <v>1631700</v>
      </c>
      <c r="R21" s="46"/>
      <c r="S21" s="10"/>
      <c r="T21" s="10"/>
    </row>
    <row r="22" spans="1:20" ht="24" customHeight="1" x14ac:dyDescent="0.35">
      <c r="A22" s="21">
        <v>15</v>
      </c>
      <c r="B22" s="22">
        <v>44764</v>
      </c>
      <c r="C22" s="23" t="s">
        <v>283</v>
      </c>
      <c r="D22" s="24" t="s">
        <v>308</v>
      </c>
      <c r="E22" s="23" t="s">
        <v>249</v>
      </c>
      <c r="F22" s="40"/>
      <c r="G22" s="26">
        <v>240</v>
      </c>
      <c r="H22" s="26">
        <f t="shared" si="4"/>
        <v>5964000</v>
      </c>
      <c r="I22" s="25"/>
      <c r="J22" s="26">
        <v>2020000</v>
      </c>
      <c r="K22" s="27"/>
      <c r="L22" s="27"/>
      <c r="M22" s="26"/>
      <c r="N22" s="26"/>
      <c r="O22" s="26">
        <f t="shared" si="1"/>
        <v>7984000</v>
      </c>
      <c r="P22" s="26">
        <v>14814815</v>
      </c>
      <c r="Q22" s="30">
        <f t="shared" si="2"/>
        <v>6830815</v>
      </c>
      <c r="R22" s="46"/>
      <c r="S22" s="10"/>
      <c r="T22" s="10"/>
    </row>
    <row r="23" spans="1:20" ht="24" customHeight="1" x14ac:dyDescent="0.35">
      <c r="A23" s="21">
        <v>16</v>
      </c>
      <c r="B23" s="22">
        <v>44767</v>
      </c>
      <c r="C23" s="23" t="s">
        <v>284</v>
      </c>
      <c r="D23" s="24" t="s">
        <v>309</v>
      </c>
      <c r="E23" s="23" t="s">
        <v>227</v>
      </c>
      <c r="F23" s="40"/>
      <c r="G23" s="26">
        <v>193</v>
      </c>
      <c r="H23" s="26">
        <f t="shared" si="4"/>
        <v>4796050</v>
      </c>
      <c r="I23" s="25"/>
      <c r="J23" s="26">
        <v>1530000</v>
      </c>
      <c r="K23" s="27"/>
      <c r="L23" s="27"/>
      <c r="M23" s="26"/>
      <c r="N23" s="26"/>
      <c r="O23" s="26">
        <f t="shared" si="1"/>
        <v>6326050</v>
      </c>
      <c r="P23" s="26">
        <v>9846296</v>
      </c>
      <c r="Q23" s="30">
        <f t="shared" si="2"/>
        <v>3520246</v>
      </c>
      <c r="R23" s="46"/>
      <c r="S23" s="10"/>
      <c r="T23" s="10"/>
    </row>
    <row r="24" spans="1:20" ht="24" customHeight="1" x14ac:dyDescent="0.35">
      <c r="A24" s="21">
        <v>17</v>
      </c>
      <c r="B24" s="22">
        <v>44768</v>
      </c>
      <c r="C24" s="23" t="s">
        <v>285</v>
      </c>
      <c r="D24" s="24" t="s">
        <v>310</v>
      </c>
      <c r="E24" s="23" t="s">
        <v>292</v>
      </c>
      <c r="F24" s="40"/>
      <c r="G24" s="26">
        <v>62</v>
      </c>
      <c r="H24" s="26">
        <f t="shared" si="4"/>
        <v>1540700</v>
      </c>
      <c r="I24" s="25"/>
      <c r="J24" s="26">
        <v>430000</v>
      </c>
      <c r="K24" s="27"/>
      <c r="L24" s="27"/>
      <c r="M24" s="26"/>
      <c r="N24" s="26"/>
      <c r="O24" s="26">
        <f t="shared" si="1"/>
        <v>1970700</v>
      </c>
      <c r="P24" s="26">
        <v>3520000</v>
      </c>
      <c r="Q24" s="30">
        <f t="shared" si="2"/>
        <v>1549300</v>
      </c>
      <c r="R24" s="46"/>
      <c r="S24" s="10"/>
      <c r="T24" s="10"/>
    </row>
    <row r="25" spans="1:20" ht="24" customHeight="1" x14ac:dyDescent="0.35">
      <c r="A25" s="21">
        <v>18</v>
      </c>
      <c r="B25" s="22">
        <v>44770</v>
      </c>
      <c r="C25" s="23" t="s">
        <v>286</v>
      </c>
      <c r="D25" s="24" t="s">
        <v>311</v>
      </c>
      <c r="E25" s="23" t="s">
        <v>227</v>
      </c>
      <c r="F25" s="40"/>
      <c r="G25" s="26">
        <v>193</v>
      </c>
      <c r="H25" s="26">
        <f t="shared" si="4"/>
        <v>4796050</v>
      </c>
      <c r="I25" s="25"/>
      <c r="J25" s="26">
        <v>1530000</v>
      </c>
      <c r="K25" s="27"/>
      <c r="L25" s="27"/>
      <c r="M25" s="26"/>
      <c r="N25" s="26"/>
      <c r="O25" s="26">
        <f t="shared" si="1"/>
        <v>6326050</v>
      </c>
      <c r="P25" s="26">
        <v>9475926</v>
      </c>
      <c r="Q25" s="30">
        <f t="shared" si="2"/>
        <v>3149876</v>
      </c>
      <c r="R25" s="46"/>
      <c r="S25" s="10"/>
      <c r="T25" s="10"/>
    </row>
    <row r="26" spans="1:20" ht="24" customHeight="1" x14ac:dyDescent="0.35">
      <c r="A26" s="25">
        <v>19</v>
      </c>
      <c r="B26" s="22">
        <v>44771</v>
      </c>
      <c r="C26" s="23" t="s">
        <v>287</v>
      </c>
      <c r="D26" s="24" t="s">
        <v>312</v>
      </c>
      <c r="E26" s="23" t="s">
        <v>293</v>
      </c>
      <c r="F26" s="40"/>
      <c r="G26" s="26">
        <v>85</v>
      </c>
      <c r="H26" s="26">
        <f>G26*23900</f>
        <v>2031500</v>
      </c>
      <c r="I26" s="25"/>
      <c r="J26" s="26">
        <v>790000</v>
      </c>
      <c r="K26" s="27"/>
      <c r="L26" s="27"/>
      <c r="M26" s="26"/>
      <c r="N26" s="26"/>
      <c r="O26" s="26">
        <f t="shared" si="1"/>
        <v>2821500</v>
      </c>
      <c r="P26" s="26">
        <v>4400000</v>
      </c>
      <c r="Q26" s="30">
        <f t="shared" si="2"/>
        <v>1578500</v>
      </c>
      <c r="R26" s="46"/>
      <c r="S26" s="10"/>
      <c r="T26" s="10"/>
    </row>
    <row r="27" spans="1:20" ht="24" customHeight="1" x14ac:dyDescent="0.35">
      <c r="A27" s="25"/>
      <c r="B27" s="28"/>
      <c r="C27" s="139" t="s">
        <v>313</v>
      </c>
      <c r="D27" s="140"/>
      <c r="E27" s="140"/>
      <c r="F27" s="63"/>
      <c r="G27" s="51"/>
      <c r="H27" s="51"/>
      <c r="I27" s="52"/>
      <c r="J27" s="51"/>
      <c r="K27" s="51"/>
      <c r="L27" s="51">
        <v>850000</v>
      </c>
      <c r="M27" s="53"/>
      <c r="N27" s="53"/>
      <c r="O27" s="26">
        <f>SUM(K27:N27)</f>
        <v>850000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318</v>
      </c>
      <c r="D28" s="140"/>
      <c r="E28" s="140"/>
      <c r="F28" s="63"/>
      <c r="G28" s="51"/>
      <c r="H28" s="51"/>
      <c r="I28" s="52"/>
      <c r="J28" s="51"/>
      <c r="K28" s="51"/>
      <c r="L28" s="51"/>
      <c r="M28" s="53">
        <v>100000</v>
      </c>
      <c r="N28" s="53"/>
      <c r="O28" s="26">
        <f t="shared" ref="O28:O32" si="5">SUM(K28:N28)</f>
        <v>100000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319</v>
      </c>
      <c r="D29" s="140"/>
      <c r="E29" s="140"/>
      <c r="F29" s="63"/>
      <c r="G29" s="51"/>
      <c r="H29" s="51"/>
      <c r="I29" s="52"/>
      <c r="J29" s="51"/>
      <c r="K29" s="51"/>
      <c r="L29" s="51"/>
      <c r="M29" s="53">
        <v>100000</v>
      </c>
      <c r="N29" s="53"/>
      <c r="O29" s="26">
        <f t="shared" si="5"/>
        <v>100000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320</v>
      </c>
      <c r="D30" s="140"/>
      <c r="E30" s="140"/>
      <c r="F30" s="63"/>
      <c r="G30" s="51"/>
      <c r="H30" s="51"/>
      <c r="I30" s="52"/>
      <c r="J30" s="51"/>
      <c r="K30" s="51"/>
      <c r="L30" s="51"/>
      <c r="M30" s="53">
        <v>500000</v>
      </c>
      <c r="N30" s="53"/>
      <c r="O30" s="26">
        <f t="shared" si="5"/>
        <v>500000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321</v>
      </c>
      <c r="D31" s="140"/>
      <c r="E31" s="140"/>
      <c r="F31" s="63"/>
      <c r="G31" s="51"/>
      <c r="H31" s="51"/>
      <c r="I31" s="52"/>
      <c r="J31" s="51"/>
      <c r="K31" s="51"/>
      <c r="L31" s="51"/>
      <c r="M31" s="53">
        <v>1540000</v>
      </c>
      <c r="N31" s="53"/>
      <c r="O31" s="26">
        <f t="shared" si="5"/>
        <v>1540000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391</v>
      </c>
      <c r="D32" s="140"/>
      <c r="E32" s="140"/>
      <c r="F32" s="141"/>
      <c r="G32" s="51"/>
      <c r="H32" s="51"/>
      <c r="I32" s="52"/>
      <c r="J32" s="51"/>
      <c r="K32" s="51">
        <v>6903000</v>
      </c>
      <c r="L32" s="51"/>
      <c r="M32" s="53"/>
      <c r="N32" s="53"/>
      <c r="O32" s="26">
        <f t="shared" si="5"/>
        <v>6903000</v>
      </c>
      <c r="P32" s="26"/>
      <c r="Q32" s="30"/>
      <c r="R32" s="46"/>
      <c r="S32" s="10"/>
      <c r="T32" s="10"/>
    </row>
    <row r="33" spans="1:18" ht="24" customHeight="1" x14ac:dyDescent="0.35">
      <c r="A33" s="25"/>
      <c r="B33" s="25"/>
      <c r="C33" s="139" t="s">
        <v>389</v>
      </c>
      <c r="D33" s="140"/>
      <c r="E33" s="140"/>
      <c r="F33" s="141"/>
      <c r="G33" s="54"/>
      <c r="H33" s="53"/>
      <c r="I33" s="54"/>
      <c r="J33" s="53"/>
      <c r="K33" s="51">
        <v>7700000</v>
      </c>
      <c r="L33" s="53"/>
      <c r="M33" s="53"/>
      <c r="N33" s="53"/>
      <c r="O33" s="26">
        <f t="shared" si="1"/>
        <v>7700000</v>
      </c>
      <c r="P33" s="26"/>
      <c r="Q33" s="26"/>
      <c r="R33" s="48"/>
    </row>
    <row r="34" spans="1:18" ht="24" customHeight="1" x14ac:dyDescent="0.35">
      <c r="A34" s="25"/>
      <c r="B34" s="31"/>
      <c r="C34" s="142" t="s">
        <v>44</v>
      </c>
      <c r="D34" s="143"/>
      <c r="E34" s="143"/>
      <c r="F34" s="144"/>
      <c r="G34" s="54"/>
      <c r="H34" s="53"/>
      <c r="I34" s="54"/>
      <c r="J34" s="53"/>
      <c r="K34" s="51"/>
      <c r="L34" s="51">
        <v>1200000</v>
      </c>
      <c r="M34" s="51"/>
      <c r="N34" s="51"/>
      <c r="O34" s="26">
        <f t="shared" si="1"/>
        <v>1200000</v>
      </c>
      <c r="P34" s="26"/>
      <c r="Q34" s="32"/>
      <c r="R34" s="48"/>
    </row>
    <row r="35" spans="1:18" ht="24" customHeight="1" x14ac:dyDescent="0.35">
      <c r="A35" s="136" t="s">
        <v>45</v>
      </c>
      <c r="B35" s="137"/>
      <c r="C35" s="137"/>
      <c r="D35" s="137"/>
      <c r="E35" s="137"/>
      <c r="F35" s="138"/>
      <c r="G35" s="33">
        <f>SUM(G8:G34)</f>
        <v>2446</v>
      </c>
      <c r="H35" s="34">
        <f>SUM(H7:H34)</f>
        <v>65412870</v>
      </c>
      <c r="I35" s="34">
        <f t="shared" ref="I35:N35" si="6">SUM(I7:I34)</f>
        <v>0</v>
      </c>
      <c r="J35" s="34">
        <f t="shared" si="6"/>
        <v>21620000</v>
      </c>
      <c r="K35" s="34">
        <f t="shared" si="6"/>
        <v>14603000</v>
      </c>
      <c r="L35" s="34">
        <f t="shared" si="6"/>
        <v>2050000</v>
      </c>
      <c r="M35" s="34">
        <f t="shared" si="6"/>
        <v>2240000</v>
      </c>
      <c r="N35" s="34">
        <f t="shared" si="6"/>
        <v>0</v>
      </c>
      <c r="O35" s="34">
        <f>SUM(O8:O34)</f>
        <v>105925870</v>
      </c>
      <c r="P35" s="34">
        <f>SUM(P8:P34)</f>
        <v>136960370</v>
      </c>
      <c r="Q35" s="34">
        <f>P35-O35</f>
        <v>31034500</v>
      </c>
      <c r="R35" s="50"/>
    </row>
    <row r="36" spans="1:18" x14ac:dyDescent="0.35">
      <c r="O36" s="35"/>
      <c r="Q36" s="36"/>
    </row>
    <row r="37" spans="1:18" x14ac:dyDescent="0.35">
      <c r="O37" s="37"/>
      <c r="P37" s="38" t="s">
        <v>46</v>
      </c>
      <c r="Q37" s="39">
        <f>'06.2022'!Q46+'07.2022'!Q35</f>
        <v>41835138</v>
      </c>
    </row>
    <row r="38" spans="1:18" x14ac:dyDescent="0.35">
      <c r="O38" s="37"/>
      <c r="P38" s="38"/>
      <c r="Q38" s="39"/>
    </row>
    <row r="39" spans="1:18" x14ac:dyDescent="0.35">
      <c r="O39" s="37"/>
      <c r="P39" s="38"/>
      <c r="Q39" s="39"/>
    </row>
    <row r="40" spans="1:18" x14ac:dyDescent="0.35">
      <c r="P40" s="37"/>
      <c r="Q40" s="37"/>
      <c r="R40" s="50"/>
    </row>
    <row r="41" spans="1:18" x14ac:dyDescent="0.35">
      <c r="B41" s="8"/>
    </row>
    <row r="42" spans="1:18" x14ac:dyDescent="0.35">
      <c r="B42" s="8"/>
    </row>
    <row r="43" spans="1:18" x14ac:dyDescent="0.35">
      <c r="B43" s="8"/>
    </row>
    <row r="44" spans="1:18" x14ac:dyDescent="0.35">
      <c r="B44" s="8"/>
      <c r="H44" s="8"/>
      <c r="J44" s="8"/>
      <c r="K44" s="8"/>
      <c r="L44" s="8"/>
      <c r="M44" s="8"/>
      <c r="N44" s="8"/>
      <c r="O44" s="8"/>
      <c r="P44" s="8"/>
      <c r="Q44" s="8"/>
      <c r="R44" s="8"/>
    </row>
  </sheetData>
  <mergeCells count="28">
    <mergeCell ref="A35:F35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L5:L6"/>
    <mergeCell ref="M5:M6"/>
    <mergeCell ref="N5:N6"/>
    <mergeCell ref="C27:E27"/>
    <mergeCell ref="C28:E28"/>
    <mergeCell ref="I5:I6"/>
    <mergeCell ref="J5:J6"/>
    <mergeCell ref="K5:K6"/>
    <mergeCell ref="C33:F33"/>
    <mergeCell ref="C34:F34"/>
    <mergeCell ref="C29:E29"/>
    <mergeCell ref="C30:E30"/>
    <mergeCell ref="C31:E31"/>
    <mergeCell ref="C32:F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ECD8-A59B-4573-BB88-37266916976C}">
  <dimension ref="A1:T55"/>
  <sheetViews>
    <sheetView topLeftCell="A25" workbookViewId="0">
      <selection activeCell="L28" sqref="L28:L42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323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44773</v>
      </c>
      <c r="C8" s="23" t="s">
        <v>324</v>
      </c>
      <c r="D8" s="24" t="s">
        <v>344</v>
      </c>
      <c r="E8" s="23" t="s">
        <v>291</v>
      </c>
      <c r="F8" s="25"/>
      <c r="G8" s="26">
        <v>147</v>
      </c>
      <c r="H8" s="26">
        <f>G8*23900</f>
        <v>3513300</v>
      </c>
      <c r="I8" s="25"/>
      <c r="J8" s="26">
        <v>840000</v>
      </c>
      <c r="K8" s="27"/>
      <c r="L8" s="27"/>
      <c r="M8" s="26"/>
      <c r="N8" s="26"/>
      <c r="O8" s="26">
        <f>H8+J8+K8+L8+M8+N8</f>
        <v>4353300</v>
      </c>
      <c r="P8" s="26">
        <v>7050000</v>
      </c>
      <c r="Q8" s="26">
        <f>P8-O8</f>
        <v>2696700</v>
      </c>
      <c r="R8" s="46"/>
      <c r="S8" s="10"/>
      <c r="T8" s="10"/>
    </row>
    <row r="9" spans="1:20" ht="24" customHeight="1" x14ac:dyDescent="0.35">
      <c r="A9" s="21">
        <v>2</v>
      </c>
      <c r="B9" s="22">
        <v>44775</v>
      </c>
      <c r="C9" s="23" t="s">
        <v>325</v>
      </c>
      <c r="D9" s="24" t="s">
        <v>345</v>
      </c>
      <c r="E9" s="23" t="s">
        <v>364</v>
      </c>
      <c r="F9" s="25"/>
      <c r="G9" s="26">
        <v>121</v>
      </c>
      <c r="H9" s="26">
        <f t="shared" ref="H9:H15" si="0">G9*23900</f>
        <v>2891900</v>
      </c>
      <c r="I9" s="25"/>
      <c r="J9" s="26">
        <v>790000</v>
      </c>
      <c r="K9" s="27"/>
      <c r="L9" s="27"/>
      <c r="M9" s="26"/>
      <c r="N9" s="26"/>
      <c r="O9" s="26">
        <f t="shared" ref="O9:O45" si="1">H9+J9+K9+L9+M9+N9</f>
        <v>3681900</v>
      </c>
      <c r="P9" s="26">
        <v>5800000</v>
      </c>
      <c r="Q9" s="26">
        <f t="shared" ref="Q9:Q27" si="2">P9-O9</f>
        <v>2118100</v>
      </c>
      <c r="R9" s="46"/>
      <c r="S9" s="10"/>
      <c r="T9" s="10"/>
    </row>
    <row r="10" spans="1:20" ht="24" customHeight="1" x14ac:dyDescent="0.35">
      <c r="A10" s="21">
        <v>3</v>
      </c>
      <c r="B10" s="22">
        <v>44775</v>
      </c>
      <c r="C10" s="23" t="s">
        <v>326</v>
      </c>
      <c r="D10" s="24" t="s">
        <v>346</v>
      </c>
      <c r="E10" s="23" t="s">
        <v>365</v>
      </c>
      <c r="F10" s="25"/>
      <c r="G10" s="26">
        <v>57</v>
      </c>
      <c r="H10" s="26">
        <f t="shared" si="0"/>
        <v>1362300</v>
      </c>
      <c r="I10" s="25"/>
      <c r="J10" s="70">
        <v>340000</v>
      </c>
      <c r="K10" s="27"/>
      <c r="L10" s="27"/>
      <c r="M10" s="26"/>
      <c r="N10" s="26"/>
      <c r="O10" s="26">
        <f t="shared" si="1"/>
        <v>1702300</v>
      </c>
      <c r="P10" s="26">
        <v>3700000</v>
      </c>
      <c r="Q10" s="26">
        <f t="shared" si="2"/>
        <v>1997700</v>
      </c>
      <c r="R10" s="46"/>
      <c r="S10" s="10"/>
      <c r="T10" s="10"/>
    </row>
    <row r="11" spans="1:20" ht="24" customHeight="1" x14ac:dyDescent="0.35">
      <c r="A11" s="21">
        <v>4</v>
      </c>
      <c r="B11" s="22">
        <v>44776</v>
      </c>
      <c r="C11" s="23" t="s">
        <v>327</v>
      </c>
      <c r="D11" s="24" t="s">
        <v>347</v>
      </c>
      <c r="E11" s="23" t="s">
        <v>243</v>
      </c>
      <c r="F11" s="25"/>
      <c r="G11" s="26">
        <v>180</v>
      </c>
      <c r="H11" s="26">
        <f t="shared" si="0"/>
        <v>4302000</v>
      </c>
      <c r="I11" s="25"/>
      <c r="J11" s="26">
        <v>1530000</v>
      </c>
      <c r="K11" s="27"/>
      <c r="L11" s="27"/>
      <c r="M11" s="26"/>
      <c r="N11" s="26"/>
      <c r="O11" s="26">
        <f t="shared" si="1"/>
        <v>5832000</v>
      </c>
      <c r="P11" s="26">
        <v>11203704</v>
      </c>
      <c r="Q11" s="26">
        <f t="shared" si="2"/>
        <v>5371704</v>
      </c>
      <c r="R11" s="46"/>
      <c r="S11" s="10"/>
      <c r="T11" s="10"/>
    </row>
    <row r="12" spans="1:20" ht="24" customHeight="1" x14ac:dyDescent="0.35">
      <c r="A12" s="21">
        <v>5</v>
      </c>
      <c r="B12" s="22">
        <v>44779</v>
      </c>
      <c r="C12" s="23" t="s">
        <v>328</v>
      </c>
      <c r="D12" s="24" t="s">
        <v>348</v>
      </c>
      <c r="E12" s="23" t="s">
        <v>249</v>
      </c>
      <c r="F12" s="25"/>
      <c r="G12" s="26">
        <v>240</v>
      </c>
      <c r="H12" s="26">
        <f t="shared" si="0"/>
        <v>5736000</v>
      </c>
      <c r="I12" s="25"/>
      <c r="J12" s="26">
        <f>2380000-360000</f>
        <v>2020000</v>
      </c>
      <c r="K12" s="27"/>
      <c r="L12" s="27"/>
      <c r="M12" s="26"/>
      <c r="N12" s="26"/>
      <c r="O12" s="26">
        <f t="shared" si="1"/>
        <v>7756000</v>
      </c>
      <c r="P12" s="26">
        <v>14629630</v>
      </c>
      <c r="Q12" s="26">
        <f t="shared" si="2"/>
        <v>6873630</v>
      </c>
      <c r="R12" s="46"/>
      <c r="S12" s="10"/>
      <c r="T12" s="10"/>
    </row>
    <row r="13" spans="1:20" ht="24" customHeight="1" x14ac:dyDescent="0.35">
      <c r="A13" s="21">
        <v>6</v>
      </c>
      <c r="B13" s="22">
        <v>44780</v>
      </c>
      <c r="C13" s="23" t="s">
        <v>329</v>
      </c>
      <c r="D13" s="24" t="s">
        <v>349</v>
      </c>
      <c r="E13" s="23" t="s">
        <v>291</v>
      </c>
      <c r="F13" s="25"/>
      <c r="G13" s="26">
        <v>147</v>
      </c>
      <c r="H13" s="26">
        <f t="shared" si="0"/>
        <v>3513300</v>
      </c>
      <c r="I13" s="25"/>
      <c r="J13" s="26">
        <v>1100000</v>
      </c>
      <c r="K13" s="27"/>
      <c r="L13" s="27"/>
      <c r="M13" s="26"/>
      <c r="N13" s="26"/>
      <c r="O13" s="26">
        <f t="shared" si="1"/>
        <v>4613300</v>
      </c>
      <c r="P13" s="26">
        <v>7000000</v>
      </c>
      <c r="Q13" s="26">
        <f t="shared" si="2"/>
        <v>2386700</v>
      </c>
      <c r="R13" s="46"/>
      <c r="S13" s="10"/>
      <c r="T13" s="10"/>
    </row>
    <row r="14" spans="1:20" ht="24" customHeight="1" x14ac:dyDescent="0.35">
      <c r="A14" s="21">
        <v>7</v>
      </c>
      <c r="B14" s="22">
        <v>44781</v>
      </c>
      <c r="C14" s="23" t="s">
        <v>330</v>
      </c>
      <c r="D14" s="24" t="s">
        <v>350</v>
      </c>
      <c r="E14" s="23" t="s">
        <v>366</v>
      </c>
      <c r="F14" s="25"/>
      <c r="G14" s="26">
        <v>67</v>
      </c>
      <c r="H14" s="26">
        <f t="shared" si="0"/>
        <v>1601300</v>
      </c>
      <c r="I14" s="25"/>
      <c r="J14" s="26">
        <v>430000</v>
      </c>
      <c r="K14" s="27"/>
      <c r="L14" s="27"/>
      <c r="M14" s="26"/>
      <c r="N14" s="26"/>
      <c r="O14" s="26">
        <f t="shared" si="1"/>
        <v>2031300</v>
      </c>
      <c r="P14" s="26">
        <v>3290000</v>
      </c>
      <c r="Q14" s="26">
        <f t="shared" si="2"/>
        <v>1258700</v>
      </c>
      <c r="R14" s="46"/>
      <c r="S14" s="10"/>
      <c r="T14" s="10"/>
    </row>
    <row r="15" spans="1:20" ht="24" customHeight="1" x14ac:dyDescent="0.35">
      <c r="A15" s="21">
        <v>8</v>
      </c>
      <c r="B15" s="22">
        <v>44782</v>
      </c>
      <c r="C15" s="23" t="s">
        <v>331</v>
      </c>
      <c r="D15" s="24" t="s">
        <v>351</v>
      </c>
      <c r="E15" s="23" t="s">
        <v>62</v>
      </c>
      <c r="F15" s="25"/>
      <c r="G15" s="26">
        <v>111</v>
      </c>
      <c r="H15" s="26">
        <f t="shared" si="0"/>
        <v>2652900</v>
      </c>
      <c r="I15" s="25"/>
      <c r="J15" s="26">
        <v>790000</v>
      </c>
      <c r="K15" s="27"/>
      <c r="L15" s="27"/>
      <c r="M15" s="26"/>
      <c r="N15" s="26"/>
      <c r="O15" s="26">
        <f t="shared" si="1"/>
        <v>3442900</v>
      </c>
      <c r="P15" s="26">
        <v>5600000</v>
      </c>
      <c r="Q15" s="26">
        <f t="shared" si="2"/>
        <v>2157100</v>
      </c>
      <c r="R15" s="46"/>
      <c r="S15" s="10"/>
      <c r="T15" s="10"/>
    </row>
    <row r="16" spans="1:20" ht="24" customHeight="1" x14ac:dyDescent="0.35">
      <c r="A16" s="21">
        <v>9</v>
      </c>
      <c r="B16" s="22">
        <v>44783</v>
      </c>
      <c r="C16" s="23" t="s">
        <v>332</v>
      </c>
      <c r="D16" s="24" t="s">
        <v>352</v>
      </c>
      <c r="E16" s="23" t="s">
        <v>112</v>
      </c>
      <c r="F16" s="25"/>
      <c r="G16" s="26">
        <v>253</v>
      </c>
      <c r="H16" s="26">
        <f>G16*22900</f>
        <v>5793700</v>
      </c>
      <c r="I16" s="25"/>
      <c r="J16" s="26">
        <v>2200000</v>
      </c>
      <c r="K16" s="27"/>
      <c r="L16" s="27"/>
      <c r="M16" s="26"/>
      <c r="N16" s="26"/>
      <c r="O16" s="26">
        <f t="shared" si="1"/>
        <v>7993700</v>
      </c>
      <c r="P16" s="26">
        <v>14814815</v>
      </c>
      <c r="Q16" s="26">
        <f t="shared" si="2"/>
        <v>6821115</v>
      </c>
      <c r="R16" s="46"/>
      <c r="S16" s="10"/>
      <c r="T16" s="10"/>
    </row>
    <row r="17" spans="1:20" ht="24" customHeight="1" x14ac:dyDescent="0.35">
      <c r="A17" s="21">
        <v>10</v>
      </c>
      <c r="B17" s="22">
        <v>44784</v>
      </c>
      <c r="C17" s="23" t="s">
        <v>333</v>
      </c>
      <c r="D17" s="24" t="s">
        <v>353</v>
      </c>
      <c r="E17" s="23" t="s">
        <v>367</v>
      </c>
      <c r="F17" s="25"/>
      <c r="G17" s="26">
        <v>154</v>
      </c>
      <c r="H17" s="26">
        <f t="shared" ref="H17:H23" si="3">G17*22900</f>
        <v>3526600</v>
      </c>
      <c r="I17" s="25"/>
      <c r="J17" s="70">
        <v>1140000</v>
      </c>
      <c r="K17" s="27"/>
      <c r="L17" s="27"/>
      <c r="M17" s="26"/>
      <c r="N17" s="26"/>
      <c r="O17" s="26">
        <f t="shared" si="1"/>
        <v>4666600</v>
      </c>
      <c r="P17" s="26">
        <v>7500000</v>
      </c>
      <c r="Q17" s="26">
        <f t="shared" si="2"/>
        <v>2833400</v>
      </c>
      <c r="R17" s="46"/>
      <c r="S17" s="10"/>
      <c r="T17" s="10"/>
    </row>
    <row r="18" spans="1:20" ht="24" customHeight="1" x14ac:dyDescent="0.35">
      <c r="A18" s="21">
        <v>11</v>
      </c>
      <c r="B18" s="22">
        <v>44787</v>
      </c>
      <c r="C18" s="23" t="s">
        <v>334</v>
      </c>
      <c r="D18" s="24" t="s">
        <v>354</v>
      </c>
      <c r="E18" s="23" t="s">
        <v>62</v>
      </c>
      <c r="F18" s="25"/>
      <c r="G18" s="26">
        <v>111</v>
      </c>
      <c r="H18" s="26">
        <f t="shared" si="3"/>
        <v>2541900</v>
      </c>
      <c r="I18" s="25"/>
      <c r="J18" s="26">
        <v>790000</v>
      </c>
      <c r="K18" s="27"/>
      <c r="L18" s="27"/>
      <c r="M18" s="26"/>
      <c r="N18" s="26"/>
      <c r="O18" s="26">
        <f t="shared" si="1"/>
        <v>3331900</v>
      </c>
      <c r="P18" s="26">
        <v>5500000</v>
      </c>
      <c r="Q18" s="26">
        <f t="shared" si="2"/>
        <v>2168100</v>
      </c>
      <c r="R18" s="46"/>
      <c r="S18" s="10"/>
      <c r="T18" s="10"/>
    </row>
    <row r="19" spans="1:20" ht="24" customHeight="1" x14ac:dyDescent="0.35">
      <c r="A19" s="21">
        <v>12</v>
      </c>
      <c r="B19" s="22">
        <v>44789</v>
      </c>
      <c r="C19" s="23" t="s">
        <v>335</v>
      </c>
      <c r="D19" s="24" t="s">
        <v>355</v>
      </c>
      <c r="E19" s="23" t="s">
        <v>368</v>
      </c>
      <c r="F19" s="25"/>
      <c r="G19" s="26">
        <v>92</v>
      </c>
      <c r="H19" s="26">
        <f t="shared" si="3"/>
        <v>2106800</v>
      </c>
      <c r="I19" s="25"/>
      <c r="J19" s="26">
        <v>790000</v>
      </c>
      <c r="K19" s="27"/>
      <c r="L19" s="27"/>
      <c r="M19" s="26"/>
      <c r="N19" s="26"/>
      <c r="O19" s="26">
        <f t="shared" si="1"/>
        <v>2896800</v>
      </c>
      <c r="P19" s="26">
        <v>4000000</v>
      </c>
      <c r="Q19" s="26">
        <f t="shared" si="2"/>
        <v>1103200</v>
      </c>
      <c r="R19" s="46"/>
      <c r="S19" s="10"/>
      <c r="T19" s="10"/>
    </row>
    <row r="20" spans="1:20" ht="24" customHeight="1" x14ac:dyDescent="0.35">
      <c r="A20" s="21">
        <v>13</v>
      </c>
      <c r="B20" s="22">
        <v>44789</v>
      </c>
      <c r="C20" s="23" t="s">
        <v>336</v>
      </c>
      <c r="D20" s="24" t="s">
        <v>356</v>
      </c>
      <c r="E20" s="23" t="s">
        <v>369</v>
      </c>
      <c r="F20" s="40"/>
      <c r="G20" s="27">
        <v>99</v>
      </c>
      <c r="H20" s="26">
        <f t="shared" si="3"/>
        <v>2267100</v>
      </c>
      <c r="I20" s="29"/>
      <c r="J20" s="26">
        <v>790000</v>
      </c>
      <c r="K20" s="27"/>
      <c r="L20" s="27"/>
      <c r="M20" s="26"/>
      <c r="N20" s="26"/>
      <c r="O20" s="26">
        <f t="shared" si="1"/>
        <v>3057100</v>
      </c>
      <c r="P20" s="26">
        <v>4500000</v>
      </c>
      <c r="Q20" s="26">
        <f t="shared" si="2"/>
        <v>1442900</v>
      </c>
      <c r="R20" s="46"/>
      <c r="S20" s="10"/>
      <c r="T20" s="10"/>
    </row>
    <row r="21" spans="1:20" ht="24" customHeight="1" x14ac:dyDescent="0.35">
      <c r="A21" s="21">
        <v>14</v>
      </c>
      <c r="B21" s="22">
        <v>44790</v>
      </c>
      <c r="C21" s="23" t="s">
        <v>337</v>
      </c>
      <c r="D21" s="24" t="s">
        <v>357</v>
      </c>
      <c r="E21" s="23" t="s">
        <v>370</v>
      </c>
      <c r="F21" s="40"/>
      <c r="G21" s="26">
        <v>117</v>
      </c>
      <c r="H21" s="26">
        <f t="shared" si="3"/>
        <v>2679300</v>
      </c>
      <c r="I21" s="25"/>
      <c r="J21" s="26">
        <v>790000</v>
      </c>
      <c r="K21" s="27"/>
      <c r="L21" s="27"/>
      <c r="M21" s="26"/>
      <c r="N21" s="26"/>
      <c r="O21" s="26">
        <f t="shared" si="1"/>
        <v>3469300</v>
      </c>
      <c r="P21" s="26">
        <v>4900000</v>
      </c>
      <c r="Q21" s="30">
        <f t="shared" si="2"/>
        <v>1430700</v>
      </c>
      <c r="R21" s="46"/>
      <c r="S21" s="10"/>
      <c r="T21" s="10"/>
    </row>
    <row r="22" spans="1:20" ht="24" customHeight="1" x14ac:dyDescent="0.35">
      <c r="A22" s="21">
        <v>15</v>
      </c>
      <c r="B22" s="22">
        <v>44791</v>
      </c>
      <c r="C22" s="23" t="s">
        <v>338</v>
      </c>
      <c r="D22" s="24" t="s">
        <v>358</v>
      </c>
      <c r="E22" s="23" t="s">
        <v>227</v>
      </c>
      <c r="F22" s="40"/>
      <c r="G22" s="26">
        <v>183</v>
      </c>
      <c r="H22" s="26">
        <f t="shared" si="3"/>
        <v>4190700</v>
      </c>
      <c r="I22" s="25"/>
      <c r="J22" s="26">
        <v>1350000</v>
      </c>
      <c r="K22" s="27"/>
      <c r="L22" s="27"/>
      <c r="M22" s="26"/>
      <c r="N22" s="26"/>
      <c r="O22" s="26">
        <f t="shared" si="1"/>
        <v>5540700</v>
      </c>
      <c r="P22" s="26">
        <v>9114815</v>
      </c>
      <c r="Q22" s="30">
        <f t="shared" si="2"/>
        <v>3574115</v>
      </c>
      <c r="R22" s="46"/>
      <c r="S22" s="10"/>
      <c r="T22" s="10"/>
    </row>
    <row r="23" spans="1:20" ht="24" customHeight="1" x14ac:dyDescent="0.35">
      <c r="A23" s="21">
        <v>16</v>
      </c>
      <c r="B23" s="22">
        <v>44792</v>
      </c>
      <c r="C23" s="23" t="s">
        <v>339</v>
      </c>
      <c r="D23" s="24" t="s">
        <v>359</v>
      </c>
      <c r="E23" s="23" t="s">
        <v>290</v>
      </c>
      <c r="F23" s="40"/>
      <c r="G23" s="26">
        <v>365</v>
      </c>
      <c r="H23" s="26">
        <f t="shared" si="3"/>
        <v>8358500</v>
      </c>
      <c r="I23" s="25"/>
      <c r="J23" s="26">
        <v>2690000</v>
      </c>
      <c r="K23" s="27"/>
      <c r="L23" s="27"/>
      <c r="M23" s="26"/>
      <c r="N23" s="26"/>
      <c r="O23" s="26">
        <f t="shared" si="1"/>
        <v>11048500</v>
      </c>
      <c r="P23" s="26">
        <v>21550000</v>
      </c>
      <c r="Q23" s="30">
        <f t="shared" si="2"/>
        <v>10501500</v>
      </c>
      <c r="R23" s="46"/>
      <c r="S23" s="10"/>
      <c r="T23" s="10"/>
    </row>
    <row r="24" spans="1:20" ht="24" customHeight="1" x14ac:dyDescent="0.35">
      <c r="A24" s="21">
        <v>17</v>
      </c>
      <c r="B24" s="22">
        <v>44797</v>
      </c>
      <c r="C24" s="23" t="s">
        <v>340</v>
      </c>
      <c r="D24" s="24" t="s">
        <v>360</v>
      </c>
      <c r="E24" s="23" t="s">
        <v>62</v>
      </c>
      <c r="F24" s="40"/>
      <c r="G24" s="26">
        <v>111</v>
      </c>
      <c r="H24" s="26">
        <f>G24*23750</f>
        <v>2636250</v>
      </c>
      <c r="I24" s="25"/>
      <c r="J24" s="26">
        <v>790000</v>
      </c>
      <c r="K24" s="27"/>
      <c r="L24" s="27"/>
      <c r="M24" s="26"/>
      <c r="N24" s="26"/>
      <c r="O24" s="26">
        <f t="shared" si="1"/>
        <v>3426250</v>
      </c>
      <c r="P24" s="26">
        <v>5600000</v>
      </c>
      <c r="Q24" s="30">
        <f t="shared" si="2"/>
        <v>2173750</v>
      </c>
      <c r="R24" s="46"/>
      <c r="S24" s="10"/>
      <c r="T24" s="10"/>
    </row>
    <row r="25" spans="1:20" ht="24" customHeight="1" x14ac:dyDescent="0.35">
      <c r="A25" s="21">
        <v>18</v>
      </c>
      <c r="B25" s="22">
        <v>44798</v>
      </c>
      <c r="C25" s="23" t="s">
        <v>341</v>
      </c>
      <c r="D25" s="24" t="s">
        <v>361</v>
      </c>
      <c r="E25" s="23" t="s">
        <v>371</v>
      </c>
      <c r="F25" s="40"/>
      <c r="G25" s="26">
        <v>80</v>
      </c>
      <c r="H25" s="26">
        <f t="shared" ref="H25:H27" si="4">G25*23750</f>
        <v>1900000</v>
      </c>
      <c r="I25" s="25"/>
      <c r="J25" s="26">
        <v>790000</v>
      </c>
      <c r="K25" s="27"/>
      <c r="L25" s="27"/>
      <c r="M25" s="26"/>
      <c r="N25" s="26"/>
      <c r="O25" s="26">
        <f t="shared" si="1"/>
        <v>2690000</v>
      </c>
      <c r="P25" s="26">
        <v>4350000</v>
      </c>
      <c r="Q25" s="30">
        <f t="shared" si="2"/>
        <v>1660000</v>
      </c>
      <c r="R25" s="46"/>
      <c r="S25" s="10"/>
      <c r="T25" s="10"/>
    </row>
    <row r="26" spans="1:20" ht="24" customHeight="1" x14ac:dyDescent="0.35">
      <c r="A26" s="21">
        <v>19</v>
      </c>
      <c r="B26" s="22">
        <v>44798</v>
      </c>
      <c r="C26" s="23" t="s">
        <v>342</v>
      </c>
      <c r="D26" s="24" t="s">
        <v>362</v>
      </c>
      <c r="E26" s="23" t="s">
        <v>372</v>
      </c>
      <c r="F26" s="40"/>
      <c r="G26" s="26">
        <v>406</v>
      </c>
      <c r="H26" s="26">
        <f t="shared" si="4"/>
        <v>9642500</v>
      </c>
      <c r="I26" s="25"/>
      <c r="J26" s="26">
        <v>2840000</v>
      </c>
      <c r="K26" s="27"/>
      <c r="L26" s="27"/>
      <c r="M26" s="26"/>
      <c r="N26" s="26"/>
      <c r="O26" s="26">
        <f t="shared" si="1"/>
        <v>12482500</v>
      </c>
      <c r="P26" s="26">
        <v>21950000</v>
      </c>
      <c r="Q26" s="30">
        <f t="shared" si="2"/>
        <v>9467500</v>
      </c>
      <c r="R26" s="46"/>
      <c r="S26" s="10"/>
      <c r="T26" s="10"/>
    </row>
    <row r="27" spans="1:20" ht="24" customHeight="1" x14ac:dyDescent="0.35">
      <c r="A27" s="21">
        <v>20</v>
      </c>
      <c r="B27" s="22">
        <v>44803</v>
      </c>
      <c r="C27" s="23" t="s">
        <v>343</v>
      </c>
      <c r="D27" s="64" t="s">
        <v>363</v>
      </c>
      <c r="E27" s="23" t="s">
        <v>372</v>
      </c>
      <c r="F27" s="65"/>
      <c r="G27" s="26">
        <v>376</v>
      </c>
      <c r="H27" s="26">
        <f t="shared" si="4"/>
        <v>8930000</v>
      </c>
      <c r="I27" s="25"/>
      <c r="J27" s="26">
        <v>3020000</v>
      </c>
      <c r="K27" s="27"/>
      <c r="L27" s="27"/>
      <c r="M27" s="26"/>
      <c r="N27" s="26"/>
      <c r="O27" s="26">
        <f t="shared" si="1"/>
        <v>11950000</v>
      </c>
      <c r="P27" s="26">
        <v>21950000</v>
      </c>
      <c r="Q27" s="30">
        <f t="shared" si="2"/>
        <v>10000000</v>
      </c>
      <c r="R27" s="46"/>
      <c r="S27" s="10"/>
      <c r="T27" s="10"/>
    </row>
    <row r="28" spans="1:20" ht="24" customHeight="1" x14ac:dyDescent="0.35">
      <c r="A28" s="21"/>
      <c r="B28" s="22"/>
      <c r="C28" s="68"/>
      <c r="D28" s="64"/>
      <c r="E28" s="69"/>
      <c r="F28" s="65"/>
      <c r="G28" s="26"/>
      <c r="H28" s="26"/>
      <c r="I28" s="25"/>
      <c r="J28" s="26"/>
      <c r="K28" s="27"/>
      <c r="L28" s="27"/>
      <c r="M28" s="26"/>
      <c r="N28" s="26"/>
      <c r="O28" s="26"/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373</v>
      </c>
      <c r="D29" s="140"/>
      <c r="E29" s="140"/>
      <c r="F29" s="63"/>
      <c r="G29" s="51"/>
      <c r="H29" s="51"/>
      <c r="I29" s="52"/>
      <c r="J29" s="51"/>
      <c r="K29" s="51"/>
      <c r="L29" s="51">
        <v>880000</v>
      </c>
      <c r="M29" s="53"/>
      <c r="N29" s="53"/>
      <c r="O29" s="26">
        <f>SUM(K29:N29)</f>
        <v>880000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374</v>
      </c>
      <c r="D30" s="140"/>
      <c r="E30" s="140"/>
      <c r="F30" s="63"/>
      <c r="G30" s="51"/>
      <c r="H30" s="51"/>
      <c r="I30" s="52"/>
      <c r="J30" s="51"/>
      <c r="K30" s="51"/>
      <c r="L30" s="51">
        <v>140000</v>
      </c>
      <c r="M30" s="53"/>
      <c r="N30" s="53"/>
      <c r="O30" s="26">
        <f t="shared" ref="O30:O43" si="5">SUM(K30:N30)</f>
        <v>140000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375</v>
      </c>
      <c r="D31" s="140"/>
      <c r="E31" s="140"/>
      <c r="F31" s="63"/>
      <c r="G31" s="51"/>
      <c r="H31" s="51"/>
      <c r="I31" s="52"/>
      <c r="J31" s="51"/>
      <c r="K31" s="51"/>
      <c r="L31" s="51">
        <v>5000000</v>
      </c>
      <c r="M31" s="53"/>
      <c r="N31" s="53"/>
      <c r="O31" s="26">
        <f t="shared" si="5"/>
        <v>5000000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376</v>
      </c>
      <c r="D32" s="140"/>
      <c r="E32" s="140"/>
      <c r="F32" s="63"/>
      <c r="G32" s="51"/>
      <c r="H32" s="51"/>
      <c r="I32" s="52"/>
      <c r="J32" s="51"/>
      <c r="K32" s="51"/>
      <c r="L32" s="51"/>
      <c r="M32" s="53"/>
      <c r="N32" s="53">
        <v>210000</v>
      </c>
      <c r="O32" s="26">
        <f t="shared" si="5"/>
        <v>210000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377</v>
      </c>
      <c r="D33" s="140"/>
      <c r="E33" s="140"/>
      <c r="F33" s="63"/>
      <c r="G33" s="51"/>
      <c r="H33" s="51"/>
      <c r="I33" s="52"/>
      <c r="J33" s="51"/>
      <c r="K33" s="51"/>
      <c r="L33" s="51">
        <v>7100000</v>
      </c>
      <c r="M33" s="53"/>
      <c r="N33" s="53"/>
      <c r="O33" s="26">
        <f t="shared" si="5"/>
        <v>7100000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378</v>
      </c>
      <c r="D34" s="140"/>
      <c r="E34" s="140"/>
      <c r="F34" s="63"/>
      <c r="G34" s="51"/>
      <c r="H34" s="51"/>
      <c r="I34" s="52"/>
      <c r="J34" s="51"/>
      <c r="K34" s="51"/>
      <c r="L34" s="51">
        <v>95000</v>
      </c>
      <c r="M34" s="53"/>
      <c r="N34" s="53"/>
      <c r="O34" s="26">
        <f t="shared" si="5"/>
        <v>95000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379</v>
      </c>
      <c r="D35" s="140"/>
      <c r="E35" s="140"/>
      <c r="F35" s="63"/>
      <c r="G35" s="51"/>
      <c r="H35" s="51"/>
      <c r="I35" s="52"/>
      <c r="J35" s="51"/>
      <c r="K35" s="51"/>
      <c r="L35" s="51">
        <v>120000</v>
      </c>
      <c r="M35" s="53"/>
      <c r="N35" s="53"/>
      <c r="O35" s="26">
        <f t="shared" si="5"/>
        <v>120000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380</v>
      </c>
      <c r="D36" s="140"/>
      <c r="E36" s="140"/>
      <c r="F36" s="141"/>
      <c r="G36" s="51"/>
      <c r="H36" s="51"/>
      <c r="I36" s="52"/>
      <c r="J36" s="51"/>
      <c r="K36" s="51"/>
      <c r="L36" s="51">
        <v>650000</v>
      </c>
      <c r="M36" s="53"/>
      <c r="N36" s="53"/>
      <c r="O36" s="26">
        <f t="shared" si="5"/>
        <v>650000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381</v>
      </c>
      <c r="D37" s="140"/>
      <c r="E37" s="140"/>
      <c r="F37" s="141"/>
      <c r="G37" s="51"/>
      <c r="H37" s="51"/>
      <c r="I37" s="52"/>
      <c r="J37" s="51"/>
      <c r="K37" s="51"/>
      <c r="L37" s="51">
        <v>480000</v>
      </c>
      <c r="M37" s="53"/>
      <c r="N37" s="53"/>
      <c r="O37" s="26">
        <f t="shared" si="5"/>
        <v>480000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382</v>
      </c>
      <c r="D38" s="140"/>
      <c r="E38" s="140"/>
      <c r="F38" s="141"/>
      <c r="G38" s="51"/>
      <c r="H38" s="51"/>
      <c r="I38" s="52"/>
      <c r="J38" s="51"/>
      <c r="K38" s="51"/>
      <c r="L38" s="51">
        <v>350000</v>
      </c>
      <c r="M38" s="53"/>
      <c r="N38" s="53"/>
      <c r="O38" s="26">
        <f t="shared" si="5"/>
        <v>350000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383</v>
      </c>
      <c r="D39" s="140"/>
      <c r="E39" s="140"/>
      <c r="F39" s="141"/>
      <c r="G39" s="51"/>
      <c r="H39" s="51"/>
      <c r="I39" s="52"/>
      <c r="J39" s="51"/>
      <c r="K39" s="51"/>
      <c r="L39" s="51">
        <v>50000</v>
      </c>
      <c r="M39" s="53"/>
      <c r="N39" s="53"/>
      <c r="O39" s="26">
        <f t="shared" si="5"/>
        <v>50000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384</v>
      </c>
      <c r="D40" s="140"/>
      <c r="E40" s="140"/>
      <c r="F40" s="141"/>
      <c r="G40" s="51"/>
      <c r="H40" s="51"/>
      <c r="I40" s="52"/>
      <c r="J40" s="51"/>
      <c r="K40" s="51"/>
      <c r="L40" s="51">
        <v>80000</v>
      </c>
      <c r="M40" s="53"/>
      <c r="N40" s="53"/>
      <c r="O40" s="26">
        <f t="shared" si="5"/>
        <v>80000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385</v>
      </c>
      <c r="D41" s="140"/>
      <c r="E41" s="140"/>
      <c r="F41" s="141"/>
      <c r="G41" s="51"/>
      <c r="H41" s="51"/>
      <c r="I41" s="52"/>
      <c r="J41" s="51"/>
      <c r="K41" s="51"/>
      <c r="L41" s="51">
        <v>100000</v>
      </c>
      <c r="M41" s="53"/>
      <c r="N41" s="53"/>
      <c r="O41" s="26">
        <f t="shared" si="5"/>
        <v>100000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386</v>
      </c>
      <c r="D42" s="140"/>
      <c r="E42" s="140"/>
      <c r="F42" s="141"/>
      <c r="G42" s="51"/>
      <c r="H42" s="51"/>
      <c r="I42" s="52"/>
      <c r="J42" s="51"/>
      <c r="K42" s="51"/>
      <c r="L42" s="51">
        <v>460000</v>
      </c>
      <c r="M42" s="53"/>
      <c r="N42" s="53"/>
      <c r="O42" s="26">
        <f t="shared" si="5"/>
        <v>460000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8"/>
      <c r="C43" s="139" t="s">
        <v>391</v>
      </c>
      <c r="D43" s="140"/>
      <c r="E43" s="140"/>
      <c r="F43" s="141"/>
      <c r="G43" s="51"/>
      <c r="H43" s="51"/>
      <c r="I43" s="52"/>
      <c r="J43" s="51"/>
      <c r="K43" s="51">
        <v>15329000</v>
      </c>
      <c r="L43" s="51"/>
      <c r="M43" s="53"/>
      <c r="N43" s="53"/>
      <c r="O43" s="26">
        <f t="shared" si="5"/>
        <v>15329000</v>
      </c>
      <c r="P43" s="26"/>
      <c r="Q43" s="30"/>
      <c r="R43" s="46"/>
      <c r="S43" s="10"/>
      <c r="T43" s="10"/>
    </row>
    <row r="44" spans="1:20" ht="24" customHeight="1" x14ac:dyDescent="0.35">
      <c r="A44" s="25"/>
      <c r="B44" s="25"/>
      <c r="C44" s="139" t="s">
        <v>390</v>
      </c>
      <c r="D44" s="140"/>
      <c r="E44" s="140"/>
      <c r="F44" s="141"/>
      <c r="G44" s="54"/>
      <c r="H44" s="53"/>
      <c r="I44" s="54"/>
      <c r="J44" s="53"/>
      <c r="K44" s="51">
        <v>8300000</v>
      </c>
      <c r="L44" s="53"/>
      <c r="M44" s="53"/>
      <c r="N44" s="53"/>
      <c r="O44" s="26">
        <f t="shared" si="1"/>
        <v>8300000</v>
      </c>
      <c r="P44" s="26"/>
      <c r="Q44" s="26"/>
      <c r="R44" s="48"/>
    </row>
    <row r="45" spans="1:20" ht="24" customHeight="1" x14ac:dyDescent="0.35">
      <c r="A45" s="25"/>
      <c r="B45" s="31"/>
      <c r="C45" s="142" t="s">
        <v>44</v>
      </c>
      <c r="D45" s="143"/>
      <c r="E45" s="143"/>
      <c r="F45" s="144"/>
      <c r="G45" s="54"/>
      <c r="H45" s="53"/>
      <c r="I45" s="54"/>
      <c r="J45" s="53"/>
      <c r="K45" s="51"/>
      <c r="L45" s="51">
        <v>1200000</v>
      </c>
      <c r="M45" s="51"/>
      <c r="N45" s="51"/>
      <c r="O45" s="26">
        <f t="shared" si="1"/>
        <v>1200000</v>
      </c>
      <c r="P45" s="26"/>
      <c r="Q45" s="32"/>
      <c r="R45" s="48"/>
    </row>
    <row r="46" spans="1:20" ht="24" customHeight="1" x14ac:dyDescent="0.35">
      <c r="A46" s="136" t="s">
        <v>45</v>
      </c>
      <c r="B46" s="137"/>
      <c r="C46" s="137"/>
      <c r="D46" s="137"/>
      <c r="E46" s="137"/>
      <c r="F46" s="138"/>
      <c r="G46" s="33">
        <f>SUM(G8:G45)</f>
        <v>3417</v>
      </c>
      <c r="H46" s="34">
        <f>SUM(H7:H45)</f>
        <v>80146350</v>
      </c>
      <c r="I46" s="34">
        <f t="shared" ref="I46:N46" si="6">SUM(I7:I45)</f>
        <v>0</v>
      </c>
      <c r="J46" s="34">
        <f t="shared" si="6"/>
        <v>25820000</v>
      </c>
      <c r="K46" s="34">
        <f t="shared" si="6"/>
        <v>23629000</v>
      </c>
      <c r="L46" s="34">
        <f>SUM(L7:L45)</f>
        <v>16705000</v>
      </c>
      <c r="M46" s="34">
        <f t="shared" si="6"/>
        <v>0</v>
      </c>
      <c r="N46" s="34">
        <f t="shared" si="6"/>
        <v>210000</v>
      </c>
      <c r="O46" s="34">
        <f>SUM(O8:O45)</f>
        <v>146510350</v>
      </c>
      <c r="P46" s="34">
        <f>SUM(P8:P45)</f>
        <v>184002964</v>
      </c>
      <c r="Q46" s="34">
        <f>P46-O46</f>
        <v>37492614</v>
      </c>
      <c r="R46" s="50"/>
    </row>
    <row r="47" spans="1:20" x14ac:dyDescent="0.35">
      <c r="O47" s="35"/>
      <c r="Q47" s="36"/>
    </row>
    <row r="48" spans="1:20" x14ac:dyDescent="0.35">
      <c r="O48" s="37"/>
      <c r="P48" s="38" t="s">
        <v>46</v>
      </c>
      <c r="Q48" s="39">
        <f>'07.2022'!Q37+'08.2022'!Q46</f>
        <v>79327752</v>
      </c>
    </row>
    <row r="49" spans="2:18" x14ac:dyDescent="0.35">
      <c r="O49" s="37"/>
      <c r="P49" s="38"/>
      <c r="Q49" s="39"/>
    </row>
    <row r="50" spans="2:18" x14ac:dyDescent="0.35">
      <c r="O50" s="37"/>
      <c r="P50" s="38"/>
      <c r="Q50" s="39"/>
    </row>
    <row r="51" spans="2:18" x14ac:dyDescent="0.35">
      <c r="P51" s="37"/>
      <c r="Q51" s="37"/>
      <c r="R51" s="50"/>
    </row>
    <row r="52" spans="2:18" x14ac:dyDescent="0.35">
      <c r="B52" s="8"/>
    </row>
    <row r="53" spans="2:18" x14ac:dyDescent="0.35">
      <c r="B53" s="8"/>
    </row>
    <row r="54" spans="2:18" x14ac:dyDescent="0.35">
      <c r="B54" s="8"/>
    </row>
    <row r="55" spans="2:18" x14ac:dyDescent="0.35">
      <c r="B55" s="8"/>
      <c r="H55" s="8"/>
      <c r="J55" s="8"/>
      <c r="K55" s="8"/>
      <c r="L55" s="8"/>
      <c r="M55" s="8"/>
      <c r="N55" s="8"/>
      <c r="O55" s="8"/>
      <c r="P55" s="8"/>
      <c r="Q55" s="8"/>
      <c r="R55" s="8"/>
    </row>
  </sheetData>
  <mergeCells count="37">
    <mergeCell ref="A46:F46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  <mergeCell ref="C31:E31"/>
    <mergeCell ref="I5:I6"/>
    <mergeCell ref="J5:J6"/>
    <mergeCell ref="K5:K6"/>
    <mergeCell ref="L5:L6"/>
    <mergeCell ref="C29:E29"/>
    <mergeCell ref="C30:E30"/>
    <mergeCell ref="C32:E32"/>
    <mergeCell ref="C33:E33"/>
    <mergeCell ref="C44:F44"/>
    <mergeCell ref="C45:F45"/>
    <mergeCell ref="C34:E34"/>
    <mergeCell ref="C35:E35"/>
    <mergeCell ref="C36:F36"/>
    <mergeCell ref="C37:F37"/>
    <mergeCell ref="C38:F38"/>
    <mergeCell ref="C39:F39"/>
    <mergeCell ref="C43:F43"/>
    <mergeCell ref="C40:F40"/>
    <mergeCell ref="C41:F41"/>
    <mergeCell ref="C42:F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C770-7C06-47C8-B2D6-ADEEEA445064}">
  <dimension ref="A1:T52"/>
  <sheetViews>
    <sheetView topLeftCell="A24" workbookViewId="0">
      <selection activeCell="H19" sqref="H19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436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44805</v>
      </c>
      <c r="C8" s="23" t="s">
        <v>394</v>
      </c>
      <c r="D8" s="24" t="s">
        <v>412</v>
      </c>
      <c r="E8" s="23" t="s">
        <v>430</v>
      </c>
      <c r="F8" s="25"/>
      <c r="G8" s="71">
        <v>88</v>
      </c>
      <c r="H8" s="71">
        <f>G8*25180</f>
        <v>2215840</v>
      </c>
      <c r="I8" s="72"/>
      <c r="J8" s="71">
        <v>790000</v>
      </c>
      <c r="K8" s="73"/>
      <c r="L8" s="27"/>
      <c r="M8" s="26"/>
      <c r="N8" s="26"/>
      <c r="O8" s="26">
        <f>H8+J8+K8+L8+M8+N8</f>
        <v>3005840</v>
      </c>
      <c r="P8" s="26">
        <v>4400000</v>
      </c>
      <c r="Q8" s="26">
        <f>P8-O8</f>
        <v>1394160</v>
      </c>
      <c r="R8" s="46"/>
      <c r="S8" s="10"/>
      <c r="T8" s="10"/>
    </row>
    <row r="9" spans="1:20" ht="24" customHeight="1" x14ac:dyDescent="0.35">
      <c r="A9" s="21">
        <v>2</v>
      </c>
      <c r="B9" s="22">
        <v>44808</v>
      </c>
      <c r="C9" s="23" t="s">
        <v>395</v>
      </c>
      <c r="D9" s="24" t="s">
        <v>413</v>
      </c>
      <c r="E9" s="23" t="s">
        <v>249</v>
      </c>
      <c r="F9" s="25"/>
      <c r="G9" s="71">
        <v>249</v>
      </c>
      <c r="H9" s="71">
        <f t="shared" ref="H9:H13" si="0">G9*25180</f>
        <v>6269820</v>
      </c>
      <c r="I9" s="72"/>
      <c r="J9" s="71">
        <f>2380000-180000</f>
        <v>2200000</v>
      </c>
      <c r="K9" s="73"/>
      <c r="L9" s="27"/>
      <c r="M9" s="26"/>
      <c r="N9" s="26"/>
      <c r="O9" s="26">
        <f t="shared" ref="O9:O42" si="1">H9+J9+K9+L9+M9+N9</f>
        <v>8469820</v>
      </c>
      <c r="P9" s="26">
        <v>14629630</v>
      </c>
      <c r="Q9" s="26">
        <f t="shared" ref="Q9:Q25" si="2">P9-O9</f>
        <v>6159810</v>
      </c>
      <c r="R9" s="46"/>
      <c r="S9" s="10"/>
      <c r="T9" s="10"/>
    </row>
    <row r="10" spans="1:20" ht="24" customHeight="1" x14ac:dyDescent="0.35">
      <c r="A10" s="21">
        <v>3</v>
      </c>
      <c r="B10" s="22">
        <v>44810</v>
      </c>
      <c r="C10" s="23" t="s">
        <v>396</v>
      </c>
      <c r="D10" s="24" t="s">
        <v>414</v>
      </c>
      <c r="E10" s="23" t="s">
        <v>227</v>
      </c>
      <c r="F10" s="25"/>
      <c r="G10" s="71">
        <v>184</v>
      </c>
      <c r="H10" s="71">
        <f t="shared" si="0"/>
        <v>4633120</v>
      </c>
      <c r="I10" s="72"/>
      <c r="J10" s="71">
        <v>1530000</v>
      </c>
      <c r="K10" s="73"/>
      <c r="L10" s="27"/>
      <c r="M10" s="26"/>
      <c r="N10" s="26"/>
      <c r="O10" s="26">
        <f t="shared" si="1"/>
        <v>6163120</v>
      </c>
      <c r="P10" s="26">
        <v>9485185</v>
      </c>
      <c r="Q10" s="26">
        <f t="shared" si="2"/>
        <v>3322065</v>
      </c>
      <c r="R10" s="46"/>
      <c r="S10" s="10"/>
      <c r="T10" s="10"/>
    </row>
    <row r="11" spans="1:20" ht="24" customHeight="1" x14ac:dyDescent="0.35">
      <c r="A11" s="21">
        <v>4</v>
      </c>
      <c r="B11" s="22">
        <v>44811</v>
      </c>
      <c r="C11" s="23" t="s">
        <v>397</v>
      </c>
      <c r="D11" s="24" t="s">
        <v>415</v>
      </c>
      <c r="E11" s="23" t="s">
        <v>61</v>
      </c>
      <c r="F11" s="25"/>
      <c r="G11" s="71">
        <v>269</v>
      </c>
      <c r="H11" s="71">
        <f t="shared" si="0"/>
        <v>6773420</v>
      </c>
      <c r="I11" s="72"/>
      <c r="J11" s="71">
        <v>2170000</v>
      </c>
      <c r="K11" s="73"/>
      <c r="L11" s="27"/>
      <c r="M11" s="26"/>
      <c r="N11" s="26"/>
      <c r="O11" s="26">
        <f t="shared" si="1"/>
        <v>8943420</v>
      </c>
      <c r="P11" s="26">
        <v>15370370</v>
      </c>
      <c r="Q11" s="26">
        <f t="shared" si="2"/>
        <v>6426950</v>
      </c>
      <c r="R11" s="46"/>
      <c r="S11" s="10"/>
      <c r="T11" s="10"/>
    </row>
    <row r="12" spans="1:20" ht="24" customHeight="1" x14ac:dyDescent="0.35">
      <c r="A12" s="21">
        <v>5</v>
      </c>
      <c r="B12" s="22">
        <v>44812</v>
      </c>
      <c r="C12" s="23" t="s">
        <v>398</v>
      </c>
      <c r="D12" s="24" t="s">
        <v>416</v>
      </c>
      <c r="E12" s="23" t="s">
        <v>227</v>
      </c>
      <c r="F12" s="25"/>
      <c r="G12" s="71">
        <v>182</v>
      </c>
      <c r="H12" s="71">
        <f t="shared" si="0"/>
        <v>4582760</v>
      </c>
      <c r="I12" s="72"/>
      <c r="J12" s="71">
        <v>1530000</v>
      </c>
      <c r="K12" s="73"/>
      <c r="L12" s="27"/>
      <c r="M12" s="26"/>
      <c r="N12" s="26"/>
      <c r="O12" s="26">
        <f t="shared" si="1"/>
        <v>6112760</v>
      </c>
      <c r="P12" s="26">
        <v>9485185</v>
      </c>
      <c r="Q12" s="26">
        <f t="shared" si="2"/>
        <v>3372425</v>
      </c>
      <c r="R12" s="46"/>
      <c r="S12" s="10"/>
      <c r="T12" s="10"/>
    </row>
    <row r="13" spans="1:20" ht="24" customHeight="1" x14ac:dyDescent="0.35">
      <c r="A13" s="21">
        <v>6</v>
      </c>
      <c r="B13" s="22">
        <v>44813</v>
      </c>
      <c r="C13" s="23" t="s">
        <v>399</v>
      </c>
      <c r="D13" s="24" t="s">
        <v>417</v>
      </c>
      <c r="E13" s="23" t="s">
        <v>431</v>
      </c>
      <c r="F13" s="25"/>
      <c r="G13" s="71">
        <v>120</v>
      </c>
      <c r="H13" s="71">
        <f t="shared" si="0"/>
        <v>3021600</v>
      </c>
      <c r="I13" s="72"/>
      <c r="J13" s="71">
        <v>790000</v>
      </c>
      <c r="K13" s="73"/>
      <c r="L13" s="27"/>
      <c r="M13" s="26"/>
      <c r="N13" s="26"/>
      <c r="O13" s="26">
        <f t="shared" si="1"/>
        <v>3811600</v>
      </c>
      <c r="P13" s="26">
        <v>5787037</v>
      </c>
      <c r="Q13" s="26">
        <f t="shared" si="2"/>
        <v>1975437</v>
      </c>
      <c r="R13" s="46"/>
      <c r="S13" s="10"/>
      <c r="T13" s="10"/>
    </row>
    <row r="14" spans="1:20" ht="24" customHeight="1" x14ac:dyDescent="0.35">
      <c r="A14" s="21">
        <v>7</v>
      </c>
      <c r="B14" s="22">
        <v>44816</v>
      </c>
      <c r="C14" s="23" t="s">
        <v>400</v>
      </c>
      <c r="D14" s="24" t="s">
        <v>418</v>
      </c>
      <c r="E14" s="23" t="s">
        <v>227</v>
      </c>
      <c r="F14" s="25"/>
      <c r="G14" s="71">
        <v>183</v>
      </c>
      <c r="H14" s="71">
        <f>G14*24180</f>
        <v>4424940</v>
      </c>
      <c r="I14" s="72"/>
      <c r="J14" s="71">
        <v>1530000</v>
      </c>
      <c r="K14" s="73"/>
      <c r="L14" s="27"/>
      <c r="M14" s="26"/>
      <c r="N14" s="26"/>
      <c r="O14" s="26">
        <f t="shared" si="1"/>
        <v>5954940</v>
      </c>
      <c r="P14" s="26">
        <v>9485185</v>
      </c>
      <c r="Q14" s="26">
        <f t="shared" si="2"/>
        <v>3530245</v>
      </c>
      <c r="R14" s="46"/>
      <c r="S14" s="10"/>
      <c r="T14" s="10"/>
    </row>
    <row r="15" spans="1:20" ht="24" customHeight="1" x14ac:dyDescent="0.35">
      <c r="A15" s="21">
        <v>8</v>
      </c>
      <c r="B15" s="22">
        <v>44816</v>
      </c>
      <c r="C15" s="23" t="s">
        <v>401</v>
      </c>
      <c r="D15" s="24" t="s">
        <v>419</v>
      </c>
      <c r="E15" s="23" t="s">
        <v>104</v>
      </c>
      <c r="F15" s="25"/>
      <c r="G15" s="71">
        <v>76</v>
      </c>
      <c r="H15" s="71">
        <f t="shared" ref="H15:H18" si="3">G15*24180</f>
        <v>1837680</v>
      </c>
      <c r="I15" s="72"/>
      <c r="J15" s="71">
        <v>790000</v>
      </c>
      <c r="K15" s="73"/>
      <c r="L15" s="27"/>
      <c r="M15" s="26"/>
      <c r="N15" s="26"/>
      <c r="O15" s="26">
        <f t="shared" si="1"/>
        <v>2627680</v>
      </c>
      <c r="P15" s="26">
        <v>4517778</v>
      </c>
      <c r="Q15" s="26">
        <f t="shared" si="2"/>
        <v>1890098</v>
      </c>
      <c r="R15" s="46"/>
      <c r="S15" s="10"/>
      <c r="T15" s="10"/>
    </row>
    <row r="16" spans="1:20" ht="24" customHeight="1" x14ac:dyDescent="0.35">
      <c r="A16" s="21">
        <v>9</v>
      </c>
      <c r="B16" s="22">
        <v>44818</v>
      </c>
      <c r="C16" s="23" t="s">
        <v>402</v>
      </c>
      <c r="D16" s="24" t="s">
        <v>420</v>
      </c>
      <c r="E16" s="23" t="s">
        <v>227</v>
      </c>
      <c r="F16" s="25"/>
      <c r="G16" s="71">
        <v>182</v>
      </c>
      <c r="H16" s="71">
        <f t="shared" si="3"/>
        <v>4400760</v>
      </c>
      <c r="I16" s="72"/>
      <c r="J16" s="71">
        <v>1530000</v>
      </c>
      <c r="K16" s="73"/>
      <c r="L16" s="27"/>
      <c r="M16" s="26"/>
      <c r="N16" s="26"/>
      <c r="O16" s="26">
        <f t="shared" si="1"/>
        <v>5930760</v>
      </c>
      <c r="P16" s="26">
        <v>9300000</v>
      </c>
      <c r="Q16" s="26">
        <f t="shared" si="2"/>
        <v>3369240</v>
      </c>
      <c r="R16" s="46"/>
      <c r="S16" s="10"/>
      <c r="T16" s="10"/>
    </row>
    <row r="17" spans="1:20" ht="24" customHeight="1" x14ac:dyDescent="0.35">
      <c r="A17" s="21">
        <v>10</v>
      </c>
      <c r="B17" s="22">
        <v>44820</v>
      </c>
      <c r="C17" s="23" t="s">
        <v>403</v>
      </c>
      <c r="D17" s="24" t="s">
        <v>421</v>
      </c>
      <c r="E17" s="23" t="s">
        <v>432</v>
      </c>
      <c r="F17" s="25"/>
      <c r="G17" s="71">
        <v>87</v>
      </c>
      <c r="H17" s="71">
        <f t="shared" si="3"/>
        <v>2103660</v>
      </c>
      <c r="I17" s="72"/>
      <c r="J17" s="71">
        <v>790000</v>
      </c>
      <c r="K17" s="73"/>
      <c r="L17" s="27"/>
      <c r="M17" s="26"/>
      <c r="N17" s="26"/>
      <c r="O17" s="26">
        <f t="shared" si="1"/>
        <v>2893660</v>
      </c>
      <c r="P17" s="26">
        <v>4800000</v>
      </c>
      <c r="Q17" s="26">
        <f t="shared" si="2"/>
        <v>1906340</v>
      </c>
      <c r="R17" s="46"/>
      <c r="S17" s="10"/>
      <c r="T17" s="10"/>
    </row>
    <row r="18" spans="1:20" ht="24" customHeight="1" x14ac:dyDescent="0.35">
      <c r="A18" s="21">
        <v>11</v>
      </c>
      <c r="B18" s="22">
        <v>44821</v>
      </c>
      <c r="C18" s="23" t="s">
        <v>404</v>
      </c>
      <c r="D18" s="24" t="s">
        <v>422</v>
      </c>
      <c r="E18" s="23" t="s">
        <v>62</v>
      </c>
      <c r="F18" s="25"/>
      <c r="G18" s="71">
        <v>111</v>
      </c>
      <c r="H18" s="71">
        <f t="shared" si="3"/>
        <v>2683980</v>
      </c>
      <c r="I18" s="72"/>
      <c r="J18" s="71">
        <v>790000</v>
      </c>
      <c r="K18" s="73"/>
      <c r="L18" s="27"/>
      <c r="M18" s="26"/>
      <c r="N18" s="26"/>
      <c r="O18" s="26">
        <f t="shared" si="1"/>
        <v>3473980</v>
      </c>
      <c r="P18" s="26">
        <v>5650000</v>
      </c>
      <c r="Q18" s="26">
        <f t="shared" si="2"/>
        <v>2176020</v>
      </c>
      <c r="R18" s="46"/>
      <c r="S18" s="10"/>
      <c r="T18" s="10"/>
    </row>
    <row r="19" spans="1:20" ht="24" customHeight="1" x14ac:dyDescent="0.35">
      <c r="A19" s="21">
        <v>12</v>
      </c>
      <c r="B19" s="22">
        <v>44823</v>
      </c>
      <c r="C19" s="23" t="s">
        <v>405</v>
      </c>
      <c r="D19" s="24" t="s">
        <v>423</v>
      </c>
      <c r="E19" s="23" t="s">
        <v>433</v>
      </c>
      <c r="F19" s="25"/>
      <c r="G19" s="71">
        <v>86</v>
      </c>
      <c r="H19" s="70">
        <f>(G19-3)*24180+3*22530</f>
        <v>2074530</v>
      </c>
      <c r="I19" s="72"/>
      <c r="J19" s="71">
        <v>790000</v>
      </c>
      <c r="K19" s="73"/>
      <c r="L19" s="27"/>
      <c r="M19" s="26"/>
      <c r="N19" s="26"/>
      <c r="O19" s="26">
        <f t="shared" si="1"/>
        <v>2864530</v>
      </c>
      <c r="P19" s="26">
        <v>4517778</v>
      </c>
      <c r="Q19" s="26">
        <f t="shared" si="2"/>
        <v>1653248</v>
      </c>
      <c r="R19" s="46"/>
      <c r="S19" s="10"/>
      <c r="T19" s="10"/>
    </row>
    <row r="20" spans="1:20" ht="24" customHeight="1" x14ac:dyDescent="0.35">
      <c r="A20" s="21">
        <v>13</v>
      </c>
      <c r="B20" s="22">
        <v>44824</v>
      </c>
      <c r="C20" s="23" t="s">
        <v>406</v>
      </c>
      <c r="D20" s="24" t="s">
        <v>424</v>
      </c>
      <c r="E20" s="23" t="s">
        <v>249</v>
      </c>
      <c r="F20" s="40"/>
      <c r="G20" s="73">
        <v>244</v>
      </c>
      <c r="H20" s="71">
        <f>G20*22530</f>
        <v>5497320</v>
      </c>
      <c r="I20" s="74"/>
      <c r="J20" s="71">
        <v>2380000</v>
      </c>
      <c r="K20" s="73"/>
      <c r="L20" s="27"/>
      <c r="M20" s="26"/>
      <c r="N20" s="26"/>
      <c r="O20" s="26">
        <f t="shared" si="1"/>
        <v>7877320</v>
      </c>
      <c r="P20" s="26">
        <v>14722222</v>
      </c>
      <c r="Q20" s="26">
        <f t="shared" si="2"/>
        <v>6844902</v>
      </c>
      <c r="R20" s="46"/>
      <c r="S20" s="10"/>
      <c r="T20" s="10"/>
    </row>
    <row r="21" spans="1:20" ht="24" customHeight="1" x14ac:dyDescent="0.35">
      <c r="A21" s="21">
        <v>14</v>
      </c>
      <c r="B21" s="22">
        <v>44825</v>
      </c>
      <c r="C21" s="23" t="s">
        <v>407</v>
      </c>
      <c r="D21" s="24" t="s">
        <v>425</v>
      </c>
      <c r="E21" s="23" t="s">
        <v>434</v>
      </c>
      <c r="F21" s="40"/>
      <c r="G21" s="71">
        <v>151</v>
      </c>
      <c r="H21" s="71">
        <f t="shared" ref="H21:H25" si="4">G21*22530</f>
        <v>3402030</v>
      </c>
      <c r="I21" s="72"/>
      <c r="J21" s="71">
        <v>1060000</v>
      </c>
      <c r="K21" s="73"/>
      <c r="L21" s="27"/>
      <c r="M21" s="26"/>
      <c r="N21" s="26"/>
      <c r="O21" s="26">
        <f t="shared" si="1"/>
        <v>4462030</v>
      </c>
      <c r="P21" s="26">
        <v>7250000</v>
      </c>
      <c r="Q21" s="30">
        <f t="shared" si="2"/>
        <v>2787970</v>
      </c>
      <c r="R21" s="46"/>
      <c r="S21" s="10"/>
      <c r="T21" s="10"/>
    </row>
    <row r="22" spans="1:20" ht="24" customHeight="1" x14ac:dyDescent="0.35">
      <c r="A22" s="21">
        <v>15</v>
      </c>
      <c r="B22" s="22">
        <v>44827</v>
      </c>
      <c r="C22" s="23" t="s">
        <v>408</v>
      </c>
      <c r="D22" s="24" t="s">
        <v>426</v>
      </c>
      <c r="E22" s="23" t="s">
        <v>435</v>
      </c>
      <c r="F22" s="40"/>
      <c r="G22" s="71">
        <v>390</v>
      </c>
      <c r="H22" s="71">
        <f t="shared" si="4"/>
        <v>8786700</v>
      </c>
      <c r="I22" s="72"/>
      <c r="J22" s="71">
        <v>3020000</v>
      </c>
      <c r="K22" s="73"/>
      <c r="L22" s="27"/>
      <c r="M22" s="26"/>
      <c r="N22" s="26"/>
      <c r="O22" s="26">
        <f t="shared" si="1"/>
        <v>11806700</v>
      </c>
      <c r="P22" s="26">
        <v>21850000</v>
      </c>
      <c r="Q22" s="30">
        <f t="shared" si="2"/>
        <v>10043300</v>
      </c>
      <c r="R22" s="46"/>
      <c r="S22" s="10"/>
      <c r="T22" s="10"/>
    </row>
    <row r="23" spans="1:20" ht="24" customHeight="1" x14ac:dyDescent="0.35">
      <c r="A23" s="21">
        <v>16</v>
      </c>
      <c r="B23" s="22">
        <v>44829</v>
      </c>
      <c r="C23" s="23" t="s">
        <v>409</v>
      </c>
      <c r="D23" s="24" t="s">
        <v>427</v>
      </c>
      <c r="E23" s="23" t="s">
        <v>431</v>
      </c>
      <c r="F23" s="40"/>
      <c r="G23" s="71">
        <v>122</v>
      </c>
      <c r="H23" s="71">
        <f t="shared" si="4"/>
        <v>2748660</v>
      </c>
      <c r="I23" s="72"/>
      <c r="J23" s="71">
        <v>790000</v>
      </c>
      <c r="K23" s="73"/>
      <c r="L23" s="27"/>
      <c r="M23" s="26"/>
      <c r="N23" s="26"/>
      <c r="O23" s="26">
        <f t="shared" si="1"/>
        <v>3538660</v>
      </c>
      <c r="P23" s="26">
        <v>5527778</v>
      </c>
      <c r="Q23" s="30">
        <f t="shared" si="2"/>
        <v>1989118</v>
      </c>
      <c r="R23" s="46"/>
      <c r="S23" s="10"/>
      <c r="T23" s="10"/>
    </row>
    <row r="24" spans="1:20" ht="24" customHeight="1" x14ac:dyDescent="0.35">
      <c r="A24" s="21">
        <v>17</v>
      </c>
      <c r="B24" s="22">
        <v>44831</v>
      </c>
      <c r="C24" s="23" t="s">
        <v>410</v>
      </c>
      <c r="D24" s="24" t="s">
        <v>428</v>
      </c>
      <c r="E24" s="23" t="s">
        <v>43</v>
      </c>
      <c r="F24" s="40"/>
      <c r="G24" s="71">
        <v>70</v>
      </c>
      <c r="H24" s="71">
        <f t="shared" si="4"/>
        <v>1577100</v>
      </c>
      <c r="I24" s="72"/>
      <c r="J24" s="71">
        <v>790000</v>
      </c>
      <c r="K24" s="73"/>
      <c r="L24" s="27"/>
      <c r="M24" s="26"/>
      <c r="N24" s="26"/>
      <c r="O24" s="26">
        <f t="shared" si="1"/>
        <v>2367100</v>
      </c>
      <c r="P24" s="26">
        <v>4200000</v>
      </c>
      <c r="Q24" s="30">
        <f t="shared" si="2"/>
        <v>1832900</v>
      </c>
      <c r="R24" s="46"/>
      <c r="S24" s="10"/>
      <c r="T24" s="10"/>
    </row>
    <row r="25" spans="1:20" ht="24" customHeight="1" x14ac:dyDescent="0.35">
      <c r="A25" s="21">
        <v>18</v>
      </c>
      <c r="B25" s="22">
        <v>44832</v>
      </c>
      <c r="C25" s="23" t="s">
        <v>411</v>
      </c>
      <c r="D25" s="24" t="s">
        <v>429</v>
      </c>
      <c r="E25" s="23" t="s">
        <v>249</v>
      </c>
      <c r="F25" s="40"/>
      <c r="G25" s="71">
        <v>240</v>
      </c>
      <c r="H25" s="71">
        <f t="shared" si="4"/>
        <v>5407200</v>
      </c>
      <c r="I25" s="72"/>
      <c r="J25" s="71">
        <v>2380000</v>
      </c>
      <c r="K25" s="73"/>
      <c r="L25" s="27"/>
      <c r="M25" s="26"/>
      <c r="N25" s="26"/>
      <c r="O25" s="26">
        <f t="shared" si="1"/>
        <v>7787200</v>
      </c>
      <c r="P25" s="26">
        <v>14351852</v>
      </c>
      <c r="Q25" s="30">
        <f t="shared" si="2"/>
        <v>6564652</v>
      </c>
      <c r="R25" s="46"/>
      <c r="S25" s="10"/>
      <c r="T25" s="10"/>
    </row>
    <row r="26" spans="1:20" ht="24" customHeight="1" x14ac:dyDescent="0.35">
      <c r="A26" s="21"/>
      <c r="B26" s="22"/>
      <c r="C26" s="68"/>
      <c r="D26" s="64"/>
      <c r="E26" s="69"/>
      <c r="F26" s="65"/>
      <c r="G26" s="26"/>
      <c r="H26" s="26"/>
      <c r="I26" s="25"/>
      <c r="J26" s="26"/>
      <c r="K26" s="27"/>
      <c r="L26" s="27"/>
      <c r="M26" s="26"/>
      <c r="N26" s="26"/>
      <c r="O26" s="26"/>
      <c r="P26" s="26"/>
      <c r="Q26" s="30"/>
      <c r="R26" s="46"/>
      <c r="S26" s="10"/>
      <c r="T26" s="10"/>
    </row>
    <row r="27" spans="1:20" ht="24" customHeight="1" x14ac:dyDescent="0.35">
      <c r="A27" s="25"/>
      <c r="B27" s="28"/>
      <c r="C27" s="139" t="s">
        <v>531</v>
      </c>
      <c r="D27" s="140"/>
      <c r="E27" s="140"/>
      <c r="F27" s="63"/>
      <c r="G27" s="51"/>
      <c r="H27" s="51"/>
      <c r="I27" s="52"/>
      <c r="J27" s="51"/>
      <c r="K27" s="51"/>
      <c r="L27" s="61">
        <v>800000</v>
      </c>
      <c r="M27" s="53"/>
      <c r="N27" s="53"/>
      <c r="O27" s="26">
        <f>SUM(K27:N27)</f>
        <v>800000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532</v>
      </c>
      <c r="D28" s="140"/>
      <c r="E28" s="140"/>
      <c r="F28" s="63"/>
      <c r="G28" s="51"/>
      <c r="H28" s="51"/>
      <c r="I28" s="52"/>
      <c r="J28" s="51"/>
      <c r="K28" s="51"/>
      <c r="L28" s="61">
        <v>90000</v>
      </c>
      <c r="M28" s="53"/>
      <c r="N28" s="53"/>
      <c r="O28" s="26">
        <f t="shared" ref="O28:O40" si="5">SUM(K28:N28)</f>
        <v>90000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533</v>
      </c>
      <c r="D29" s="140"/>
      <c r="E29" s="140"/>
      <c r="F29" s="63"/>
      <c r="G29" s="51"/>
      <c r="H29" s="51"/>
      <c r="I29" s="52"/>
      <c r="J29" s="51"/>
      <c r="K29" s="51"/>
      <c r="L29" s="61">
        <v>600000</v>
      </c>
      <c r="M29" s="53"/>
      <c r="N29" s="53"/>
      <c r="O29" s="26">
        <f t="shared" si="5"/>
        <v>600000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534</v>
      </c>
      <c r="D30" s="140"/>
      <c r="E30" s="140"/>
      <c r="F30" s="63"/>
      <c r="G30" s="51"/>
      <c r="H30" s="51"/>
      <c r="I30" s="52"/>
      <c r="J30" s="51"/>
      <c r="K30" s="51"/>
      <c r="L30" s="61">
        <v>1792800</v>
      </c>
      <c r="M30" s="53"/>
      <c r="N30" s="53"/>
      <c r="O30" s="26">
        <f t="shared" si="5"/>
        <v>1792800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535</v>
      </c>
      <c r="D31" s="140"/>
      <c r="E31" s="140"/>
      <c r="F31" s="63"/>
      <c r="G31" s="51"/>
      <c r="H31" s="51"/>
      <c r="I31" s="52"/>
      <c r="J31" s="51"/>
      <c r="K31" s="51"/>
      <c r="L31" s="61">
        <v>11300000</v>
      </c>
      <c r="M31" s="53"/>
      <c r="N31" s="53"/>
      <c r="O31" s="26">
        <f t="shared" si="5"/>
        <v>11300000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536</v>
      </c>
      <c r="D32" s="140"/>
      <c r="E32" s="140"/>
      <c r="F32" s="63"/>
      <c r="G32" s="51"/>
      <c r="H32" s="51"/>
      <c r="I32" s="52"/>
      <c r="J32" s="51"/>
      <c r="K32" s="51"/>
      <c r="L32" s="61">
        <v>150000</v>
      </c>
      <c r="M32" s="53"/>
      <c r="N32" s="53"/>
      <c r="O32" s="26">
        <f t="shared" si="5"/>
        <v>150000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537</v>
      </c>
      <c r="D33" s="140"/>
      <c r="E33" s="140"/>
      <c r="F33" s="63"/>
      <c r="G33" s="51"/>
      <c r="H33" s="51"/>
      <c r="I33" s="52"/>
      <c r="J33" s="51"/>
      <c r="K33" s="51"/>
      <c r="L33" s="61">
        <v>2400000</v>
      </c>
      <c r="M33" s="53"/>
      <c r="N33" s="53"/>
      <c r="O33" s="26">
        <f t="shared" si="5"/>
        <v>2400000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538</v>
      </c>
      <c r="D34" s="140"/>
      <c r="E34" s="140"/>
      <c r="F34" s="141"/>
      <c r="G34" s="51"/>
      <c r="H34" s="51"/>
      <c r="I34" s="52"/>
      <c r="J34" s="51"/>
      <c r="K34" s="51"/>
      <c r="L34" s="61">
        <v>150000</v>
      </c>
      <c r="M34" s="53"/>
      <c r="N34" s="53"/>
      <c r="O34" s="26">
        <f t="shared" si="5"/>
        <v>150000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539</v>
      </c>
      <c r="D35" s="140"/>
      <c r="E35" s="140"/>
      <c r="F35" s="141"/>
      <c r="G35" s="51"/>
      <c r="H35" s="51"/>
      <c r="I35" s="52"/>
      <c r="J35" s="51"/>
      <c r="K35" s="51"/>
      <c r="L35" s="61">
        <v>2000000</v>
      </c>
      <c r="M35" s="53"/>
      <c r="N35" s="53"/>
      <c r="O35" s="26">
        <f t="shared" si="5"/>
        <v>2000000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545</v>
      </c>
      <c r="D36" s="140"/>
      <c r="E36" s="140"/>
      <c r="F36" s="141"/>
      <c r="G36" s="51"/>
      <c r="H36" s="51"/>
      <c r="I36" s="52"/>
      <c r="J36" s="51"/>
      <c r="K36" s="51"/>
      <c r="L36" s="61">
        <v>1120000</v>
      </c>
      <c r="M36" s="53"/>
      <c r="N36" s="53"/>
      <c r="O36" s="26">
        <f t="shared" si="5"/>
        <v>1120000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546</v>
      </c>
      <c r="D37" s="140"/>
      <c r="E37" s="140"/>
      <c r="F37" s="141"/>
      <c r="G37" s="51"/>
      <c r="H37" s="51"/>
      <c r="I37" s="52"/>
      <c r="J37" s="51"/>
      <c r="K37" s="51"/>
      <c r="L37" s="61">
        <v>4160000</v>
      </c>
      <c r="M37" s="53"/>
      <c r="N37" s="53"/>
      <c r="O37" s="26">
        <f t="shared" si="5"/>
        <v>4160000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551</v>
      </c>
      <c r="D38" s="140"/>
      <c r="E38" s="140"/>
      <c r="F38" s="141"/>
      <c r="G38" s="51"/>
      <c r="H38" s="51"/>
      <c r="I38" s="52"/>
      <c r="J38" s="51"/>
      <c r="K38" s="51"/>
      <c r="L38" s="51"/>
      <c r="M38" s="53"/>
      <c r="N38" s="76">
        <v>3375000</v>
      </c>
      <c r="O38" s="26">
        <f t="shared" si="5"/>
        <v>3375000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564</v>
      </c>
      <c r="D39" s="140"/>
      <c r="E39" s="140"/>
      <c r="F39" s="141"/>
      <c r="G39" s="51"/>
      <c r="H39" s="51"/>
      <c r="I39" s="52"/>
      <c r="J39" s="51"/>
      <c r="K39" s="51"/>
      <c r="L39" s="61">
        <v>700000</v>
      </c>
      <c r="M39" s="53"/>
      <c r="N39" s="53"/>
      <c r="O39" s="26">
        <f t="shared" si="5"/>
        <v>700000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391</v>
      </c>
      <c r="D40" s="140"/>
      <c r="E40" s="140"/>
      <c r="F40" s="141"/>
      <c r="G40" s="51"/>
      <c r="H40" s="51"/>
      <c r="I40" s="52"/>
      <c r="J40" s="51"/>
      <c r="K40" s="51">
        <v>10991000</v>
      </c>
      <c r="L40" s="51"/>
      <c r="M40" s="53"/>
      <c r="N40" s="53"/>
      <c r="O40" s="26">
        <f t="shared" si="5"/>
        <v>10991000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5"/>
      <c r="C41" s="139" t="s">
        <v>556</v>
      </c>
      <c r="D41" s="140"/>
      <c r="E41" s="140"/>
      <c r="F41" s="141"/>
      <c r="G41" s="54"/>
      <c r="H41" s="53"/>
      <c r="I41" s="54"/>
      <c r="J41" s="53"/>
      <c r="K41" s="61">
        <v>8000000</v>
      </c>
      <c r="L41" s="53"/>
      <c r="M41" s="53"/>
      <c r="N41" s="53"/>
      <c r="O41" s="26">
        <f t="shared" si="1"/>
        <v>8000000</v>
      </c>
      <c r="P41" s="26"/>
      <c r="Q41" s="26"/>
      <c r="R41" s="48"/>
    </row>
    <row r="42" spans="1:20" ht="24" customHeight="1" x14ac:dyDescent="0.35">
      <c r="A42" s="25"/>
      <c r="B42" s="31"/>
      <c r="C42" s="142" t="s">
        <v>44</v>
      </c>
      <c r="D42" s="143"/>
      <c r="E42" s="143"/>
      <c r="F42" s="144"/>
      <c r="G42" s="54"/>
      <c r="H42" s="53"/>
      <c r="I42" s="54"/>
      <c r="J42" s="53"/>
      <c r="K42" s="51"/>
      <c r="L42" s="61">
        <v>1200000</v>
      </c>
      <c r="M42" s="51"/>
      <c r="N42" s="51"/>
      <c r="O42" s="26">
        <f t="shared" si="1"/>
        <v>1200000</v>
      </c>
      <c r="P42" s="26"/>
      <c r="Q42" s="32"/>
      <c r="R42" s="48"/>
    </row>
    <row r="43" spans="1:20" ht="24" customHeight="1" x14ac:dyDescent="0.35">
      <c r="A43" s="136" t="s">
        <v>45</v>
      </c>
      <c r="B43" s="137"/>
      <c r="C43" s="137"/>
      <c r="D43" s="137"/>
      <c r="E43" s="137"/>
      <c r="F43" s="138"/>
      <c r="G43" s="33">
        <f>SUM(G8:G42)</f>
        <v>3034</v>
      </c>
      <c r="H43" s="34">
        <f>SUM(H7:H42)</f>
        <v>72441120</v>
      </c>
      <c r="I43" s="34">
        <f t="shared" ref="I43:N43" si="6">SUM(I7:I42)</f>
        <v>0</v>
      </c>
      <c r="J43" s="34">
        <f t="shared" si="6"/>
        <v>25650000</v>
      </c>
      <c r="K43" s="34">
        <f t="shared" si="6"/>
        <v>18991000</v>
      </c>
      <c r="L43" s="34">
        <f>SUM(L7:L42)</f>
        <v>26462800</v>
      </c>
      <c r="M43" s="34">
        <f t="shared" si="6"/>
        <v>0</v>
      </c>
      <c r="N43" s="34">
        <f t="shared" si="6"/>
        <v>3375000</v>
      </c>
      <c r="O43" s="34">
        <f>SUM(O8:O42)</f>
        <v>146919920</v>
      </c>
      <c r="P43" s="75">
        <f>SUM(P8:P42)</f>
        <v>165330000</v>
      </c>
      <c r="Q43" s="34">
        <f>P43-O43</f>
        <v>18410080</v>
      </c>
      <c r="R43" s="50"/>
    </row>
    <row r="44" spans="1:20" x14ac:dyDescent="0.35">
      <c r="O44" s="35"/>
      <c r="Q44" s="36"/>
    </row>
    <row r="45" spans="1:20" x14ac:dyDescent="0.35">
      <c r="O45" s="37"/>
      <c r="P45" s="38" t="s">
        <v>46</v>
      </c>
      <c r="Q45" s="39">
        <f>'08.2022'!Q48+'09.2022'!Q43</f>
        <v>97737832</v>
      </c>
    </row>
    <row r="46" spans="1:20" x14ac:dyDescent="0.35">
      <c r="O46" s="37"/>
      <c r="P46" s="38"/>
      <c r="Q46" s="39"/>
    </row>
    <row r="47" spans="1:20" x14ac:dyDescent="0.35">
      <c r="O47" s="37"/>
      <c r="P47" s="38"/>
      <c r="Q47" s="39"/>
    </row>
    <row r="48" spans="1:20" x14ac:dyDescent="0.35">
      <c r="P48" s="37"/>
      <c r="Q48" s="37"/>
      <c r="R48" s="50"/>
    </row>
    <row r="49" spans="2:18" x14ac:dyDescent="0.35">
      <c r="B49" s="8"/>
    </row>
    <row r="50" spans="2:18" x14ac:dyDescent="0.35">
      <c r="B50" s="8"/>
    </row>
    <row r="51" spans="2:18" x14ac:dyDescent="0.35">
      <c r="B51" s="8"/>
    </row>
    <row r="52" spans="2:18" x14ac:dyDescent="0.35">
      <c r="B52" s="8"/>
      <c r="H52" s="8"/>
      <c r="J52" s="8"/>
      <c r="K52" s="8"/>
      <c r="L52" s="8"/>
      <c r="M52" s="8"/>
      <c r="N52" s="8"/>
      <c r="O52" s="8"/>
      <c r="P52" s="8"/>
      <c r="Q52" s="8"/>
      <c r="R52" s="8"/>
    </row>
  </sheetData>
  <mergeCells count="36">
    <mergeCell ref="C34:F34"/>
    <mergeCell ref="C41:F41"/>
    <mergeCell ref="C42:F42"/>
    <mergeCell ref="A43:F43"/>
    <mergeCell ref="C36:F36"/>
    <mergeCell ref="C37:F37"/>
    <mergeCell ref="C38:F38"/>
    <mergeCell ref="C39:F39"/>
    <mergeCell ref="C40:F40"/>
    <mergeCell ref="C35:F35"/>
    <mergeCell ref="N5:N6"/>
    <mergeCell ref="C33:E33"/>
    <mergeCell ref="K5:K6"/>
    <mergeCell ref="L5:L6"/>
    <mergeCell ref="C32:E32"/>
    <mergeCell ref="C30:E30"/>
    <mergeCell ref="C31:E31"/>
    <mergeCell ref="C29:E29"/>
    <mergeCell ref="C27:E27"/>
    <mergeCell ref="C28:E28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9B6B-1926-4443-9A6C-793BC3090258}">
  <dimension ref="A1:T52"/>
  <sheetViews>
    <sheetView topLeftCell="A24" workbookViewId="0">
      <selection activeCell="Q46" sqref="Q46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437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44838</v>
      </c>
      <c r="C8" s="23" t="s">
        <v>438</v>
      </c>
      <c r="D8" s="24" t="s">
        <v>462</v>
      </c>
      <c r="E8" s="23" t="s">
        <v>435</v>
      </c>
      <c r="F8" s="25"/>
      <c r="G8" s="26">
        <v>393</v>
      </c>
      <c r="H8" s="71">
        <f>(G8-44)*22200+44*22530</f>
        <v>8739120</v>
      </c>
      <c r="I8" s="72"/>
      <c r="J8" s="71">
        <v>3020000</v>
      </c>
      <c r="K8" s="73"/>
      <c r="L8" s="27"/>
      <c r="M8" s="26"/>
      <c r="N8" s="26"/>
      <c r="O8" s="26">
        <f>H8+J8+K8+L8+M8+N8</f>
        <v>11759120</v>
      </c>
      <c r="P8" s="26">
        <v>21850000</v>
      </c>
      <c r="Q8" s="26">
        <f>P8-O8</f>
        <v>10090880</v>
      </c>
      <c r="R8" s="46"/>
      <c r="S8" s="10"/>
      <c r="T8" s="10"/>
    </row>
    <row r="9" spans="1:20" ht="24" customHeight="1" x14ac:dyDescent="0.35">
      <c r="A9" s="21">
        <v>2</v>
      </c>
      <c r="B9" s="22">
        <v>44839</v>
      </c>
      <c r="C9" s="23" t="s">
        <v>439</v>
      </c>
      <c r="D9" s="24" t="s">
        <v>463</v>
      </c>
      <c r="E9" s="23" t="s">
        <v>457</v>
      </c>
      <c r="F9" s="25"/>
      <c r="G9" s="26">
        <v>83</v>
      </c>
      <c r="H9" s="71">
        <f t="shared" ref="H9:H12" si="0">G9*22200</f>
        <v>1842600</v>
      </c>
      <c r="I9" s="72"/>
      <c r="J9" s="71">
        <v>430000</v>
      </c>
      <c r="K9" s="73"/>
      <c r="L9" s="27"/>
      <c r="M9" s="26"/>
      <c r="N9" s="26"/>
      <c r="O9" s="26">
        <f t="shared" ref="O9:O42" si="1">H9+J9+K9+L9+M9+N9</f>
        <v>2272600</v>
      </c>
      <c r="P9" s="26">
        <v>4627037</v>
      </c>
      <c r="Q9" s="26">
        <f t="shared" ref="Q9:Q26" si="2">P9-O9</f>
        <v>2354437</v>
      </c>
      <c r="R9" s="46"/>
      <c r="S9" s="10"/>
      <c r="T9" s="10"/>
    </row>
    <row r="10" spans="1:20" ht="24" customHeight="1" x14ac:dyDescent="0.35">
      <c r="A10" s="21">
        <v>3</v>
      </c>
      <c r="B10" s="22">
        <v>44840</v>
      </c>
      <c r="C10" s="23" t="s">
        <v>440</v>
      </c>
      <c r="D10" s="24" t="s">
        <v>464</v>
      </c>
      <c r="E10" s="23" t="s">
        <v>249</v>
      </c>
      <c r="F10" s="25"/>
      <c r="G10" s="26">
        <v>243</v>
      </c>
      <c r="H10" s="71">
        <f t="shared" si="0"/>
        <v>5394600</v>
      </c>
      <c r="I10" s="72"/>
      <c r="J10" s="71">
        <v>2200000</v>
      </c>
      <c r="K10" s="73"/>
      <c r="L10" s="27"/>
      <c r="M10" s="26"/>
      <c r="N10" s="26"/>
      <c r="O10" s="26">
        <f t="shared" si="1"/>
        <v>7594600</v>
      </c>
      <c r="P10" s="26">
        <v>14259259</v>
      </c>
      <c r="Q10" s="26">
        <f t="shared" si="2"/>
        <v>6664659</v>
      </c>
      <c r="R10" s="46"/>
      <c r="S10" s="10"/>
      <c r="T10" s="10"/>
    </row>
    <row r="11" spans="1:20" ht="24" customHeight="1" x14ac:dyDescent="0.35">
      <c r="A11" s="21">
        <v>4</v>
      </c>
      <c r="B11" s="22">
        <v>44841</v>
      </c>
      <c r="C11" s="23" t="s">
        <v>441</v>
      </c>
      <c r="D11" s="24" t="s">
        <v>465</v>
      </c>
      <c r="E11" s="23" t="s">
        <v>62</v>
      </c>
      <c r="F11" s="25"/>
      <c r="G11" s="26">
        <v>111</v>
      </c>
      <c r="H11" s="71">
        <f t="shared" si="0"/>
        <v>2464200</v>
      </c>
      <c r="I11" s="72"/>
      <c r="J11" s="71">
        <v>790000</v>
      </c>
      <c r="K11" s="73"/>
      <c r="L11" s="27"/>
      <c r="M11" s="26"/>
      <c r="N11" s="26"/>
      <c r="O11" s="26">
        <f t="shared" si="1"/>
        <v>3254200</v>
      </c>
      <c r="P11" s="26">
        <v>5450000</v>
      </c>
      <c r="Q11" s="26">
        <f t="shared" si="2"/>
        <v>2195800</v>
      </c>
      <c r="R11" s="46"/>
      <c r="S11" s="10"/>
      <c r="T11" s="10"/>
    </row>
    <row r="12" spans="1:20" ht="24" customHeight="1" x14ac:dyDescent="0.35">
      <c r="A12" s="21">
        <v>5</v>
      </c>
      <c r="B12" s="22">
        <v>44844</v>
      </c>
      <c r="C12" s="23" t="s">
        <v>442</v>
      </c>
      <c r="D12" s="24" t="s">
        <v>466</v>
      </c>
      <c r="E12" s="23" t="s">
        <v>458</v>
      </c>
      <c r="F12" s="25"/>
      <c r="G12" s="26">
        <v>229</v>
      </c>
      <c r="H12" s="71">
        <f t="shared" si="0"/>
        <v>5083800</v>
      </c>
      <c r="I12" s="72"/>
      <c r="J12" s="71">
        <v>1180000</v>
      </c>
      <c r="K12" s="73"/>
      <c r="L12" s="27"/>
      <c r="M12" s="26"/>
      <c r="N12" s="26"/>
      <c r="O12" s="26">
        <f t="shared" si="1"/>
        <v>6263800</v>
      </c>
      <c r="P12" s="26">
        <v>9900000</v>
      </c>
      <c r="Q12" s="26">
        <f t="shared" si="2"/>
        <v>3636200</v>
      </c>
      <c r="R12" s="46"/>
      <c r="S12" s="10"/>
      <c r="T12" s="10"/>
    </row>
    <row r="13" spans="1:20" ht="24" customHeight="1" x14ac:dyDescent="0.35">
      <c r="A13" s="21">
        <v>6</v>
      </c>
      <c r="B13" s="22">
        <v>44844</v>
      </c>
      <c r="C13" s="23" t="s">
        <v>443</v>
      </c>
      <c r="D13" s="24" t="s">
        <v>467</v>
      </c>
      <c r="E13" s="23" t="s">
        <v>459</v>
      </c>
      <c r="F13" s="25"/>
      <c r="G13" s="26">
        <v>81</v>
      </c>
      <c r="H13" s="71">
        <f>G13*24180</f>
        <v>1958580</v>
      </c>
      <c r="I13" s="72"/>
      <c r="J13" s="71">
        <v>430000</v>
      </c>
      <c r="K13" s="73"/>
      <c r="L13" s="27"/>
      <c r="M13" s="26"/>
      <c r="N13" s="26"/>
      <c r="O13" s="26">
        <f t="shared" si="1"/>
        <v>2388580</v>
      </c>
      <c r="P13" s="26">
        <v>4497037</v>
      </c>
      <c r="Q13" s="26">
        <f t="shared" si="2"/>
        <v>2108457</v>
      </c>
      <c r="R13" s="46"/>
      <c r="S13" s="10"/>
      <c r="T13" s="10"/>
    </row>
    <row r="14" spans="1:20" ht="24" customHeight="1" x14ac:dyDescent="0.35">
      <c r="A14" s="21">
        <v>7</v>
      </c>
      <c r="B14" s="22">
        <v>44846</v>
      </c>
      <c r="C14" s="23" t="s">
        <v>444</v>
      </c>
      <c r="D14" s="24" t="s">
        <v>468</v>
      </c>
      <c r="E14" s="23" t="s">
        <v>460</v>
      </c>
      <c r="F14" s="25"/>
      <c r="G14" s="26">
        <v>60</v>
      </c>
      <c r="H14" s="71">
        <f t="shared" ref="H14:H20" si="3">G14*24180</f>
        <v>1450800</v>
      </c>
      <c r="I14" s="72"/>
      <c r="J14" s="71">
        <v>340000</v>
      </c>
      <c r="K14" s="73"/>
      <c r="L14" s="27"/>
      <c r="M14" s="26"/>
      <c r="N14" s="26"/>
      <c r="O14" s="26">
        <f t="shared" si="1"/>
        <v>1790800</v>
      </c>
      <c r="P14" s="26">
        <v>3500000</v>
      </c>
      <c r="Q14" s="26">
        <f t="shared" si="2"/>
        <v>1709200</v>
      </c>
      <c r="R14" s="46"/>
      <c r="S14" s="10"/>
      <c r="T14" s="10"/>
    </row>
    <row r="15" spans="1:20" ht="24" customHeight="1" x14ac:dyDescent="0.35">
      <c r="A15" s="21">
        <v>8</v>
      </c>
      <c r="B15" s="22">
        <v>44846</v>
      </c>
      <c r="C15" s="23" t="s">
        <v>445</v>
      </c>
      <c r="D15" s="24" t="s">
        <v>469</v>
      </c>
      <c r="E15" s="23" t="s">
        <v>249</v>
      </c>
      <c r="F15" s="25"/>
      <c r="G15" s="26">
        <v>240</v>
      </c>
      <c r="H15" s="71">
        <f t="shared" si="3"/>
        <v>5803200</v>
      </c>
      <c r="I15" s="72"/>
      <c r="J15" s="71">
        <v>2380000</v>
      </c>
      <c r="K15" s="73"/>
      <c r="L15" s="27"/>
      <c r="M15" s="26"/>
      <c r="N15" s="26"/>
      <c r="O15" s="26">
        <f t="shared" si="1"/>
        <v>8183200</v>
      </c>
      <c r="P15" s="26">
        <v>14722222</v>
      </c>
      <c r="Q15" s="26">
        <f t="shared" si="2"/>
        <v>6539022</v>
      </c>
      <c r="R15" s="46"/>
      <c r="S15" s="10"/>
      <c r="T15" s="10"/>
    </row>
    <row r="16" spans="1:20" ht="24" customHeight="1" x14ac:dyDescent="0.35">
      <c r="A16" s="21">
        <v>9</v>
      </c>
      <c r="B16" s="22">
        <v>44847</v>
      </c>
      <c r="C16" s="23" t="s">
        <v>446</v>
      </c>
      <c r="D16" s="24" t="s">
        <v>470</v>
      </c>
      <c r="E16" s="23" t="s">
        <v>43</v>
      </c>
      <c r="F16" s="25"/>
      <c r="G16" s="26">
        <v>68</v>
      </c>
      <c r="H16" s="71">
        <f t="shared" si="3"/>
        <v>1644240</v>
      </c>
      <c r="I16" s="72"/>
      <c r="J16" s="71">
        <v>790000</v>
      </c>
      <c r="K16" s="73"/>
      <c r="L16" s="27"/>
      <c r="M16" s="26"/>
      <c r="N16" s="26"/>
      <c r="O16" s="26">
        <f t="shared" si="1"/>
        <v>2434240</v>
      </c>
      <c r="P16" s="26">
        <v>4070000</v>
      </c>
      <c r="Q16" s="26">
        <f t="shared" si="2"/>
        <v>1635760</v>
      </c>
      <c r="R16" s="46"/>
      <c r="S16" s="10"/>
      <c r="T16" s="10"/>
    </row>
    <row r="17" spans="1:20" ht="24" customHeight="1" x14ac:dyDescent="0.35">
      <c r="A17" s="21">
        <v>10</v>
      </c>
      <c r="B17" s="22">
        <v>44848</v>
      </c>
      <c r="C17" s="23" t="s">
        <v>447</v>
      </c>
      <c r="D17" s="24" t="s">
        <v>471</v>
      </c>
      <c r="E17" s="23" t="s">
        <v>244</v>
      </c>
      <c r="F17" s="25"/>
      <c r="G17" s="26">
        <v>62</v>
      </c>
      <c r="H17" s="71">
        <f t="shared" si="3"/>
        <v>1499160</v>
      </c>
      <c r="I17" s="72"/>
      <c r="J17" s="71">
        <v>430000</v>
      </c>
      <c r="K17" s="73"/>
      <c r="L17" s="27"/>
      <c r="M17" s="26"/>
      <c r="N17" s="26"/>
      <c r="O17" s="26">
        <f t="shared" si="1"/>
        <v>1929160</v>
      </c>
      <c r="P17" s="26">
        <v>3410000</v>
      </c>
      <c r="Q17" s="26">
        <f t="shared" si="2"/>
        <v>1480840</v>
      </c>
      <c r="R17" s="46"/>
      <c r="S17" s="10"/>
      <c r="T17" s="10"/>
    </row>
    <row r="18" spans="1:20" ht="24" customHeight="1" x14ac:dyDescent="0.35">
      <c r="A18" s="21">
        <v>11</v>
      </c>
      <c r="B18" s="22">
        <v>44851</v>
      </c>
      <c r="C18" s="23" t="s">
        <v>448</v>
      </c>
      <c r="D18" s="24" t="s">
        <v>472</v>
      </c>
      <c r="E18" s="23" t="s">
        <v>249</v>
      </c>
      <c r="F18" s="25"/>
      <c r="G18" s="26">
        <v>243</v>
      </c>
      <c r="H18" s="71">
        <f t="shared" si="3"/>
        <v>5875740</v>
      </c>
      <c r="I18" s="72"/>
      <c r="J18" s="71">
        <v>2380000</v>
      </c>
      <c r="K18" s="73"/>
      <c r="L18" s="27"/>
      <c r="M18" s="26"/>
      <c r="N18" s="26"/>
      <c r="O18" s="26">
        <f t="shared" si="1"/>
        <v>8255740</v>
      </c>
      <c r="P18" s="26">
        <v>14722222</v>
      </c>
      <c r="Q18" s="26">
        <f t="shared" si="2"/>
        <v>6466482</v>
      </c>
      <c r="R18" s="46"/>
      <c r="S18" s="10"/>
      <c r="T18" s="10"/>
    </row>
    <row r="19" spans="1:20" ht="24" customHeight="1" x14ac:dyDescent="0.35">
      <c r="A19" s="21">
        <v>12</v>
      </c>
      <c r="B19" s="22">
        <v>44852</v>
      </c>
      <c r="C19" s="23" t="s">
        <v>449</v>
      </c>
      <c r="D19" s="24" t="s">
        <v>473</v>
      </c>
      <c r="E19" s="23" t="s">
        <v>227</v>
      </c>
      <c r="F19" s="25"/>
      <c r="G19" s="26">
        <v>180</v>
      </c>
      <c r="H19" s="71">
        <f t="shared" si="3"/>
        <v>4352400</v>
      </c>
      <c r="I19" s="72"/>
      <c r="J19" s="71">
        <v>1530000</v>
      </c>
      <c r="K19" s="73"/>
      <c r="L19" s="27"/>
      <c r="M19" s="26"/>
      <c r="N19" s="26"/>
      <c r="O19" s="26">
        <f t="shared" si="1"/>
        <v>5882400</v>
      </c>
      <c r="P19" s="26">
        <v>9300000</v>
      </c>
      <c r="Q19" s="26">
        <f t="shared" si="2"/>
        <v>3417600</v>
      </c>
      <c r="R19" s="46"/>
      <c r="S19" s="10"/>
      <c r="T19" s="10"/>
    </row>
    <row r="20" spans="1:20" ht="24" customHeight="1" x14ac:dyDescent="0.35">
      <c r="A20" s="21">
        <v>13</v>
      </c>
      <c r="B20" s="22">
        <v>44853</v>
      </c>
      <c r="C20" s="23" t="s">
        <v>450</v>
      </c>
      <c r="D20" s="24" t="s">
        <v>474</v>
      </c>
      <c r="E20" s="23" t="s">
        <v>227</v>
      </c>
      <c r="F20" s="40"/>
      <c r="G20" s="27">
        <v>196</v>
      </c>
      <c r="H20" s="71">
        <f t="shared" si="3"/>
        <v>4739280</v>
      </c>
      <c r="I20" s="74"/>
      <c r="J20" s="71">
        <v>1530000</v>
      </c>
      <c r="K20" s="73"/>
      <c r="L20" s="27"/>
      <c r="M20" s="26"/>
      <c r="N20" s="26"/>
      <c r="O20" s="26">
        <f t="shared" si="1"/>
        <v>6269280</v>
      </c>
      <c r="P20" s="26">
        <v>9707407</v>
      </c>
      <c r="Q20" s="26">
        <f t="shared" si="2"/>
        <v>3438127</v>
      </c>
      <c r="R20" s="46"/>
      <c r="S20" s="10"/>
      <c r="T20" s="10"/>
    </row>
    <row r="21" spans="1:20" ht="24" customHeight="1" x14ac:dyDescent="0.35">
      <c r="A21" s="21">
        <v>14</v>
      </c>
      <c r="B21" s="22">
        <v>44854</v>
      </c>
      <c r="C21" s="23" t="s">
        <v>451</v>
      </c>
      <c r="D21" s="24" t="s">
        <v>475</v>
      </c>
      <c r="E21" s="23" t="s">
        <v>227</v>
      </c>
      <c r="F21" s="40"/>
      <c r="G21" s="71">
        <v>184</v>
      </c>
      <c r="H21" s="71">
        <f>G21*24780</f>
        <v>4559520</v>
      </c>
      <c r="I21" s="72"/>
      <c r="J21" s="71">
        <v>1530000</v>
      </c>
      <c r="K21" s="73"/>
      <c r="L21" s="27"/>
      <c r="M21" s="26"/>
      <c r="N21" s="26"/>
      <c r="O21" s="26">
        <f t="shared" si="1"/>
        <v>6089520</v>
      </c>
      <c r="P21" s="26">
        <v>9300000</v>
      </c>
      <c r="Q21" s="30">
        <f t="shared" si="2"/>
        <v>3210480</v>
      </c>
      <c r="R21" s="46"/>
      <c r="S21" s="10"/>
      <c r="T21" s="10"/>
    </row>
    <row r="22" spans="1:20" ht="24" customHeight="1" x14ac:dyDescent="0.35">
      <c r="A22" s="21">
        <v>15</v>
      </c>
      <c r="B22" s="22">
        <v>44858</v>
      </c>
      <c r="C22" s="23" t="s">
        <v>452</v>
      </c>
      <c r="D22" s="24" t="s">
        <v>476</v>
      </c>
      <c r="E22" s="23" t="s">
        <v>461</v>
      </c>
      <c r="F22" s="40"/>
      <c r="G22" s="71">
        <v>81</v>
      </c>
      <c r="H22" s="71">
        <f t="shared" ref="H22:H24" si="4">G22*24780</f>
        <v>2007180</v>
      </c>
      <c r="I22" s="72"/>
      <c r="J22" s="71">
        <v>790000</v>
      </c>
      <c r="K22" s="73"/>
      <c r="L22" s="27"/>
      <c r="M22" s="26"/>
      <c r="N22" s="26"/>
      <c r="O22" s="26">
        <f t="shared" si="1"/>
        <v>2797180</v>
      </c>
      <c r="P22" s="26">
        <v>4497037</v>
      </c>
      <c r="Q22" s="30">
        <f t="shared" si="2"/>
        <v>1699857</v>
      </c>
      <c r="R22" s="46"/>
      <c r="S22" s="10"/>
      <c r="T22" s="10"/>
    </row>
    <row r="23" spans="1:20" ht="24" customHeight="1" x14ac:dyDescent="0.35">
      <c r="A23" s="21">
        <v>16</v>
      </c>
      <c r="B23" s="22">
        <v>44860</v>
      </c>
      <c r="C23" s="23" t="s">
        <v>453</v>
      </c>
      <c r="D23" s="24" t="s">
        <v>477</v>
      </c>
      <c r="E23" s="23" t="s">
        <v>365</v>
      </c>
      <c r="F23" s="40"/>
      <c r="G23" s="71">
        <v>59</v>
      </c>
      <c r="H23" s="71">
        <f t="shared" si="4"/>
        <v>1462020</v>
      </c>
      <c r="I23" s="72"/>
      <c r="J23" s="71">
        <v>440000</v>
      </c>
      <c r="K23" s="73"/>
      <c r="L23" s="27"/>
      <c r="M23" s="26"/>
      <c r="N23" s="26"/>
      <c r="O23" s="26">
        <f t="shared" si="1"/>
        <v>1902020</v>
      </c>
      <c r="P23" s="26">
        <v>3700000</v>
      </c>
      <c r="Q23" s="30">
        <f t="shared" si="2"/>
        <v>1797980</v>
      </c>
      <c r="R23" s="46"/>
      <c r="S23" s="10"/>
      <c r="T23" s="10"/>
    </row>
    <row r="24" spans="1:20" ht="24" customHeight="1" x14ac:dyDescent="0.35">
      <c r="A24" s="21">
        <v>17</v>
      </c>
      <c r="B24" s="22">
        <v>44860</v>
      </c>
      <c r="C24" s="23" t="s">
        <v>454</v>
      </c>
      <c r="D24" s="24" t="s">
        <v>478</v>
      </c>
      <c r="E24" s="23" t="s">
        <v>435</v>
      </c>
      <c r="F24" s="40"/>
      <c r="G24" s="71">
        <v>390</v>
      </c>
      <c r="H24" s="71">
        <f t="shared" si="4"/>
        <v>9664200</v>
      </c>
      <c r="I24" s="72"/>
      <c r="J24" s="71">
        <f>3232000+400000</f>
        <v>3632000</v>
      </c>
      <c r="K24" s="73"/>
      <c r="L24" s="27"/>
      <c r="M24" s="26"/>
      <c r="N24" s="26"/>
      <c r="O24" s="26">
        <f t="shared" si="1"/>
        <v>13296200</v>
      </c>
      <c r="P24" s="26">
        <v>24200000</v>
      </c>
      <c r="Q24" s="30">
        <f t="shared" si="2"/>
        <v>10903800</v>
      </c>
      <c r="R24" s="46"/>
      <c r="S24" s="10"/>
      <c r="T24" s="10"/>
    </row>
    <row r="25" spans="1:20" ht="24" customHeight="1" x14ac:dyDescent="0.35">
      <c r="A25" s="21">
        <v>18</v>
      </c>
      <c r="B25" s="22">
        <v>44863</v>
      </c>
      <c r="C25" s="23" t="s">
        <v>455</v>
      </c>
      <c r="D25" s="24" t="s">
        <v>479</v>
      </c>
      <c r="E25" s="23" t="s">
        <v>431</v>
      </c>
      <c r="F25" s="40"/>
      <c r="G25" s="71">
        <v>122</v>
      </c>
      <c r="H25" s="71">
        <f>G25*24780</f>
        <v>3023160</v>
      </c>
      <c r="I25" s="72"/>
      <c r="J25" s="71">
        <v>790000</v>
      </c>
      <c r="K25" s="73"/>
      <c r="L25" s="27"/>
      <c r="M25" s="26"/>
      <c r="N25" s="26"/>
      <c r="O25" s="26">
        <f t="shared" si="1"/>
        <v>3813160</v>
      </c>
      <c r="P25" s="26">
        <v>5879630</v>
      </c>
      <c r="Q25" s="30">
        <f t="shared" si="2"/>
        <v>2066470</v>
      </c>
      <c r="R25" s="46"/>
      <c r="S25" s="10"/>
      <c r="T25" s="10"/>
    </row>
    <row r="26" spans="1:20" ht="24" customHeight="1" x14ac:dyDescent="0.35">
      <c r="A26" s="21">
        <v>19</v>
      </c>
      <c r="B26" s="22">
        <v>44864</v>
      </c>
      <c r="C26" s="23" t="s">
        <v>456</v>
      </c>
      <c r="D26" s="24" t="s">
        <v>480</v>
      </c>
      <c r="E26" s="23" t="s">
        <v>431</v>
      </c>
      <c r="F26" s="40"/>
      <c r="G26" s="26">
        <f>122</f>
        <v>122</v>
      </c>
      <c r="H26" s="71">
        <f>(G26-40)*24780+40*25070</f>
        <v>3034760</v>
      </c>
      <c r="I26" s="25"/>
      <c r="J26" s="26">
        <v>790000</v>
      </c>
      <c r="K26" s="27"/>
      <c r="L26" s="27"/>
      <c r="M26" s="26"/>
      <c r="N26" s="26"/>
      <c r="O26" s="26">
        <f t="shared" si="1"/>
        <v>3824760</v>
      </c>
      <c r="P26" s="26">
        <v>5879630</v>
      </c>
      <c r="Q26" s="26">
        <f t="shared" si="2"/>
        <v>2054870</v>
      </c>
      <c r="R26" s="46"/>
      <c r="S26" s="10"/>
      <c r="T26" s="10"/>
    </row>
    <row r="27" spans="1:20" ht="24" customHeight="1" x14ac:dyDescent="0.35">
      <c r="A27" s="25"/>
      <c r="B27" s="28"/>
      <c r="C27" s="139"/>
      <c r="D27" s="140"/>
      <c r="E27" s="140"/>
      <c r="F27" s="63"/>
      <c r="G27" s="51"/>
      <c r="H27" s="51"/>
      <c r="I27" s="52"/>
      <c r="J27" s="51"/>
      <c r="K27" s="51"/>
      <c r="L27" s="51"/>
      <c r="M27" s="53"/>
      <c r="N27" s="53"/>
      <c r="O27" s="26">
        <f>SUM(K27:N27)</f>
        <v>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530</v>
      </c>
      <c r="D28" s="140"/>
      <c r="E28" s="140"/>
      <c r="F28" s="63"/>
      <c r="G28" s="51"/>
      <c r="H28" s="51"/>
      <c r="I28" s="52"/>
      <c r="J28" s="51"/>
      <c r="K28" s="51"/>
      <c r="L28" s="77">
        <f>50*24180</f>
        <v>1209000</v>
      </c>
      <c r="M28" s="53"/>
      <c r="N28" s="53"/>
      <c r="O28" s="26">
        <f t="shared" ref="O28:O40" si="5">SUM(K28:N28)</f>
        <v>1209000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540</v>
      </c>
      <c r="D29" s="140"/>
      <c r="E29" s="140"/>
      <c r="F29" s="63"/>
      <c r="G29" s="51"/>
      <c r="H29" s="51"/>
      <c r="I29" s="52"/>
      <c r="J29" s="51"/>
      <c r="K29" s="51"/>
      <c r="L29" s="61">
        <v>460000</v>
      </c>
      <c r="M29" s="53"/>
      <c r="N29" s="53"/>
      <c r="O29" s="26">
        <f t="shared" si="5"/>
        <v>460000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541</v>
      </c>
      <c r="D30" s="140"/>
      <c r="E30" s="140"/>
      <c r="F30" s="63"/>
      <c r="G30" s="51"/>
      <c r="H30" s="51"/>
      <c r="I30" s="52"/>
      <c r="J30" s="51"/>
      <c r="K30" s="51"/>
      <c r="L30" s="61">
        <v>918000</v>
      </c>
      <c r="M30" s="53"/>
      <c r="N30" s="53"/>
      <c r="O30" s="26">
        <f t="shared" si="5"/>
        <v>918000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542</v>
      </c>
      <c r="D31" s="140"/>
      <c r="E31" s="140"/>
      <c r="F31" s="63"/>
      <c r="G31" s="51"/>
      <c r="H31" s="51"/>
      <c r="I31" s="52"/>
      <c r="J31" s="51"/>
      <c r="K31" s="51"/>
      <c r="L31" s="61">
        <v>14000000</v>
      </c>
      <c r="M31" s="53"/>
      <c r="N31" s="53"/>
      <c r="O31" s="26">
        <f t="shared" si="5"/>
        <v>14000000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543</v>
      </c>
      <c r="D32" s="140"/>
      <c r="E32" s="140"/>
      <c r="F32" s="63"/>
      <c r="G32" s="51"/>
      <c r="H32" s="51"/>
      <c r="I32" s="52"/>
      <c r="J32" s="51"/>
      <c r="K32" s="51"/>
      <c r="L32" s="61">
        <v>235000</v>
      </c>
      <c r="M32" s="53"/>
      <c r="N32" s="53"/>
      <c r="O32" s="26">
        <f t="shared" si="5"/>
        <v>235000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544</v>
      </c>
      <c r="D33" s="140"/>
      <c r="E33" s="140"/>
      <c r="F33" s="63"/>
      <c r="G33" s="51"/>
      <c r="H33" s="51"/>
      <c r="I33" s="52"/>
      <c r="J33" s="51"/>
      <c r="K33" s="51"/>
      <c r="L33" s="61">
        <v>80000</v>
      </c>
      <c r="M33" s="53"/>
      <c r="N33" s="53"/>
      <c r="O33" s="26">
        <f t="shared" si="5"/>
        <v>80000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547</v>
      </c>
      <c r="D34" s="140"/>
      <c r="E34" s="140"/>
      <c r="F34" s="141"/>
      <c r="G34" s="51"/>
      <c r="H34" s="51"/>
      <c r="I34" s="52"/>
      <c r="J34" s="51"/>
      <c r="K34" s="51"/>
      <c r="L34" s="61">
        <v>2800000</v>
      </c>
      <c r="M34" s="53"/>
      <c r="N34" s="53"/>
      <c r="O34" s="26">
        <f t="shared" si="5"/>
        <v>2800000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548</v>
      </c>
      <c r="D35" s="140"/>
      <c r="E35" s="140"/>
      <c r="F35" s="141"/>
      <c r="G35" s="51"/>
      <c r="H35" s="51"/>
      <c r="I35" s="52"/>
      <c r="J35" s="51"/>
      <c r="K35" s="51"/>
      <c r="L35" s="61">
        <v>2400000</v>
      </c>
      <c r="M35" s="53"/>
      <c r="N35" s="53"/>
      <c r="O35" s="26">
        <f t="shared" si="5"/>
        <v>2400000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549</v>
      </c>
      <c r="D36" s="140"/>
      <c r="E36" s="140"/>
      <c r="F36" s="141"/>
      <c r="G36" s="51"/>
      <c r="H36" s="51"/>
      <c r="I36" s="52"/>
      <c r="J36" s="51"/>
      <c r="K36" s="51"/>
      <c r="L36" s="61">
        <v>550000</v>
      </c>
      <c r="M36" s="53"/>
      <c r="N36" s="53"/>
      <c r="O36" s="26">
        <f t="shared" si="5"/>
        <v>550000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550</v>
      </c>
      <c r="D37" s="140"/>
      <c r="E37" s="140"/>
      <c r="F37" s="141"/>
      <c r="G37" s="51"/>
      <c r="H37" s="51"/>
      <c r="I37" s="52"/>
      <c r="J37" s="51"/>
      <c r="K37" s="51"/>
      <c r="L37" s="61">
        <v>200000</v>
      </c>
      <c r="M37" s="53"/>
      <c r="N37" s="53"/>
      <c r="O37" s="26">
        <f t="shared" si="5"/>
        <v>200000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557</v>
      </c>
      <c r="D38" s="140"/>
      <c r="E38" s="140"/>
      <c r="F38" s="141"/>
      <c r="G38" s="51"/>
      <c r="H38" s="51"/>
      <c r="I38" s="52"/>
      <c r="J38" s="51"/>
      <c r="K38" s="51"/>
      <c r="L38" s="61">
        <v>3700000</v>
      </c>
      <c r="M38" s="53"/>
      <c r="N38" s="53"/>
      <c r="O38" s="26">
        <f t="shared" si="5"/>
        <v>3700000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558</v>
      </c>
      <c r="D39" s="140"/>
      <c r="E39" s="140"/>
      <c r="F39" s="141"/>
      <c r="G39" s="51"/>
      <c r="H39" s="51"/>
      <c r="I39" s="52"/>
      <c r="J39" s="51"/>
      <c r="K39" s="51"/>
      <c r="L39" s="61">
        <v>400000</v>
      </c>
      <c r="M39" s="53"/>
      <c r="N39" s="53"/>
      <c r="O39" s="26">
        <f t="shared" si="5"/>
        <v>400000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391</v>
      </c>
      <c r="D40" s="140"/>
      <c r="E40" s="140"/>
      <c r="F40" s="141"/>
      <c r="G40" s="51"/>
      <c r="H40" s="51"/>
      <c r="I40" s="52"/>
      <c r="J40" s="51"/>
      <c r="K40" s="51">
        <v>11654000</v>
      </c>
      <c r="L40" s="51"/>
      <c r="M40" s="53"/>
      <c r="N40" s="53"/>
      <c r="O40" s="26">
        <f t="shared" si="5"/>
        <v>11654000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5"/>
      <c r="C41" s="139" t="s">
        <v>556</v>
      </c>
      <c r="D41" s="140"/>
      <c r="E41" s="140"/>
      <c r="F41" s="141"/>
      <c r="G41" s="54"/>
      <c r="H41" s="53"/>
      <c r="I41" s="54"/>
      <c r="J41" s="53"/>
      <c r="K41" s="61">
        <v>8000000</v>
      </c>
      <c r="L41" s="53"/>
      <c r="M41" s="53"/>
      <c r="N41" s="53"/>
      <c r="O41" s="26">
        <f t="shared" si="1"/>
        <v>8000000</v>
      </c>
      <c r="P41" s="26"/>
      <c r="Q41" s="26"/>
      <c r="R41" s="48"/>
    </row>
    <row r="42" spans="1:20" ht="24" customHeight="1" x14ac:dyDescent="0.35">
      <c r="A42" s="25"/>
      <c r="B42" s="31"/>
      <c r="C42" s="142" t="s">
        <v>44</v>
      </c>
      <c r="D42" s="143"/>
      <c r="E42" s="143"/>
      <c r="F42" s="144"/>
      <c r="G42" s="54"/>
      <c r="H42" s="53"/>
      <c r="I42" s="54"/>
      <c r="J42" s="53"/>
      <c r="K42" s="51"/>
      <c r="L42" s="61">
        <v>1200000</v>
      </c>
      <c r="M42" s="51"/>
      <c r="N42" s="51"/>
      <c r="O42" s="26">
        <f t="shared" si="1"/>
        <v>1200000</v>
      </c>
      <c r="P42" s="26"/>
      <c r="Q42" s="32"/>
      <c r="R42" s="48"/>
    </row>
    <row r="43" spans="1:20" ht="24" customHeight="1" x14ac:dyDescent="0.35">
      <c r="A43" s="136" t="s">
        <v>45</v>
      </c>
      <c r="B43" s="137"/>
      <c r="C43" s="137"/>
      <c r="D43" s="137"/>
      <c r="E43" s="137"/>
      <c r="F43" s="138"/>
      <c r="G43" s="33">
        <f>SUM(G8:G42)</f>
        <v>3147</v>
      </c>
      <c r="H43" s="34">
        <f>SUM(H7:H42)</f>
        <v>74598560</v>
      </c>
      <c r="I43" s="34">
        <f t="shared" ref="I43:N43" si="6">SUM(I7:I42)</f>
        <v>0</v>
      </c>
      <c r="J43" s="34">
        <f t="shared" si="6"/>
        <v>25402000</v>
      </c>
      <c r="K43" s="34">
        <f t="shared" si="6"/>
        <v>19654000</v>
      </c>
      <c r="L43" s="34">
        <f>SUM(L7:L42)</f>
        <v>28152000</v>
      </c>
      <c r="M43" s="34">
        <f t="shared" si="6"/>
        <v>0</v>
      </c>
      <c r="N43" s="34">
        <f t="shared" si="6"/>
        <v>0</v>
      </c>
      <c r="O43" s="34">
        <f>SUM(O8:O42)</f>
        <v>147806560</v>
      </c>
      <c r="P43" s="75">
        <f>SUM(P8:P42)</f>
        <v>173471481</v>
      </c>
      <c r="Q43" s="34">
        <f>P43-O43</f>
        <v>25664921</v>
      </c>
      <c r="R43" s="50"/>
    </row>
    <row r="44" spans="1:20" x14ac:dyDescent="0.35">
      <c r="O44" s="35"/>
      <c r="Q44" s="36"/>
    </row>
    <row r="45" spans="1:20" x14ac:dyDescent="0.35">
      <c r="O45" s="37"/>
      <c r="P45" s="38" t="s">
        <v>46</v>
      </c>
      <c r="Q45" s="39">
        <f>'09.2022'!Q45+'10.2022'!Q43</f>
        <v>123402753</v>
      </c>
    </row>
    <row r="46" spans="1:20" x14ac:dyDescent="0.35">
      <c r="O46" s="37"/>
      <c r="P46" s="38"/>
      <c r="Q46" s="39"/>
    </row>
    <row r="47" spans="1:20" x14ac:dyDescent="0.35">
      <c r="O47" s="37"/>
      <c r="P47" s="38"/>
      <c r="Q47" s="39"/>
    </row>
    <row r="48" spans="1:20" x14ac:dyDescent="0.35">
      <c r="P48" s="37"/>
      <c r="Q48" s="37"/>
      <c r="R48" s="50"/>
    </row>
    <row r="49" spans="2:18" x14ac:dyDescent="0.35">
      <c r="B49" s="8"/>
    </row>
    <row r="50" spans="2:18" x14ac:dyDescent="0.35">
      <c r="B50" s="8"/>
    </row>
    <row r="51" spans="2:18" x14ac:dyDescent="0.35">
      <c r="B51" s="8"/>
    </row>
    <row r="52" spans="2:18" x14ac:dyDescent="0.35">
      <c r="B52" s="8"/>
      <c r="H52" s="8"/>
      <c r="J52" s="8"/>
      <c r="K52" s="8"/>
      <c r="L52" s="8"/>
      <c r="M52" s="8"/>
      <c r="N52" s="8"/>
      <c r="O52" s="8"/>
      <c r="P52" s="8"/>
      <c r="Q52" s="8"/>
      <c r="R52" s="8"/>
    </row>
  </sheetData>
  <mergeCells count="36">
    <mergeCell ref="C34:F34"/>
    <mergeCell ref="C41:F41"/>
    <mergeCell ref="C42:F42"/>
    <mergeCell ref="A43:F43"/>
    <mergeCell ref="C36:F36"/>
    <mergeCell ref="C37:F37"/>
    <mergeCell ref="C38:F38"/>
    <mergeCell ref="C39:F39"/>
    <mergeCell ref="C40:F40"/>
    <mergeCell ref="C35:F35"/>
    <mergeCell ref="N5:N6"/>
    <mergeCell ref="C33:E33"/>
    <mergeCell ref="K5:K6"/>
    <mergeCell ref="L5:L6"/>
    <mergeCell ref="C32:E32"/>
    <mergeCell ref="C30:E30"/>
    <mergeCell ref="C31:E31"/>
    <mergeCell ref="C29:E29"/>
    <mergeCell ref="C27:E27"/>
    <mergeCell ref="C28:E28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CBCC-C555-4FFC-9D27-A79E0CE8C72C}">
  <dimension ref="A1:T51"/>
  <sheetViews>
    <sheetView topLeftCell="A17" workbookViewId="0">
      <selection activeCell="H27" sqref="H27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529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44866</v>
      </c>
      <c r="C8" s="23" t="s">
        <v>481</v>
      </c>
      <c r="D8" s="24" t="s">
        <v>501</v>
      </c>
      <c r="E8" s="23" t="s">
        <v>227</v>
      </c>
      <c r="F8" s="25"/>
      <c r="G8" s="71">
        <v>180</v>
      </c>
      <c r="H8" s="71">
        <f>G8*25070</f>
        <v>4512600</v>
      </c>
      <c r="I8" s="72"/>
      <c r="J8" s="71">
        <v>1530000</v>
      </c>
      <c r="K8" s="73"/>
      <c r="L8" s="27"/>
      <c r="M8" s="26"/>
      <c r="N8" s="26"/>
      <c r="O8" s="26">
        <f>H8+J8+K8+L8+M8+N8</f>
        <v>6042600</v>
      </c>
      <c r="P8" s="26">
        <v>9300000</v>
      </c>
      <c r="Q8" s="26">
        <f>P8-O8</f>
        <v>3257400</v>
      </c>
      <c r="R8" s="46"/>
      <c r="S8" s="10"/>
      <c r="T8" s="10"/>
    </row>
    <row r="9" spans="1:20" ht="24" customHeight="1" x14ac:dyDescent="0.35">
      <c r="A9" s="21">
        <v>2</v>
      </c>
      <c r="B9" s="22">
        <v>44866</v>
      </c>
      <c r="C9" s="23" t="s">
        <v>482</v>
      </c>
      <c r="D9" s="24" t="s">
        <v>502</v>
      </c>
      <c r="E9" s="23" t="s">
        <v>290</v>
      </c>
      <c r="F9" s="25"/>
      <c r="G9" s="71">
        <v>368</v>
      </c>
      <c r="H9" s="71">
        <f t="shared" ref="H9:H13" si="0">G9*25070</f>
        <v>9225760</v>
      </c>
      <c r="I9" s="72"/>
      <c r="J9" s="71">
        <v>2927000</v>
      </c>
      <c r="K9" s="73"/>
      <c r="L9" s="27"/>
      <c r="M9" s="26"/>
      <c r="N9" s="26"/>
      <c r="O9" s="26">
        <f t="shared" ref="O9:O41" si="1">H9+J9+K9+L9+M9+N9</f>
        <v>12152760</v>
      </c>
      <c r="P9" s="26">
        <v>21851852</v>
      </c>
      <c r="Q9" s="26">
        <f t="shared" ref="Q9:Q27" si="2">P9-O9</f>
        <v>9699092</v>
      </c>
      <c r="R9" s="46"/>
      <c r="S9" s="10"/>
      <c r="T9" s="10"/>
    </row>
    <row r="10" spans="1:20" ht="24" customHeight="1" x14ac:dyDescent="0.35">
      <c r="A10" s="21">
        <v>3</v>
      </c>
      <c r="B10" s="22">
        <v>44868</v>
      </c>
      <c r="C10" s="23" t="s">
        <v>483</v>
      </c>
      <c r="D10" s="24" t="s">
        <v>503</v>
      </c>
      <c r="E10" s="23" t="s">
        <v>521</v>
      </c>
      <c r="F10" s="25"/>
      <c r="G10" s="71">
        <v>93</v>
      </c>
      <c r="H10" s="71">
        <f t="shared" si="0"/>
        <v>2331510</v>
      </c>
      <c r="I10" s="72"/>
      <c r="J10" s="71">
        <v>790000</v>
      </c>
      <c r="K10" s="73"/>
      <c r="L10" s="27"/>
      <c r="M10" s="26"/>
      <c r="N10" s="26"/>
      <c r="O10" s="26">
        <f t="shared" si="1"/>
        <v>3121510</v>
      </c>
      <c r="P10" s="26">
        <v>4600000</v>
      </c>
      <c r="Q10" s="26">
        <f t="shared" si="2"/>
        <v>1478490</v>
      </c>
      <c r="R10" s="46"/>
      <c r="S10" s="10"/>
      <c r="T10" s="10"/>
    </row>
    <row r="11" spans="1:20" ht="24" customHeight="1" x14ac:dyDescent="0.35">
      <c r="A11" s="21">
        <v>4</v>
      </c>
      <c r="B11" s="22">
        <v>44869</v>
      </c>
      <c r="C11" s="23" t="s">
        <v>484</v>
      </c>
      <c r="D11" s="24" t="s">
        <v>504</v>
      </c>
      <c r="E11" s="23" t="s">
        <v>61</v>
      </c>
      <c r="F11" s="25"/>
      <c r="G11" s="71">
        <v>271</v>
      </c>
      <c r="H11" s="71">
        <f t="shared" si="0"/>
        <v>6793970</v>
      </c>
      <c r="I11" s="72"/>
      <c r="J11" s="71">
        <v>2600000</v>
      </c>
      <c r="K11" s="73"/>
      <c r="L11" s="27"/>
      <c r="M11" s="26"/>
      <c r="N11" s="26"/>
      <c r="O11" s="26">
        <f t="shared" si="1"/>
        <v>9393970</v>
      </c>
      <c r="P11" s="26">
        <v>15500000</v>
      </c>
      <c r="Q11" s="26">
        <f t="shared" si="2"/>
        <v>6106030</v>
      </c>
      <c r="R11" s="46"/>
      <c r="S11" s="10"/>
      <c r="T11" s="10"/>
    </row>
    <row r="12" spans="1:20" ht="24" customHeight="1" x14ac:dyDescent="0.35">
      <c r="A12" s="21">
        <v>5</v>
      </c>
      <c r="B12" s="22">
        <v>44872</v>
      </c>
      <c r="C12" s="23" t="s">
        <v>485</v>
      </c>
      <c r="D12" s="24" t="s">
        <v>505</v>
      </c>
      <c r="E12" s="23" t="s">
        <v>43</v>
      </c>
      <c r="F12" s="25"/>
      <c r="G12" s="71">
        <v>71</v>
      </c>
      <c r="H12" s="71">
        <f t="shared" si="0"/>
        <v>1779970</v>
      </c>
      <c r="I12" s="72"/>
      <c r="J12" s="71">
        <v>790000</v>
      </c>
      <c r="K12" s="73"/>
      <c r="L12" s="27"/>
      <c r="M12" s="26"/>
      <c r="N12" s="26"/>
      <c r="O12" s="26">
        <f t="shared" si="1"/>
        <v>2569970</v>
      </c>
      <c r="P12" s="26">
        <v>4210000</v>
      </c>
      <c r="Q12" s="26">
        <f t="shared" si="2"/>
        <v>1640030</v>
      </c>
      <c r="R12" s="46"/>
      <c r="S12" s="10"/>
      <c r="T12" s="10"/>
    </row>
    <row r="13" spans="1:20" ht="24" customHeight="1" x14ac:dyDescent="0.35">
      <c r="A13" s="21">
        <v>6</v>
      </c>
      <c r="B13" s="22">
        <v>44872</v>
      </c>
      <c r="C13" s="23" t="s">
        <v>486</v>
      </c>
      <c r="D13" s="24" t="s">
        <v>506</v>
      </c>
      <c r="E13" s="23" t="s">
        <v>522</v>
      </c>
      <c r="F13" s="25"/>
      <c r="G13" s="71">
        <v>103</v>
      </c>
      <c r="H13" s="71">
        <f t="shared" si="0"/>
        <v>2582210</v>
      </c>
      <c r="I13" s="72"/>
      <c r="J13" s="71">
        <v>790000</v>
      </c>
      <c r="K13" s="73"/>
      <c r="L13" s="27"/>
      <c r="M13" s="26"/>
      <c r="N13" s="26"/>
      <c r="O13" s="26">
        <f t="shared" si="1"/>
        <v>3372210</v>
      </c>
      <c r="P13" s="26">
        <v>5250000</v>
      </c>
      <c r="Q13" s="26">
        <f t="shared" si="2"/>
        <v>1877790</v>
      </c>
      <c r="R13" s="46"/>
      <c r="S13" s="10"/>
      <c r="T13" s="10"/>
    </row>
    <row r="14" spans="1:20" ht="24" customHeight="1" x14ac:dyDescent="0.35">
      <c r="A14" s="21">
        <v>7</v>
      </c>
      <c r="B14" s="22">
        <v>44875</v>
      </c>
      <c r="C14" s="23" t="s">
        <v>487</v>
      </c>
      <c r="D14" s="24" t="s">
        <v>507</v>
      </c>
      <c r="E14" s="23" t="s">
        <v>249</v>
      </c>
      <c r="F14" s="25"/>
      <c r="G14" s="71">
        <v>240</v>
      </c>
      <c r="H14" s="71">
        <f>G14*24980</f>
        <v>5995200</v>
      </c>
      <c r="I14" s="72"/>
      <c r="J14" s="71">
        <v>2380000</v>
      </c>
      <c r="K14" s="73"/>
      <c r="L14" s="27"/>
      <c r="M14" s="26"/>
      <c r="N14" s="26"/>
      <c r="O14" s="26">
        <f t="shared" si="1"/>
        <v>8375200</v>
      </c>
      <c r="P14" s="26">
        <v>14861111</v>
      </c>
      <c r="Q14" s="26">
        <f t="shared" si="2"/>
        <v>6485911</v>
      </c>
      <c r="R14" s="46"/>
      <c r="S14" s="10"/>
      <c r="T14" s="10"/>
    </row>
    <row r="15" spans="1:20" ht="24" customHeight="1" x14ac:dyDescent="0.35">
      <c r="A15" s="21">
        <v>8</v>
      </c>
      <c r="B15" s="22">
        <v>44875</v>
      </c>
      <c r="C15" s="23" t="s">
        <v>488</v>
      </c>
      <c r="D15" s="24" t="s">
        <v>508</v>
      </c>
      <c r="E15" s="23" t="s">
        <v>117</v>
      </c>
      <c r="F15" s="25"/>
      <c r="G15" s="71">
        <v>74</v>
      </c>
      <c r="H15" s="71">
        <f t="shared" ref="H15:H20" si="3">G15*24980</f>
        <v>1848520</v>
      </c>
      <c r="I15" s="72"/>
      <c r="J15" s="71">
        <v>430000</v>
      </c>
      <c r="K15" s="73"/>
      <c r="L15" s="27"/>
      <c r="M15" s="26"/>
      <c r="N15" s="26"/>
      <c r="O15" s="26">
        <f t="shared" si="1"/>
        <v>2278520</v>
      </c>
      <c r="P15" s="26">
        <v>4050000</v>
      </c>
      <c r="Q15" s="26">
        <f t="shared" si="2"/>
        <v>1771480</v>
      </c>
      <c r="R15" s="46"/>
      <c r="S15" s="10"/>
      <c r="T15" s="10"/>
    </row>
    <row r="16" spans="1:20" ht="24" customHeight="1" x14ac:dyDescent="0.35">
      <c r="A16" s="21">
        <v>9</v>
      </c>
      <c r="B16" s="22">
        <v>44877</v>
      </c>
      <c r="C16" s="23" t="s">
        <v>489</v>
      </c>
      <c r="D16" s="24" t="s">
        <v>509</v>
      </c>
      <c r="E16" s="23" t="s">
        <v>523</v>
      </c>
      <c r="F16" s="25"/>
      <c r="G16" s="71">
        <v>125</v>
      </c>
      <c r="H16" s="71">
        <f t="shared" si="3"/>
        <v>3122500</v>
      </c>
      <c r="I16" s="72"/>
      <c r="J16" s="71">
        <v>880000</v>
      </c>
      <c r="K16" s="73"/>
      <c r="L16" s="27"/>
      <c r="M16" s="26"/>
      <c r="N16" s="26"/>
      <c r="O16" s="26">
        <f t="shared" si="1"/>
        <v>4002500</v>
      </c>
      <c r="P16" s="26">
        <v>6200000</v>
      </c>
      <c r="Q16" s="26">
        <f t="shared" si="2"/>
        <v>2197500</v>
      </c>
      <c r="R16" s="46"/>
      <c r="S16" s="10"/>
      <c r="T16" s="10"/>
    </row>
    <row r="17" spans="1:20" ht="24" customHeight="1" x14ac:dyDescent="0.35">
      <c r="A17" s="21">
        <v>10</v>
      </c>
      <c r="B17" s="22">
        <v>44879</v>
      </c>
      <c r="C17" s="23" t="s">
        <v>490</v>
      </c>
      <c r="D17" s="24" t="s">
        <v>510</v>
      </c>
      <c r="E17" s="23" t="s">
        <v>290</v>
      </c>
      <c r="F17" s="25"/>
      <c r="G17" s="71">
        <v>367</v>
      </c>
      <c r="H17" s="71">
        <f t="shared" si="3"/>
        <v>9167660</v>
      </c>
      <c r="I17" s="72"/>
      <c r="J17" s="71">
        <v>3450000</v>
      </c>
      <c r="K17" s="73"/>
      <c r="L17" s="27"/>
      <c r="M17" s="26"/>
      <c r="N17" s="26"/>
      <c r="O17" s="26">
        <f t="shared" si="1"/>
        <v>12617660</v>
      </c>
      <c r="P17" s="26">
        <v>22350000</v>
      </c>
      <c r="Q17" s="26">
        <f t="shared" si="2"/>
        <v>9732340</v>
      </c>
      <c r="R17" s="46"/>
      <c r="S17" s="10"/>
      <c r="T17" s="10"/>
    </row>
    <row r="18" spans="1:20" ht="24" customHeight="1" x14ac:dyDescent="0.35">
      <c r="A18" s="21">
        <v>11</v>
      </c>
      <c r="B18" s="22">
        <v>44881</v>
      </c>
      <c r="C18" s="23" t="s">
        <v>491</v>
      </c>
      <c r="D18" s="24" t="s">
        <v>511</v>
      </c>
      <c r="E18" s="23" t="s">
        <v>227</v>
      </c>
      <c r="F18" s="25"/>
      <c r="G18" s="71">
        <v>180</v>
      </c>
      <c r="H18" s="71">
        <f t="shared" si="3"/>
        <v>4496400</v>
      </c>
      <c r="I18" s="72"/>
      <c r="J18" s="71">
        <v>1530000</v>
      </c>
      <c r="K18" s="73"/>
      <c r="L18" s="27"/>
      <c r="M18" s="26"/>
      <c r="N18" s="26"/>
      <c r="O18" s="26">
        <f t="shared" si="1"/>
        <v>6026400</v>
      </c>
      <c r="P18" s="26">
        <v>9300000</v>
      </c>
      <c r="Q18" s="26">
        <f t="shared" si="2"/>
        <v>3273600</v>
      </c>
      <c r="R18" s="46"/>
      <c r="S18" s="10"/>
      <c r="T18" s="10"/>
    </row>
    <row r="19" spans="1:20" ht="24" customHeight="1" x14ac:dyDescent="0.35">
      <c r="A19" s="21">
        <v>12</v>
      </c>
      <c r="B19" s="22">
        <v>44881</v>
      </c>
      <c r="C19" s="23" t="s">
        <v>492</v>
      </c>
      <c r="D19" s="24" t="s">
        <v>512</v>
      </c>
      <c r="E19" s="23" t="s">
        <v>524</v>
      </c>
      <c r="F19" s="25"/>
      <c r="G19" s="71">
        <v>118</v>
      </c>
      <c r="H19" s="71">
        <f t="shared" si="3"/>
        <v>2947640</v>
      </c>
      <c r="I19" s="72"/>
      <c r="J19" s="71">
        <v>790000</v>
      </c>
      <c r="K19" s="73"/>
      <c r="L19" s="27"/>
      <c r="M19" s="26"/>
      <c r="N19" s="26"/>
      <c r="O19" s="26">
        <f t="shared" si="1"/>
        <v>3737640</v>
      </c>
      <c r="P19" s="26">
        <v>4900000</v>
      </c>
      <c r="Q19" s="26">
        <f t="shared" si="2"/>
        <v>1162360</v>
      </c>
      <c r="R19" s="46"/>
      <c r="S19" s="10"/>
      <c r="T19" s="10"/>
    </row>
    <row r="20" spans="1:20" ht="24" customHeight="1" x14ac:dyDescent="0.35">
      <c r="A20" s="21">
        <v>13</v>
      </c>
      <c r="B20" s="22">
        <v>44883</v>
      </c>
      <c r="C20" s="23" t="s">
        <v>493</v>
      </c>
      <c r="D20" s="24" t="s">
        <v>513</v>
      </c>
      <c r="E20" s="23" t="s">
        <v>525</v>
      </c>
      <c r="F20" s="40"/>
      <c r="G20" s="71">
        <v>64</v>
      </c>
      <c r="H20" s="71">
        <f t="shared" si="3"/>
        <v>1598720</v>
      </c>
      <c r="I20" s="74"/>
      <c r="J20" s="71">
        <v>430000</v>
      </c>
      <c r="K20" s="73"/>
      <c r="L20" s="27"/>
      <c r="M20" s="26"/>
      <c r="N20" s="26"/>
      <c r="O20" s="26">
        <f t="shared" si="1"/>
        <v>2028720</v>
      </c>
      <c r="P20" s="26">
        <v>3400000</v>
      </c>
      <c r="Q20" s="26">
        <f t="shared" si="2"/>
        <v>1371280</v>
      </c>
      <c r="R20" s="46"/>
      <c r="S20" s="10"/>
      <c r="T20" s="10"/>
    </row>
    <row r="21" spans="1:20" ht="24" customHeight="1" x14ac:dyDescent="0.35">
      <c r="A21" s="21">
        <v>14</v>
      </c>
      <c r="B21" s="22">
        <v>44883</v>
      </c>
      <c r="C21" s="23" t="s">
        <v>494</v>
      </c>
      <c r="D21" s="24" t="s">
        <v>514</v>
      </c>
      <c r="E21" s="23" t="s">
        <v>290</v>
      </c>
      <c r="F21" s="40"/>
      <c r="G21" s="71">
        <v>365</v>
      </c>
      <c r="H21" s="71">
        <f>G21*24800</f>
        <v>9052000</v>
      </c>
      <c r="I21" s="72"/>
      <c r="J21" s="71">
        <v>3450000</v>
      </c>
      <c r="K21" s="73"/>
      <c r="L21" s="27"/>
      <c r="M21" s="26"/>
      <c r="N21" s="26"/>
      <c r="O21" s="26">
        <f t="shared" si="1"/>
        <v>12502000</v>
      </c>
      <c r="P21" s="26">
        <v>22350000</v>
      </c>
      <c r="Q21" s="30">
        <f t="shared" si="2"/>
        <v>9848000</v>
      </c>
      <c r="R21" s="46"/>
      <c r="S21" s="10"/>
      <c r="T21" s="10"/>
    </row>
    <row r="22" spans="1:20" ht="24" customHeight="1" x14ac:dyDescent="0.35">
      <c r="A22" s="21">
        <v>15</v>
      </c>
      <c r="B22" s="22">
        <v>44886</v>
      </c>
      <c r="C22" s="23" t="s">
        <v>495</v>
      </c>
      <c r="D22" s="24" t="s">
        <v>515</v>
      </c>
      <c r="E22" s="23" t="s">
        <v>522</v>
      </c>
      <c r="F22" s="40"/>
      <c r="G22" s="71">
        <v>103</v>
      </c>
      <c r="H22" s="71">
        <f t="shared" ref="H22:H27" si="4">G22*24800</f>
        <v>2554400</v>
      </c>
      <c r="I22" s="72"/>
      <c r="J22" s="71">
        <v>790000</v>
      </c>
      <c r="K22" s="73"/>
      <c r="L22" s="27"/>
      <c r="M22" s="26"/>
      <c r="N22" s="26"/>
      <c r="O22" s="26">
        <f t="shared" si="1"/>
        <v>3344400</v>
      </c>
      <c r="P22" s="26">
        <v>5550000</v>
      </c>
      <c r="Q22" s="30">
        <f t="shared" si="2"/>
        <v>2205600</v>
      </c>
      <c r="R22" s="46"/>
      <c r="S22" s="10"/>
      <c r="T22" s="10"/>
    </row>
    <row r="23" spans="1:20" ht="24" customHeight="1" x14ac:dyDescent="0.35">
      <c r="A23" s="21">
        <v>16</v>
      </c>
      <c r="B23" s="22">
        <v>44888</v>
      </c>
      <c r="C23" s="23" t="s">
        <v>496</v>
      </c>
      <c r="D23" s="24" t="s">
        <v>516</v>
      </c>
      <c r="E23" s="23" t="s">
        <v>526</v>
      </c>
      <c r="F23" s="40"/>
      <c r="G23" s="71">
        <v>81</v>
      </c>
      <c r="H23" s="71">
        <f t="shared" si="4"/>
        <v>2008800</v>
      </c>
      <c r="I23" s="72"/>
      <c r="J23" s="71">
        <v>610000</v>
      </c>
      <c r="K23" s="73"/>
      <c r="L23" s="27"/>
      <c r="M23" s="26"/>
      <c r="N23" s="26"/>
      <c r="O23" s="26">
        <f t="shared" si="1"/>
        <v>2618800</v>
      </c>
      <c r="P23" s="26">
        <v>4527778</v>
      </c>
      <c r="Q23" s="30">
        <f t="shared" si="2"/>
        <v>1908978</v>
      </c>
      <c r="R23" s="46"/>
      <c r="S23" s="10"/>
      <c r="T23" s="10"/>
    </row>
    <row r="24" spans="1:20" ht="24" customHeight="1" x14ac:dyDescent="0.35">
      <c r="A24" s="21">
        <v>17</v>
      </c>
      <c r="B24" s="22">
        <v>44889</v>
      </c>
      <c r="C24" s="23" t="s">
        <v>497</v>
      </c>
      <c r="D24" s="24" t="s">
        <v>517</v>
      </c>
      <c r="E24" s="23" t="s">
        <v>527</v>
      </c>
      <c r="F24" s="40"/>
      <c r="G24" s="71">
        <v>72</v>
      </c>
      <c r="H24" s="71">
        <f t="shared" si="4"/>
        <v>1785600</v>
      </c>
      <c r="I24" s="72"/>
      <c r="J24" s="71">
        <v>790000</v>
      </c>
      <c r="K24" s="73"/>
      <c r="L24" s="27"/>
      <c r="M24" s="26"/>
      <c r="N24" s="26"/>
      <c r="O24" s="26">
        <f t="shared" si="1"/>
        <v>2575600</v>
      </c>
      <c r="P24" s="26">
        <v>4100000</v>
      </c>
      <c r="Q24" s="30">
        <f t="shared" si="2"/>
        <v>1524400</v>
      </c>
      <c r="R24" s="46"/>
      <c r="S24" s="10"/>
      <c r="T24" s="10"/>
    </row>
    <row r="25" spans="1:20" ht="24" customHeight="1" x14ac:dyDescent="0.35">
      <c r="A25" s="21">
        <v>18</v>
      </c>
      <c r="B25" s="22">
        <v>44890</v>
      </c>
      <c r="C25" s="23" t="s">
        <v>498</v>
      </c>
      <c r="D25" s="24" t="s">
        <v>518</v>
      </c>
      <c r="E25" s="23" t="s">
        <v>290</v>
      </c>
      <c r="F25" s="40"/>
      <c r="G25" s="71">
        <v>365</v>
      </c>
      <c r="H25" s="71">
        <f t="shared" si="4"/>
        <v>9052000</v>
      </c>
      <c r="I25" s="72"/>
      <c r="J25" s="71">
        <v>3450000</v>
      </c>
      <c r="K25" s="73"/>
      <c r="L25" s="27"/>
      <c r="M25" s="26"/>
      <c r="N25" s="26"/>
      <c r="O25" s="26">
        <f t="shared" si="1"/>
        <v>12502000</v>
      </c>
      <c r="P25" s="26">
        <v>22350000</v>
      </c>
      <c r="Q25" s="30">
        <f t="shared" si="2"/>
        <v>9848000</v>
      </c>
      <c r="R25" s="46"/>
      <c r="S25" s="10"/>
      <c r="T25" s="10"/>
    </row>
    <row r="26" spans="1:20" ht="24" customHeight="1" x14ac:dyDescent="0.35">
      <c r="A26" s="21">
        <v>19</v>
      </c>
      <c r="B26" s="22">
        <v>44894</v>
      </c>
      <c r="C26" s="23" t="s">
        <v>499</v>
      </c>
      <c r="D26" s="24" t="s">
        <v>519</v>
      </c>
      <c r="E26" s="23" t="s">
        <v>528</v>
      </c>
      <c r="F26" s="40"/>
      <c r="G26" s="26">
        <v>72</v>
      </c>
      <c r="H26" s="71">
        <f t="shared" si="4"/>
        <v>1785600</v>
      </c>
      <c r="I26" s="25"/>
      <c r="J26" s="26">
        <v>430000</v>
      </c>
      <c r="K26" s="27"/>
      <c r="L26" s="27"/>
      <c r="M26" s="26"/>
      <c r="N26" s="26"/>
      <c r="O26" s="26">
        <f t="shared" si="1"/>
        <v>2215600</v>
      </c>
      <c r="P26" s="26">
        <v>4150000</v>
      </c>
      <c r="Q26" s="26">
        <f t="shared" si="2"/>
        <v>1934400</v>
      </c>
      <c r="R26" s="46"/>
      <c r="S26" s="10"/>
      <c r="T26" s="10"/>
    </row>
    <row r="27" spans="1:20" ht="24" customHeight="1" x14ac:dyDescent="0.35">
      <c r="A27" s="21">
        <v>20</v>
      </c>
      <c r="B27" s="22">
        <v>44895</v>
      </c>
      <c r="C27" s="23" t="s">
        <v>500</v>
      </c>
      <c r="D27" s="24" t="s">
        <v>520</v>
      </c>
      <c r="E27" s="23" t="s">
        <v>43</v>
      </c>
      <c r="F27" s="40"/>
      <c r="G27" s="26">
        <v>71</v>
      </c>
      <c r="H27" s="71">
        <f t="shared" si="4"/>
        <v>1760800</v>
      </c>
      <c r="I27" s="25"/>
      <c r="J27" s="26">
        <v>790000</v>
      </c>
      <c r="K27" s="27"/>
      <c r="L27" s="27"/>
      <c r="M27" s="26"/>
      <c r="N27" s="26"/>
      <c r="O27" s="26">
        <f t="shared" si="1"/>
        <v>2550800</v>
      </c>
      <c r="P27" s="26">
        <v>4210000</v>
      </c>
      <c r="Q27" s="26">
        <f t="shared" si="2"/>
        <v>1659200</v>
      </c>
      <c r="R27" s="46"/>
      <c r="S27" s="10"/>
      <c r="T27" s="10"/>
    </row>
    <row r="28" spans="1:20" ht="24" customHeight="1" x14ac:dyDescent="0.35">
      <c r="A28" s="21"/>
      <c r="B28" s="22"/>
      <c r="C28" s="68"/>
      <c r="D28" s="64"/>
      <c r="E28" s="69"/>
      <c r="F28" s="65"/>
      <c r="G28" s="26"/>
      <c r="H28" s="26"/>
      <c r="I28" s="25"/>
      <c r="J28" s="26"/>
      <c r="K28" s="27"/>
      <c r="L28" s="27"/>
      <c r="M28" s="26"/>
      <c r="N28" s="26"/>
      <c r="O28" s="26"/>
      <c r="P28" s="26"/>
      <c r="Q28" s="26"/>
      <c r="R28" s="46"/>
      <c r="S28" s="10"/>
      <c r="T28" s="10"/>
    </row>
    <row r="29" spans="1:20" ht="24" customHeight="1" x14ac:dyDescent="0.35">
      <c r="A29" s="21"/>
      <c r="B29" s="22"/>
      <c r="C29" s="139" t="s">
        <v>552</v>
      </c>
      <c r="D29" s="140"/>
      <c r="E29" s="140"/>
      <c r="F29" s="63"/>
      <c r="G29" s="51"/>
      <c r="H29" s="51"/>
      <c r="I29" s="52"/>
      <c r="J29" s="51"/>
      <c r="K29" s="51"/>
      <c r="L29" s="61">
        <v>1800000</v>
      </c>
      <c r="M29" s="26"/>
      <c r="N29" s="26"/>
      <c r="O29" s="26">
        <f>SUM(K29:N29)</f>
        <v>1800000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553</v>
      </c>
      <c r="D30" s="140"/>
      <c r="E30" s="140"/>
      <c r="F30" s="63"/>
      <c r="G30" s="51"/>
      <c r="H30" s="51"/>
      <c r="I30" s="52"/>
      <c r="J30" s="51"/>
      <c r="K30" s="51"/>
      <c r="L30" s="61">
        <v>450000</v>
      </c>
      <c r="M30" s="53"/>
      <c r="N30" s="53"/>
      <c r="O30" s="26">
        <f>SUM(K30:N30)</f>
        <v>450000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554</v>
      </c>
      <c r="D31" s="140"/>
      <c r="E31" s="140"/>
      <c r="F31" s="63"/>
      <c r="G31" s="51"/>
      <c r="H31" s="51"/>
      <c r="I31" s="52"/>
      <c r="J31" s="51"/>
      <c r="K31" s="51"/>
      <c r="L31" s="61">
        <v>4000000</v>
      </c>
      <c r="M31" s="53"/>
      <c r="N31" s="53"/>
      <c r="O31" s="26">
        <f t="shared" ref="O31:O39" si="5">SUM(K31:N31)</f>
        <v>4000000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555</v>
      </c>
      <c r="D32" s="140"/>
      <c r="E32" s="140"/>
      <c r="F32" s="63"/>
      <c r="G32" s="51"/>
      <c r="H32" s="51"/>
      <c r="I32" s="52"/>
      <c r="J32" s="51"/>
      <c r="K32" s="51"/>
      <c r="L32" s="61">
        <v>9288000</v>
      </c>
      <c r="M32" s="53"/>
      <c r="N32" s="53"/>
      <c r="O32" s="26">
        <f t="shared" si="5"/>
        <v>9288000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559</v>
      </c>
      <c r="D33" s="140"/>
      <c r="E33" s="140"/>
      <c r="F33" s="63"/>
      <c r="G33" s="51"/>
      <c r="H33" s="51"/>
      <c r="I33" s="52"/>
      <c r="J33" s="51"/>
      <c r="K33" s="51"/>
      <c r="L33" s="61">
        <v>1400000</v>
      </c>
      <c r="M33" s="53"/>
      <c r="N33" s="53"/>
      <c r="O33" s="26">
        <f t="shared" si="5"/>
        <v>1400000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560</v>
      </c>
      <c r="D34" s="140"/>
      <c r="E34" s="140"/>
      <c r="F34" s="63"/>
      <c r="G34" s="51"/>
      <c r="H34" s="51"/>
      <c r="I34" s="52"/>
      <c r="J34" s="51"/>
      <c r="K34" s="51"/>
      <c r="L34" s="61">
        <v>2400000</v>
      </c>
      <c r="M34" s="53"/>
      <c r="N34" s="53"/>
      <c r="O34" s="26">
        <f t="shared" si="5"/>
        <v>2400000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561</v>
      </c>
      <c r="D35" s="140"/>
      <c r="E35" s="140"/>
      <c r="F35" s="63"/>
      <c r="G35" s="51"/>
      <c r="H35" s="51"/>
      <c r="I35" s="52"/>
      <c r="J35" s="51"/>
      <c r="K35" s="51"/>
      <c r="L35" s="61">
        <v>80000</v>
      </c>
      <c r="M35" s="53"/>
      <c r="N35" s="53"/>
      <c r="O35" s="26">
        <f t="shared" si="5"/>
        <v>80000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562</v>
      </c>
      <c r="D36" s="140"/>
      <c r="E36" s="140"/>
      <c r="F36" s="63"/>
      <c r="G36" s="51"/>
      <c r="H36" s="51"/>
      <c r="I36" s="52"/>
      <c r="J36" s="51"/>
      <c r="K36" s="51"/>
      <c r="L36" s="61">
        <v>5310000</v>
      </c>
      <c r="M36" s="53"/>
      <c r="N36" s="53"/>
      <c r="O36" s="26">
        <f t="shared" si="5"/>
        <v>5310000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563</v>
      </c>
      <c r="D37" s="140"/>
      <c r="E37" s="140"/>
      <c r="F37" s="141"/>
      <c r="G37" s="51"/>
      <c r="H37" s="51"/>
      <c r="I37" s="52"/>
      <c r="J37" s="51"/>
      <c r="K37" s="51"/>
      <c r="L37" s="61">
        <v>550000</v>
      </c>
      <c r="M37" s="53"/>
      <c r="N37" s="53"/>
      <c r="O37" s="26">
        <f t="shared" si="5"/>
        <v>550000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631</v>
      </c>
      <c r="D38" s="140"/>
      <c r="E38" s="140"/>
      <c r="F38" s="141"/>
      <c r="G38" s="51"/>
      <c r="H38" s="51"/>
      <c r="I38" s="52"/>
      <c r="J38" s="51"/>
      <c r="K38" s="51"/>
      <c r="L38" s="51"/>
      <c r="M38" s="53"/>
      <c r="N38" s="76">
        <v>3375000</v>
      </c>
      <c r="O38" s="26">
        <f t="shared" si="5"/>
        <v>3375000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391</v>
      </c>
      <c r="D39" s="140"/>
      <c r="E39" s="140"/>
      <c r="F39" s="141"/>
      <c r="G39" s="51"/>
      <c r="H39" s="51"/>
      <c r="I39" s="52"/>
      <c r="J39" s="51"/>
      <c r="K39" s="51">
        <v>15835000</v>
      </c>
      <c r="L39" s="51"/>
      <c r="M39" s="53"/>
      <c r="N39" s="53"/>
      <c r="O39" s="26">
        <f t="shared" si="5"/>
        <v>15835000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5"/>
      <c r="C40" s="139" t="s">
        <v>556</v>
      </c>
      <c r="D40" s="140"/>
      <c r="E40" s="140"/>
      <c r="F40" s="141"/>
      <c r="G40" s="54"/>
      <c r="H40" s="53"/>
      <c r="I40" s="54"/>
      <c r="J40" s="53"/>
      <c r="K40" s="61">
        <v>8000000</v>
      </c>
      <c r="L40" s="53"/>
      <c r="M40" s="53"/>
      <c r="N40" s="53"/>
      <c r="O40" s="26">
        <f t="shared" si="1"/>
        <v>8000000</v>
      </c>
      <c r="P40" s="26"/>
      <c r="Q40" s="26"/>
      <c r="R40" s="48"/>
    </row>
    <row r="41" spans="1:20" ht="24" customHeight="1" x14ac:dyDescent="0.35">
      <c r="A41" s="25"/>
      <c r="B41" s="31"/>
      <c r="C41" s="142" t="s">
        <v>44</v>
      </c>
      <c r="D41" s="143"/>
      <c r="E41" s="143"/>
      <c r="F41" s="144"/>
      <c r="G41" s="54"/>
      <c r="H41" s="53"/>
      <c r="I41" s="54"/>
      <c r="J41" s="53"/>
      <c r="K41" s="51"/>
      <c r="L41" s="61">
        <v>1200000</v>
      </c>
      <c r="M41" s="51"/>
      <c r="N41" s="51"/>
      <c r="O41" s="26">
        <f t="shared" si="1"/>
        <v>1200000</v>
      </c>
      <c r="P41" s="26"/>
      <c r="Q41" s="32"/>
      <c r="R41" s="48"/>
    </row>
    <row r="42" spans="1:20" ht="24" customHeight="1" x14ac:dyDescent="0.35">
      <c r="A42" s="136" t="s">
        <v>45</v>
      </c>
      <c r="B42" s="137"/>
      <c r="C42" s="137"/>
      <c r="D42" s="137"/>
      <c r="E42" s="137"/>
      <c r="F42" s="138"/>
      <c r="G42" s="33">
        <f>SUM(G8:G41)</f>
        <v>3383</v>
      </c>
      <c r="H42" s="34">
        <f>SUM(H7:H41)</f>
        <v>84401860</v>
      </c>
      <c r="I42" s="34">
        <f t="shared" ref="I42:N42" si="6">SUM(I7:I41)</f>
        <v>0</v>
      </c>
      <c r="J42" s="34">
        <f t="shared" si="6"/>
        <v>29627000</v>
      </c>
      <c r="K42" s="34">
        <f t="shared" si="6"/>
        <v>23835000</v>
      </c>
      <c r="L42" s="34">
        <f>SUM(L7:L41)</f>
        <v>26478000</v>
      </c>
      <c r="M42" s="34">
        <f t="shared" si="6"/>
        <v>0</v>
      </c>
      <c r="N42" s="34">
        <f t="shared" si="6"/>
        <v>3375000</v>
      </c>
      <c r="O42" s="34">
        <f>SUM(O8:O41)</f>
        <v>167716860</v>
      </c>
      <c r="P42" s="75">
        <f>SUM(P8:P41)</f>
        <v>193010741</v>
      </c>
      <c r="Q42" s="34">
        <f>P42-O42</f>
        <v>25293881</v>
      </c>
      <c r="R42" s="50"/>
    </row>
    <row r="43" spans="1:20" x14ac:dyDescent="0.35">
      <c r="O43" s="35"/>
      <c r="Q43" s="36"/>
    </row>
    <row r="44" spans="1:20" x14ac:dyDescent="0.35">
      <c r="O44" s="37"/>
      <c r="P44" s="38" t="s">
        <v>46</v>
      </c>
      <c r="Q44" s="39">
        <f>'10.2022'!Q45+'11.2022'!Q42</f>
        <v>148696634</v>
      </c>
    </row>
    <row r="45" spans="1:20" x14ac:dyDescent="0.35">
      <c r="O45" s="37"/>
      <c r="P45" s="38"/>
      <c r="Q45" s="39"/>
    </row>
    <row r="46" spans="1:20" x14ac:dyDescent="0.35">
      <c r="O46" s="37"/>
      <c r="P46" s="38"/>
      <c r="Q46" s="39"/>
    </row>
    <row r="47" spans="1:20" x14ac:dyDescent="0.35">
      <c r="P47" s="37"/>
      <c r="Q47" s="37"/>
      <c r="R47" s="50"/>
    </row>
    <row r="48" spans="1:20" x14ac:dyDescent="0.35">
      <c r="B48" s="8"/>
    </row>
    <row r="49" spans="2:18" x14ac:dyDescent="0.35">
      <c r="B49" s="8"/>
    </row>
    <row r="50" spans="2:18" x14ac:dyDescent="0.35">
      <c r="B50" s="8"/>
    </row>
    <row r="51" spans="2:18" x14ac:dyDescent="0.35">
      <c r="B51" s="8"/>
      <c r="H51" s="8"/>
      <c r="J51" s="8"/>
      <c r="K51" s="8"/>
      <c r="L51" s="8"/>
      <c r="M51" s="8"/>
      <c r="N51" s="8"/>
      <c r="O51" s="8"/>
      <c r="P51" s="8"/>
      <c r="Q51" s="8"/>
      <c r="R51" s="8"/>
    </row>
  </sheetData>
  <mergeCells count="33">
    <mergeCell ref="C41:F41"/>
    <mergeCell ref="A42:F42"/>
    <mergeCell ref="C29:E29"/>
    <mergeCell ref="C39:F39"/>
    <mergeCell ref="C33:E33"/>
    <mergeCell ref="C34:E34"/>
    <mergeCell ref="C35:E35"/>
    <mergeCell ref="C36:E36"/>
    <mergeCell ref="C37:F37"/>
    <mergeCell ref="C32:E32"/>
    <mergeCell ref="C31:E31"/>
    <mergeCell ref="J5:J6"/>
    <mergeCell ref="K5:K6"/>
    <mergeCell ref="L5:L6"/>
    <mergeCell ref="C30:E30"/>
    <mergeCell ref="C40:F40"/>
    <mergeCell ref="C38:F38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  <mergeCell ref="I5:I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CB60-8185-45BD-9C1D-FF25077A245A}">
  <dimension ref="A1:T60"/>
  <sheetViews>
    <sheetView topLeftCell="A37" workbookViewId="0">
      <selection activeCell="P56" sqref="P56:Q56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4531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565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44895</v>
      </c>
      <c r="C8" s="23" t="s">
        <v>566</v>
      </c>
      <c r="D8" s="24" t="s">
        <v>587</v>
      </c>
      <c r="E8" s="23" t="s">
        <v>116</v>
      </c>
      <c r="F8" s="25"/>
      <c r="G8" s="71">
        <v>105</v>
      </c>
      <c r="H8" s="71">
        <f>G8*23210</f>
        <v>2437050</v>
      </c>
      <c r="I8" s="72"/>
      <c r="J8" s="71">
        <v>790000</v>
      </c>
      <c r="K8" s="73"/>
      <c r="L8" s="27"/>
      <c r="M8" s="26"/>
      <c r="N8" s="26"/>
      <c r="O8" s="26">
        <f>H8+J8+K8+L8+M8+N8</f>
        <v>3227050</v>
      </c>
      <c r="P8" s="26">
        <v>4700000</v>
      </c>
      <c r="Q8" s="26">
        <f>P8-O8</f>
        <v>1472950</v>
      </c>
      <c r="R8" s="46"/>
      <c r="S8" s="10"/>
      <c r="T8" s="10"/>
    </row>
    <row r="9" spans="1:20" ht="24" customHeight="1" x14ac:dyDescent="0.35">
      <c r="A9" s="21">
        <v>2</v>
      </c>
      <c r="B9" s="22">
        <v>44897</v>
      </c>
      <c r="C9" s="23" t="s">
        <v>567</v>
      </c>
      <c r="D9" s="24" t="s">
        <v>588</v>
      </c>
      <c r="E9" s="23" t="s">
        <v>249</v>
      </c>
      <c r="F9" s="25"/>
      <c r="G9" s="71">
        <v>240</v>
      </c>
      <c r="H9" s="71">
        <f t="shared" ref="H9:H13" si="0">G9*23210</f>
        <v>5570400</v>
      </c>
      <c r="I9" s="72"/>
      <c r="J9" s="71">
        <v>2380000</v>
      </c>
      <c r="K9" s="73"/>
      <c r="L9" s="27"/>
      <c r="M9" s="26"/>
      <c r="N9" s="26"/>
      <c r="O9" s="26">
        <f t="shared" ref="O9:O50" si="1">H9+J9+K9+L9+M9+N9</f>
        <v>7950400</v>
      </c>
      <c r="P9" s="26">
        <v>14509259</v>
      </c>
      <c r="Q9" s="26">
        <f t="shared" ref="Q9:Q29" si="2">P9-O9</f>
        <v>6558859</v>
      </c>
      <c r="R9" s="46"/>
      <c r="S9" s="10"/>
      <c r="T9" s="10"/>
    </row>
    <row r="10" spans="1:20" ht="24" customHeight="1" x14ac:dyDescent="0.35">
      <c r="A10" s="21">
        <v>3</v>
      </c>
      <c r="B10" s="22">
        <v>44897</v>
      </c>
      <c r="C10" s="23" t="s">
        <v>568</v>
      </c>
      <c r="D10" s="24" t="s">
        <v>589</v>
      </c>
      <c r="E10" s="23" t="s">
        <v>249</v>
      </c>
      <c r="F10" s="25"/>
      <c r="G10" s="71">
        <v>240</v>
      </c>
      <c r="H10" s="71">
        <f t="shared" si="0"/>
        <v>5570400</v>
      </c>
      <c r="I10" s="72"/>
      <c r="J10" s="71">
        <v>2380000</v>
      </c>
      <c r="K10" s="73"/>
      <c r="L10" s="27"/>
      <c r="M10" s="26"/>
      <c r="N10" s="26"/>
      <c r="O10" s="26">
        <f t="shared" si="1"/>
        <v>7950400</v>
      </c>
      <c r="P10" s="26">
        <v>14509259</v>
      </c>
      <c r="Q10" s="26">
        <f t="shared" si="2"/>
        <v>6558859</v>
      </c>
      <c r="R10" s="46"/>
      <c r="S10" s="10"/>
      <c r="T10" s="10"/>
    </row>
    <row r="11" spans="1:20" ht="24" customHeight="1" x14ac:dyDescent="0.35">
      <c r="A11" s="21">
        <v>4</v>
      </c>
      <c r="B11" s="22">
        <v>44899</v>
      </c>
      <c r="C11" s="23" t="s">
        <v>569</v>
      </c>
      <c r="D11" s="24" t="s">
        <v>590</v>
      </c>
      <c r="E11" s="23" t="s">
        <v>244</v>
      </c>
      <c r="F11" s="25"/>
      <c r="G11" s="71">
        <v>62</v>
      </c>
      <c r="H11" s="71">
        <f t="shared" si="0"/>
        <v>1439020</v>
      </c>
      <c r="I11" s="72"/>
      <c r="J11" s="71">
        <v>430000</v>
      </c>
      <c r="K11" s="73"/>
      <c r="L11" s="27"/>
      <c r="M11" s="26"/>
      <c r="N11" s="26"/>
      <c r="O11" s="26">
        <f t="shared" si="1"/>
        <v>1869020</v>
      </c>
      <c r="P11" s="26">
        <v>3530000</v>
      </c>
      <c r="Q11" s="26">
        <f t="shared" si="2"/>
        <v>1660980</v>
      </c>
      <c r="R11" s="46"/>
      <c r="S11" s="10"/>
      <c r="T11" s="10"/>
    </row>
    <row r="12" spans="1:20" ht="24" customHeight="1" x14ac:dyDescent="0.35">
      <c r="A12" s="21">
        <v>5</v>
      </c>
      <c r="B12" s="22">
        <v>44900</v>
      </c>
      <c r="C12" s="23" t="s">
        <v>570</v>
      </c>
      <c r="D12" s="78" t="s">
        <v>632</v>
      </c>
      <c r="E12" s="23" t="s">
        <v>117</v>
      </c>
      <c r="F12" s="25"/>
      <c r="G12" s="71">
        <v>70</v>
      </c>
      <c r="H12" s="71">
        <f t="shared" si="0"/>
        <v>1624700</v>
      </c>
      <c r="I12" s="72"/>
      <c r="J12" s="70">
        <v>430000</v>
      </c>
      <c r="K12" s="73"/>
      <c r="L12" s="27"/>
      <c r="M12" s="26"/>
      <c r="N12" s="26"/>
      <c r="O12" s="26">
        <f t="shared" si="1"/>
        <v>2054700</v>
      </c>
      <c r="P12" s="26">
        <v>3500000</v>
      </c>
      <c r="Q12" s="26">
        <f t="shared" si="2"/>
        <v>1445300</v>
      </c>
      <c r="R12" s="46"/>
      <c r="S12" s="10"/>
      <c r="T12" s="10"/>
    </row>
    <row r="13" spans="1:20" ht="24" customHeight="1" x14ac:dyDescent="0.35">
      <c r="A13" s="21">
        <v>6</v>
      </c>
      <c r="B13" s="22">
        <v>44902</v>
      </c>
      <c r="C13" s="23" t="s">
        <v>571</v>
      </c>
      <c r="D13" s="24" t="s">
        <v>591</v>
      </c>
      <c r="E13" s="23" t="s">
        <v>66</v>
      </c>
      <c r="F13" s="25"/>
      <c r="G13" s="71">
        <v>360</v>
      </c>
      <c r="H13" s="71">
        <f t="shared" si="0"/>
        <v>8355600</v>
      </c>
      <c r="I13" s="72"/>
      <c r="J13" s="71">
        <v>3460000</v>
      </c>
      <c r="K13" s="73"/>
      <c r="L13" s="27"/>
      <c r="M13" s="26"/>
      <c r="N13" s="26"/>
      <c r="O13" s="26">
        <f t="shared" si="1"/>
        <v>11815600</v>
      </c>
      <c r="P13" s="26">
        <v>18611111</v>
      </c>
      <c r="Q13" s="26">
        <f t="shared" si="2"/>
        <v>6795511</v>
      </c>
      <c r="R13" s="46"/>
      <c r="S13" s="10"/>
      <c r="T13" s="10"/>
    </row>
    <row r="14" spans="1:20" ht="24" customHeight="1" x14ac:dyDescent="0.35">
      <c r="A14" s="21">
        <v>7</v>
      </c>
      <c r="B14" s="22">
        <v>44903</v>
      </c>
      <c r="C14" s="23" t="s">
        <v>572</v>
      </c>
      <c r="D14" s="24" t="s">
        <v>592</v>
      </c>
      <c r="E14" s="23" t="s">
        <v>372</v>
      </c>
      <c r="F14" s="25"/>
      <c r="G14" s="71">
        <v>378</v>
      </c>
      <c r="H14" s="79">
        <f>52*23210+326*21670</f>
        <v>8271340</v>
      </c>
      <c r="I14" s="72"/>
      <c r="J14" s="71">
        <v>3450000</v>
      </c>
      <c r="K14" s="73"/>
      <c r="L14" s="27"/>
      <c r="M14" s="26"/>
      <c r="N14" s="26"/>
      <c r="O14" s="26">
        <f t="shared" si="1"/>
        <v>11721340</v>
      </c>
      <c r="P14" s="26">
        <v>21770000</v>
      </c>
      <c r="Q14" s="26">
        <f t="shared" si="2"/>
        <v>10048660</v>
      </c>
      <c r="R14" s="46"/>
      <c r="S14" s="10"/>
      <c r="T14" s="10"/>
    </row>
    <row r="15" spans="1:20" ht="24" customHeight="1" x14ac:dyDescent="0.35">
      <c r="A15" s="21">
        <v>8</v>
      </c>
      <c r="B15" s="22">
        <v>44907</v>
      </c>
      <c r="C15" s="23" t="s">
        <v>573</v>
      </c>
      <c r="D15" s="24" t="s">
        <v>593</v>
      </c>
      <c r="E15" s="23" t="s">
        <v>227</v>
      </c>
      <c r="F15" s="25"/>
      <c r="G15" s="71">
        <v>180</v>
      </c>
      <c r="H15" s="26">
        <f>G15*21670</f>
        <v>3900600</v>
      </c>
      <c r="I15" s="72"/>
      <c r="J15" s="71">
        <v>1530000</v>
      </c>
      <c r="K15" s="73"/>
      <c r="L15" s="27"/>
      <c r="M15" s="26"/>
      <c r="N15" s="26"/>
      <c r="O15" s="26">
        <f>H15+J15+K15+L15+M15+N15</f>
        <v>5430600</v>
      </c>
      <c r="P15" s="26">
        <v>8883333</v>
      </c>
      <c r="Q15" s="26">
        <f t="shared" si="2"/>
        <v>3452733</v>
      </c>
      <c r="R15" s="46"/>
      <c r="S15" s="10"/>
      <c r="T15" s="10"/>
    </row>
    <row r="16" spans="1:20" ht="24" customHeight="1" x14ac:dyDescent="0.35">
      <c r="A16" s="21">
        <v>9</v>
      </c>
      <c r="B16" s="22">
        <v>44909</v>
      </c>
      <c r="C16" s="23" t="s">
        <v>574</v>
      </c>
      <c r="D16" s="24" t="s">
        <v>594</v>
      </c>
      <c r="E16" s="23" t="s">
        <v>607</v>
      </c>
      <c r="F16" s="25"/>
      <c r="G16" s="71">
        <v>62</v>
      </c>
      <c r="H16" s="26">
        <f t="shared" ref="H16:H20" si="3">G16*21670</f>
        <v>1343540</v>
      </c>
      <c r="I16" s="72"/>
      <c r="J16" s="71">
        <v>430000</v>
      </c>
      <c r="K16" s="73"/>
      <c r="L16" s="27"/>
      <c r="M16" s="26"/>
      <c r="N16" s="26"/>
      <c r="O16" s="26">
        <f t="shared" si="1"/>
        <v>1773540</v>
      </c>
      <c r="P16" s="26">
        <v>3530000</v>
      </c>
      <c r="Q16" s="26">
        <f t="shared" si="2"/>
        <v>1756460</v>
      </c>
      <c r="R16" s="46"/>
      <c r="S16" s="10"/>
      <c r="T16" s="10"/>
    </row>
    <row r="17" spans="1:20" ht="24" customHeight="1" x14ac:dyDescent="0.35">
      <c r="A17" s="21">
        <v>10</v>
      </c>
      <c r="B17" s="22">
        <v>44910</v>
      </c>
      <c r="C17" s="23" t="s">
        <v>575</v>
      </c>
      <c r="D17" s="24" t="s">
        <v>595</v>
      </c>
      <c r="E17" s="23" t="s">
        <v>227</v>
      </c>
      <c r="F17" s="25"/>
      <c r="G17" s="71">
        <v>184</v>
      </c>
      <c r="H17" s="26">
        <f t="shared" si="3"/>
        <v>3987280</v>
      </c>
      <c r="I17" s="72"/>
      <c r="J17" s="71">
        <v>1530000</v>
      </c>
      <c r="K17" s="73"/>
      <c r="L17" s="27"/>
      <c r="M17" s="26"/>
      <c r="N17" s="26"/>
      <c r="O17" s="26">
        <f t="shared" si="1"/>
        <v>5517280</v>
      </c>
      <c r="P17" s="26">
        <v>8883333</v>
      </c>
      <c r="Q17" s="26">
        <f t="shared" si="2"/>
        <v>3366053</v>
      </c>
      <c r="R17" s="46"/>
      <c r="S17" s="10"/>
      <c r="T17" s="10"/>
    </row>
    <row r="18" spans="1:20" ht="24" customHeight="1" x14ac:dyDescent="0.35">
      <c r="A18" s="21">
        <v>11</v>
      </c>
      <c r="B18" s="22">
        <v>44910</v>
      </c>
      <c r="C18" s="23" t="s">
        <v>576</v>
      </c>
      <c r="D18" s="24" t="s">
        <v>596</v>
      </c>
      <c r="E18" s="23" t="s">
        <v>249</v>
      </c>
      <c r="F18" s="25"/>
      <c r="G18" s="71">
        <v>240</v>
      </c>
      <c r="H18" s="26">
        <f t="shared" si="3"/>
        <v>5200800</v>
      </c>
      <c r="I18" s="72"/>
      <c r="J18" s="71">
        <v>2380000</v>
      </c>
      <c r="K18" s="73"/>
      <c r="L18" s="27"/>
      <c r="M18" s="26"/>
      <c r="N18" s="26"/>
      <c r="O18" s="26">
        <f t="shared" si="1"/>
        <v>7580800</v>
      </c>
      <c r="P18" s="26">
        <v>14166667</v>
      </c>
      <c r="Q18" s="26">
        <f t="shared" si="2"/>
        <v>6585867</v>
      </c>
      <c r="R18" s="46"/>
      <c r="S18" s="10"/>
      <c r="T18" s="10"/>
    </row>
    <row r="19" spans="1:20" ht="24" customHeight="1" x14ac:dyDescent="0.35">
      <c r="A19" s="21">
        <v>12</v>
      </c>
      <c r="B19" s="22">
        <v>44914</v>
      </c>
      <c r="C19" s="23" t="s">
        <v>577</v>
      </c>
      <c r="D19" s="24" t="s">
        <v>597</v>
      </c>
      <c r="E19" s="23" t="s">
        <v>116</v>
      </c>
      <c r="F19" s="25"/>
      <c r="G19" s="71">
        <v>81</v>
      </c>
      <c r="H19" s="26">
        <f t="shared" si="3"/>
        <v>1755270</v>
      </c>
      <c r="I19" s="72"/>
      <c r="J19" s="71">
        <v>610000</v>
      </c>
      <c r="K19" s="73"/>
      <c r="L19" s="27"/>
      <c r="M19" s="26"/>
      <c r="N19" s="26"/>
      <c r="O19" s="26">
        <f t="shared" si="1"/>
        <v>2365270</v>
      </c>
      <c r="P19" s="26">
        <v>4367778</v>
      </c>
      <c r="Q19" s="26">
        <f t="shared" si="2"/>
        <v>2002508</v>
      </c>
      <c r="R19" s="46"/>
      <c r="S19" s="10"/>
      <c r="T19" s="10"/>
    </row>
    <row r="20" spans="1:20" ht="24" customHeight="1" x14ac:dyDescent="0.35">
      <c r="A20" s="21">
        <v>13</v>
      </c>
      <c r="B20" s="22">
        <v>44915</v>
      </c>
      <c r="C20" s="23" t="s">
        <v>578</v>
      </c>
      <c r="D20" s="24" t="s">
        <v>598</v>
      </c>
      <c r="E20" s="23" t="s">
        <v>608</v>
      </c>
      <c r="F20" s="40"/>
      <c r="G20" s="71">
        <v>61</v>
      </c>
      <c r="H20" s="26">
        <f t="shared" si="3"/>
        <v>1321870</v>
      </c>
      <c r="I20" s="74"/>
      <c r="J20" s="71">
        <v>430000</v>
      </c>
      <c r="K20" s="73"/>
      <c r="L20" s="27"/>
      <c r="M20" s="26"/>
      <c r="N20" s="26"/>
      <c r="O20" s="26">
        <f>H20+J20+K20+L20+M20+N20</f>
        <v>1751870</v>
      </c>
      <c r="P20" s="26">
        <v>3400000</v>
      </c>
      <c r="Q20" s="26">
        <f t="shared" si="2"/>
        <v>1648130</v>
      </c>
      <c r="R20" s="46"/>
      <c r="S20" s="10"/>
      <c r="T20" s="10"/>
    </row>
    <row r="21" spans="1:20" ht="24" customHeight="1" x14ac:dyDescent="0.35">
      <c r="A21" s="21">
        <v>14</v>
      </c>
      <c r="B21" s="22">
        <v>44915</v>
      </c>
      <c r="C21" s="23" t="s">
        <v>579</v>
      </c>
      <c r="D21" s="24" t="s">
        <v>599</v>
      </c>
      <c r="E21" s="23" t="s">
        <v>609</v>
      </c>
      <c r="F21" s="40"/>
      <c r="G21" s="71">
        <v>386</v>
      </c>
      <c r="H21" s="26">
        <f>G21*21600</f>
        <v>8337600</v>
      </c>
      <c r="I21" s="72"/>
      <c r="J21" s="71">
        <v>3450000</v>
      </c>
      <c r="K21" s="73"/>
      <c r="L21" s="27"/>
      <c r="M21" s="26"/>
      <c r="N21" s="26"/>
      <c r="O21" s="26">
        <f t="shared" si="1"/>
        <v>11787600</v>
      </c>
      <c r="P21" s="26">
        <v>21870000</v>
      </c>
      <c r="Q21" s="30">
        <f t="shared" si="2"/>
        <v>10082400</v>
      </c>
      <c r="R21" s="46"/>
      <c r="S21" s="10"/>
      <c r="T21" s="10"/>
    </row>
    <row r="22" spans="1:20" ht="24" customHeight="1" x14ac:dyDescent="0.35">
      <c r="A22" s="21">
        <v>15</v>
      </c>
      <c r="B22" s="22">
        <v>44917</v>
      </c>
      <c r="C22" s="23" t="s">
        <v>580</v>
      </c>
      <c r="D22" s="24" t="s">
        <v>600</v>
      </c>
      <c r="E22" s="23" t="s">
        <v>61</v>
      </c>
      <c r="F22" s="40"/>
      <c r="G22" s="71">
        <v>269</v>
      </c>
      <c r="H22" s="26">
        <f t="shared" ref="H22:H28" si="4">G22*21600</f>
        <v>5810400</v>
      </c>
      <c r="I22" s="72"/>
      <c r="J22" s="71">
        <v>1938000</v>
      </c>
      <c r="K22" s="73"/>
      <c r="L22" s="27"/>
      <c r="M22" s="26"/>
      <c r="N22" s="26"/>
      <c r="O22" s="26">
        <f t="shared" si="1"/>
        <v>7748400</v>
      </c>
      <c r="P22" s="26">
        <v>14800000</v>
      </c>
      <c r="Q22" s="30">
        <f t="shared" si="2"/>
        <v>7051600</v>
      </c>
      <c r="R22" s="46"/>
      <c r="S22" s="10"/>
      <c r="T22" s="10"/>
    </row>
    <row r="23" spans="1:20" ht="24" customHeight="1" x14ac:dyDescent="0.35">
      <c r="A23" s="21">
        <v>16</v>
      </c>
      <c r="B23" s="22">
        <v>44917</v>
      </c>
      <c r="C23" s="23" t="s">
        <v>581</v>
      </c>
      <c r="D23" s="24" t="s">
        <v>601</v>
      </c>
      <c r="E23" s="23" t="s">
        <v>249</v>
      </c>
      <c r="F23" s="40"/>
      <c r="G23" s="71">
        <v>240</v>
      </c>
      <c r="H23" s="26">
        <f t="shared" si="4"/>
        <v>5184000</v>
      </c>
      <c r="I23" s="72"/>
      <c r="J23" s="71">
        <v>2380000</v>
      </c>
      <c r="K23" s="73"/>
      <c r="L23" s="27"/>
      <c r="M23" s="26"/>
      <c r="N23" s="26"/>
      <c r="O23" s="26">
        <f t="shared" si="1"/>
        <v>7564000</v>
      </c>
      <c r="P23" s="26">
        <v>14166667</v>
      </c>
      <c r="Q23" s="30">
        <f t="shared" si="2"/>
        <v>6602667</v>
      </c>
      <c r="R23" s="46"/>
      <c r="S23" s="10"/>
      <c r="T23" s="10"/>
    </row>
    <row r="24" spans="1:20" ht="24" customHeight="1" x14ac:dyDescent="0.35">
      <c r="A24" s="21">
        <v>17</v>
      </c>
      <c r="B24" s="22">
        <v>44921</v>
      </c>
      <c r="C24" s="23" t="s">
        <v>629</v>
      </c>
      <c r="D24" s="24" t="s">
        <v>630</v>
      </c>
      <c r="E24" s="23" t="s">
        <v>117</v>
      </c>
      <c r="F24" s="40"/>
      <c r="G24" s="71">
        <v>64</v>
      </c>
      <c r="H24" s="26">
        <f t="shared" si="4"/>
        <v>1382400</v>
      </c>
      <c r="I24" s="72"/>
      <c r="J24" s="71">
        <v>430000</v>
      </c>
      <c r="K24" s="73"/>
      <c r="L24" s="27"/>
      <c r="M24" s="26"/>
      <c r="N24" s="26"/>
      <c r="O24" s="26">
        <f t="shared" si="1"/>
        <v>1812400</v>
      </c>
      <c r="P24" s="26">
        <v>3400000</v>
      </c>
      <c r="Q24" s="30">
        <f t="shared" si="2"/>
        <v>1587600</v>
      </c>
      <c r="R24" s="46"/>
      <c r="S24" s="10"/>
      <c r="T24" s="10"/>
    </row>
    <row r="25" spans="1:20" ht="24" customHeight="1" x14ac:dyDescent="0.35">
      <c r="A25" s="21">
        <v>18</v>
      </c>
      <c r="B25" s="22">
        <v>44921</v>
      </c>
      <c r="C25" s="23" t="s">
        <v>582</v>
      </c>
      <c r="D25" s="24" t="s">
        <v>602</v>
      </c>
      <c r="E25" s="23" t="s">
        <v>431</v>
      </c>
      <c r="F25" s="40"/>
      <c r="G25" s="71">
        <v>110</v>
      </c>
      <c r="H25" s="26">
        <f t="shared" si="4"/>
        <v>2376000</v>
      </c>
      <c r="I25" s="72"/>
      <c r="J25" s="71">
        <v>790000</v>
      </c>
      <c r="K25" s="73"/>
      <c r="L25" s="27"/>
      <c r="M25" s="26"/>
      <c r="N25" s="26"/>
      <c r="O25" s="26">
        <f t="shared" si="1"/>
        <v>3166000</v>
      </c>
      <c r="P25" s="26">
        <v>5185185</v>
      </c>
      <c r="Q25" s="30">
        <f t="shared" si="2"/>
        <v>2019185</v>
      </c>
      <c r="R25" s="46"/>
      <c r="S25" s="10"/>
      <c r="T25" s="10"/>
    </row>
    <row r="26" spans="1:20" ht="24" customHeight="1" x14ac:dyDescent="0.35">
      <c r="A26" s="21">
        <v>19</v>
      </c>
      <c r="B26" s="22">
        <v>44923</v>
      </c>
      <c r="C26" s="23" t="s">
        <v>583</v>
      </c>
      <c r="D26" s="24" t="s">
        <v>603</v>
      </c>
      <c r="E26" s="23" t="s">
        <v>249</v>
      </c>
      <c r="F26" s="40"/>
      <c r="G26" s="71">
        <v>240</v>
      </c>
      <c r="H26" s="26">
        <f t="shared" si="4"/>
        <v>5184000</v>
      </c>
      <c r="I26" s="72"/>
      <c r="J26" s="71">
        <v>2380000</v>
      </c>
      <c r="K26" s="73"/>
      <c r="L26" s="27"/>
      <c r="M26" s="26"/>
      <c r="N26" s="26"/>
      <c r="O26" s="26">
        <f t="shared" si="1"/>
        <v>7564000</v>
      </c>
      <c r="P26" s="26">
        <v>14166667</v>
      </c>
      <c r="Q26" s="30">
        <f t="shared" si="2"/>
        <v>6602667</v>
      </c>
      <c r="R26" s="46"/>
      <c r="S26" s="10"/>
      <c r="T26" s="10"/>
    </row>
    <row r="27" spans="1:20" ht="24" customHeight="1" x14ac:dyDescent="0.35">
      <c r="A27" s="21">
        <v>20</v>
      </c>
      <c r="B27" s="22">
        <v>44923</v>
      </c>
      <c r="C27" s="23" t="s">
        <v>584</v>
      </c>
      <c r="D27" s="24" t="s">
        <v>604</v>
      </c>
      <c r="E27" s="23" t="s">
        <v>610</v>
      </c>
      <c r="F27" s="40"/>
      <c r="G27" s="26">
        <v>85</v>
      </c>
      <c r="H27" s="26">
        <f t="shared" si="4"/>
        <v>1836000</v>
      </c>
      <c r="I27" s="25"/>
      <c r="J27" s="26">
        <v>790000</v>
      </c>
      <c r="K27" s="27"/>
      <c r="L27" s="27"/>
      <c r="M27" s="26"/>
      <c r="N27" s="26"/>
      <c r="O27" s="26">
        <f t="shared" si="1"/>
        <v>2626000</v>
      </c>
      <c r="P27" s="26">
        <v>4190000</v>
      </c>
      <c r="Q27" s="26">
        <f t="shared" si="2"/>
        <v>1564000</v>
      </c>
      <c r="R27" s="46"/>
      <c r="S27" s="10"/>
      <c r="T27" s="10"/>
    </row>
    <row r="28" spans="1:20" ht="24" customHeight="1" x14ac:dyDescent="0.35">
      <c r="A28" s="21">
        <v>21</v>
      </c>
      <c r="B28" s="22">
        <v>44924</v>
      </c>
      <c r="C28" s="23" t="s">
        <v>585</v>
      </c>
      <c r="D28" s="24" t="s">
        <v>605</v>
      </c>
      <c r="E28" s="23" t="s">
        <v>244</v>
      </c>
      <c r="F28" s="40"/>
      <c r="G28" s="26">
        <v>62</v>
      </c>
      <c r="H28" s="26">
        <f t="shared" si="4"/>
        <v>1339200</v>
      </c>
      <c r="I28" s="25"/>
      <c r="J28" s="26">
        <v>430000</v>
      </c>
      <c r="K28" s="27"/>
      <c r="L28" s="27"/>
      <c r="M28" s="26"/>
      <c r="N28" s="26"/>
      <c r="O28" s="26">
        <f t="shared" si="1"/>
        <v>1769200</v>
      </c>
      <c r="P28" s="26">
        <v>3400000</v>
      </c>
      <c r="Q28" s="26">
        <f t="shared" si="2"/>
        <v>1630800</v>
      </c>
      <c r="R28" s="46"/>
      <c r="S28" s="10"/>
      <c r="T28" s="10"/>
    </row>
    <row r="29" spans="1:20" ht="24" customHeight="1" x14ac:dyDescent="0.35">
      <c r="A29" s="21">
        <v>22</v>
      </c>
      <c r="B29" s="22">
        <v>44926</v>
      </c>
      <c r="C29" s="23" t="s">
        <v>586</v>
      </c>
      <c r="D29" s="24" t="s">
        <v>606</v>
      </c>
      <c r="E29" s="23" t="s">
        <v>611</v>
      </c>
      <c r="F29" s="40"/>
      <c r="G29" s="26">
        <v>260</v>
      </c>
      <c r="H29" s="26">
        <f>G29*22150</f>
        <v>5759000</v>
      </c>
      <c r="I29" s="25"/>
      <c r="J29" s="26">
        <v>2388000</v>
      </c>
      <c r="K29" s="27"/>
      <c r="L29" s="27"/>
      <c r="M29" s="26"/>
      <c r="N29" s="26"/>
      <c r="O29" s="26">
        <f t="shared" si="1"/>
        <v>8147000</v>
      </c>
      <c r="P29" s="26">
        <v>12600000</v>
      </c>
      <c r="Q29" s="26">
        <f t="shared" si="2"/>
        <v>4453000</v>
      </c>
      <c r="R29" s="46"/>
      <c r="S29" s="10"/>
      <c r="T29" s="10"/>
    </row>
    <row r="30" spans="1:20" ht="24" customHeight="1" x14ac:dyDescent="0.35">
      <c r="A30" s="21"/>
      <c r="B30" s="22"/>
      <c r="C30" s="139" t="s">
        <v>555</v>
      </c>
      <c r="D30" s="140"/>
      <c r="E30" s="140"/>
      <c r="F30" s="63"/>
      <c r="G30" s="51"/>
      <c r="H30" s="51"/>
      <c r="I30" s="52"/>
      <c r="J30" s="51"/>
      <c r="K30" s="51"/>
      <c r="L30" s="61">
        <v>150000</v>
      </c>
      <c r="M30" s="26"/>
      <c r="N30" s="26"/>
      <c r="O30" s="26">
        <f>SUM(K30:N30)</f>
        <v>150000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612</v>
      </c>
      <c r="D31" s="140"/>
      <c r="E31" s="140"/>
      <c r="F31" s="63"/>
      <c r="G31" s="51"/>
      <c r="H31" s="51"/>
      <c r="I31" s="52"/>
      <c r="J31" s="51"/>
      <c r="K31" s="51"/>
      <c r="L31" s="51"/>
      <c r="M31" s="53"/>
      <c r="N31" s="76">
        <v>200000</v>
      </c>
      <c r="O31" s="26">
        <f>SUM(K31:N31)</f>
        <v>200000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613</v>
      </c>
      <c r="D32" s="140"/>
      <c r="E32" s="140"/>
      <c r="F32" s="63"/>
      <c r="G32" s="51"/>
      <c r="H32" s="51"/>
      <c r="I32" s="52"/>
      <c r="J32" s="51"/>
      <c r="K32" s="51"/>
      <c r="L32" s="51"/>
      <c r="M32" s="53"/>
      <c r="N32" s="76">
        <v>100000</v>
      </c>
      <c r="O32" s="26">
        <f t="shared" ref="O32:O47" si="5">SUM(K32:N32)</f>
        <v>100000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614</v>
      </c>
      <c r="D33" s="140"/>
      <c r="E33" s="140"/>
      <c r="F33" s="63"/>
      <c r="G33" s="51"/>
      <c r="H33" s="51"/>
      <c r="I33" s="52"/>
      <c r="J33" s="51"/>
      <c r="K33" s="51"/>
      <c r="L33" s="61">
        <v>600000</v>
      </c>
      <c r="M33" s="53"/>
      <c r="N33" s="53"/>
      <c r="O33" s="26">
        <f t="shared" si="5"/>
        <v>600000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615</v>
      </c>
      <c r="D34" s="140"/>
      <c r="E34" s="140"/>
      <c r="F34" s="63"/>
      <c r="G34" s="51"/>
      <c r="H34" s="51"/>
      <c r="I34" s="52"/>
      <c r="J34" s="51"/>
      <c r="K34" s="51"/>
      <c r="L34" s="61">
        <v>340000</v>
      </c>
      <c r="M34" s="53"/>
      <c r="N34" s="53"/>
      <c r="O34" s="26">
        <f t="shared" si="5"/>
        <v>340000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616</v>
      </c>
      <c r="D35" s="140"/>
      <c r="E35" s="140"/>
      <c r="F35" s="63"/>
      <c r="G35" s="51"/>
      <c r="H35" s="51"/>
      <c r="I35" s="52"/>
      <c r="J35" s="51"/>
      <c r="K35" s="51"/>
      <c r="L35" s="61">
        <v>200000</v>
      </c>
      <c r="M35" s="53"/>
      <c r="N35" s="53"/>
      <c r="O35" s="26">
        <f t="shared" si="5"/>
        <v>200000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617</v>
      </c>
      <c r="D36" s="140"/>
      <c r="E36" s="140"/>
      <c r="F36" s="63"/>
      <c r="G36" s="51"/>
      <c r="H36" s="51"/>
      <c r="I36" s="52"/>
      <c r="J36" s="51"/>
      <c r="K36" s="51"/>
      <c r="L36" s="61">
        <v>500000</v>
      </c>
      <c r="M36" s="53"/>
      <c r="N36" s="53"/>
      <c r="O36" s="26">
        <f t="shared" si="5"/>
        <v>500000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618</v>
      </c>
      <c r="D37" s="140"/>
      <c r="E37" s="140"/>
      <c r="F37" s="63"/>
      <c r="G37" s="51"/>
      <c r="H37" s="51"/>
      <c r="I37" s="52"/>
      <c r="J37" s="51"/>
      <c r="K37" s="51"/>
      <c r="L37" s="51"/>
      <c r="M37" s="53"/>
      <c r="N37" s="76">
        <v>300000</v>
      </c>
      <c r="O37" s="26">
        <f t="shared" si="5"/>
        <v>300000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619</v>
      </c>
      <c r="D38" s="140"/>
      <c r="E38" s="140"/>
      <c r="F38" s="141"/>
      <c r="G38" s="51"/>
      <c r="H38" s="51"/>
      <c r="I38" s="52"/>
      <c r="J38" s="51"/>
      <c r="K38" s="51"/>
      <c r="L38" s="61">
        <v>200000</v>
      </c>
      <c r="M38" s="53"/>
      <c r="N38" s="53"/>
      <c r="O38" s="26">
        <f t="shared" si="5"/>
        <v>200000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620</v>
      </c>
      <c r="D39" s="140"/>
      <c r="E39" s="140"/>
      <c r="F39" s="141"/>
      <c r="G39" s="51"/>
      <c r="H39" s="51"/>
      <c r="I39" s="52"/>
      <c r="J39" s="51"/>
      <c r="K39" s="51"/>
      <c r="L39" s="61">
        <v>45000</v>
      </c>
      <c r="M39" s="53"/>
      <c r="N39" s="53"/>
      <c r="O39" s="26">
        <f t="shared" si="5"/>
        <v>45000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621</v>
      </c>
      <c r="D40" s="140"/>
      <c r="E40" s="140"/>
      <c r="F40" s="141"/>
      <c r="G40" s="51"/>
      <c r="H40" s="51"/>
      <c r="I40" s="52"/>
      <c r="J40" s="51"/>
      <c r="K40" s="51"/>
      <c r="L40" s="51"/>
      <c r="M40" s="53"/>
      <c r="N40" s="76">
        <v>300000</v>
      </c>
      <c r="O40" s="26">
        <f t="shared" si="5"/>
        <v>300000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622</v>
      </c>
      <c r="D41" s="140"/>
      <c r="E41" s="140"/>
      <c r="F41" s="141"/>
      <c r="G41" s="51"/>
      <c r="H41" s="51"/>
      <c r="I41" s="52"/>
      <c r="J41" s="51"/>
      <c r="K41" s="51"/>
      <c r="L41" s="51"/>
      <c r="M41" s="53"/>
      <c r="N41" s="76">
        <v>50000</v>
      </c>
      <c r="O41" s="26">
        <f t="shared" si="5"/>
        <v>50000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623</v>
      </c>
      <c r="D42" s="140"/>
      <c r="E42" s="140"/>
      <c r="F42" s="141"/>
      <c r="G42" s="51"/>
      <c r="H42" s="51"/>
      <c r="I42" s="52"/>
      <c r="J42" s="51"/>
      <c r="K42" s="51"/>
      <c r="L42" s="51"/>
      <c r="M42" s="53"/>
      <c r="N42" s="76">
        <v>11800000</v>
      </c>
      <c r="O42" s="26">
        <f t="shared" si="5"/>
        <v>11800000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8"/>
      <c r="C43" s="139" t="s">
        <v>624</v>
      </c>
      <c r="D43" s="140"/>
      <c r="E43" s="140"/>
      <c r="F43" s="141"/>
      <c r="G43" s="51"/>
      <c r="H43" s="51"/>
      <c r="I43" s="52"/>
      <c r="J43" s="51"/>
      <c r="K43" s="51"/>
      <c r="L43" s="51"/>
      <c r="M43" s="53"/>
      <c r="N43" s="76">
        <v>16524000</v>
      </c>
      <c r="O43" s="26">
        <f t="shared" si="5"/>
        <v>16524000</v>
      </c>
      <c r="P43" s="26"/>
      <c r="Q43" s="30"/>
      <c r="R43" s="46"/>
      <c r="S43" s="10"/>
      <c r="T43" s="10"/>
    </row>
    <row r="44" spans="1:20" ht="24" customHeight="1" x14ac:dyDescent="0.35">
      <c r="A44" s="25"/>
      <c r="B44" s="28"/>
      <c r="C44" s="139" t="s">
        <v>625</v>
      </c>
      <c r="D44" s="140"/>
      <c r="E44" s="140"/>
      <c r="F44" s="141"/>
      <c r="G44" s="51"/>
      <c r="H44" s="51"/>
      <c r="I44" s="52"/>
      <c r="J44" s="51"/>
      <c r="K44" s="51"/>
      <c r="L44" s="61">
        <v>550000</v>
      </c>
      <c r="M44" s="53"/>
      <c r="N44" s="53"/>
      <c r="O44" s="26">
        <f t="shared" si="5"/>
        <v>550000</v>
      </c>
      <c r="P44" s="26"/>
      <c r="Q44" s="30"/>
      <c r="R44" s="46"/>
      <c r="S44" s="10"/>
      <c r="T44" s="10"/>
    </row>
    <row r="45" spans="1:20" ht="24" customHeight="1" x14ac:dyDescent="0.35">
      <c r="A45" s="25"/>
      <c r="B45" s="28"/>
      <c r="C45" s="139" t="s">
        <v>626</v>
      </c>
      <c r="D45" s="140"/>
      <c r="E45" s="140"/>
      <c r="F45" s="141"/>
      <c r="G45" s="51"/>
      <c r="H45" s="51"/>
      <c r="I45" s="52"/>
      <c r="J45" s="51"/>
      <c r="K45" s="51"/>
      <c r="L45" s="61">
        <v>860000</v>
      </c>
      <c r="M45" s="53"/>
      <c r="N45" s="53"/>
      <c r="O45" s="26">
        <f t="shared" si="5"/>
        <v>860000</v>
      </c>
      <c r="P45" s="26"/>
      <c r="Q45" s="30"/>
      <c r="R45" s="46"/>
      <c r="S45" s="10"/>
      <c r="T45" s="10"/>
    </row>
    <row r="46" spans="1:20" ht="24" customHeight="1" x14ac:dyDescent="0.35">
      <c r="A46" s="25"/>
      <c r="B46" s="28"/>
      <c r="C46" s="139" t="s">
        <v>627</v>
      </c>
      <c r="D46" s="140"/>
      <c r="E46" s="140"/>
      <c r="F46" s="141"/>
      <c r="G46" s="51"/>
      <c r="H46" s="51"/>
      <c r="I46" s="52"/>
      <c r="J46" s="51"/>
      <c r="K46" s="51"/>
      <c r="L46" s="61">
        <v>700000</v>
      </c>
      <c r="M46" s="53"/>
      <c r="N46" s="53"/>
      <c r="O46" s="26">
        <f t="shared" si="5"/>
        <v>700000</v>
      </c>
      <c r="P46" s="26"/>
      <c r="Q46" s="30"/>
      <c r="R46" s="46"/>
      <c r="S46" s="10"/>
      <c r="T46" s="10"/>
    </row>
    <row r="47" spans="1:20" ht="24" customHeight="1" x14ac:dyDescent="0.35">
      <c r="A47" s="25"/>
      <c r="B47" s="28"/>
      <c r="C47" s="139" t="s">
        <v>391</v>
      </c>
      <c r="D47" s="140"/>
      <c r="E47" s="140"/>
      <c r="F47" s="141"/>
      <c r="G47" s="51"/>
      <c r="H47" s="51"/>
      <c r="I47" s="52"/>
      <c r="J47" s="51"/>
      <c r="K47" s="51">
        <v>12597000</v>
      </c>
      <c r="L47" s="51"/>
      <c r="M47" s="53"/>
      <c r="N47" s="53"/>
      <c r="O47" s="26">
        <f t="shared" si="5"/>
        <v>12597000</v>
      </c>
      <c r="P47" s="26"/>
      <c r="Q47" s="30"/>
      <c r="R47" s="46"/>
      <c r="S47" s="10"/>
      <c r="T47" s="10"/>
    </row>
    <row r="48" spans="1:20" ht="24" customHeight="1" x14ac:dyDescent="0.35">
      <c r="A48" s="25"/>
      <c r="B48" s="25"/>
      <c r="C48" s="139" t="s">
        <v>628</v>
      </c>
      <c r="D48" s="140"/>
      <c r="E48" s="140"/>
      <c r="F48" s="141"/>
      <c r="G48" s="54"/>
      <c r="H48" s="53"/>
      <c r="I48" s="54"/>
      <c r="J48" s="53"/>
      <c r="K48" s="61">
        <v>7400000</v>
      </c>
      <c r="L48" s="53"/>
      <c r="M48" s="53"/>
      <c r="N48" s="53"/>
      <c r="O48" s="26">
        <f t="shared" si="1"/>
        <v>7400000</v>
      </c>
      <c r="P48" s="26"/>
      <c r="Q48" s="26"/>
      <c r="R48" s="48"/>
    </row>
    <row r="49" spans="1:18" ht="24" customHeight="1" x14ac:dyDescent="0.35">
      <c r="A49" s="25"/>
      <c r="B49" s="82"/>
      <c r="C49" s="83" t="s">
        <v>637</v>
      </c>
      <c r="D49" s="84"/>
      <c r="E49" s="84"/>
      <c r="F49" s="85"/>
      <c r="G49" s="54"/>
      <c r="H49" s="53"/>
      <c r="I49" s="54"/>
      <c r="J49" s="53"/>
      <c r="K49" s="77">
        <v>1000000</v>
      </c>
      <c r="L49" s="53"/>
      <c r="M49" s="53"/>
      <c r="N49" s="53"/>
      <c r="O49" s="26">
        <f t="shared" si="1"/>
        <v>1000000</v>
      </c>
      <c r="P49" s="26"/>
      <c r="Q49" s="32"/>
      <c r="R49" s="48"/>
    </row>
    <row r="50" spans="1:18" ht="24" customHeight="1" x14ac:dyDescent="0.35">
      <c r="A50" s="25"/>
      <c r="B50" s="31"/>
      <c r="C50" s="142" t="s">
        <v>44</v>
      </c>
      <c r="D50" s="143"/>
      <c r="E50" s="143"/>
      <c r="F50" s="144"/>
      <c r="G50" s="54"/>
      <c r="H50" s="53"/>
      <c r="I50" s="54"/>
      <c r="J50" s="53"/>
      <c r="K50" s="51"/>
      <c r="L50" s="61">
        <v>1200000</v>
      </c>
      <c r="M50" s="51"/>
      <c r="N50" s="51"/>
      <c r="O50" s="26">
        <f t="shared" si="1"/>
        <v>1200000</v>
      </c>
      <c r="P50" s="26"/>
      <c r="Q50" s="32"/>
      <c r="R50" s="48"/>
    </row>
    <row r="51" spans="1:18" ht="24" customHeight="1" x14ac:dyDescent="0.35">
      <c r="A51" s="136" t="s">
        <v>45</v>
      </c>
      <c r="B51" s="137"/>
      <c r="C51" s="137"/>
      <c r="D51" s="137"/>
      <c r="E51" s="137"/>
      <c r="F51" s="138"/>
      <c r="G51" s="33">
        <f>SUM(G8:G50)</f>
        <v>3979</v>
      </c>
      <c r="H51" s="34">
        <f t="shared" ref="H51:N51" si="6">SUM(H7:H50)</f>
        <v>87986470</v>
      </c>
      <c r="I51" s="34">
        <f t="shared" si="6"/>
        <v>0</v>
      </c>
      <c r="J51" s="34">
        <f t="shared" si="6"/>
        <v>35206000</v>
      </c>
      <c r="K51" s="34">
        <f t="shared" si="6"/>
        <v>20997000</v>
      </c>
      <c r="L51" s="34">
        <f t="shared" si="6"/>
        <v>5345000</v>
      </c>
      <c r="M51" s="34">
        <f t="shared" si="6"/>
        <v>0</v>
      </c>
      <c r="N51" s="34">
        <f t="shared" si="6"/>
        <v>29274000</v>
      </c>
      <c r="O51" s="34">
        <f>SUM(O8:O50)</f>
        <v>178808470</v>
      </c>
      <c r="P51" s="75">
        <f>SUM(P8:P50)</f>
        <v>218139259</v>
      </c>
      <c r="Q51" s="34">
        <f>P51-O51</f>
        <v>39330789</v>
      </c>
      <c r="R51" s="50"/>
    </row>
    <row r="52" spans="1:18" x14ac:dyDescent="0.35">
      <c r="O52" s="35"/>
      <c r="Q52" s="36"/>
    </row>
    <row r="53" spans="1:18" x14ac:dyDescent="0.35">
      <c r="O53" s="37"/>
      <c r="P53" s="38" t="s">
        <v>46</v>
      </c>
      <c r="Q53" s="39">
        <f>'11.2022'!Q44+'12.2022'!Q51</f>
        <v>188027423</v>
      </c>
    </row>
    <row r="54" spans="1:18" x14ac:dyDescent="0.35">
      <c r="O54" s="37"/>
      <c r="P54" s="38" t="s">
        <v>633</v>
      </c>
      <c r="Q54" s="39">
        <v>20000000</v>
      </c>
    </row>
    <row r="55" spans="1:18" x14ac:dyDescent="0.35">
      <c r="O55" s="37"/>
      <c r="P55" s="38" t="s">
        <v>634</v>
      </c>
      <c r="Q55" s="39">
        <f>Q53-Q54</f>
        <v>168027423</v>
      </c>
    </row>
    <row r="56" spans="1:18" x14ac:dyDescent="0.35">
      <c r="P56" s="37" t="s">
        <v>635</v>
      </c>
      <c r="Q56" s="37">
        <f>Q55*29.55%</f>
        <v>49652103.4965</v>
      </c>
      <c r="R56" s="50"/>
    </row>
    <row r="57" spans="1:18" x14ac:dyDescent="0.35">
      <c r="B57" s="8"/>
      <c r="P57" s="37" t="s">
        <v>636</v>
      </c>
      <c r="Q57" s="80">
        <v>12075985.841899998</v>
      </c>
    </row>
    <row r="58" spans="1:18" x14ac:dyDescent="0.35">
      <c r="B58" s="8"/>
      <c r="Q58" s="81">
        <f>SUM(Q56:Q57)</f>
        <v>61728089.338399999</v>
      </c>
    </row>
    <row r="59" spans="1:18" x14ac:dyDescent="0.35">
      <c r="B59" s="8"/>
    </row>
    <row r="60" spans="1:18" x14ac:dyDescent="0.35">
      <c r="B60" s="8"/>
      <c r="H60" s="8"/>
      <c r="J60" s="8"/>
      <c r="K60" s="8"/>
      <c r="L60" s="8"/>
      <c r="M60" s="8"/>
      <c r="N60" s="8"/>
      <c r="O60" s="8"/>
      <c r="P60" s="8"/>
      <c r="Q60" s="8"/>
      <c r="R60" s="8"/>
    </row>
  </sheetData>
  <mergeCells count="40"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K5:K6"/>
    <mergeCell ref="O5:O6"/>
    <mergeCell ref="P5:P6"/>
    <mergeCell ref="Q5:Q6"/>
    <mergeCell ref="N5:N6"/>
    <mergeCell ref="C39:F39"/>
    <mergeCell ref="C48:F48"/>
    <mergeCell ref="L5:L6"/>
    <mergeCell ref="C47:F47"/>
    <mergeCell ref="C30:E30"/>
    <mergeCell ref="C46:F46"/>
    <mergeCell ref="C32:E32"/>
    <mergeCell ref="C31:E31"/>
    <mergeCell ref="M5:M6"/>
    <mergeCell ref="C50:F50"/>
    <mergeCell ref="A51:F51"/>
    <mergeCell ref="C33:E33"/>
    <mergeCell ref="C34:E34"/>
    <mergeCell ref="C35:E35"/>
    <mergeCell ref="C36:E36"/>
    <mergeCell ref="C37:E37"/>
    <mergeCell ref="C38:F38"/>
    <mergeCell ref="C40:F40"/>
    <mergeCell ref="C41:F41"/>
    <mergeCell ref="C42:F42"/>
    <mergeCell ref="C43:F43"/>
    <mergeCell ref="C44:F44"/>
    <mergeCell ref="C45:F45"/>
  </mergeCells>
  <pageMargins left="0.7" right="0.7" top="0.75" bottom="0.75" header="0.3" footer="0.3"/>
  <pageSetup paperSize="9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946-05AE-4C28-B78C-50E58580D65F}">
  <dimension ref="A1:T36"/>
  <sheetViews>
    <sheetView topLeftCell="C19" workbookViewId="0">
      <selection activeCell="M26" sqref="M26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638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44930</v>
      </c>
      <c r="C8" s="23" t="s">
        <v>639</v>
      </c>
      <c r="D8" s="24" t="s">
        <v>419</v>
      </c>
      <c r="E8" s="23" t="s">
        <v>640</v>
      </c>
      <c r="F8" s="25"/>
      <c r="G8" s="71">
        <v>65</v>
      </c>
      <c r="H8" s="71">
        <f>G8*22150</f>
        <v>1439750</v>
      </c>
      <c r="I8" s="72"/>
      <c r="J8" s="59">
        <v>430000</v>
      </c>
      <c r="K8" s="73"/>
      <c r="L8" s="27"/>
      <c r="M8" s="26"/>
      <c r="N8" s="26"/>
      <c r="O8" s="26">
        <f>H8+J8+K8+L8+M8+N8</f>
        <v>1869750</v>
      </c>
      <c r="P8" s="26">
        <v>3160000</v>
      </c>
      <c r="Q8" s="26">
        <f>P8-O8</f>
        <v>1290250</v>
      </c>
      <c r="R8" s="46"/>
      <c r="S8" s="10"/>
      <c r="T8" s="10"/>
    </row>
    <row r="9" spans="1:20" ht="24" customHeight="1" x14ac:dyDescent="0.35">
      <c r="A9" s="21">
        <v>2</v>
      </c>
      <c r="B9" s="22">
        <v>44930</v>
      </c>
      <c r="C9" s="23" t="s">
        <v>641</v>
      </c>
      <c r="D9" s="24" t="s">
        <v>642</v>
      </c>
      <c r="E9" s="23" t="s">
        <v>43</v>
      </c>
      <c r="F9" s="25"/>
      <c r="G9" s="71">
        <v>69</v>
      </c>
      <c r="H9" s="71">
        <f t="shared" ref="H9:H11" si="0">G9*22150</f>
        <v>1528350</v>
      </c>
      <c r="I9" s="72"/>
      <c r="J9" s="59">
        <v>790000</v>
      </c>
      <c r="K9" s="73"/>
      <c r="L9" s="27"/>
      <c r="M9" s="26"/>
      <c r="N9" s="26"/>
      <c r="O9" s="26">
        <f t="shared" ref="O9:O26" si="1">H9+J9+K9+L9+M9+N9</f>
        <v>2318350</v>
      </c>
      <c r="P9" s="26">
        <v>4050000</v>
      </c>
      <c r="Q9" s="26">
        <f t="shared" ref="Q9:Q14" si="2">P9-O9</f>
        <v>1731650</v>
      </c>
      <c r="R9" s="46"/>
      <c r="S9" s="10"/>
      <c r="T9" s="10"/>
    </row>
    <row r="10" spans="1:20" ht="24" customHeight="1" x14ac:dyDescent="0.35">
      <c r="A10" s="21">
        <v>3</v>
      </c>
      <c r="B10" s="22">
        <v>44932</v>
      </c>
      <c r="C10" s="23" t="s">
        <v>643</v>
      </c>
      <c r="D10" s="24" t="s">
        <v>644</v>
      </c>
      <c r="E10" s="23" t="s">
        <v>227</v>
      </c>
      <c r="F10" s="25"/>
      <c r="G10" s="71">
        <v>180</v>
      </c>
      <c r="H10" s="71">
        <f t="shared" si="0"/>
        <v>3987000</v>
      </c>
      <c r="I10" s="72"/>
      <c r="J10" s="59">
        <v>1530000</v>
      </c>
      <c r="K10" s="73"/>
      <c r="L10" s="27"/>
      <c r="M10" s="26"/>
      <c r="N10" s="26"/>
      <c r="O10" s="26">
        <f t="shared" si="1"/>
        <v>5517000</v>
      </c>
      <c r="P10" s="26">
        <v>8883333</v>
      </c>
      <c r="Q10" s="26">
        <f t="shared" si="2"/>
        <v>3366333</v>
      </c>
      <c r="R10" s="46"/>
      <c r="S10" s="10"/>
      <c r="T10" s="10"/>
    </row>
    <row r="11" spans="1:20" ht="24" customHeight="1" x14ac:dyDescent="0.35">
      <c r="A11" s="21">
        <v>4</v>
      </c>
      <c r="B11" s="22">
        <v>44933</v>
      </c>
      <c r="C11" s="23" t="s">
        <v>645</v>
      </c>
      <c r="D11" s="24" t="s">
        <v>646</v>
      </c>
      <c r="E11" s="23" t="s">
        <v>290</v>
      </c>
      <c r="F11" s="25"/>
      <c r="G11" s="71">
        <v>367</v>
      </c>
      <c r="H11" s="71">
        <f t="shared" si="0"/>
        <v>8129050</v>
      </c>
      <c r="I11" s="72"/>
      <c r="J11" s="59">
        <v>3398000</v>
      </c>
      <c r="K11" s="73"/>
      <c r="L11" s="27"/>
      <c r="M11" s="26"/>
      <c r="N11" s="26"/>
      <c r="O11" s="26">
        <f t="shared" si="1"/>
        <v>11527050</v>
      </c>
      <c r="P11" s="26">
        <v>22520000</v>
      </c>
      <c r="Q11" s="26">
        <f t="shared" si="2"/>
        <v>10992950</v>
      </c>
      <c r="R11" s="46"/>
      <c r="S11" s="10"/>
      <c r="T11" s="10"/>
    </row>
    <row r="12" spans="1:20" ht="24" customHeight="1" x14ac:dyDescent="0.35">
      <c r="A12" s="21">
        <v>5</v>
      </c>
      <c r="B12" s="22">
        <v>44940</v>
      </c>
      <c r="C12" s="23" t="s">
        <v>647</v>
      </c>
      <c r="D12" s="24" t="s">
        <v>648</v>
      </c>
      <c r="E12" s="23" t="s">
        <v>435</v>
      </c>
      <c r="F12" s="25"/>
      <c r="G12" s="71">
        <v>392</v>
      </c>
      <c r="H12" s="71">
        <f>G12*21630</f>
        <v>8478960</v>
      </c>
      <c r="I12" s="72"/>
      <c r="J12" s="59">
        <v>3184000</v>
      </c>
      <c r="K12" s="73"/>
      <c r="L12" s="27"/>
      <c r="M12" s="26"/>
      <c r="N12" s="26"/>
      <c r="O12" s="26">
        <f>H12+J12+K12+L12+M12+N12</f>
        <v>11662960</v>
      </c>
      <c r="P12" s="26">
        <v>21870000</v>
      </c>
      <c r="Q12" s="26">
        <f t="shared" si="2"/>
        <v>10207040</v>
      </c>
      <c r="R12" s="46"/>
      <c r="S12" s="10"/>
      <c r="T12" s="10"/>
    </row>
    <row r="13" spans="1:20" ht="24" customHeight="1" x14ac:dyDescent="0.35">
      <c r="A13" s="21">
        <v>6</v>
      </c>
      <c r="B13" s="22">
        <v>44940</v>
      </c>
      <c r="C13" s="23" t="s">
        <v>649</v>
      </c>
      <c r="D13" s="24" t="s">
        <v>650</v>
      </c>
      <c r="E13" s="23" t="s">
        <v>651</v>
      </c>
      <c r="F13" s="25"/>
      <c r="G13" s="71">
        <v>151</v>
      </c>
      <c r="H13" s="71">
        <f t="shared" ref="H13:H14" si="3">G13*21630</f>
        <v>3266130</v>
      </c>
      <c r="I13" s="72"/>
      <c r="J13" s="59">
        <v>1190000</v>
      </c>
      <c r="K13" s="73"/>
      <c r="L13" s="27"/>
      <c r="M13" s="26"/>
      <c r="N13" s="26"/>
      <c r="O13" s="26">
        <f>H13+J13+K13+L13+M13+N13</f>
        <v>4456130</v>
      </c>
      <c r="P13" s="26">
        <v>7000000</v>
      </c>
      <c r="Q13" s="26">
        <f t="shared" si="2"/>
        <v>2543870</v>
      </c>
      <c r="R13" s="46"/>
      <c r="S13" s="10"/>
      <c r="T13" s="10"/>
    </row>
    <row r="14" spans="1:20" ht="24" customHeight="1" x14ac:dyDescent="0.35">
      <c r="A14" s="21">
        <v>7</v>
      </c>
      <c r="B14" s="22">
        <v>44940</v>
      </c>
      <c r="C14" s="23" t="s">
        <v>652</v>
      </c>
      <c r="D14" s="24" t="s">
        <v>653</v>
      </c>
      <c r="E14" s="23" t="s">
        <v>435</v>
      </c>
      <c r="F14" s="25"/>
      <c r="G14" s="71">
        <v>393</v>
      </c>
      <c r="H14" s="71">
        <f t="shared" si="3"/>
        <v>8500590</v>
      </c>
      <c r="I14" s="72"/>
      <c r="J14" s="59">
        <v>2985000</v>
      </c>
      <c r="K14" s="73"/>
      <c r="L14" s="27"/>
      <c r="M14" s="26"/>
      <c r="N14" s="26"/>
      <c r="O14" s="26">
        <f t="shared" si="1"/>
        <v>11485590</v>
      </c>
      <c r="P14" s="26">
        <v>21870000</v>
      </c>
      <c r="Q14" s="26">
        <f t="shared" si="2"/>
        <v>10384410</v>
      </c>
      <c r="R14" s="46"/>
      <c r="S14" s="10"/>
      <c r="T14" s="10"/>
    </row>
    <row r="15" spans="1:20" ht="24" customHeight="1" x14ac:dyDescent="0.35">
      <c r="A15" s="21"/>
      <c r="B15" s="22"/>
      <c r="C15" s="139"/>
      <c r="D15" s="140"/>
      <c r="E15" s="140"/>
      <c r="F15" s="63"/>
      <c r="G15" s="51"/>
      <c r="H15" s="51"/>
      <c r="I15" s="52"/>
      <c r="J15" s="51"/>
      <c r="K15" s="51"/>
      <c r="L15" s="51"/>
      <c r="M15" s="26"/>
      <c r="N15" s="26"/>
      <c r="O15" s="26"/>
      <c r="P15" s="26"/>
      <c r="Q15" s="30"/>
      <c r="R15" s="46"/>
      <c r="S15" s="10"/>
      <c r="T15" s="10"/>
    </row>
    <row r="16" spans="1:20" ht="24" customHeight="1" x14ac:dyDescent="0.35">
      <c r="A16" s="25"/>
      <c r="B16" s="28"/>
      <c r="C16" s="139" t="s">
        <v>654</v>
      </c>
      <c r="D16" s="140"/>
      <c r="E16" s="140"/>
      <c r="F16" s="63"/>
      <c r="G16" s="51"/>
      <c r="H16" s="51"/>
      <c r="I16" s="52"/>
      <c r="J16" s="51"/>
      <c r="K16" s="51"/>
      <c r="L16" s="61">
        <v>170000</v>
      </c>
      <c r="M16" s="53"/>
      <c r="N16" s="53"/>
      <c r="O16" s="26">
        <f t="shared" ref="O16:O23" si="4">SUM(K16:N16)</f>
        <v>170000</v>
      </c>
      <c r="P16" s="26"/>
      <c r="Q16" s="30"/>
      <c r="R16" s="46"/>
      <c r="S16" s="10"/>
      <c r="T16" s="10"/>
    </row>
    <row r="17" spans="1:20" ht="24" customHeight="1" x14ac:dyDescent="0.35">
      <c r="A17" s="25"/>
      <c r="B17" s="28"/>
      <c r="C17" s="139" t="s">
        <v>655</v>
      </c>
      <c r="D17" s="140"/>
      <c r="E17" s="140"/>
      <c r="F17" s="63"/>
      <c r="G17" s="51"/>
      <c r="H17" s="51"/>
      <c r="I17" s="52"/>
      <c r="J17" s="51"/>
      <c r="K17" s="61">
        <v>300000</v>
      </c>
      <c r="L17" s="51"/>
      <c r="M17" s="53"/>
      <c r="N17" s="53"/>
      <c r="O17" s="26">
        <f t="shared" si="4"/>
        <v>300000</v>
      </c>
      <c r="P17" s="26"/>
      <c r="Q17" s="30"/>
      <c r="R17" s="46"/>
      <c r="S17" s="10"/>
      <c r="T17" s="10"/>
    </row>
    <row r="18" spans="1:20" ht="24" customHeight="1" x14ac:dyDescent="0.35">
      <c r="A18" s="25"/>
      <c r="B18" s="28"/>
      <c r="C18" s="139" t="s">
        <v>656</v>
      </c>
      <c r="D18" s="140"/>
      <c r="E18" s="140"/>
      <c r="F18" s="63"/>
      <c r="G18" s="51"/>
      <c r="H18" s="51"/>
      <c r="I18" s="52"/>
      <c r="J18" s="51"/>
      <c r="K18" s="51"/>
      <c r="L18" s="51"/>
      <c r="M18" s="76">
        <v>50000</v>
      </c>
      <c r="N18" s="53"/>
      <c r="O18" s="26">
        <f t="shared" si="4"/>
        <v>50000</v>
      </c>
      <c r="P18" s="26"/>
      <c r="Q18" s="30"/>
      <c r="R18" s="46"/>
      <c r="S18" s="10"/>
      <c r="T18" s="10"/>
    </row>
    <row r="19" spans="1:20" ht="24" customHeight="1" x14ac:dyDescent="0.35">
      <c r="A19" s="25"/>
      <c r="B19" s="28"/>
      <c r="C19" s="139" t="s">
        <v>657</v>
      </c>
      <c r="D19" s="140"/>
      <c r="E19" s="140"/>
      <c r="F19" s="63"/>
      <c r="G19" s="51"/>
      <c r="H19" s="51"/>
      <c r="I19" s="52"/>
      <c r="J19" s="51"/>
      <c r="K19" s="51"/>
      <c r="L19" s="61">
        <v>500000</v>
      </c>
      <c r="M19" s="53"/>
      <c r="N19" s="53"/>
      <c r="O19" s="26">
        <f t="shared" si="4"/>
        <v>500000</v>
      </c>
      <c r="P19" s="26"/>
      <c r="Q19" s="30"/>
      <c r="R19" s="46"/>
      <c r="S19" s="10"/>
      <c r="T19" s="10"/>
    </row>
    <row r="20" spans="1:20" ht="24" customHeight="1" x14ac:dyDescent="0.35">
      <c r="A20" s="25"/>
      <c r="B20" s="28"/>
      <c r="C20" s="139" t="s">
        <v>658</v>
      </c>
      <c r="D20" s="140"/>
      <c r="E20" s="140"/>
      <c r="F20" s="63"/>
      <c r="G20" s="51"/>
      <c r="H20" s="51"/>
      <c r="I20" s="52"/>
      <c r="J20" s="51"/>
      <c r="K20" s="51"/>
      <c r="L20" s="61">
        <v>14000000</v>
      </c>
      <c r="M20" s="53"/>
      <c r="N20" s="53"/>
      <c r="O20" s="26">
        <f t="shared" si="4"/>
        <v>14000000</v>
      </c>
      <c r="P20" s="26"/>
      <c r="Q20" s="30"/>
      <c r="R20" s="46"/>
      <c r="S20" s="10"/>
      <c r="T20" s="10"/>
    </row>
    <row r="21" spans="1:20" ht="24" customHeight="1" x14ac:dyDescent="0.35">
      <c r="A21" s="25"/>
      <c r="B21" s="28"/>
      <c r="C21" s="139" t="s">
        <v>659</v>
      </c>
      <c r="D21" s="140"/>
      <c r="E21" s="140"/>
      <c r="F21" s="63"/>
      <c r="G21" s="51"/>
      <c r="H21" s="51"/>
      <c r="I21" s="52"/>
      <c r="J21" s="51"/>
      <c r="K21" s="51"/>
      <c r="L21" s="51"/>
      <c r="M21" s="76">
        <v>500000</v>
      </c>
      <c r="N21" s="53"/>
      <c r="O21" s="26">
        <f t="shared" si="4"/>
        <v>500000</v>
      </c>
      <c r="P21" s="26"/>
      <c r="Q21" s="30"/>
      <c r="R21" s="46"/>
      <c r="S21" s="10"/>
      <c r="T21" s="10"/>
    </row>
    <row r="22" spans="1:20" ht="24" customHeight="1" x14ac:dyDescent="0.35">
      <c r="A22" s="25"/>
      <c r="B22" s="28"/>
      <c r="C22" s="139" t="s">
        <v>660</v>
      </c>
      <c r="D22" s="140"/>
      <c r="E22" s="140"/>
      <c r="F22" s="141"/>
      <c r="G22" s="51"/>
      <c r="H22" s="51"/>
      <c r="I22" s="52"/>
      <c r="J22" s="51"/>
      <c r="K22" s="51"/>
      <c r="L22" s="51"/>
      <c r="M22" s="76">
        <v>600000</v>
      </c>
      <c r="N22" s="53"/>
      <c r="O22" s="26">
        <f t="shared" si="4"/>
        <v>600000</v>
      </c>
      <c r="P22" s="26"/>
      <c r="Q22" s="30"/>
      <c r="R22" s="46"/>
      <c r="S22" s="10"/>
      <c r="T22" s="10"/>
    </row>
    <row r="23" spans="1:20" ht="24" customHeight="1" x14ac:dyDescent="0.35">
      <c r="A23" s="25"/>
      <c r="B23" s="28"/>
      <c r="C23" s="139" t="s">
        <v>661</v>
      </c>
      <c r="D23" s="140"/>
      <c r="E23" s="140"/>
      <c r="F23" s="141"/>
      <c r="G23" s="51"/>
      <c r="H23" s="51"/>
      <c r="I23" s="52"/>
      <c r="J23" s="51"/>
      <c r="K23" s="51"/>
      <c r="L23" s="51"/>
      <c r="M23" s="76">
        <v>11800000</v>
      </c>
      <c r="N23" s="53"/>
      <c r="O23" s="26">
        <f t="shared" si="4"/>
        <v>11800000</v>
      </c>
      <c r="P23" s="26"/>
      <c r="Q23" s="30"/>
      <c r="R23" s="46"/>
      <c r="S23" s="10"/>
      <c r="T23" s="10"/>
    </row>
    <row r="24" spans="1:20" ht="24" customHeight="1" x14ac:dyDescent="0.35">
      <c r="A24" s="25"/>
      <c r="B24" s="28"/>
      <c r="C24" s="139" t="s">
        <v>391</v>
      </c>
      <c r="D24" s="140"/>
      <c r="E24" s="140"/>
      <c r="F24" s="141"/>
      <c r="G24" s="51"/>
      <c r="H24" s="51"/>
      <c r="I24" s="52"/>
      <c r="J24" s="51"/>
      <c r="K24" s="61">
        <v>8144000</v>
      </c>
      <c r="L24" s="51"/>
      <c r="M24" s="53"/>
      <c r="N24" s="53"/>
      <c r="O24" s="26">
        <f t="shared" ref="O24" si="5">SUM(K24:N24)</f>
        <v>8144000</v>
      </c>
      <c r="P24" s="26"/>
      <c r="Q24" s="30"/>
      <c r="R24" s="46"/>
      <c r="S24" s="10"/>
      <c r="T24" s="10"/>
    </row>
    <row r="25" spans="1:20" ht="24" customHeight="1" x14ac:dyDescent="0.35">
      <c r="A25" s="25"/>
      <c r="B25" s="25"/>
      <c r="C25" s="139" t="s">
        <v>718</v>
      </c>
      <c r="D25" s="140"/>
      <c r="E25" s="140"/>
      <c r="F25" s="141"/>
      <c r="G25" s="54"/>
      <c r="H25" s="53"/>
      <c r="I25" s="54"/>
      <c r="J25" s="53"/>
      <c r="K25" s="61">
        <f>8000000/26*10 +1200000</f>
        <v>4276923.076923077</v>
      </c>
      <c r="L25" s="76"/>
      <c r="M25" s="53"/>
      <c r="N25" s="53"/>
      <c r="O25" s="26">
        <f t="shared" si="1"/>
        <v>4276923.076923077</v>
      </c>
      <c r="P25" s="26"/>
      <c r="Q25" s="26"/>
      <c r="R25" s="48"/>
    </row>
    <row r="26" spans="1:20" ht="24" customHeight="1" x14ac:dyDescent="0.35">
      <c r="A26" s="25"/>
      <c r="B26" s="31"/>
      <c r="C26" s="142" t="s">
        <v>44</v>
      </c>
      <c r="D26" s="143"/>
      <c r="E26" s="143"/>
      <c r="F26" s="144"/>
      <c r="G26" s="54"/>
      <c r="H26" s="53"/>
      <c r="I26" s="54"/>
      <c r="J26" s="53"/>
      <c r="K26" s="61"/>
      <c r="L26" s="61">
        <v>1200000</v>
      </c>
      <c r="M26" s="51"/>
      <c r="N26" s="51"/>
      <c r="O26" s="26">
        <f t="shared" si="1"/>
        <v>1200000</v>
      </c>
      <c r="P26" s="26"/>
      <c r="Q26" s="32"/>
      <c r="R26" s="48"/>
    </row>
    <row r="27" spans="1:20" ht="24" customHeight="1" x14ac:dyDescent="0.35">
      <c r="A27" s="136" t="s">
        <v>45</v>
      </c>
      <c r="B27" s="137"/>
      <c r="C27" s="137"/>
      <c r="D27" s="137"/>
      <c r="E27" s="137"/>
      <c r="F27" s="138"/>
      <c r="G27" s="33">
        <f>SUM(G8:G26)</f>
        <v>1617</v>
      </c>
      <c r="H27" s="34">
        <f t="shared" ref="H27:N27" si="6">SUM(H7:H26)</f>
        <v>35329830</v>
      </c>
      <c r="I27" s="34">
        <f t="shared" si="6"/>
        <v>0</v>
      </c>
      <c r="J27" s="34">
        <f t="shared" si="6"/>
        <v>13507000</v>
      </c>
      <c r="K27" s="34">
        <f t="shared" si="6"/>
        <v>12720923.076923076</v>
      </c>
      <c r="L27" s="34">
        <f t="shared" si="6"/>
        <v>15870000</v>
      </c>
      <c r="M27" s="34">
        <f t="shared" si="6"/>
        <v>12950000</v>
      </c>
      <c r="N27" s="34">
        <f t="shared" si="6"/>
        <v>0</v>
      </c>
      <c r="O27" s="34">
        <f>SUM(O8:O26)</f>
        <v>90377753.076923072</v>
      </c>
      <c r="P27" s="75">
        <f>SUM(P8:P26)</f>
        <v>89353333</v>
      </c>
      <c r="Q27" s="34">
        <f>P27-O27</f>
        <v>-1024420.0769230723</v>
      </c>
      <c r="R27" s="50"/>
    </row>
    <row r="28" spans="1:20" x14ac:dyDescent="0.35">
      <c r="O28" s="35"/>
      <c r="Q28" s="36"/>
    </row>
    <row r="29" spans="1:20" x14ac:dyDescent="0.35">
      <c r="O29" s="37"/>
      <c r="P29" s="38" t="s">
        <v>46</v>
      </c>
      <c r="Q29" s="39">
        <f>Q27</f>
        <v>-1024420.0769230723</v>
      </c>
    </row>
    <row r="30" spans="1:20" x14ac:dyDescent="0.35">
      <c r="O30" s="37"/>
      <c r="P30" s="38"/>
      <c r="Q30" s="39"/>
    </row>
    <row r="31" spans="1:20" x14ac:dyDescent="0.35">
      <c r="O31" s="37"/>
      <c r="P31" s="38"/>
      <c r="Q31" s="39"/>
    </row>
    <row r="32" spans="1:20" x14ac:dyDescent="0.35">
      <c r="P32" s="37"/>
      <c r="Q32" s="37"/>
      <c r="R32" s="50"/>
    </row>
    <row r="33" spans="2:18" x14ac:dyDescent="0.35">
      <c r="B33" s="8"/>
    </row>
    <row r="34" spans="2:18" x14ac:dyDescent="0.35">
      <c r="B34" s="8"/>
    </row>
    <row r="35" spans="2:18" x14ac:dyDescent="0.35">
      <c r="B35" s="8"/>
    </row>
    <row r="36" spans="2:18" x14ac:dyDescent="0.35">
      <c r="B36" s="8"/>
      <c r="H36" s="8"/>
      <c r="J36" s="8"/>
      <c r="K36" s="8"/>
      <c r="L36" s="8"/>
      <c r="M36" s="8"/>
      <c r="N36" s="8"/>
      <c r="O36" s="8"/>
      <c r="P36" s="8"/>
      <c r="Q36" s="8"/>
      <c r="R36" s="8"/>
    </row>
  </sheetData>
  <mergeCells count="32">
    <mergeCell ref="A27:F27"/>
    <mergeCell ref="C22:F22"/>
    <mergeCell ref="C23:F23"/>
    <mergeCell ref="C24:F24"/>
    <mergeCell ref="C25:F25"/>
    <mergeCell ref="C26:F26"/>
    <mergeCell ref="N5:N6"/>
    <mergeCell ref="C18:E18"/>
    <mergeCell ref="C19:E19"/>
    <mergeCell ref="C20:E20"/>
    <mergeCell ref="C21:E21"/>
    <mergeCell ref="C15:E15"/>
    <mergeCell ref="C16:E16"/>
    <mergeCell ref="C17:E17"/>
    <mergeCell ref="I5:I6"/>
    <mergeCell ref="J5:J6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K5:K6"/>
    <mergeCell ref="L5:L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EE38-501E-4F29-AFE5-97A128D9CC58}">
  <dimension ref="A1:T52"/>
  <sheetViews>
    <sheetView topLeftCell="E34" workbookViewId="0">
      <selection activeCell="R42" sqref="R42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662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13"/>
      <c r="B7" s="14"/>
      <c r="C7" s="15"/>
      <c r="D7" s="16"/>
      <c r="E7" s="16"/>
      <c r="F7" s="17"/>
      <c r="G7" s="18"/>
      <c r="H7" s="19"/>
      <c r="I7" s="19"/>
      <c r="J7" s="20"/>
      <c r="K7" s="20"/>
      <c r="L7" s="20"/>
      <c r="M7" s="20"/>
      <c r="N7" s="20"/>
      <c r="O7" s="18"/>
      <c r="P7" s="18"/>
      <c r="Q7" s="18"/>
      <c r="R7" s="44"/>
    </row>
    <row r="8" spans="1:20" ht="24" customHeight="1" x14ac:dyDescent="0.35">
      <c r="A8" s="21">
        <v>1</v>
      </c>
      <c r="B8" s="22">
        <v>44959</v>
      </c>
      <c r="C8" s="23" t="s">
        <v>663</v>
      </c>
      <c r="D8" s="24" t="s">
        <v>681</v>
      </c>
      <c r="E8" s="23" t="s">
        <v>698</v>
      </c>
      <c r="F8" s="25"/>
      <c r="G8" s="71">
        <v>132</v>
      </c>
      <c r="H8" s="71">
        <f>G8*22520</f>
        <v>2972640</v>
      </c>
      <c r="I8" s="72"/>
      <c r="J8" s="59">
        <v>890000</v>
      </c>
      <c r="K8" s="73"/>
      <c r="L8" s="27"/>
      <c r="M8" s="26"/>
      <c r="N8" s="26"/>
      <c r="O8" s="26">
        <f>H8+J8+K8+L8+M8+N8</f>
        <v>3862640</v>
      </c>
      <c r="P8" s="26">
        <v>6300000</v>
      </c>
      <c r="Q8" s="26">
        <f>P8-O8</f>
        <v>2437360</v>
      </c>
      <c r="R8" s="46"/>
      <c r="S8" s="10"/>
      <c r="T8" s="10"/>
    </row>
    <row r="9" spans="1:20" ht="24" customHeight="1" x14ac:dyDescent="0.35">
      <c r="A9" s="21">
        <v>2</v>
      </c>
      <c r="B9" s="22">
        <v>44963</v>
      </c>
      <c r="C9" s="23" t="s">
        <v>664</v>
      </c>
      <c r="D9" s="24" t="s">
        <v>682</v>
      </c>
      <c r="E9" s="23" t="s">
        <v>227</v>
      </c>
      <c r="F9" s="25"/>
      <c r="G9" s="71">
        <v>180</v>
      </c>
      <c r="H9" s="71">
        <f t="shared" ref="H9:H12" si="0">G9*22520</f>
        <v>4053600</v>
      </c>
      <c r="I9" s="72"/>
      <c r="J9" s="59">
        <v>1530000</v>
      </c>
      <c r="K9" s="73"/>
      <c r="L9" s="27"/>
      <c r="M9" s="26"/>
      <c r="N9" s="26"/>
      <c r="O9" s="26">
        <f t="shared" ref="O9:O42" si="1">H9+J9+K9+L9+M9+N9</f>
        <v>5583600</v>
      </c>
      <c r="P9" s="26">
        <v>9022222</v>
      </c>
      <c r="Q9" s="26">
        <f t="shared" ref="Q9:Q25" si="2">P9-O9</f>
        <v>3438622</v>
      </c>
      <c r="R9" s="46"/>
      <c r="S9" s="10"/>
      <c r="T9" s="10"/>
    </row>
    <row r="10" spans="1:20" ht="24" customHeight="1" x14ac:dyDescent="0.35">
      <c r="A10" s="21">
        <v>3</v>
      </c>
      <c r="B10" s="22">
        <v>44963</v>
      </c>
      <c r="C10" s="23" t="s">
        <v>665</v>
      </c>
      <c r="D10" s="24" t="s">
        <v>683</v>
      </c>
      <c r="E10" s="23" t="s">
        <v>522</v>
      </c>
      <c r="F10" s="25"/>
      <c r="G10" s="71">
        <v>118</v>
      </c>
      <c r="H10" s="71">
        <f t="shared" si="0"/>
        <v>2657360</v>
      </c>
      <c r="I10" s="72"/>
      <c r="J10" s="59">
        <v>790000</v>
      </c>
      <c r="K10" s="73"/>
      <c r="L10" s="27"/>
      <c r="M10" s="26"/>
      <c r="N10" s="26"/>
      <c r="O10" s="26">
        <f t="shared" si="1"/>
        <v>3447360</v>
      </c>
      <c r="P10" s="26">
        <v>5390000</v>
      </c>
      <c r="Q10" s="26">
        <f t="shared" si="2"/>
        <v>1942640</v>
      </c>
      <c r="R10" s="46"/>
      <c r="S10" s="10"/>
      <c r="T10" s="10"/>
    </row>
    <row r="11" spans="1:20" ht="24" customHeight="1" x14ac:dyDescent="0.35">
      <c r="A11" s="21">
        <v>4</v>
      </c>
      <c r="B11" s="22">
        <v>44964</v>
      </c>
      <c r="C11" s="23" t="s">
        <v>666</v>
      </c>
      <c r="D11" s="24" t="s">
        <v>684</v>
      </c>
      <c r="E11" s="23" t="s">
        <v>522</v>
      </c>
      <c r="F11" s="25"/>
      <c r="G11" s="71">
        <v>118</v>
      </c>
      <c r="H11" s="71">
        <f t="shared" si="0"/>
        <v>2657360</v>
      </c>
      <c r="I11" s="72"/>
      <c r="J11" s="59">
        <v>790000</v>
      </c>
      <c r="K11" s="73"/>
      <c r="L11" s="27"/>
      <c r="M11" s="26"/>
      <c r="N11" s="26"/>
      <c r="O11" s="26">
        <f t="shared" si="1"/>
        <v>3447360</v>
      </c>
      <c r="P11" s="26">
        <v>5390000</v>
      </c>
      <c r="Q11" s="26">
        <f t="shared" si="2"/>
        <v>1942640</v>
      </c>
      <c r="R11" s="46"/>
      <c r="S11" s="10"/>
      <c r="T11" s="10"/>
    </row>
    <row r="12" spans="1:20" ht="24" customHeight="1" x14ac:dyDescent="0.35">
      <c r="A12" s="21">
        <v>5</v>
      </c>
      <c r="B12" s="22">
        <v>44965</v>
      </c>
      <c r="C12" s="23" t="s">
        <v>667</v>
      </c>
      <c r="D12" s="24" t="s">
        <v>685</v>
      </c>
      <c r="E12" s="23" t="s">
        <v>699</v>
      </c>
      <c r="F12" s="25"/>
      <c r="G12" s="71">
        <v>89</v>
      </c>
      <c r="H12" s="71">
        <f t="shared" si="0"/>
        <v>2004280</v>
      </c>
      <c r="I12" s="72"/>
      <c r="J12" s="59">
        <v>790000</v>
      </c>
      <c r="K12" s="73"/>
      <c r="L12" s="27"/>
      <c r="M12" s="26"/>
      <c r="N12" s="26"/>
      <c r="O12" s="26">
        <f>H12+J12+K12+L12+M12+N12</f>
        <v>2794280</v>
      </c>
      <c r="P12" s="26">
        <v>3960000</v>
      </c>
      <c r="Q12" s="26">
        <f t="shared" si="2"/>
        <v>1165720</v>
      </c>
      <c r="R12" s="46"/>
      <c r="S12" s="10"/>
      <c r="T12" s="10"/>
    </row>
    <row r="13" spans="1:20" ht="24" customHeight="1" x14ac:dyDescent="0.35">
      <c r="A13" s="21">
        <v>6</v>
      </c>
      <c r="B13" s="22">
        <v>44968</v>
      </c>
      <c r="C13" s="23" t="s">
        <v>668</v>
      </c>
      <c r="D13" s="24" t="s">
        <v>686</v>
      </c>
      <c r="E13" s="23" t="s">
        <v>609</v>
      </c>
      <c r="F13" s="25"/>
      <c r="G13" s="71">
        <v>390</v>
      </c>
      <c r="H13" s="71">
        <f>(G13-2)*22520+2*21560</f>
        <v>8780880</v>
      </c>
      <c r="I13" s="72"/>
      <c r="J13" s="59">
        <v>3463000</v>
      </c>
      <c r="K13" s="73"/>
      <c r="L13" s="27"/>
      <c r="M13" s="26"/>
      <c r="N13" s="26"/>
      <c r="O13" s="26">
        <f>H13+J13+K13+L13+M13+N13</f>
        <v>12243880</v>
      </c>
      <c r="P13" s="26">
        <v>22200000</v>
      </c>
      <c r="Q13" s="26">
        <f t="shared" si="2"/>
        <v>9956120</v>
      </c>
      <c r="R13" s="46"/>
      <c r="S13" s="10"/>
      <c r="T13" s="10"/>
    </row>
    <row r="14" spans="1:20" ht="24" customHeight="1" x14ac:dyDescent="0.35">
      <c r="A14" s="21">
        <v>7</v>
      </c>
      <c r="B14" s="22">
        <v>44971</v>
      </c>
      <c r="C14" s="23" t="s">
        <v>669</v>
      </c>
      <c r="D14" s="24" t="s">
        <v>687</v>
      </c>
      <c r="E14" s="23" t="s">
        <v>247</v>
      </c>
      <c r="F14" s="25"/>
      <c r="G14" s="71">
        <v>111</v>
      </c>
      <c r="H14" s="71">
        <f>G14*21560</f>
        <v>2393160</v>
      </c>
      <c r="I14" s="72"/>
      <c r="J14" s="59">
        <v>830000</v>
      </c>
      <c r="K14" s="73"/>
      <c r="L14" s="27"/>
      <c r="M14" s="26"/>
      <c r="N14" s="26"/>
      <c r="O14" s="26">
        <f t="shared" si="1"/>
        <v>3223160</v>
      </c>
      <c r="P14" s="26">
        <v>5100000</v>
      </c>
      <c r="Q14" s="26">
        <f t="shared" si="2"/>
        <v>1876840</v>
      </c>
      <c r="R14" s="46"/>
      <c r="S14" s="10"/>
      <c r="T14" s="10"/>
    </row>
    <row r="15" spans="1:20" ht="24" customHeight="1" x14ac:dyDescent="0.35">
      <c r="A15" s="21">
        <v>8</v>
      </c>
      <c r="B15" s="22">
        <v>44971</v>
      </c>
      <c r="C15" s="23" t="s">
        <v>670</v>
      </c>
      <c r="D15" s="24" t="s">
        <v>688</v>
      </c>
      <c r="E15" s="23" t="s">
        <v>700</v>
      </c>
      <c r="F15" s="25"/>
      <c r="G15" s="71">
        <v>107</v>
      </c>
      <c r="H15" s="71">
        <f t="shared" ref="H15:H17" si="3">G15*21560</f>
        <v>2306920</v>
      </c>
      <c r="I15" s="72"/>
      <c r="J15" s="59">
        <v>890000</v>
      </c>
      <c r="K15" s="73"/>
      <c r="L15" s="27"/>
      <c r="M15" s="26"/>
      <c r="N15" s="26"/>
      <c r="O15" s="26">
        <f t="shared" si="1"/>
        <v>3196920</v>
      </c>
      <c r="P15" s="26">
        <v>4800000</v>
      </c>
      <c r="Q15" s="26">
        <f t="shared" si="2"/>
        <v>1603080</v>
      </c>
      <c r="R15" s="46"/>
      <c r="S15" s="10"/>
      <c r="T15" s="10"/>
    </row>
    <row r="16" spans="1:20" ht="24" customHeight="1" x14ac:dyDescent="0.35">
      <c r="A16" s="21">
        <v>9</v>
      </c>
      <c r="B16" s="22">
        <v>44972</v>
      </c>
      <c r="C16" s="23" t="s">
        <v>671</v>
      </c>
      <c r="D16" s="24" t="s">
        <v>605</v>
      </c>
      <c r="E16" s="23" t="s">
        <v>43</v>
      </c>
      <c r="F16" s="25"/>
      <c r="G16" s="71">
        <v>68</v>
      </c>
      <c r="H16" s="71">
        <f t="shared" si="3"/>
        <v>1466080</v>
      </c>
      <c r="I16" s="72"/>
      <c r="J16" s="59">
        <v>790000</v>
      </c>
      <c r="K16" s="73"/>
      <c r="L16" s="27"/>
      <c r="M16" s="26"/>
      <c r="N16" s="26"/>
      <c r="O16" s="26">
        <f t="shared" si="1"/>
        <v>2256080</v>
      </c>
      <c r="P16" s="26">
        <v>4050000</v>
      </c>
      <c r="Q16" s="26">
        <f t="shared" si="2"/>
        <v>1793920</v>
      </c>
      <c r="R16" s="46"/>
      <c r="S16" s="10"/>
      <c r="T16" s="10"/>
    </row>
    <row r="17" spans="1:20" ht="24" customHeight="1" x14ac:dyDescent="0.35">
      <c r="A17" s="21">
        <v>10</v>
      </c>
      <c r="B17" s="22">
        <v>44974</v>
      </c>
      <c r="C17" s="23" t="s">
        <v>672</v>
      </c>
      <c r="D17" s="24" t="s">
        <v>689</v>
      </c>
      <c r="E17" s="23" t="s">
        <v>116</v>
      </c>
      <c r="F17" s="25"/>
      <c r="G17" s="71">
        <v>85</v>
      </c>
      <c r="H17" s="71">
        <f t="shared" si="3"/>
        <v>1832600</v>
      </c>
      <c r="I17" s="72"/>
      <c r="J17" s="59">
        <v>790000</v>
      </c>
      <c r="K17" s="73"/>
      <c r="L17" s="27"/>
      <c r="M17" s="26"/>
      <c r="N17" s="26"/>
      <c r="O17" s="26">
        <f t="shared" si="1"/>
        <v>2622600</v>
      </c>
      <c r="P17" s="26">
        <v>4367273</v>
      </c>
      <c r="Q17" s="26">
        <f t="shared" si="2"/>
        <v>1744673</v>
      </c>
      <c r="R17" s="46"/>
      <c r="S17" s="10"/>
      <c r="T17" s="10"/>
    </row>
    <row r="18" spans="1:20" ht="24" customHeight="1" x14ac:dyDescent="0.35">
      <c r="A18" s="21">
        <v>11</v>
      </c>
      <c r="B18" s="22">
        <v>44975</v>
      </c>
      <c r="C18" s="23" t="s">
        <v>673</v>
      </c>
      <c r="D18" s="24" t="s">
        <v>690</v>
      </c>
      <c r="E18" s="23" t="s">
        <v>701</v>
      </c>
      <c r="F18" s="25"/>
      <c r="G18" s="71">
        <v>136</v>
      </c>
      <c r="H18" s="71">
        <f>(G18*21560)</f>
        <v>2932160</v>
      </c>
      <c r="I18" s="72"/>
      <c r="J18" s="59">
        <v>1090000</v>
      </c>
      <c r="K18" s="73"/>
      <c r="L18" s="27"/>
      <c r="M18" s="26"/>
      <c r="N18" s="26"/>
      <c r="O18" s="26">
        <f t="shared" si="1"/>
        <v>4022160</v>
      </c>
      <c r="P18" s="26">
        <v>5800000</v>
      </c>
      <c r="Q18" s="26">
        <f t="shared" si="2"/>
        <v>1777840</v>
      </c>
      <c r="R18" s="46"/>
      <c r="S18" s="10"/>
      <c r="T18" s="10"/>
    </row>
    <row r="19" spans="1:20" ht="24" customHeight="1" x14ac:dyDescent="0.35">
      <c r="A19" s="21">
        <v>12</v>
      </c>
      <c r="B19" s="22">
        <v>44977</v>
      </c>
      <c r="C19" s="23" t="s">
        <v>674</v>
      </c>
      <c r="D19" s="24" t="s">
        <v>691</v>
      </c>
      <c r="E19" s="23" t="s">
        <v>702</v>
      </c>
      <c r="F19" s="25"/>
      <c r="G19" s="71">
        <v>78</v>
      </c>
      <c r="H19" s="71">
        <f>(G19-2)*20800+2*21560</f>
        <v>1623920</v>
      </c>
      <c r="I19" s="72"/>
      <c r="J19" s="59">
        <v>790000</v>
      </c>
      <c r="K19" s="73"/>
      <c r="L19" s="27"/>
      <c r="M19" s="26"/>
      <c r="N19" s="26"/>
      <c r="O19" s="26">
        <f t="shared" si="1"/>
        <v>2413920</v>
      </c>
      <c r="P19" s="26">
        <v>4100000</v>
      </c>
      <c r="Q19" s="26">
        <f t="shared" si="2"/>
        <v>1686080</v>
      </c>
      <c r="R19" s="46"/>
      <c r="S19" s="10"/>
      <c r="T19" s="10"/>
    </row>
    <row r="20" spans="1:20" ht="24" customHeight="1" x14ac:dyDescent="0.35">
      <c r="A20" s="21">
        <v>13</v>
      </c>
      <c r="B20" s="22">
        <v>44977</v>
      </c>
      <c r="C20" s="23" t="s">
        <v>675</v>
      </c>
      <c r="D20" s="24" t="s">
        <v>692</v>
      </c>
      <c r="E20" s="23" t="s">
        <v>116</v>
      </c>
      <c r="F20" s="25"/>
      <c r="G20" s="71">
        <v>83</v>
      </c>
      <c r="H20" s="71">
        <f t="shared" ref="H20:H22" si="4">G20*20800</f>
        <v>1726400</v>
      </c>
      <c r="I20" s="72"/>
      <c r="J20" s="59">
        <v>790000</v>
      </c>
      <c r="K20" s="73"/>
      <c r="L20" s="27"/>
      <c r="M20" s="26"/>
      <c r="N20" s="26"/>
      <c r="O20" s="26">
        <f t="shared" si="1"/>
        <v>2516400</v>
      </c>
      <c r="P20" s="26">
        <v>4200000</v>
      </c>
      <c r="Q20" s="26">
        <f t="shared" si="2"/>
        <v>1683600</v>
      </c>
      <c r="R20" s="46"/>
      <c r="S20" s="10"/>
      <c r="T20" s="10"/>
    </row>
    <row r="21" spans="1:20" ht="24" customHeight="1" x14ac:dyDescent="0.35">
      <c r="A21" s="21">
        <v>14</v>
      </c>
      <c r="B21" s="22">
        <v>44978</v>
      </c>
      <c r="C21" s="23" t="s">
        <v>676</v>
      </c>
      <c r="D21" s="24" t="s">
        <v>693</v>
      </c>
      <c r="E21" s="23" t="s">
        <v>116</v>
      </c>
      <c r="F21" s="25"/>
      <c r="G21" s="71">
        <v>89</v>
      </c>
      <c r="H21" s="71">
        <f t="shared" si="4"/>
        <v>1851200</v>
      </c>
      <c r="I21" s="72"/>
      <c r="J21" s="59">
        <v>790000</v>
      </c>
      <c r="K21" s="73"/>
      <c r="L21" s="27"/>
      <c r="M21" s="26"/>
      <c r="N21" s="26"/>
      <c r="O21" s="26">
        <f t="shared" si="1"/>
        <v>2641200</v>
      </c>
      <c r="P21" s="26">
        <v>4200000</v>
      </c>
      <c r="Q21" s="26">
        <f t="shared" si="2"/>
        <v>1558800</v>
      </c>
      <c r="R21" s="46"/>
      <c r="S21" s="10"/>
      <c r="T21" s="10"/>
    </row>
    <row r="22" spans="1:20" ht="24" customHeight="1" x14ac:dyDescent="0.35">
      <c r="A22" s="21">
        <v>15</v>
      </c>
      <c r="B22" s="22">
        <v>44979</v>
      </c>
      <c r="C22" s="23" t="s">
        <v>677</v>
      </c>
      <c r="D22" s="24" t="s">
        <v>694</v>
      </c>
      <c r="E22" s="23" t="s">
        <v>703</v>
      </c>
      <c r="F22" s="25"/>
      <c r="G22" s="71">
        <v>92</v>
      </c>
      <c r="H22" s="71">
        <f t="shared" si="4"/>
        <v>1913600</v>
      </c>
      <c r="I22" s="72"/>
      <c r="J22" s="59">
        <v>430000</v>
      </c>
      <c r="K22" s="73"/>
      <c r="L22" s="27"/>
      <c r="M22" s="26"/>
      <c r="N22" s="26"/>
      <c r="O22" s="26">
        <f t="shared" si="1"/>
        <v>2343600</v>
      </c>
      <c r="P22" s="26">
        <v>5166364</v>
      </c>
      <c r="Q22" s="26">
        <f t="shared" si="2"/>
        <v>2822764</v>
      </c>
      <c r="R22" s="46"/>
      <c r="S22" s="10"/>
      <c r="T22" s="10"/>
    </row>
    <row r="23" spans="1:20" ht="24" customHeight="1" x14ac:dyDescent="0.35">
      <c r="A23" s="21">
        <v>16</v>
      </c>
      <c r="B23" s="22">
        <v>44980</v>
      </c>
      <c r="C23" s="23" t="s">
        <v>678</v>
      </c>
      <c r="D23" s="24" t="s">
        <v>695</v>
      </c>
      <c r="E23" s="23" t="s">
        <v>704</v>
      </c>
      <c r="F23" s="25"/>
      <c r="G23" s="71">
        <v>218</v>
      </c>
      <c r="H23" s="71">
        <f>G23*20800</f>
        <v>4534400</v>
      </c>
      <c r="I23" s="72"/>
      <c r="J23" s="59">
        <v>990000</v>
      </c>
      <c r="K23" s="73"/>
      <c r="L23" s="27"/>
      <c r="M23" s="26"/>
      <c r="N23" s="26"/>
      <c r="O23" s="26">
        <f t="shared" si="1"/>
        <v>5524400</v>
      </c>
      <c r="P23" s="26">
        <v>7800000</v>
      </c>
      <c r="Q23" s="26">
        <f t="shared" si="2"/>
        <v>2275600</v>
      </c>
      <c r="R23" s="46"/>
      <c r="S23" s="10"/>
      <c r="T23" s="10"/>
    </row>
    <row r="24" spans="1:20" ht="24" customHeight="1" x14ac:dyDescent="0.35">
      <c r="A24" s="21">
        <v>17</v>
      </c>
      <c r="B24" s="22">
        <v>44982</v>
      </c>
      <c r="C24" s="23" t="s">
        <v>679</v>
      </c>
      <c r="D24" s="24" t="s">
        <v>696</v>
      </c>
      <c r="E24" s="23" t="s">
        <v>227</v>
      </c>
      <c r="F24" s="25"/>
      <c r="G24" s="71">
        <v>195</v>
      </c>
      <c r="H24" s="71">
        <f>G24*20250</f>
        <v>3948750</v>
      </c>
      <c r="I24" s="72"/>
      <c r="J24" s="59">
        <v>1530000</v>
      </c>
      <c r="K24" s="73"/>
      <c r="L24" s="27"/>
      <c r="M24" s="26"/>
      <c r="N24" s="26"/>
      <c r="O24" s="26">
        <f t="shared" si="1"/>
        <v>5478750</v>
      </c>
      <c r="P24" s="26">
        <v>9081481</v>
      </c>
      <c r="Q24" s="26">
        <f t="shared" si="2"/>
        <v>3602731</v>
      </c>
      <c r="R24" s="46"/>
      <c r="S24" s="10"/>
      <c r="T24" s="10"/>
    </row>
    <row r="25" spans="1:20" ht="24" customHeight="1" x14ac:dyDescent="0.35">
      <c r="A25" s="21">
        <v>18</v>
      </c>
      <c r="B25" s="22">
        <v>44984</v>
      </c>
      <c r="C25" s="23" t="s">
        <v>680</v>
      </c>
      <c r="D25" s="24" t="s">
        <v>697</v>
      </c>
      <c r="E25" s="23" t="s">
        <v>705</v>
      </c>
      <c r="F25" s="25"/>
      <c r="G25" s="71">
        <v>81</v>
      </c>
      <c r="H25" s="71">
        <f>G25*20250</f>
        <v>1640250</v>
      </c>
      <c r="I25" s="72"/>
      <c r="J25" s="59">
        <v>790000</v>
      </c>
      <c r="K25" s="73"/>
      <c r="L25" s="27"/>
      <c r="M25" s="26"/>
      <c r="N25" s="26"/>
      <c r="O25" s="26">
        <f t="shared" si="1"/>
        <v>2430250</v>
      </c>
      <c r="P25" s="26">
        <v>4367273</v>
      </c>
      <c r="Q25" s="26">
        <f t="shared" si="2"/>
        <v>1937023</v>
      </c>
      <c r="R25" s="46"/>
      <c r="S25" s="10"/>
      <c r="T25" s="10"/>
    </row>
    <row r="26" spans="1:20" ht="24" customHeight="1" x14ac:dyDescent="0.35">
      <c r="A26" s="21"/>
      <c r="B26" s="22"/>
      <c r="C26" s="68"/>
      <c r="D26" s="64"/>
      <c r="E26" s="69"/>
      <c r="F26" s="86"/>
      <c r="G26" s="71"/>
      <c r="H26" s="71"/>
      <c r="I26" s="72"/>
      <c r="J26" s="71"/>
      <c r="K26" s="73"/>
      <c r="L26" s="27"/>
      <c r="M26" s="26"/>
      <c r="N26" s="26"/>
      <c r="O26" s="26"/>
      <c r="P26" s="26"/>
      <c r="Q26" s="30"/>
      <c r="R26" s="46"/>
      <c r="S26" s="10"/>
      <c r="T26" s="10"/>
    </row>
    <row r="27" spans="1:20" ht="24" customHeight="1" x14ac:dyDescent="0.35">
      <c r="A27" s="21"/>
      <c r="B27" s="22"/>
      <c r="C27" s="139" t="s">
        <v>706</v>
      </c>
      <c r="D27" s="140"/>
      <c r="E27" s="140"/>
      <c r="F27" s="63"/>
      <c r="G27" s="51"/>
      <c r="H27" s="51"/>
      <c r="I27" s="52"/>
      <c r="J27" s="51"/>
      <c r="K27" s="51"/>
      <c r="L27" s="61">
        <v>900000</v>
      </c>
      <c r="M27" s="26"/>
      <c r="N27" s="26"/>
      <c r="O27" s="26">
        <f t="shared" ref="O27:O39" si="5">SUM(K27:N27)</f>
        <v>900000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707</v>
      </c>
      <c r="D28" s="140"/>
      <c r="E28" s="140"/>
      <c r="F28" s="63"/>
      <c r="G28" s="51"/>
      <c r="H28" s="51"/>
      <c r="I28" s="52"/>
      <c r="J28" s="51"/>
      <c r="K28" s="51"/>
      <c r="L28" s="61">
        <f>4424000/4</f>
        <v>1106000</v>
      </c>
      <c r="M28" s="53"/>
      <c r="N28" s="53"/>
      <c r="O28" s="26">
        <f t="shared" si="5"/>
        <v>1106000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708</v>
      </c>
      <c r="D29" s="140"/>
      <c r="E29" s="140"/>
      <c r="F29" s="63"/>
      <c r="G29" s="51"/>
      <c r="H29" s="51"/>
      <c r="I29" s="52"/>
      <c r="J29" s="51"/>
      <c r="K29" s="51"/>
      <c r="L29" s="61">
        <v>900000</v>
      </c>
      <c r="M29" s="53"/>
      <c r="N29" s="53"/>
      <c r="O29" s="26">
        <f t="shared" si="5"/>
        <v>900000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709</v>
      </c>
      <c r="D30" s="140"/>
      <c r="E30" s="140"/>
      <c r="F30" s="63"/>
      <c r="G30" s="51"/>
      <c r="H30" s="51"/>
      <c r="I30" s="52"/>
      <c r="J30" s="51"/>
      <c r="K30" s="51"/>
      <c r="L30" s="61">
        <v>85000</v>
      </c>
      <c r="M30" s="53"/>
      <c r="N30" s="53"/>
      <c r="O30" s="26">
        <f t="shared" si="5"/>
        <v>85000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710</v>
      </c>
      <c r="D31" s="140"/>
      <c r="E31" s="140"/>
      <c r="F31" s="63"/>
      <c r="G31" s="51"/>
      <c r="H31" s="51"/>
      <c r="I31" s="52"/>
      <c r="J31" s="51"/>
      <c r="K31" s="51"/>
      <c r="L31" s="61">
        <v>330000</v>
      </c>
      <c r="M31" s="53"/>
      <c r="N31" s="53"/>
      <c r="O31" s="26">
        <f t="shared" si="5"/>
        <v>330000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711</v>
      </c>
      <c r="D32" s="140"/>
      <c r="E32" s="140"/>
      <c r="F32" s="63"/>
      <c r="G32" s="51"/>
      <c r="H32" s="51"/>
      <c r="I32" s="52"/>
      <c r="J32" s="51"/>
      <c r="K32" s="51"/>
      <c r="L32" s="61">
        <v>450000</v>
      </c>
      <c r="M32" s="53"/>
      <c r="N32" s="53"/>
      <c r="O32" s="26">
        <f t="shared" si="5"/>
        <v>450000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712</v>
      </c>
      <c r="D33" s="140"/>
      <c r="E33" s="140"/>
      <c r="F33" s="63"/>
      <c r="G33" s="51"/>
      <c r="H33" s="51"/>
      <c r="I33" s="52"/>
      <c r="J33" s="51"/>
      <c r="K33" s="51"/>
      <c r="L33" s="51"/>
      <c r="M33" s="53"/>
      <c r="N33" s="76">
        <f>13500000/4</f>
        <v>3375000</v>
      </c>
      <c r="O33" s="26">
        <f t="shared" si="5"/>
        <v>3375000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713</v>
      </c>
      <c r="D34" s="140"/>
      <c r="E34" s="140"/>
      <c r="F34" s="141"/>
      <c r="G34" s="51"/>
      <c r="H34" s="51"/>
      <c r="I34" s="52"/>
      <c r="J34" s="51"/>
      <c r="K34" s="51"/>
      <c r="L34" s="51"/>
      <c r="M34" s="76">
        <v>9800000</v>
      </c>
      <c r="N34" s="53"/>
      <c r="O34" s="26">
        <f t="shared" si="5"/>
        <v>9800000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714</v>
      </c>
      <c r="D35" s="140"/>
      <c r="E35" s="140"/>
      <c r="F35" s="141"/>
      <c r="G35" s="51"/>
      <c r="H35" s="51"/>
      <c r="I35" s="52"/>
      <c r="J35" s="51"/>
      <c r="K35" s="51"/>
      <c r="L35" s="61">
        <v>14000000</v>
      </c>
      <c r="M35" s="53"/>
      <c r="N35" s="53"/>
      <c r="O35" s="26">
        <f t="shared" si="5"/>
        <v>14000000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715</v>
      </c>
      <c r="D36" s="140"/>
      <c r="E36" s="140"/>
      <c r="F36" s="141"/>
      <c r="G36" s="51"/>
      <c r="H36" s="51"/>
      <c r="I36" s="52"/>
      <c r="J36" s="51"/>
      <c r="K36" s="51"/>
      <c r="L36" s="61">
        <v>200000</v>
      </c>
      <c r="M36" s="53"/>
      <c r="N36" s="53"/>
      <c r="O36" s="26">
        <f t="shared" si="5"/>
        <v>200000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716</v>
      </c>
      <c r="D37" s="140"/>
      <c r="E37" s="140"/>
      <c r="F37" s="141"/>
      <c r="G37" s="51"/>
      <c r="H37" s="51"/>
      <c r="I37" s="52"/>
      <c r="J37" s="51"/>
      <c r="K37" s="51"/>
      <c r="L37" s="61">
        <v>300000</v>
      </c>
      <c r="M37" s="53"/>
      <c r="N37" s="53"/>
      <c r="O37" s="26">
        <f t="shared" si="5"/>
        <v>300000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717</v>
      </c>
      <c r="D38" s="140"/>
      <c r="E38" s="140"/>
      <c r="F38" s="141"/>
      <c r="G38" s="51"/>
      <c r="H38" s="51"/>
      <c r="I38" s="52"/>
      <c r="J38" s="51"/>
      <c r="K38" s="51"/>
      <c r="L38" s="61">
        <v>1800000</v>
      </c>
      <c r="M38" s="53"/>
      <c r="N38" s="53"/>
      <c r="O38" s="26">
        <f t="shared" si="5"/>
        <v>1800000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778</v>
      </c>
      <c r="D39" s="140"/>
      <c r="E39" s="140"/>
      <c r="F39" s="141"/>
      <c r="G39" s="51"/>
      <c r="H39" s="51"/>
      <c r="I39" s="52"/>
      <c r="J39" s="51"/>
      <c r="K39" s="51"/>
      <c r="L39" s="61">
        <v>600000</v>
      </c>
      <c r="M39" s="53"/>
      <c r="N39" s="53"/>
      <c r="O39" s="26">
        <f t="shared" si="5"/>
        <v>600000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391</v>
      </c>
      <c r="D40" s="140"/>
      <c r="E40" s="140"/>
      <c r="F40" s="141"/>
      <c r="G40" s="51"/>
      <c r="H40" s="51"/>
      <c r="I40" s="52"/>
      <c r="J40" s="51"/>
      <c r="K40" s="61">
        <v>8677000</v>
      </c>
      <c r="L40" s="51"/>
      <c r="M40" s="53"/>
      <c r="N40" s="53"/>
      <c r="O40" s="26">
        <f t="shared" ref="O40" si="6">SUM(K40:N40)</f>
        <v>8677000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5"/>
      <c r="C41" s="139" t="s">
        <v>719</v>
      </c>
      <c r="D41" s="140"/>
      <c r="E41" s="140"/>
      <c r="F41" s="141"/>
      <c r="G41" s="54"/>
      <c r="H41" s="53"/>
      <c r="I41" s="54"/>
      <c r="J41" s="53"/>
      <c r="K41" s="61">
        <v>8000000</v>
      </c>
      <c r="L41" s="53"/>
      <c r="M41" s="53"/>
      <c r="N41" s="53"/>
      <c r="O41" s="26">
        <f t="shared" si="1"/>
        <v>8000000</v>
      </c>
      <c r="P41" s="26"/>
      <c r="Q41" s="26"/>
      <c r="R41" s="48"/>
    </row>
    <row r="42" spans="1:20" ht="24" customHeight="1" x14ac:dyDescent="0.35">
      <c r="A42" s="25"/>
      <c r="B42" s="31"/>
      <c r="C42" s="142" t="s">
        <v>44</v>
      </c>
      <c r="D42" s="143"/>
      <c r="E42" s="143"/>
      <c r="F42" s="144"/>
      <c r="G42" s="54"/>
      <c r="H42" s="53"/>
      <c r="I42" s="54"/>
      <c r="J42" s="53"/>
      <c r="K42" s="51"/>
      <c r="L42" s="61">
        <v>1200000</v>
      </c>
      <c r="M42" s="51"/>
      <c r="N42" s="51"/>
      <c r="O42" s="26">
        <f t="shared" si="1"/>
        <v>1200000</v>
      </c>
      <c r="P42" s="26"/>
      <c r="Q42" s="32"/>
      <c r="R42" s="48"/>
    </row>
    <row r="43" spans="1:20" ht="24" customHeight="1" x14ac:dyDescent="0.35">
      <c r="A43" s="136" t="s">
        <v>45</v>
      </c>
      <c r="B43" s="137"/>
      <c r="C43" s="137"/>
      <c r="D43" s="137"/>
      <c r="E43" s="137"/>
      <c r="F43" s="138"/>
      <c r="G43" s="33">
        <f>SUM(G8:G42)</f>
        <v>2370</v>
      </c>
      <c r="H43" s="34">
        <f t="shared" ref="H43:N43" si="7">SUM(H7:H42)</f>
        <v>51295560</v>
      </c>
      <c r="I43" s="34">
        <f t="shared" si="7"/>
        <v>0</v>
      </c>
      <c r="J43" s="34">
        <f t="shared" si="7"/>
        <v>18753000</v>
      </c>
      <c r="K43" s="34">
        <f t="shared" si="7"/>
        <v>16677000</v>
      </c>
      <c r="L43" s="34">
        <f t="shared" si="7"/>
        <v>21871000</v>
      </c>
      <c r="M43" s="34">
        <f t="shared" si="7"/>
        <v>9800000</v>
      </c>
      <c r="N43" s="34">
        <f t="shared" si="7"/>
        <v>3375000</v>
      </c>
      <c r="O43" s="34">
        <f>SUM(O8:O42)</f>
        <v>121771560</v>
      </c>
      <c r="P43" s="75">
        <f>SUM(P8:P42)</f>
        <v>115294613</v>
      </c>
      <c r="Q43" s="34">
        <f>P43-O43</f>
        <v>-6476947</v>
      </c>
      <c r="R43" s="50"/>
    </row>
    <row r="44" spans="1:20" x14ac:dyDescent="0.35">
      <c r="O44" s="35"/>
      <c r="Q44" s="36"/>
    </row>
    <row r="45" spans="1:20" x14ac:dyDescent="0.35">
      <c r="O45" s="37"/>
      <c r="P45" s="38" t="s">
        <v>46</v>
      </c>
      <c r="Q45" s="39">
        <f>'01.2023'!Q29+'02.2023'!Q43</f>
        <v>-7501367.0769230723</v>
      </c>
    </row>
    <row r="46" spans="1:20" x14ac:dyDescent="0.35">
      <c r="O46" s="37"/>
      <c r="P46" s="38"/>
      <c r="Q46" s="39"/>
    </row>
    <row r="47" spans="1:20" x14ac:dyDescent="0.35">
      <c r="O47" s="37"/>
      <c r="P47" s="38"/>
      <c r="Q47" s="39"/>
    </row>
    <row r="48" spans="1:20" x14ac:dyDescent="0.35">
      <c r="P48" s="37"/>
      <c r="Q48" s="37"/>
      <c r="R48" s="50"/>
    </row>
    <row r="49" spans="2:18" x14ac:dyDescent="0.35">
      <c r="B49" s="8"/>
    </row>
    <row r="50" spans="2:18" x14ac:dyDescent="0.35">
      <c r="B50" s="8"/>
    </row>
    <row r="51" spans="2:18" x14ac:dyDescent="0.35">
      <c r="B51" s="8"/>
    </row>
    <row r="52" spans="2:18" x14ac:dyDescent="0.35">
      <c r="B52" s="8"/>
      <c r="H52" s="8"/>
      <c r="J52" s="8"/>
      <c r="K52" s="8"/>
      <c r="L52" s="8"/>
      <c r="M52" s="8"/>
      <c r="N52" s="8"/>
      <c r="O52" s="8"/>
      <c r="P52" s="8"/>
      <c r="Q52" s="8"/>
      <c r="R52" s="8"/>
    </row>
  </sheetData>
  <mergeCells count="36">
    <mergeCell ref="C40:F40"/>
    <mergeCell ref="C41:F41"/>
    <mergeCell ref="C42:F42"/>
    <mergeCell ref="A43:F43"/>
    <mergeCell ref="C30:E30"/>
    <mergeCell ref="C31:E31"/>
    <mergeCell ref="C32:E32"/>
    <mergeCell ref="C33:E33"/>
    <mergeCell ref="C34:F34"/>
    <mergeCell ref="C35:F35"/>
    <mergeCell ref="C36:F36"/>
    <mergeCell ref="C37:F37"/>
    <mergeCell ref="C38:F38"/>
    <mergeCell ref="C39:F39"/>
    <mergeCell ref="C29:E29"/>
    <mergeCell ref="I5:I6"/>
    <mergeCell ref="J5:J6"/>
    <mergeCell ref="K5:K6"/>
    <mergeCell ref="L5:L6"/>
    <mergeCell ref="C27:E27"/>
    <mergeCell ref="C28:E28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28DD-844A-4949-B31F-069A10299E5F}">
  <dimension ref="A1:T49"/>
  <sheetViews>
    <sheetView topLeftCell="D30" workbookViewId="0">
      <selection activeCell="Q40" sqref="Q40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720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87"/>
      <c r="B7" s="88"/>
      <c r="C7" s="89"/>
      <c r="D7" s="90"/>
      <c r="E7" s="90"/>
      <c r="F7" s="91"/>
      <c r="G7" s="92"/>
      <c r="H7" s="93"/>
      <c r="I7" s="93"/>
      <c r="J7" s="94"/>
      <c r="K7" s="94"/>
      <c r="L7" s="94"/>
      <c r="M7" s="94"/>
      <c r="N7" s="94"/>
      <c r="O7" s="92"/>
      <c r="P7" s="92"/>
      <c r="Q7" s="92"/>
      <c r="R7" s="44"/>
    </row>
    <row r="8" spans="1:20" ht="24" customHeight="1" x14ac:dyDescent="0.35">
      <c r="A8" s="95">
        <v>1</v>
      </c>
      <c r="B8" s="96">
        <v>44985</v>
      </c>
      <c r="C8" s="97" t="s">
        <v>721</v>
      </c>
      <c r="D8" s="98" t="s">
        <v>752</v>
      </c>
      <c r="E8" s="97" t="s">
        <v>743</v>
      </c>
      <c r="F8" s="99"/>
      <c r="G8" s="100">
        <v>165</v>
      </c>
      <c r="H8" s="100">
        <f>G8*20250</f>
        <v>3341250</v>
      </c>
      <c r="I8" s="101"/>
      <c r="J8" s="109">
        <v>990000</v>
      </c>
      <c r="K8" s="102"/>
      <c r="L8" s="103"/>
      <c r="M8" s="104"/>
      <c r="N8" s="104"/>
      <c r="O8" s="104">
        <f>H8+J8+K8+L8+M8+N8</f>
        <v>4331250</v>
      </c>
      <c r="P8" s="104">
        <v>6600000</v>
      </c>
      <c r="Q8" s="104">
        <f>P8-O8</f>
        <v>2268750</v>
      </c>
      <c r="R8" s="46"/>
      <c r="S8" s="10"/>
      <c r="T8" s="10"/>
    </row>
    <row r="9" spans="1:20" ht="24" customHeight="1" x14ac:dyDescent="0.35">
      <c r="A9" s="21">
        <v>2</v>
      </c>
      <c r="B9" s="22">
        <v>44986</v>
      </c>
      <c r="C9" s="23" t="s">
        <v>722</v>
      </c>
      <c r="D9" s="24" t="s">
        <v>753</v>
      </c>
      <c r="E9" s="23" t="s">
        <v>522</v>
      </c>
      <c r="F9" s="25"/>
      <c r="G9" s="71">
        <v>101</v>
      </c>
      <c r="H9" s="71">
        <f t="shared" ref="H9:H16" si="0">G9*20250</f>
        <v>2045250</v>
      </c>
      <c r="I9" s="72"/>
      <c r="J9" s="59">
        <f>790000+200000</f>
        <v>990000</v>
      </c>
      <c r="K9" s="73"/>
      <c r="L9" s="27"/>
      <c r="M9" s="26"/>
      <c r="N9" s="26"/>
      <c r="O9" s="26">
        <f t="shared" ref="O9:O39" si="1">H9+J9+K9+L9+M9+N9</f>
        <v>3035250</v>
      </c>
      <c r="P9" s="26">
        <v>5900000</v>
      </c>
      <c r="Q9" s="26">
        <f t="shared" ref="Q9:Q30" si="2">P9-O9</f>
        <v>2864750</v>
      </c>
      <c r="R9" s="46"/>
      <c r="S9" s="10"/>
      <c r="T9" s="10"/>
    </row>
    <row r="10" spans="1:20" ht="24" customHeight="1" x14ac:dyDescent="0.35">
      <c r="A10" s="21">
        <v>3</v>
      </c>
      <c r="B10" s="22">
        <v>44988</v>
      </c>
      <c r="C10" s="23" t="s">
        <v>723</v>
      </c>
      <c r="D10" s="24" t="s">
        <v>754</v>
      </c>
      <c r="E10" s="23" t="s">
        <v>431</v>
      </c>
      <c r="F10" s="25"/>
      <c r="G10" s="71">
        <v>124</v>
      </c>
      <c r="H10" s="71">
        <f t="shared" si="0"/>
        <v>2511000</v>
      </c>
      <c r="I10" s="72"/>
      <c r="J10" s="59">
        <v>790000</v>
      </c>
      <c r="K10" s="73"/>
      <c r="L10" s="27"/>
      <c r="M10" s="26"/>
      <c r="N10" s="26"/>
      <c r="O10" s="26">
        <f t="shared" si="1"/>
        <v>3301000</v>
      </c>
      <c r="P10" s="26">
        <v>5363636</v>
      </c>
      <c r="Q10" s="26">
        <f t="shared" si="2"/>
        <v>2062636</v>
      </c>
      <c r="R10" s="46"/>
      <c r="S10" s="10"/>
      <c r="T10" s="10"/>
    </row>
    <row r="11" spans="1:20" ht="24" customHeight="1" x14ac:dyDescent="0.35">
      <c r="A11" s="21">
        <v>4</v>
      </c>
      <c r="B11" s="22">
        <v>44991</v>
      </c>
      <c r="C11" s="23" t="s">
        <v>724</v>
      </c>
      <c r="D11" s="24" t="s">
        <v>755</v>
      </c>
      <c r="E11" s="23" t="s">
        <v>744</v>
      </c>
      <c r="F11" s="25"/>
      <c r="G11" s="71">
        <v>124</v>
      </c>
      <c r="H11" s="71">
        <f t="shared" si="0"/>
        <v>2511000</v>
      </c>
      <c r="I11" s="72"/>
      <c r="J11" s="59">
        <v>1090000</v>
      </c>
      <c r="K11" s="73"/>
      <c r="L11" s="27"/>
      <c r="M11" s="26"/>
      <c r="N11" s="26"/>
      <c r="O11" s="26">
        <f t="shared" si="1"/>
        <v>3601000</v>
      </c>
      <c r="P11" s="26">
        <v>5800000</v>
      </c>
      <c r="Q11" s="26">
        <f t="shared" si="2"/>
        <v>2199000</v>
      </c>
      <c r="R11" s="46"/>
      <c r="S11" s="10"/>
      <c r="T11" s="10"/>
    </row>
    <row r="12" spans="1:20" ht="24" customHeight="1" x14ac:dyDescent="0.35">
      <c r="A12" s="21">
        <v>5</v>
      </c>
      <c r="B12" s="22">
        <v>44992</v>
      </c>
      <c r="C12" s="23" t="s">
        <v>725</v>
      </c>
      <c r="D12" s="24" t="s">
        <v>756</v>
      </c>
      <c r="E12" s="23" t="s">
        <v>116</v>
      </c>
      <c r="F12" s="25"/>
      <c r="G12" s="71">
        <v>85</v>
      </c>
      <c r="H12" s="71">
        <f t="shared" si="0"/>
        <v>1721250</v>
      </c>
      <c r="I12" s="72"/>
      <c r="J12" s="59">
        <v>790000</v>
      </c>
      <c r="K12" s="73"/>
      <c r="L12" s="27"/>
      <c r="M12" s="26"/>
      <c r="N12" s="26"/>
      <c r="O12" s="26">
        <f>H12+J12+K12+L12+M12+N12</f>
        <v>2511250</v>
      </c>
      <c r="P12" s="26">
        <v>4100000</v>
      </c>
      <c r="Q12" s="26">
        <f t="shared" si="2"/>
        <v>1588750</v>
      </c>
      <c r="R12" s="46"/>
      <c r="S12" s="10"/>
      <c r="T12" s="10"/>
    </row>
    <row r="13" spans="1:20" ht="24" customHeight="1" x14ac:dyDescent="0.35">
      <c r="A13" s="21">
        <v>6</v>
      </c>
      <c r="B13" s="22">
        <v>44993</v>
      </c>
      <c r="C13" s="23" t="s">
        <v>726</v>
      </c>
      <c r="D13" s="24" t="s">
        <v>757</v>
      </c>
      <c r="E13" s="23" t="s">
        <v>700</v>
      </c>
      <c r="F13" s="25"/>
      <c r="G13" s="71">
        <v>99</v>
      </c>
      <c r="H13" s="71">
        <f t="shared" si="0"/>
        <v>2004750</v>
      </c>
      <c r="I13" s="72"/>
      <c r="J13" s="59">
        <v>890000</v>
      </c>
      <c r="K13" s="73"/>
      <c r="L13" s="27"/>
      <c r="M13" s="26"/>
      <c r="N13" s="26"/>
      <c r="O13" s="26">
        <f>H13+J13+K13+L13+M13+N13</f>
        <v>2894750</v>
      </c>
      <c r="P13" s="26">
        <v>4800000</v>
      </c>
      <c r="Q13" s="26">
        <f t="shared" si="2"/>
        <v>1905250</v>
      </c>
      <c r="R13" s="46"/>
      <c r="S13" s="10"/>
      <c r="T13" s="10"/>
    </row>
    <row r="14" spans="1:20" ht="24" customHeight="1" x14ac:dyDescent="0.35">
      <c r="A14" s="21">
        <v>7</v>
      </c>
      <c r="B14" s="22">
        <v>44993</v>
      </c>
      <c r="C14" s="23" t="s">
        <v>727</v>
      </c>
      <c r="D14" s="24" t="s">
        <v>758</v>
      </c>
      <c r="E14" s="23" t="s">
        <v>431</v>
      </c>
      <c r="F14" s="25"/>
      <c r="G14" s="71">
        <v>124</v>
      </c>
      <c r="H14" s="71">
        <f t="shared" si="0"/>
        <v>2511000</v>
      </c>
      <c r="I14" s="72"/>
      <c r="J14" s="59">
        <v>790000</v>
      </c>
      <c r="K14" s="73"/>
      <c r="L14" s="27"/>
      <c r="M14" s="26"/>
      <c r="N14" s="26"/>
      <c r="O14" s="26">
        <f t="shared" si="1"/>
        <v>3301000</v>
      </c>
      <c r="P14" s="26">
        <v>5363636</v>
      </c>
      <c r="Q14" s="26">
        <f t="shared" si="2"/>
        <v>2062636</v>
      </c>
      <c r="R14" s="46"/>
      <c r="S14" s="10"/>
      <c r="T14" s="10"/>
    </row>
    <row r="15" spans="1:20" ht="24" customHeight="1" x14ac:dyDescent="0.35">
      <c r="A15" s="21">
        <v>8</v>
      </c>
      <c r="B15" s="22">
        <v>44994</v>
      </c>
      <c r="C15" s="23" t="s">
        <v>728</v>
      </c>
      <c r="D15" s="24" t="s">
        <v>759</v>
      </c>
      <c r="E15" s="23" t="s">
        <v>106</v>
      </c>
      <c r="F15" s="25"/>
      <c r="G15" s="71">
        <v>85</v>
      </c>
      <c r="H15" s="71">
        <f t="shared" si="0"/>
        <v>1721250</v>
      </c>
      <c r="I15" s="72"/>
      <c r="J15" s="59">
        <v>790000</v>
      </c>
      <c r="K15" s="73"/>
      <c r="L15" s="27"/>
      <c r="M15" s="26"/>
      <c r="N15" s="26"/>
      <c r="O15" s="26">
        <f t="shared" si="1"/>
        <v>2511250</v>
      </c>
      <c r="P15" s="26">
        <v>4747272</v>
      </c>
      <c r="Q15" s="26">
        <f t="shared" si="2"/>
        <v>2236022</v>
      </c>
      <c r="R15" s="46"/>
      <c r="S15" s="10"/>
      <c r="T15" s="10"/>
    </row>
    <row r="16" spans="1:20" ht="24" customHeight="1" x14ac:dyDescent="0.35">
      <c r="A16" s="21">
        <v>9</v>
      </c>
      <c r="B16" s="22">
        <v>44996</v>
      </c>
      <c r="C16" s="23" t="s">
        <v>729</v>
      </c>
      <c r="D16" s="24" t="s">
        <v>760</v>
      </c>
      <c r="E16" s="23" t="s">
        <v>745</v>
      </c>
      <c r="F16" s="25"/>
      <c r="G16" s="71">
        <v>112</v>
      </c>
      <c r="H16" s="71">
        <f t="shared" si="0"/>
        <v>2268000</v>
      </c>
      <c r="I16" s="72"/>
      <c r="J16" s="59">
        <v>710000</v>
      </c>
      <c r="K16" s="73"/>
      <c r="L16" s="27"/>
      <c r="M16" s="26"/>
      <c r="N16" s="26"/>
      <c r="O16" s="26">
        <f t="shared" si="1"/>
        <v>2978000</v>
      </c>
      <c r="P16" s="26">
        <v>4100000</v>
      </c>
      <c r="Q16" s="26">
        <f t="shared" si="2"/>
        <v>1122000</v>
      </c>
      <c r="R16" s="46"/>
      <c r="S16" s="10"/>
      <c r="T16" s="10"/>
    </row>
    <row r="17" spans="1:20" ht="24" customHeight="1" x14ac:dyDescent="0.35">
      <c r="A17" s="21">
        <v>10</v>
      </c>
      <c r="B17" s="22">
        <v>44997</v>
      </c>
      <c r="C17" s="23" t="s">
        <v>730</v>
      </c>
      <c r="D17" s="24" t="s">
        <v>761</v>
      </c>
      <c r="E17" s="23" t="s">
        <v>522</v>
      </c>
      <c r="F17" s="25"/>
      <c r="G17" s="71">
        <v>106</v>
      </c>
      <c r="H17" s="71">
        <f>G17*20250-19*20250</f>
        <v>1761750</v>
      </c>
      <c r="I17" s="72"/>
      <c r="J17" s="59">
        <v>790000</v>
      </c>
      <c r="K17" s="73"/>
      <c r="L17" s="27"/>
      <c r="M17" s="26"/>
      <c r="N17" s="26"/>
      <c r="O17" s="26">
        <f t="shared" si="1"/>
        <v>2551750</v>
      </c>
      <c r="P17" s="26">
        <v>4900000</v>
      </c>
      <c r="Q17" s="26">
        <f t="shared" si="2"/>
        <v>2348250</v>
      </c>
      <c r="R17" s="46"/>
      <c r="S17" s="10"/>
      <c r="T17" s="10"/>
    </row>
    <row r="18" spans="1:20" ht="24" customHeight="1" x14ac:dyDescent="0.35">
      <c r="A18" s="21">
        <v>11</v>
      </c>
      <c r="B18" s="22">
        <v>44999</v>
      </c>
      <c r="C18" s="23" t="s">
        <v>731</v>
      </c>
      <c r="D18" s="24" t="s">
        <v>762</v>
      </c>
      <c r="E18" s="23" t="s">
        <v>746</v>
      </c>
      <c r="F18" s="25"/>
      <c r="G18" s="71">
        <v>84</v>
      </c>
      <c r="H18" s="71">
        <f>G18*20500+19*20500</f>
        <v>2111500</v>
      </c>
      <c r="I18" s="72"/>
      <c r="J18" s="59">
        <v>430000</v>
      </c>
      <c r="K18" s="73"/>
      <c r="L18" s="27"/>
      <c r="M18" s="26"/>
      <c r="N18" s="26"/>
      <c r="O18" s="26">
        <f t="shared" si="1"/>
        <v>2541500</v>
      </c>
      <c r="P18" s="26">
        <v>3800000</v>
      </c>
      <c r="Q18" s="26">
        <f t="shared" si="2"/>
        <v>1258500</v>
      </c>
      <c r="R18" s="46"/>
      <c r="S18" s="10"/>
      <c r="T18" s="10"/>
    </row>
    <row r="19" spans="1:20" ht="24" customHeight="1" x14ac:dyDescent="0.35">
      <c r="A19" s="21">
        <v>12</v>
      </c>
      <c r="B19" s="22">
        <v>45000</v>
      </c>
      <c r="C19" s="23" t="s">
        <v>732</v>
      </c>
      <c r="D19" s="24" t="s">
        <v>763</v>
      </c>
      <c r="E19" s="23" t="s">
        <v>431</v>
      </c>
      <c r="F19" s="25"/>
      <c r="G19" s="71">
        <v>124</v>
      </c>
      <c r="H19" s="71">
        <f>G19*20500</f>
        <v>2542000</v>
      </c>
      <c r="I19" s="72"/>
      <c r="J19" s="59">
        <v>790000</v>
      </c>
      <c r="K19" s="73"/>
      <c r="L19" s="27"/>
      <c r="M19" s="26"/>
      <c r="N19" s="26"/>
      <c r="O19" s="26">
        <f t="shared" si="1"/>
        <v>3332000</v>
      </c>
      <c r="P19" s="26">
        <v>5363636</v>
      </c>
      <c r="Q19" s="26">
        <f t="shared" si="2"/>
        <v>2031636</v>
      </c>
      <c r="R19" s="46"/>
      <c r="S19" s="10"/>
      <c r="T19" s="10"/>
    </row>
    <row r="20" spans="1:20" ht="24" customHeight="1" x14ac:dyDescent="0.35">
      <c r="A20" s="21">
        <v>13</v>
      </c>
      <c r="B20" s="22">
        <v>45002</v>
      </c>
      <c r="C20" s="23" t="s">
        <v>733</v>
      </c>
      <c r="D20" s="24" t="s">
        <v>764</v>
      </c>
      <c r="E20" s="23" t="s">
        <v>747</v>
      </c>
      <c r="F20" s="25"/>
      <c r="G20" s="71">
        <v>124</v>
      </c>
      <c r="H20" s="71">
        <f t="shared" ref="H20:H21" si="3">G20*20500</f>
        <v>2542000</v>
      </c>
      <c r="I20" s="72"/>
      <c r="J20" s="59">
        <v>830000</v>
      </c>
      <c r="K20" s="73"/>
      <c r="L20" s="27"/>
      <c r="M20" s="26"/>
      <c r="N20" s="26"/>
      <c r="O20" s="26">
        <f t="shared" si="1"/>
        <v>3372000</v>
      </c>
      <c r="P20" s="26">
        <v>4900000</v>
      </c>
      <c r="Q20" s="26">
        <f t="shared" si="2"/>
        <v>1528000</v>
      </c>
      <c r="R20" s="46"/>
      <c r="S20" s="10"/>
      <c r="T20" s="10"/>
    </row>
    <row r="21" spans="1:20" ht="24" customHeight="1" x14ac:dyDescent="0.35">
      <c r="A21" s="21">
        <v>14</v>
      </c>
      <c r="B21" s="22">
        <v>45003</v>
      </c>
      <c r="C21" s="23" t="s">
        <v>734</v>
      </c>
      <c r="D21" s="24" t="s">
        <v>765</v>
      </c>
      <c r="E21" s="23" t="s">
        <v>227</v>
      </c>
      <c r="F21" s="25"/>
      <c r="G21" s="71">
        <v>180</v>
      </c>
      <c r="H21" s="71">
        <f t="shared" si="3"/>
        <v>3690000</v>
      </c>
      <c r="I21" s="72"/>
      <c r="J21" s="59">
        <v>1530000</v>
      </c>
      <c r="K21" s="73"/>
      <c r="L21" s="27"/>
      <c r="M21" s="26"/>
      <c r="N21" s="26"/>
      <c r="O21" s="26">
        <f t="shared" si="1"/>
        <v>5220000</v>
      </c>
      <c r="P21" s="26">
        <v>8509091</v>
      </c>
      <c r="Q21" s="26">
        <f t="shared" si="2"/>
        <v>3289091</v>
      </c>
      <c r="R21" s="46"/>
      <c r="S21" s="10"/>
      <c r="T21" s="10"/>
    </row>
    <row r="22" spans="1:20" ht="24" customHeight="1" x14ac:dyDescent="0.35">
      <c r="A22" s="21">
        <v>15</v>
      </c>
      <c r="B22" s="22">
        <v>45006</v>
      </c>
      <c r="C22" s="23" t="s">
        <v>49</v>
      </c>
      <c r="D22" s="24" t="s">
        <v>766</v>
      </c>
      <c r="E22" s="23" t="s">
        <v>748</v>
      </c>
      <c r="F22" s="25"/>
      <c r="G22" s="71">
        <v>100</v>
      </c>
      <c r="H22" s="71">
        <f>G22*20500-13*20500</f>
        <v>1783500</v>
      </c>
      <c r="I22" s="72"/>
      <c r="J22" s="59">
        <v>790000</v>
      </c>
      <c r="K22" s="73"/>
      <c r="L22" s="27"/>
      <c r="M22" s="26"/>
      <c r="N22" s="26"/>
      <c r="O22" s="26">
        <f t="shared" si="1"/>
        <v>2573500</v>
      </c>
      <c r="P22" s="26">
        <v>4200000</v>
      </c>
      <c r="Q22" s="26">
        <f t="shared" si="2"/>
        <v>1626500</v>
      </c>
      <c r="R22" s="46"/>
      <c r="S22" s="10"/>
      <c r="T22" s="10"/>
    </row>
    <row r="23" spans="1:20" ht="24" customHeight="1" x14ac:dyDescent="0.35">
      <c r="A23" s="21">
        <v>16</v>
      </c>
      <c r="B23" s="22">
        <v>45006</v>
      </c>
      <c r="C23" s="23" t="s">
        <v>735</v>
      </c>
      <c r="D23" s="24" t="s">
        <v>767</v>
      </c>
      <c r="E23" s="23" t="s">
        <v>749</v>
      </c>
      <c r="F23" s="25"/>
      <c r="G23" s="71">
        <v>88</v>
      </c>
      <c r="H23" s="71">
        <f>G23*19300+13*19300</f>
        <v>1949300</v>
      </c>
      <c r="I23" s="72"/>
      <c r="J23" s="59">
        <v>790000</v>
      </c>
      <c r="K23" s="73"/>
      <c r="L23" s="27"/>
      <c r="M23" s="26"/>
      <c r="N23" s="26"/>
      <c r="O23" s="26">
        <f t="shared" si="1"/>
        <v>2739300</v>
      </c>
      <c r="P23" s="26">
        <v>4200000</v>
      </c>
      <c r="Q23" s="26">
        <f t="shared" si="2"/>
        <v>1460700</v>
      </c>
      <c r="R23" s="46"/>
      <c r="S23" s="10"/>
      <c r="T23" s="10"/>
    </row>
    <row r="24" spans="1:20" ht="24" customHeight="1" x14ac:dyDescent="0.35">
      <c r="A24" s="21">
        <v>17</v>
      </c>
      <c r="B24" s="22">
        <v>45007</v>
      </c>
      <c r="C24" s="23" t="s">
        <v>736</v>
      </c>
      <c r="D24" s="24" t="s">
        <v>768</v>
      </c>
      <c r="E24" s="23" t="s">
        <v>243</v>
      </c>
      <c r="F24" s="25"/>
      <c r="G24" s="71">
        <v>180</v>
      </c>
      <c r="H24" s="71">
        <f>G24*19300</f>
        <v>3474000</v>
      </c>
      <c r="I24" s="72"/>
      <c r="J24" s="59">
        <v>1710000</v>
      </c>
      <c r="K24" s="73"/>
      <c r="L24" s="27"/>
      <c r="M24" s="26"/>
      <c r="N24" s="26"/>
      <c r="O24" s="26">
        <f t="shared" si="1"/>
        <v>5184000</v>
      </c>
      <c r="P24" s="26">
        <v>10227273</v>
      </c>
      <c r="Q24" s="26">
        <f t="shared" si="2"/>
        <v>5043273</v>
      </c>
      <c r="R24" s="46"/>
      <c r="S24" s="10"/>
      <c r="T24" s="10"/>
    </row>
    <row r="25" spans="1:20" ht="24" customHeight="1" x14ac:dyDescent="0.35">
      <c r="A25" s="21">
        <v>18</v>
      </c>
      <c r="B25" s="22">
        <v>45007</v>
      </c>
      <c r="C25" s="23" t="s">
        <v>737</v>
      </c>
      <c r="D25" s="24" t="s">
        <v>769</v>
      </c>
      <c r="E25" s="23" t="s">
        <v>43</v>
      </c>
      <c r="F25" s="25"/>
      <c r="G25" s="71">
        <v>69</v>
      </c>
      <c r="H25" s="71">
        <f t="shared" ref="H25:H30" si="4">G25*19300</f>
        <v>1331700</v>
      </c>
      <c r="I25" s="72"/>
      <c r="J25" s="59">
        <v>790000</v>
      </c>
      <c r="K25" s="73"/>
      <c r="L25" s="27"/>
      <c r="M25" s="26"/>
      <c r="N25" s="26"/>
      <c r="O25" s="26">
        <f t="shared" si="1"/>
        <v>2121700</v>
      </c>
      <c r="P25" s="26">
        <v>3800000</v>
      </c>
      <c r="Q25" s="26">
        <f t="shared" si="2"/>
        <v>1678300</v>
      </c>
      <c r="R25" s="46"/>
      <c r="S25" s="10"/>
      <c r="T25" s="10"/>
    </row>
    <row r="26" spans="1:20" ht="24" customHeight="1" x14ac:dyDescent="0.35">
      <c r="A26" s="21">
        <v>19</v>
      </c>
      <c r="B26" s="22">
        <v>45010</v>
      </c>
      <c r="C26" s="23" t="s">
        <v>738</v>
      </c>
      <c r="D26" s="24" t="s">
        <v>770</v>
      </c>
      <c r="E26" s="23" t="s">
        <v>748</v>
      </c>
      <c r="F26" s="25"/>
      <c r="G26" s="71">
        <v>100</v>
      </c>
      <c r="H26" s="71">
        <f t="shared" si="4"/>
        <v>1930000</v>
      </c>
      <c r="I26" s="72"/>
      <c r="J26" s="59">
        <v>790000</v>
      </c>
      <c r="K26" s="73"/>
      <c r="L26" s="27"/>
      <c r="M26" s="26"/>
      <c r="N26" s="26"/>
      <c r="O26" s="26">
        <f t="shared" si="1"/>
        <v>2720000</v>
      </c>
      <c r="P26" s="26">
        <v>4150000</v>
      </c>
      <c r="Q26" s="26">
        <f t="shared" si="2"/>
        <v>1430000</v>
      </c>
      <c r="R26" s="46"/>
      <c r="S26" s="10"/>
      <c r="T26" s="10"/>
    </row>
    <row r="27" spans="1:20" ht="24" customHeight="1" x14ac:dyDescent="0.35">
      <c r="A27" s="21">
        <v>20</v>
      </c>
      <c r="B27" s="22">
        <v>45012</v>
      </c>
      <c r="C27" s="23" t="s">
        <v>739</v>
      </c>
      <c r="D27" s="24" t="s">
        <v>771</v>
      </c>
      <c r="E27" s="23" t="s">
        <v>522</v>
      </c>
      <c r="F27" s="25"/>
      <c r="G27" s="71">
        <v>106</v>
      </c>
      <c r="H27" s="71">
        <f t="shared" si="4"/>
        <v>2045800</v>
      </c>
      <c r="I27" s="72"/>
      <c r="J27" s="59">
        <v>790000</v>
      </c>
      <c r="K27" s="73"/>
      <c r="L27" s="27"/>
      <c r="M27" s="26"/>
      <c r="N27" s="26"/>
      <c r="O27" s="26">
        <f t="shared" si="1"/>
        <v>2835800</v>
      </c>
      <c r="P27" s="26">
        <v>4900000</v>
      </c>
      <c r="Q27" s="26">
        <f t="shared" si="2"/>
        <v>2064200</v>
      </c>
      <c r="R27" s="46"/>
      <c r="S27" s="10"/>
      <c r="T27" s="10"/>
    </row>
    <row r="28" spans="1:20" ht="24" customHeight="1" x14ac:dyDescent="0.35">
      <c r="A28" s="21">
        <v>21</v>
      </c>
      <c r="B28" s="22">
        <v>45013</v>
      </c>
      <c r="C28" s="23" t="s">
        <v>740</v>
      </c>
      <c r="D28" s="24" t="s">
        <v>772</v>
      </c>
      <c r="E28" s="23" t="s">
        <v>106</v>
      </c>
      <c r="F28" s="25"/>
      <c r="G28" s="71">
        <v>85</v>
      </c>
      <c r="H28" s="71">
        <f t="shared" si="4"/>
        <v>1640500</v>
      </c>
      <c r="I28" s="72"/>
      <c r="J28" s="59">
        <v>790000</v>
      </c>
      <c r="K28" s="73"/>
      <c r="L28" s="27"/>
      <c r="M28" s="26"/>
      <c r="N28" s="26"/>
      <c r="O28" s="26">
        <f t="shared" si="1"/>
        <v>2430500</v>
      </c>
      <c r="P28" s="26">
        <v>4597273</v>
      </c>
      <c r="Q28" s="26">
        <f t="shared" si="2"/>
        <v>2166773</v>
      </c>
      <c r="R28" s="46"/>
      <c r="S28" s="10"/>
      <c r="T28" s="10"/>
    </row>
    <row r="29" spans="1:20" ht="24" customHeight="1" x14ac:dyDescent="0.35">
      <c r="A29" s="21">
        <v>22</v>
      </c>
      <c r="B29" s="22">
        <v>45013</v>
      </c>
      <c r="C29" s="23" t="s">
        <v>741</v>
      </c>
      <c r="D29" s="24" t="s">
        <v>773</v>
      </c>
      <c r="E29" s="23" t="s">
        <v>750</v>
      </c>
      <c r="F29" s="25"/>
      <c r="G29" s="71">
        <v>87</v>
      </c>
      <c r="H29" s="71">
        <f t="shared" si="4"/>
        <v>1679100</v>
      </c>
      <c r="I29" s="72"/>
      <c r="J29" s="59">
        <v>1290000</v>
      </c>
      <c r="K29" s="73"/>
      <c r="L29" s="27"/>
      <c r="M29" s="26"/>
      <c r="N29" s="26"/>
      <c r="O29" s="26">
        <f t="shared" si="1"/>
        <v>2969100</v>
      </c>
      <c r="P29" s="26">
        <v>3050000</v>
      </c>
      <c r="Q29" s="26">
        <f t="shared" si="2"/>
        <v>80900</v>
      </c>
      <c r="R29" s="46"/>
      <c r="S29" s="10"/>
      <c r="T29" s="10"/>
    </row>
    <row r="30" spans="1:20" ht="24" customHeight="1" x14ac:dyDescent="0.35">
      <c r="A30" s="21">
        <v>23</v>
      </c>
      <c r="B30" s="22">
        <v>45014</v>
      </c>
      <c r="C30" s="23" t="s">
        <v>742</v>
      </c>
      <c r="D30" s="24" t="s">
        <v>773</v>
      </c>
      <c r="E30" s="23" t="s">
        <v>751</v>
      </c>
      <c r="F30" s="25"/>
      <c r="G30" s="71"/>
      <c r="H30" s="71">
        <f t="shared" si="4"/>
        <v>0</v>
      </c>
      <c r="I30" s="72"/>
      <c r="J30" s="71"/>
      <c r="K30" s="73"/>
      <c r="L30" s="27"/>
      <c r="M30" s="26"/>
      <c r="N30" s="26"/>
      <c r="O30" s="26">
        <f t="shared" si="1"/>
        <v>0</v>
      </c>
      <c r="P30" s="26">
        <v>3700000</v>
      </c>
      <c r="Q30" s="26">
        <f t="shared" si="2"/>
        <v>3700000</v>
      </c>
      <c r="R30" s="46"/>
      <c r="S30" s="10"/>
      <c r="T30" s="10"/>
    </row>
    <row r="31" spans="1:20" ht="24" customHeight="1" x14ac:dyDescent="0.35">
      <c r="A31" s="21"/>
      <c r="B31" s="22"/>
      <c r="C31" s="68"/>
      <c r="D31" s="64"/>
      <c r="E31" s="69"/>
      <c r="F31" s="86"/>
      <c r="G31" s="71"/>
      <c r="H31" s="71"/>
      <c r="I31" s="72"/>
      <c r="J31" s="71"/>
      <c r="K31" s="73"/>
      <c r="L31" s="27"/>
      <c r="M31" s="26"/>
      <c r="N31" s="26"/>
      <c r="O31" s="26"/>
      <c r="P31" s="26"/>
      <c r="Q31" s="26"/>
      <c r="R31" s="46"/>
      <c r="S31" s="10"/>
      <c r="T31" s="10"/>
    </row>
    <row r="32" spans="1:20" ht="24" customHeight="1" x14ac:dyDescent="0.35">
      <c r="A32" s="21"/>
      <c r="B32" s="22"/>
      <c r="C32" s="139" t="s">
        <v>774</v>
      </c>
      <c r="D32" s="140"/>
      <c r="E32" s="140"/>
      <c r="F32" s="63"/>
      <c r="G32" s="51"/>
      <c r="H32" s="51"/>
      <c r="I32" s="52"/>
      <c r="J32" s="51"/>
      <c r="K32" s="51"/>
      <c r="L32" s="61">
        <v>1815000</v>
      </c>
      <c r="M32" s="26"/>
      <c r="N32" s="26"/>
      <c r="O32" s="26">
        <f t="shared" ref="O32:O35" si="5">SUM(K32:N32)</f>
        <v>1815000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775</v>
      </c>
      <c r="D33" s="140"/>
      <c r="E33" s="140"/>
      <c r="F33" s="63"/>
      <c r="G33" s="51"/>
      <c r="H33" s="51"/>
      <c r="I33" s="52"/>
      <c r="J33" s="51"/>
      <c r="K33" s="51"/>
      <c r="L33" s="61">
        <v>1800000</v>
      </c>
      <c r="M33" s="53"/>
      <c r="N33" s="53"/>
      <c r="O33" s="26">
        <f t="shared" si="5"/>
        <v>1800000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776</v>
      </c>
      <c r="D34" s="140"/>
      <c r="E34" s="140"/>
      <c r="F34" s="63"/>
      <c r="G34" s="51"/>
      <c r="H34" s="51"/>
      <c r="I34" s="52"/>
      <c r="J34" s="51"/>
      <c r="K34" s="51"/>
      <c r="L34" s="61">
        <v>400000</v>
      </c>
      <c r="M34" s="53"/>
      <c r="N34" s="53"/>
      <c r="O34" s="26">
        <f t="shared" si="5"/>
        <v>400000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777</v>
      </c>
      <c r="D35" s="140"/>
      <c r="E35" s="140"/>
      <c r="F35" s="63"/>
      <c r="G35" s="51"/>
      <c r="H35" s="51"/>
      <c r="I35" s="52"/>
      <c r="J35" s="51"/>
      <c r="K35" s="51"/>
      <c r="L35" s="61">
        <v>3240000</v>
      </c>
      <c r="M35" s="53"/>
      <c r="N35" s="53"/>
      <c r="O35" s="26">
        <f t="shared" si="5"/>
        <v>3240000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391</v>
      </c>
      <c r="D36" s="140"/>
      <c r="E36" s="140"/>
      <c r="F36" s="141"/>
      <c r="G36" s="51"/>
      <c r="H36" s="51"/>
      <c r="I36" s="52"/>
      <c r="J36" s="51"/>
      <c r="K36" s="61">
        <v>8334000</v>
      </c>
      <c r="L36" s="51"/>
      <c r="M36" s="53"/>
      <c r="N36" s="53"/>
      <c r="O36" s="26">
        <f t="shared" ref="O36:O37" si="6">SUM(K36:N36)</f>
        <v>8334000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1034</v>
      </c>
      <c r="D37" s="140"/>
      <c r="E37" s="140"/>
      <c r="F37" s="141"/>
      <c r="G37" s="51"/>
      <c r="H37" s="51"/>
      <c r="I37" s="52"/>
      <c r="J37" s="51"/>
      <c r="K37" s="51"/>
      <c r="L37" s="61">
        <v>200000</v>
      </c>
      <c r="M37" s="53"/>
      <c r="N37" s="53"/>
      <c r="O37" s="26">
        <f t="shared" si="6"/>
        <v>200000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5"/>
      <c r="C38" s="139" t="s">
        <v>390</v>
      </c>
      <c r="D38" s="140"/>
      <c r="E38" s="140"/>
      <c r="F38" s="141"/>
      <c r="G38" s="54"/>
      <c r="H38" s="53"/>
      <c r="I38" s="54"/>
      <c r="J38" s="53"/>
      <c r="K38" s="61">
        <v>8300000</v>
      </c>
      <c r="L38" s="53"/>
      <c r="M38" s="53"/>
      <c r="N38" s="53"/>
      <c r="O38" s="26">
        <f t="shared" si="1"/>
        <v>8300000</v>
      </c>
      <c r="P38" s="26"/>
      <c r="Q38" s="26"/>
      <c r="R38" s="48"/>
    </row>
    <row r="39" spans="1:20" ht="24" customHeight="1" x14ac:dyDescent="0.35">
      <c r="A39" s="25"/>
      <c r="B39" s="31"/>
      <c r="C39" s="142" t="s">
        <v>44</v>
      </c>
      <c r="D39" s="143"/>
      <c r="E39" s="143"/>
      <c r="F39" s="144"/>
      <c r="G39" s="54"/>
      <c r="H39" s="53"/>
      <c r="I39" s="54"/>
      <c r="J39" s="53"/>
      <c r="K39" s="51"/>
      <c r="L39" s="61">
        <v>1200000</v>
      </c>
      <c r="M39" s="51"/>
      <c r="N39" s="51"/>
      <c r="O39" s="26">
        <f t="shared" si="1"/>
        <v>1200000</v>
      </c>
      <c r="P39" s="26"/>
      <c r="Q39" s="32"/>
      <c r="R39" s="48"/>
    </row>
    <row r="40" spans="1:20" ht="24" customHeight="1" x14ac:dyDescent="0.35">
      <c r="A40" s="136" t="s">
        <v>45</v>
      </c>
      <c r="B40" s="137"/>
      <c r="C40" s="137"/>
      <c r="D40" s="137"/>
      <c r="E40" s="137"/>
      <c r="F40" s="138"/>
      <c r="G40" s="33">
        <f>SUM(G8:G39)</f>
        <v>2452</v>
      </c>
      <c r="H40" s="34">
        <f t="shared" ref="H40:N40" si="7">SUM(H7:H39)</f>
        <v>49115900</v>
      </c>
      <c r="I40" s="34">
        <f t="shared" si="7"/>
        <v>0</v>
      </c>
      <c r="J40" s="34">
        <f t="shared" si="7"/>
        <v>19940000</v>
      </c>
      <c r="K40" s="34">
        <f t="shared" si="7"/>
        <v>16634000</v>
      </c>
      <c r="L40" s="34">
        <f t="shared" si="7"/>
        <v>8655000</v>
      </c>
      <c r="M40" s="34">
        <f t="shared" si="7"/>
        <v>0</v>
      </c>
      <c r="N40" s="34">
        <f t="shared" si="7"/>
        <v>0</v>
      </c>
      <c r="O40" s="34">
        <f>SUM(O8:O39)</f>
        <v>94344900</v>
      </c>
      <c r="P40" s="75">
        <f>SUM(P8:P39)</f>
        <v>117071817</v>
      </c>
      <c r="Q40" s="34">
        <f>P40-O40</f>
        <v>22726917</v>
      </c>
      <c r="R40" s="50"/>
    </row>
    <row r="41" spans="1:20" x14ac:dyDescent="0.35">
      <c r="O41" s="35"/>
      <c r="Q41" s="36"/>
    </row>
    <row r="42" spans="1:20" x14ac:dyDescent="0.35">
      <c r="O42" s="37"/>
      <c r="P42" s="38" t="s">
        <v>46</v>
      </c>
      <c r="Q42" s="39">
        <f>'02.2023'!Q45+'03.2023'!Q40</f>
        <v>15225549.923076928</v>
      </c>
    </row>
    <row r="43" spans="1:20" x14ac:dyDescent="0.35">
      <c r="O43" s="37"/>
      <c r="P43" s="38"/>
      <c r="Q43" s="39"/>
    </row>
    <row r="44" spans="1:20" x14ac:dyDescent="0.35">
      <c r="O44" s="37"/>
      <c r="P44" s="38"/>
      <c r="Q44" s="39"/>
    </row>
    <row r="45" spans="1:20" x14ac:dyDescent="0.35">
      <c r="P45" s="37"/>
      <c r="Q45" s="37"/>
      <c r="R45" s="50"/>
    </row>
    <row r="46" spans="1:20" x14ac:dyDescent="0.35">
      <c r="B46" s="8"/>
    </row>
    <row r="47" spans="1:20" x14ac:dyDescent="0.35">
      <c r="B47" s="8"/>
    </row>
    <row r="48" spans="1:20" x14ac:dyDescent="0.35">
      <c r="B48" s="8"/>
    </row>
    <row r="49" s="8" customFormat="1" x14ac:dyDescent="0.35"/>
  </sheetData>
  <mergeCells count="28"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  <mergeCell ref="C34:E34"/>
    <mergeCell ref="I5:I6"/>
    <mergeCell ref="J5:J6"/>
    <mergeCell ref="K5:K6"/>
    <mergeCell ref="L5:L6"/>
    <mergeCell ref="C32:E32"/>
    <mergeCell ref="C33:E33"/>
    <mergeCell ref="A40:F40"/>
    <mergeCell ref="C36:F36"/>
    <mergeCell ref="C38:F38"/>
    <mergeCell ref="C39:F39"/>
    <mergeCell ref="C35:E35"/>
    <mergeCell ref="C37:F37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BA95-7011-4F86-9240-C2B557A03095}">
  <dimension ref="A1:T53"/>
  <sheetViews>
    <sheetView topLeftCell="D33" workbookViewId="0">
      <selection activeCell="P41" sqref="P41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779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87"/>
      <c r="B7" s="88"/>
      <c r="C7" s="89"/>
      <c r="D7" s="90"/>
      <c r="E7" s="90"/>
      <c r="F7" s="91"/>
      <c r="G7" s="92"/>
      <c r="H7" s="93"/>
      <c r="I7" s="93"/>
      <c r="J7" s="94"/>
      <c r="K7" s="94"/>
      <c r="L7" s="94"/>
      <c r="M7" s="94"/>
      <c r="N7" s="94"/>
      <c r="O7" s="92"/>
      <c r="P7" s="92"/>
      <c r="Q7" s="92"/>
      <c r="R7" s="44"/>
    </row>
    <row r="8" spans="1:20" ht="24" customHeight="1" x14ac:dyDescent="0.35">
      <c r="A8" s="95">
        <v>1</v>
      </c>
      <c r="B8" s="96">
        <v>45016</v>
      </c>
      <c r="C8" s="97" t="s">
        <v>979</v>
      </c>
      <c r="D8" s="98" t="s">
        <v>999</v>
      </c>
      <c r="E8" s="97" t="s">
        <v>1022</v>
      </c>
      <c r="F8" s="99"/>
      <c r="G8" s="100">
        <v>160</v>
      </c>
      <c r="H8" s="100">
        <f>G8*19300</f>
        <v>3088000</v>
      </c>
      <c r="I8" s="101"/>
      <c r="J8" s="109">
        <v>1130000</v>
      </c>
      <c r="K8" s="102"/>
      <c r="L8" s="103"/>
      <c r="M8" s="104"/>
      <c r="N8" s="104"/>
      <c r="O8" s="104">
        <f>H8+J8+K8+L8+M8+N8</f>
        <v>4218000</v>
      </c>
      <c r="P8" s="104">
        <v>6850000</v>
      </c>
      <c r="Q8" s="104">
        <f>P8-O8</f>
        <v>2632000</v>
      </c>
      <c r="R8" s="46"/>
      <c r="S8" s="10"/>
      <c r="T8" s="10"/>
    </row>
    <row r="9" spans="1:20" ht="24" customHeight="1" x14ac:dyDescent="0.35">
      <c r="A9" s="21">
        <v>2</v>
      </c>
      <c r="B9" s="22">
        <v>45019</v>
      </c>
      <c r="C9" s="23" t="s">
        <v>980</v>
      </c>
      <c r="D9" s="24" t="s">
        <v>1000</v>
      </c>
      <c r="E9" s="23" t="s">
        <v>372</v>
      </c>
      <c r="F9" s="25"/>
      <c r="G9" s="71">
        <v>378</v>
      </c>
      <c r="H9" s="71">
        <f>G9*19430</f>
        <v>7344540</v>
      </c>
      <c r="I9" s="72"/>
      <c r="J9" s="59">
        <v>2970000</v>
      </c>
      <c r="K9" s="73"/>
      <c r="L9" s="27"/>
      <c r="M9" s="26"/>
      <c r="N9" s="26"/>
      <c r="O9" s="26">
        <f t="shared" ref="O9:O30" si="0">H9+J9+K9+L9+M9+N9</f>
        <v>10314540</v>
      </c>
      <c r="P9" s="26">
        <v>20250000</v>
      </c>
      <c r="Q9" s="26">
        <f t="shared" ref="Q9:Q30" si="1">P9-O9</f>
        <v>9935460</v>
      </c>
      <c r="R9" s="46"/>
      <c r="S9" s="10"/>
      <c r="T9" s="10"/>
    </row>
    <row r="10" spans="1:20" ht="24" customHeight="1" x14ac:dyDescent="0.35">
      <c r="A10" s="21">
        <v>3</v>
      </c>
      <c r="B10" s="22">
        <v>45020</v>
      </c>
      <c r="C10" s="23" t="s">
        <v>981</v>
      </c>
      <c r="D10" s="24" t="s">
        <v>1001</v>
      </c>
      <c r="E10" s="23" t="s">
        <v>244</v>
      </c>
      <c r="F10" s="25"/>
      <c r="G10" s="71">
        <v>62</v>
      </c>
      <c r="H10" s="71">
        <f t="shared" ref="H10:H13" si="2">G10*19430</f>
        <v>1204660</v>
      </c>
      <c r="I10" s="72"/>
      <c r="J10" s="59">
        <v>430000</v>
      </c>
      <c r="K10" s="73"/>
      <c r="L10" s="27"/>
      <c r="M10" s="26"/>
      <c r="N10" s="26"/>
      <c r="O10" s="26">
        <f t="shared" si="0"/>
        <v>1634660</v>
      </c>
      <c r="P10" s="26">
        <v>3290000</v>
      </c>
      <c r="Q10" s="26">
        <f t="shared" si="1"/>
        <v>1655340</v>
      </c>
      <c r="R10" s="46"/>
      <c r="S10" s="10"/>
      <c r="T10" s="10"/>
    </row>
    <row r="11" spans="1:20" ht="24" customHeight="1" x14ac:dyDescent="0.35">
      <c r="A11" s="21">
        <v>4</v>
      </c>
      <c r="B11" s="22">
        <v>45021</v>
      </c>
      <c r="C11" s="23" t="s">
        <v>982</v>
      </c>
      <c r="D11" s="24" t="s">
        <v>1002</v>
      </c>
      <c r="E11" s="23" t="s">
        <v>748</v>
      </c>
      <c r="F11" s="25"/>
      <c r="G11" s="71">
        <v>100</v>
      </c>
      <c r="H11" s="71">
        <f t="shared" si="2"/>
        <v>1943000</v>
      </c>
      <c r="I11" s="72"/>
      <c r="J11" s="59">
        <v>790000</v>
      </c>
      <c r="K11" s="73"/>
      <c r="L11" s="27"/>
      <c r="M11" s="26"/>
      <c r="N11" s="26"/>
      <c r="O11" s="26">
        <f t="shared" si="0"/>
        <v>2733000</v>
      </c>
      <c r="P11" s="26">
        <v>4150000</v>
      </c>
      <c r="Q11" s="26">
        <f t="shared" si="1"/>
        <v>1417000</v>
      </c>
      <c r="R11" s="46"/>
      <c r="S11" s="10"/>
      <c r="T11" s="10"/>
    </row>
    <row r="12" spans="1:20" ht="24" customHeight="1" x14ac:dyDescent="0.35">
      <c r="A12" s="21">
        <v>5</v>
      </c>
      <c r="B12" s="22">
        <v>45022</v>
      </c>
      <c r="C12" s="23" t="s">
        <v>983</v>
      </c>
      <c r="D12" s="24" t="s">
        <v>1003</v>
      </c>
      <c r="E12" s="23" t="s">
        <v>976</v>
      </c>
      <c r="F12" s="25"/>
      <c r="G12" s="71">
        <v>54</v>
      </c>
      <c r="H12" s="71">
        <f t="shared" si="2"/>
        <v>1049220</v>
      </c>
      <c r="I12" s="72"/>
      <c r="J12" s="59">
        <v>340000</v>
      </c>
      <c r="K12" s="73"/>
      <c r="L12" s="27"/>
      <c r="M12" s="26"/>
      <c r="N12" s="26"/>
      <c r="O12" s="26">
        <f>H12+J12+K12+L12+M12+N12</f>
        <v>1389220</v>
      </c>
      <c r="P12" s="26">
        <v>3100000</v>
      </c>
      <c r="Q12" s="26">
        <f t="shared" si="1"/>
        <v>1710780</v>
      </c>
      <c r="R12" s="46"/>
      <c r="S12" s="10"/>
      <c r="T12" s="10"/>
    </row>
    <row r="13" spans="1:20" ht="24" customHeight="1" x14ac:dyDescent="0.35">
      <c r="A13" s="21">
        <v>6</v>
      </c>
      <c r="B13" s="22">
        <v>45024</v>
      </c>
      <c r="C13" s="23" t="s">
        <v>84</v>
      </c>
      <c r="D13" s="24" t="s">
        <v>1004</v>
      </c>
      <c r="E13" s="23" t="s">
        <v>976</v>
      </c>
      <c r="F13" s="25"/>
      <c r="G13" s="26">
        <v>54</v>
      </c>
      <c r="H13" s="71">
        <f t="shared" si="2"/>
        <v>1049220</v>
      </c>
      <c r="I13" s="72"/>
      <c r="J13" s="59">
        <v>340000</v>
      </c>
      <c r="K13" s="73"/>
      <c r="L13" s="27"/>
      <c r="M13" s="26"/>
      <c r="N13" s="26"/>
      <c r="O13" s="26">
        <f>H13+J13+K13+L13+M13+N13</f>
        <v>1389220</v>
      </c>
      <c r="P13" s="26">
        <v>3100000</v>
      </c>
      <c r="Q13" s="26">
        <f t="shared" si="1"/>
        <v>1710780</v>
      </c>
      <c r="R13" s="46"/>
      <c r="S13" s="10"/>
      <c r="T13" s="10"/>
    </row>
    <row r="14" spans="1:20" ht="24" customHeight="1" x14ac:dyDescent="0.35">
      <c r="A14" s="21">
        <v>7</v>
      </c>
      <c r="B14" s="22">
        <v>45024</v>
      </c>
      <c r="C14" s="23" t="s">
        <v>984</v>
      </c>
      <c r="D14" s="24" t="s">
        <v>1005</v>
      </c>
      <c r="E14" s="23" t="s">
        <v>976</v>
      </c>
      <c r="F14" s="25"/>
      <c r="G14" s="71">
        <v>54</v>
      </c>
      <c r="H14" s="71">
        <f>G14*20140</f>
        <v>1087560</v>
      </c>
      <c r="I14" s="72"/>
      <c r="J14" s="59">
        <v>340000</v>
      </c>
      <c r="K14" s="73"/>
      <c r="L14" s="27"/>
      <c r="M14" s="26"/>
      <c r="N14" s="26"/>
      <c r="O14" s="26">
        <f t="shared" si="0"/>
        <v>1427560</v>
      </c>
      <c r="P14" s="26">
        <v>3100000</v>
      </c>
      <c r="Q14" s="26">
        <f t="shared" si="1"/>
        <v>1672440</v>
      </c>
      <c r="R14" s="46"/>
      <c r="S14" s="10"/>
      <c r="T14" s="10"/>
    </row>
    <row r="15" spans="1:20" ht="24" customHeight="1" x14ac:dyDescent="0.35">
      <c r="A15" s="21">
        <v>8</v>
      </c>
      <c r="B15" s="22">
        <v>45026</v>
      </c>
      <c r="C15" s="23" t="s">
        <v>985</v>
      </c>
      <c r="D15" s="24" t="s">
        <v>1006</v>
      </c>
      <c r="E15" s="23" t="s">
        <v>780</v>
      </c>
      <c r="F15" s="25"/>
      <c r="G15" s="71">
        <v>151</v>
      </c>
      <c r="H15" s="71">
        <f t="shared" ref="H15:H23" si="3">G15*20140</f>
        <v>3041140</v>
      </c>
      <c r="I15" s="72"/>
      <c r="J15" s="59">
        <v>950000</v>
      </c>
      <c r="K15" s="73"/>
      <c r="L15" s="27"/>
      <c r="M15" s="26"/>
      <c r="N15" s="26"/>
      <c r="O15" s="26">
        <f t="shared" si="0"/>
        <v>3991140</v>
      </c>
      <c r="P15" s="26">
        <v>6850000</v>
      </c>
      <c r="Q15" s="26">
        <f t="shared" si="1"/>
        <v>2858860</v>
      </c>
      <c r="R15" s="46"/>
      <c r="S15" s="10"/>
      <c r="T15" s="10"/>
    </row>
    <row r="16" spans="1:20" ht="24" customHeight="1" x14ac:dyDescent="0.35">
      <c r="A16" s="21">
        <v>9</v>
      </c>
      <c r="B16" s="22">
        <v>45028</v>
      </c>
      <c r="C16" s="23" t="s">
        <v>986</v>
      </c>
      <c r="D16" s="24" t="s">
        <v>1007</v>
      </c>
      <c r="E16" s="23" t="s">
        <v>435</v>
      </c>
      <c r="F16" s="25"/>
      <c r="G16" s="71">
        <v>392</v>
      </c>
      <c r="H16" s="71">
        <f t="shared" si="3"/>
        <v>7894880</v>
      </c>
      <c r="I16" s="72"/>
      <c r="J16" s="59">
        <v>2820000</v>
      </c>
      <c r="K16" s="73"/>
      <c r="L16" s="27"/>
      <c r="M16" s="26"/>
      <c r="N16" s="26"/>
      <c r="O16" s="26">
        <f t="shared" si="0"/>
        <v>10714880</v>
      </c>
      <c r="P16" s="26">
        <v>20900000</v>
      </c>
      <c r="Q16" s="26">
        <f t="shared" si="1"/>
        <v>10185120</v>
      </c>
      <c r="R16" s="46"/>
      <c r="S16" s="10"/>
      <c r="T16" s="10"/>
    </row>
    <row r="17" spans="1:20" ht="24" customHeight="1" x14ac:dyDescent="0.35">
      <c r="A17" s="21">
        <v>10</v>
      </c>
      <c r="B17" s="22">
        <v>45030</v>
      </c>
      <c r="C17" s="23" t="s">
        <v>987</v>
      </c>
      <c r="D17" s="24" t="s">
        <v>1008</v>
      </c>
      <c r="E17" s="23" t="s">
        <v>976</v>
      </c>
      <c r="F17" s="25"/>
      <c r="G17" s="71">
        <v>54</v>
      </c>
      <c r="H17" s="71">
        <f t="shared" si="3"/>
        <v>1087560</v>
      </c>
      <c r="I17" s="72"/>
      <c r="J17" s="59">
        <v>340000</v>
      </c>
      <c r="K17" s="73"/>
      <c r="L17" s="27"/>
      <c r="M17" s="26"/>
      <c r="N17" s="26"/>
      <c r="O17" s="26">
        <f t="shared" si="0"/>
        <v>1427560</v>
      </c>
      <c r="P17" s="26">
        <v>3100000</v>
      </c>
      <c r="Q17" s="26">
        <f t="shared" si="1"/>
        <v>1672440</v>
      </c>
      <c r="R17" s="46"/>
      <c r="S17" s="10"/>
      <c r="T17" s="10"/>
    </row>
    <row r="18" spans="1:20" ht="24" customHeight="1" x14ac:dyDescent="0.35">
      <c r="A18" s="21">
        <v>11</v>
      </c>
      <c r="B18" s="22">
        <v>45031</v>
      </c>
      <c r="C18" s="23" t="s">
        <v>988</v>
      </c>
      <c r="D18" s="24" t="s">
        <v>1009</v>
      </c>
      <c r="E18" s="23" t="s">
        <v>781</v>
      </c>
      <c r="F18" s="25"/>
      <c r="G18" s="71">
        <v>45</v>
      </c>
      <c r="H18" s="71">
        <f t="shared" si="3"/>
        <v>906300</v>
      </c>
      <c r="I18" s="72"/>
      <c r="J18" s="59">
        <v>430000</v>
      </c>
      <c r="K18" s="73"/>
      <c r="L18" s="27"/>
      <c r="M18" s="26"/>
      <c r="N18" s="26"/>
      <c r="O18" s="26">
        <f t="shared" si="0"/>
        <v>1336300</v>
      </c>
      <c r="P18" s="26">
        <v>2600000</v>
      </c>
      <c r="Q18" s="26">
        <f t="shared" si="1"/>
        <v>1263700</v>
      </c>
      <c r="R18" s="46"/>
      <c r="S18" s="10"/>
      <c r="T18" s="10"/>
    </row>
    <row r="19" spans="1:20" ht="24" customHeight="1" x14ac:dyDescent="0.35">
      <c r="A19" s="21">
        <v>12</v>
      </c>
      <c r="B19" s="22">
        <v>45031</v>
      </c>
      <c r="C19" s="23" t="s">
        <v>989</v>
      </c>
      <c r="D19" s="24" t="s">
        <v>1010</v>
      </c>
      <c r="E19" s="23" t="s">
        <v>780</v>
      </c>
      <c r="F19" s="25"/>
      <c r="G19" s="71">
        <v>164</v>
      </c>
      <c r="H19" s="71">
        <f t="shared" si="3"/>
        <v>3302960</v>
      </c>
      <c r="I19" s="72"/>
      <c r="J19" s="59">
        <v>1130000</v>
      </c>
      <c r="K19" s="73"/>
      <c r="L19" s="27"/>
      <c r="M19" s="26"/>
      <c r="N19" s="26"/>
      <c r="O19" s="26">
        <f t="shared" si="0"/>
        <v>4432960</v>
      </c>
      <c r="P19" s="26">
        <v>6850000</v>
      </c>
      <c r="Q19" s="26">
        <f t="shared" si="1"/>
        <v>2417040</v>
      </c>
      <c r="R19" s="46"/>
      <c r="S19" s="10"/>
      <c r="T19" s="10"/>
    </row>
    <row r="20" spans="1:20" ht="24" customHeight="1" x14ac:dyDescent="0.35">
      <c r="A20" s="21">
        <v>13</v>
      </c>
      <c r="B20" s="22">
        <v>45033</v>
      </c>
      <c r="C20" s="23" t="s">
        <v>990</v>
      </c>
      <c r="D20" s="24" t="s">
        <v>1011</v>
      </c>
      <c r="E20" s="23" t="s">
        <v>103</v>
      </c>
      <c r="F20" s="25"/>
      <c r="G20" s="71">
        <v>78</v>
      </c>
      <c r="H20" s="71">
        <f t="shared" si="3"/>
        <v>1570920</v>
      </c>
      <c r="I20" s="72"/>
      <c r="J20" s="59">
        <v>790000</v>
      </c>
      <c r="K20" s="73"/>
      <c r="L20" s="27"/>
      <c r="M20" s="26"/>
      <c r="N20" s="26"/>
      <c r="O20" s="26">
        <f t="shared" si="0"/>
        <v>2360920</v>
      </c>
      <c r="P20" s="26">
        <v>4100000</v>
      </c>
      <c r="Q20" s="26">
        <f t="shared" si="1"/>
        <v>1739080</v>
      </c>
      <c r="R20" s="46"/>
      <c r="S20" s="10"/>
      <c r="T20" s="10"/>
    </row>
    <row r="21" spans="1:20" ht="24" customHeight="1" x14ac:dyDescent="0.35">
      <c r="A21" s="21">
        <v>14</v>
      </c>
      <c r="B21" s="22">
        <v>45034</v>
      </c>
      <c r="C21" s="23" t="s">
        <v>991</v>
      </c>
      <c r="D21" s="24" t="s">
        <v>1012</v>
      </c>
      <c r="E21" s="23" t="s">
        <v>43</v>
      </c>
      <c r="F21" s="25"/>
      <c r="G21" s="71">
        <v>68</v>
      </c>
      <c r="H21" s="71">
        <f t="shared" si="3"/>
        <v>1369520</v>
      </c>
      <c r="I21" s="72"/>
      <c r="J21" s="59">
        <v>790000</v>
      </c>
      <c r="K21" s="73"/>
      <c r="L21" s="27"/>
      <c r="M21" s="26"/>
      <c r="N21" s="26"/>
      <c r="O21" s="26">
        <f t="shared" si="0"/>
        <v>2159520</v>
      </c>
      <c r="P21" s="26">
        <v>3670000</v>
      </c>
      <c r="Q21" s="26">
        <f t="shared" si="1"/>
        <v>1510480</v>
      </c>
      <c r="R21" s="46"/>
      <c r="S21" s="10"/>
      <c r="T21" s="10"/>
    </row>
    <row r="22" spans="1:20" ht="24" customHeight="1" x14ac:dyDescent="0.35">
      <c r="A22" s="21">
        <v>15</v>
      </c>
      <c r="B22" s="22">
        <v>45035</v>
      </c>
      <c r="C22" s="23" t="s">
        <v>992</v>
      </c>
      <c r="D22" s="24" t="s">
        <v>1013</v>
      </c>
      <c r="E22" s="23" t="s">
        <v>522</v>
      </c>
      <c r="F22" s="25"/>
      <c r="G22" s="71">
        <v>103</v>
      </c>
      <c r="H22" s="71">
        <f t="shared" si="3"/>
        <v>2074420</v>
      </c>
      <c r="I22" s="72"/>
      <c r="J22" s="59">
        <v>790000</v>
      </c>
      <c r="K22" s="73"/>
      <c r="L22" s="27"/>
      <c r="M22" s="26"/>
      <c r="N22" s="26"/>
      <c r="O22" s="26">
        <f t="shared" si="0"/>
        <v>2864420</v>
      </c>
      <c r="P22" s="26">
        <v>5200000</v>
      </c>
      <c r="Q22" s="26">
        <f t="shared" si="1"/>
        <v>2335580</v>
      </c>
      <c r="R22" s="46"/>
      <c r="S22" s="10"/>
      <c r="T22" s="10"/>
    </row>
    <row r="23" spans="1:20" ht="24" customHeight="1" x14ac:dyDescent="0.35">
      <c r="A23" s="21">
        <v>16</v>
      </c>
      <c r="B23" s="22">
        <v>45036</v>
      </c>
      <c r="C23" s="23" t="s">
        <v>993</v>
      </c>
      <c r="D23" s="24" t="s">
        <v>1014</v>
      </c>
      <c r="E23" s="23" t="s">
        <v>781</v>
      </c>
      <c r="F23" s="25"/>
      <c r="G23" s="71">
        <v>58</v>
      </c>
      <c r="H23" s="71">
        <f t="shared" si="3"/>
        <v>1168120</v>
      </c>
      <c r="I23" s="72"/>
      <c r="J23" s="59">
        <v>430000</v>
      </c>
      <c r="K23" s="73"/>
      <c r="L23" s="27"/>
      <c r="M23" s="26"/>
      <c r="N23" s="26"/>
      <c r="O23" s="26">
        <f t="shared" si="0"/>
        <v>1598120</v>
      </c>
      <c r="P23" s="26">
        <v>2900000</v>
      </c>
      <c r="Q23" s="26">
        <f t="shared" si="1"/>
        <v>1301880</v>
      </c>
      <c r="R23" s="46"/>
      <c r="S23" s="10"/>
      <c r="T23" s="10"/>
    </row>
    <row r="24" spans="1:20" ht="24" customHeight="1" x14ac:dyDescent="0.35">
      <c r="A24" s="21">
        <v>17</v>
      </c>
      <c r="B24" s="22">
        <v>45037</v>
      </c>
      <c r="C24" s="23" t="s">
        <v>994</v>
      </c>
      <c r="D24" s="24" t="s">
        <v>1015</v>
      </c>
      <c r="E24" s="23" t="s">
        <v>435</v>
      </c>
      <c r="F24" s="25"/>
      <c r="G24" s="71">
        <v>392</v>
      </c>
      <c r="H24" s="71">
        <f>50*20140+342*19390</f>
        <v>7638380</v>
      </c>
      <c r="I24" s="72"/>
      <c r="J24" s="59">
        <v>2970000</v>
      </c>
      <c r="K24" s="73"/>
      <c r="L24" s="27"/>
      <c r="M24" s="26"/>
      <c r="N24" s="26"/>
      <c r="O24" s="26">
        <f t="shared" si="0"/>
        <v>10608380</v>
      </c>
      <c r="P24" s="26">
        <v>20900000</v>
      </c>
      <c r="Q24" s="26">
        <f t="shared" si="1"/>
        <v>10291620</v>
      </c>
      <c r="R24" s="46"/>
      <c r="S24" s="10"/>
      <c r="T24" s="10"/>
    </row>
    <row r="25" spans="1:20" ht="24" customHeight="1" x14ac:dyDescent="0.35">
      <c r="A25" s="21">
        <v>18</v>
      </c>
      <c r="B25" s="22">
        <v>45040</v>
      </c>
      <c r="C25" s="23" t="s">
        <v>995</v>
      </c>
      <c r="D25" s="24" t="s">
        <v>1016</v>
      </c>
      <c r="E25" s="23" t="s">
        <v>1023</v>
      </c>
      <c r="F25" s="25"/>
      <c r="G25" s="71">
        <v>114</v>
      </c>
      <c r="H25" s="71">
        <f>G25*19390</f>
        <v>2210460</v>
      </c>
      <c r="I25" s="72"/>
      <c r="J25" s="59">
        <v>640000</v>
      </c>
      <c r="K25" s="73"/>
      <c r="L25" s="27"/>
      <c r="M25" s="26"/>
      <c r="N25" s="26"/>
      <c r="O25" s="26">
        <f t="shared" si="0"/>
        <v>2850460</v>
      </c>
      <c r="P25" s="26">
        <v>4900000</v>
      </c>
      <c r="Q25" s="26">
        <f t="shared" si="1"/>
        <v>2049540</v>
      </c>
      <c r="R25" s="46"/>
      <c r="S25" s="10"/>
      <c r="T25" s="10"/>
    </row>
    <row r="26" spans="1:20" ht="24" customHeight="1" x14ac:dyDescent="0.35">
      <c r="A26" s="21">
        <v>19</v>
      </c>
      <c r="B26" s="22">
        <v>45040</v>
      </c>
      <c r="C26" s="23" t="s">
        <v>996</v>
      </c>
      <c r="D26" s="24" t="s">
        <v>1017</v>
      </c>
      <c r="E26" s="23" t="s">
        <v>781</v>
      </c>
      <c r="F26" s="25"/>
      <c r="G26" s="71">
        <v>58</v>
      </c>
      <c r="H26" s="71">
        <f t="shared" ref="H26:H30" si="4">G26*19390</f>
        <v>1124620</v>
      </c>
      <c r="I26" s="72"/>
      <c r="J26" s="59">
        <v>430000</v>
      </c>
      <c r="K26" s="73"/>
      <c r="L26" s="27"/>
      <c r="M26" s="26"/>
      <c r="N26" s="26"/>
      <c r="O26" s="26">
        <f t="shared" si="0"/>
        <v>1554620</v>
      </c>
      <c r="P26" s="26">
        <v>2900000</v>
      </c>
      <c r="Q26" s="26">
        <f t="shared" si="1"/>
        <v>1345380</v>
      </c>
      <c r="R26" s="46"/>
      <c r="S26" s="10"/>
      <c r="T26" s="10"/>
    </row>
    <row r="27" spans="1:20" ht="24" customHeight="1" x14ac:dyDescent="0.35">
      <c r="A27" s="21">
        <v>20</v>
      </c>
      <c r="B27" s="22">
        <v>45041</v>
      </c>
      <c r="C27" s="23" t="s">
        <v>99</v>
      </c>
      <c r="D27" s="24" t="s">
        <v>1018</v>
      </c>
      <c r="E27" s="23" t="s">
        <v>781</v>
      </c>
      <c r="F27" s="25"/>
      <c r="G27" s="71">
        <v>45</v>
      </c>
      <c r="H27" s="71">
        <f t="shared" si="4"/>
        <v>872550</v>
      </c>
      <c r="I27" s="72"/>
      <c r="J27" s="59">
        <v>430000</v>
      </c>
      <c r="K27" s="73"/>
      <c r="L27" s="27"/>
      <c r="M27" s="26"/>
      <c r="N27" s="26"/>
      <c r="O27" s="26">
        <f t="shared" si="0"/>
        <v>1302550</v>
      </c>
      <c r="P27" s="26">
        <v>2500000</v>
      </c>
      <c r="Q27" s="26">
        <f t="shared" si="1"/>
        <v>1197450</v>
      </c>
      <c r="R27" s="46"/>
      <c r="S27" s="10"/>
      <c r="T27" s="10"/>
    </row>
    <row r="28" spans="1:20" ht="24" customHeight="1" x14ac:dyDescent="0.35">
      <c r="A28" s="21">
        <v>21</v>
      </c>
      <c r="B28" s="22">
        <v>45043</v>
      </c>
      <c r="C28" s="23" t="s">
        <v>100</v>
      </c>
      <c r="D28" s="24" t="s">
        <v>1019</v>
      </c>
      <c r="E28" s="23" t="s">
        <v>1024</v>
      </c>
      <c r="F28" s="25"/>
      <c r="G28" s="71">
        <v>101</v>
      </c>
      <c r="H28" s="71">
        <f t="shared" si="4"/>
        <v>1958390</v>
      </c>
      <c r="I28" s="72"/>
      <c r="J28" s="59">
        <v>790000</v>
      </c>
      <c r="K28" s="73"/>
      <c r="L28" s="27"/>
      <c r="M28" s="26"/>
      <c r="N28" s="26"/>
      <c r="O28" s="26">
        <f t="shared" si="0"/>
        <v>2748390</v>
      </c>
      <c r="P28" s="26">
        <v>4500000</v>
      </c>
      <c r="Q28" s="26">
        <f t="shared" si="1"/>
        <v>1751610</v>
      </c>
      <c r="R28" s="46"/>
      <c r="S28" s="10"/>
      <c r="T28" s="10"/>
    </row>
    <row r="29" spans="1:20" ht="24" customHeight="1" x14ac:dyDescent="0.35">
      <c r="A29" s="21">
        <v>22</v>
      </c>
      <c r="B29" s="22">
        <v>45043</v>
      </c>
      <c r="C29" s="23" t="s">
        <v>997</v>
      </c>
      <c r="D29" s="24" t="s">
        <v>1020</v>
      </c>
      <c r="E29" s="23" t="s">
        <v>431</v>
      </c>
      <c r="F29" s="25"/>
      <c r="G29" s="71">
        <v>124</v>
      </c>
      <c r="H29" s="71">
        <f t="shared" si="4"/>
        <v>2404360</v>
      </c>
      <c r="I29" s="72"/>
      <c r="J29" s="59">
        <v>790000</v>
      </c>
      <c r="K29" s="73"/>
      <c r="L29" s="27"/>
      <c r="M29" s="26"/>
      <c r="N29" s="26"/>
      <c r="O29" s="26">
        <f t="shared" si="0"/>
        <v>3194360</v>
      </c>
      <c r="P29" s="26">
        <v>5763636</v>
      </c>
      <c r="Q29" s="26">
        <f t="shared" si="1"/>
        <v>2569276</v>
      </c>
      <c r="R29" s="46"/>
      <c r="S29" s="10"/>
      <c r="T29" s="10"/>
    </row>
    <row r="30" spans="1:20" ht="24" customHeight="1" x14ac:dyDescent="0.35">
      <c r="A30" s="21">
        <v>23</v>
      </c>
      <c r="B30" s="22">
        <v>45044</v>
      </c>
      <c r="C30" s="23" t="s">
        <v>998</v>
      </c>
      <c r="D30" s="24" t="s">
        <v>1021</v>
      </c>
      <c r="E30" s="23" t="s">
        <v>782</v>
      </c>
      <c r="F30" s="25"/>
      <c r="G30" s="71">
        <v>82</v>
      </c>
      <c r="H30" s="71">
        <f t="shared" si="4"/>
        <v>1589980</v>
      </c>
      <c r="I30" s="72"/>
      <c r="J30" s="59">
        <v>430000</v>
      </c>
      <c r="K30" s="73"/>
      <c r="L30" s="27"/>
      <c r="M30" s="26"/>
      <c r="N30" s="26"/>
      <c r="O30" s="26">
        <f t="shared" si="0"/>
        <v>2019980</v>
      </c>
      <c r="P30" s="26">
        <v>4000000</v>
      </c>
      <c r="Q30" s="26">
        <f t="shared" si="1"/>
        <v>1980020</v>
      </c>
      <c r="R30" s="46"/>
      <c r="S30" s="10"/>
      <c r="T30" s="10"/>
    </row>
    <row r="31" spans="1:20" ht="24" customHeight="1" x14ac:dyDescent="0.35">
      <c r="A31" s="21"/>
      <c r="B31" s="22"/>
      <c r="C31" s="155" t="s">
        <v>44</v>
      </c>
      <c r="D31" s="155"/>
      <c r="E31" s="155"/>
      <c r="F31" s="155"/>
      <c r="G31" s="54"/>
      <c r="H31" s="53"/>
      <c r="I31" s="54"/>
      <c r="J31" s="53"/>
      <c r="K31" s="51"/>
      <c r="L31" s="61">
        <v>1200000</v>
      </c>
      <c r="M31" s="26"/>
      <c r="N31" s="26"/>
      <c r="O31" s="26">
        <f>K31+L31+M31+N31</f>
        <v>1200000</v>
      </c>
      <c r="P31" s="26"/>
      <c r="Q31" s="26"/>
      <c r="R31" s="46"/>
      <c r="S31" s="10"/>
      <c r="T31" s="10"/>
    </row>
    <row r="32" spans="1:20" ht="24" customHeight="1" x14ac:dyDescent="0.35">
      <c r="A32" s="25"/>
      <c r="B32" s="28"/>
      <c r="C32" s="155" t="s">
        <v>391</v>
      </c>
      <c r="D32" s="155"/>
      <c r="E32" s="155"/>
      <c r="F32" s="155"/>
      <c r="G32" s="51"/>
      <c r="H32" s="51"/>
      <c r="I32" s="52"/>
      <c r="J32" s="51"/>
      <c r="K32" s="61">
        <v>12812000</v>
      </c>
      <c r="L32" s="51"/>
      <c r="M32" s="53"/>
      <c r="N32" s="53"/>
      <c r="O32" s="26">
        <f t="shared" ref="O32:O43" si="5">K32+L32+M32+N32</f>
        <v>12812000</v>
      </c>
      <c r="P32" s="26"/>
      <c r="Q32" s="26"/>
      <c r="R32" s="46"/>
      <c r="S32" s="10"/>
      <c r="T32" s="10"/>
    </row>
    <row r="33" spans="1:20" ht="24" customHeight="1" x14ac:dyDescent="0.35">
      <c r="A33" s="25"/>
      <c r="B33" s="28"/>
      <c r="C33" s="155" t="s">
        <v>783</v>
      </c>
      <c r="D33" s="155"/>
      <c r="E33" s="155"/>
      <c r="F33" s="155"/>
      <c r="G33" s="51"/>
      <c r="H33" s="51"/>
      <c r="I33" s="52"/>
      <c r="J33" s="51"/>
      <c r="K33" s="51"/>
      <c r="L33" s="61">
        <v>500000</v>
      </c>
      <c r="M33" s="53"/>
      <c r="N33" s="53"/>
      <c r="O33" s="26">
        <f t="shared" si="5"/>
        <v>500000</v>
      </c>
      <c r="P33" s="26"/>
      <c r="Q33" s="26"/>
      <c r="R33" s="46"/>
      <c r="S33" s="10"/>
      <c r="T33" s="10"/>
    </row>
    <row r="34" spans="1:20" ht="24" customHeight="1" x14ac:dyDescent="0.35">
      <c r="A34" s="25"/>
      <c r="B34" s="28"/>
      <c r="C34" s="155" t="s">
        <v>784</v>
      </c>
      <c r="D34" s="155"/>
      <c r="E34" s="155"/>
      <c r="F34" s="155"/>
      <c r="G34" s="51"/>
      <c r="H34" s="51"/>
      <c r="I34" s="52"/>
      <c r="J34" s="51"/>
      <c r="K34" s="51"/>
      <c r="L34" s="61">
        <v>1410000</v>
      </c>
      <c r="M34" s="53"/>
      <c r="N34" s="53"/>
      <c r="O34" s="26">
        <f t="shared" si="5"/>
        <v>1410000</v>
      </c>
      <c r="P34" s="26"/>
      <c r="Q34" s="26"/>
      <c r="R34" s="46"/>
      <c r="S34" s="10"/>
      <c r="T34" s="10"/>
    </row>
    <row r="35" spans="1:20" ht="24" customHeight="1" x14ac:dyDescent="0.35">
      <c r="A35" s="25"/>
      <c r="B35" s="28"/>
      <c r="C35" s="155" t="s">
        <v>785</v>
      </c>
      <c r="D35" s="155"/>
      <c r="E35" s="155"/>
      <c r="F35" s="155"/>
      <c r="G35" s="51"/>
      <c r="H35" s="51"/>
      <c r="I35" s="52"/>
      <c r="J35" s="51"/>
      <c r="K35" s="51"/>
      <c r="L35" s="61">
        <v>1200000</v>
      </c>
      <c r="M35" s="53"/>
      <c r="N35" s="53"/>
      <c r="O35" s="26">
        <f t="shared" si="5"/>
        <v>1200000</v>
      </c>
      <c r="P35" s="26"/>
      <c r="Q35" s="26"/>
      <c r="R35" s="46"/>
      <c r="S35" s="10"/>
      <c r="T35" s="10"/>
    </row>
    <row r="36" spans="1:20" ht="24" customHeight="1" x14ac:dyDescent="0.35">
      <c r="A36" s="25"/>
      <c r="B36" s="28"/>
      <c r="C36" s="139" t="s">
        <v>786</v>
      </c>
      <c r="D36" s="140"/>
      <c r="E36" s="140"/>
      <c r="F36" s="141"/>
      <c r="G36" s="51"/>
      <c r="H36" s="51"/>
      <c r="I36" s="52"/>
      <c r="J36" s="51"/>
      <c r="K36" s="51"/>
      <c r="L36" s="61">
        <v>200000</v>
      </c>
      <c r="M36" s="53"/>
      <c r="N36" s="53"/>
      <c r="O36" s="26">
        <f t="shared" si="5"/>
        <v>200000</v>
      </c>
      <c r="P36" s="26"/>
      <c r="Q36" s="26"/>
      <c r="R36" s="46"/>
      <c r="S36" s="10"/>
      <c r="T36" s="10"/>
    </row>
    <row r="37" spans="1:20" ht="24" customHeight="1" x14ac:dyDescent="0.35">
      <c r="A37" s="25"/>
      <c r="B37" s="28"/>
      <c r="C37" s="155" t="s">
        <v>787</v>
      </c>
      <c r="D37" s="155"/>
      <c r="E37" s="155"/>
      <c r="F37" s="155"/>
      <c r="G37" s="51"/>
      <c r="H37" s="51"/>
      <c r="I37" s="52"/>
      <c r="J37" s="51"/>
      <c r="K37" s="51"/>
      <c r="L37" s="61">
        <f>1280000/4</f>
        <v>320000</v>
      </c>
      <c r="M37" s="53"/>
      <c r="N37" s="53"/>
      <c r="O37" s="26">
        <f t="shared" si="5"/>
        <v>320000</v>
      </c>
      <c r="P37" s="26"/>
      <c r="Q37" s="26"/>
      <c r="R37" s="46"/>
      <c r="S37" s="10"/>
      <c r="T37" s="10"/>
    </row>
    <row r="38" spans="1:20" ht="24" customHeight="1" x14ac:dyDescent="0.35">
      <c r="A38" s="25"/>
      <c r="B38" s="28"/>
      <c r="C38" s="155" t="s">
        <v>788</v>
      </c>
      <c r="D38" s="155"/>
      <c r="E38" s="155"/>
      <c r="F38" s="155"/>
      <c r="G38" s="51"/>
      <c r="H38" s="51"/>
      <c r="I38" s="52"/>
      <c r="J38" s="51"/>
      <c r="K38" s="61">
        <v>300000</v>
      </c>
      <c r="L38" s="51"/>
      <c r="M38" s="53"/>
      <c r="N38" s="53"/>
      <c r="O38" s="26">
        <f t="shared" si="5"/>
        <v>300000</v>
      </c>
      <c r="P38" s="26"/>
      <c r="Q38" s="26"/>
      <c r="R38" s="46"/>
      <c r="S38" s="10"/>
      <c r="T38" s="10"/>
    </row>
    <row r="39" spans="1:20" ht="24" customHeight="1" x14ac:dyDescent="0.35">
      <c r="A39" s="25"/>
      <c r="B39" s="28"/>
      <c r="C39" s="155" t="s">
        <v>789</v>
      </c>
      <c r="D39" s="155"/>
      <c r="E39" s="155"/>
      <c r="F39" s="155"/>
      <c r="G39" s="51"/>
      <c r="H39" s="51"/>
      <c r="I39" s="52"/>
      <c r="J39" s="51"/>
      <c r="K39" s="51"/>
      <c r="L39" s="61">
        <v>150000</v>
      </c>
      <c r="M39" s="53"/>
      <c r="N39" s="53"/>
      <c r="O39" s="26">
        <f t="shared" si="5"/>
        <v>150000</v>
      </c>
      <c r="P39" s="26"/>
      <c r="Q39" s="26"/>
      <c r="R39" s="46"/>
      <c r="S39" s="10"/>
      <c r="T39" s="10"/>
    </row>
    <row r="40" spans="1:20" ht="24" customHeight="1" x14ac:dyDescent="0.35">
      <c r="A40" s="25"/>
      <c r="B40" s="28"/>
      <c r="C40" s="155" t="s">
        <v>790</v>
      </c>
      <c r="D40" s="155"/>
      <c r="E40" s="155"/>
      <c r="F40" s="155"/>
      <c r="G40" s="51"/>
      <c r="H40" s="51"/>
      <c r="I40" s="52"/>
      <c r="J40" s="51"/>
      <c r="K40" s="51"/>
      <c r="L40" s="61">
        <v>100000</v>
      </c>
      <c r="M40" s="53"/>
      <c r="N40" s="53"/>
      <c r="O40" s="26">
        <f t="shared" si="5"/>
        <v>100000</v>
      </c>
      <c r="P40" s="26"/>
      <c r="Q40" s="26"/>
      <c r="R40" s="46"/>
      <c r="S40" s="10"/>
      <c r="T40" s="10"/>
    </row>
    <row r="41" spans="1:20" ht="24" customHeight="1" x14ac:dyDescent="0.35">
      <c r="A41" s="25"/>
      <c r="B41" s="28"/>
      <c r="C41" s="155" t="s">
        <v>791</v>
      </c>
      <c r="D41" s="155"/>
      <c r="E41" s="155"/>
      <c r="F41" s="155"/>
      <c r="G41" s="51"/>
      <c r="H41" s="51"/>
      <c r="I41" s="52"/>
      <c r="J41" s="51"/>
      <c r="K41" s="51"/>
      <c r="L41" s="61">
        <v>12500000</v>
      </c>
      <c r="M41" s="53"/>
      <c r="N41" s="53"/>
      <c r="O41" s="26">
        <f t="shared" si="5"/>
        <v>12500000</v>
      </c>
      <c r="P41" s="26"/>
      <c r="Q41" s="26"/>
      <c r="R41" s="46"/>
      <c r="S41" s="10"/>
      <c r="T41" s="10"/>
    </row>
    <row r="42" spans="1:20" ht="24" customHeight="1" x14ac:dyDescent="0.35">
      <c r="A42" s="25"/>
      <c r="B42" s="28"/>
      <c r="C42" s="155" t="s">
        <v>792</v>
      </c>
      <c r="D42" s="155"/>
      <c r="E42" s="155"/>
      <c r="F42" s="155"/>
      <c r="G42" s="51"/>
      <c r="H42" s="51"/>
      <c r="I42" s="52"/>
      <c r="J42" s="51"/>
      <c r="K42" s="51"/>
      <c r="L42" s="61">
        <v>1200000</v>
      </c>
      <c r="M42" s="53"/>
      <c r="N42" s="53"/>
      <c r="O42" s="26">
        <f t="shared" si="5"/>
        <v>1200000</v>
      </c>
      <c r="P42" s="26"/>
      <c r="Q42" s="26"/>
      <c r="R42" s="46"/>
      <c r="S42" s="10"/>
      <c r="T42" s="10"/>
    </row>
    <row r="43" spans="1:20" ht="24" customHeight="1" x14ac:dyDescent="0.35">
      <c r="A43" s="105"/>
      <c r="B43" s="105"/>
      <c r="C43" s="156" t="s">
        <v>1054</v>
      </c>
      <c r="D43" s="156"/>
      <c r="E43" s="156"/>
      <c r="F43" s="156"/>
      <c r="G43" s="106"/>
      <c r="H43" s="107"/>
      <c r="I43" s="106"/>
      <c r="J43" s="107"/>
      <c r="K43" s="110">
        <v>8300000</v>
      </c>
      <c r="L43" s="107"/>
      <c r="M43" s="107"/>
      <c r="N43" s="107"/>
      <c r="O43" s="108">
        <f t="shared" si="5"/>
        <v>8300000</v>
      </c>
      <c r="P43" s="108"/>
      <c r="Q43" s="108"/>
      <c r="R43" s="48"/>
    </row>
    <row r="44" spans="1:20" ht="24" customHeight="1" x14ac:dyDescent="0.35">
      <c r="A44" s="136" t="s">
        <v>45</v>
      </c>
      <c r="B44" s="137"/>
      <c r="C44" s="137"/>
      <c r="D44" s="137"/>
      <c r="E44" s="137"/>
      <c r="F44" s="138"/>
      <c r="G44" s="33">
        <f>SUM(G8:G43)</f>
        <v>2891</v>
      </c>
      <c r="H44" s="34">
        <f t="shared" ref="H44:N44" si="6">SUM(H7:H43)</f>
        <v>56980760</v>
      </c>
      <c r="I44" s="34">
        <f t="shared" si="6"/>
        <v>0</v>
      </c>
      <c r="J44" s="34">
        <f>SUM(J7:J43)</f>
        <v>21290000</v>
      </c>
      <c r="K44" s="34">
        <f t="shared" si="6"/>
        <v>21412000</v>
      </c>
      <c r="L44" s="34">
        <f t="shared" si="6"/>
        <v>18780000</v>
      </c>
      <c r="M44" s="34">
        <f t="shared" si="6"/>
        <v>0</v>
      </c>
      <c r="N44" s="34">
        <f t="shared" si="6"/>
        <v>0</v>
      </c>
      <c r="O44" s="34">
        <f>SUM(O8:O43)</f>
        <v>118462760</v>
      </c>
      <c r="P44" s="75">
        <f>SUM(P8:P43)</f>
        <v>145473636</v>
      </c>
      <c r="Q44" s="34">
        <f>P44-O44</f>
        <v>27010876</v>
      </c>
      <c r="R44" s="50"/>
    </row>
    <row r="45" spans="1:20" x14ac:dyDescent="0.35">
      <c r="O45" s="35"/>
      <c r="Q45" s="36"/>
    </row>
    <row r="46" spans="1:20" x14ac:dyDescent="0.35">
      <c r="O46" s="37"/>
      <c r="P46" s="38" t="s">
        <v>46</v>
      </c>
      <c r="Q46" s="39">
        <f>'03.2023'!Q42+'04.2023'!Q44</f>
        <v>42236425.923076928</v>
      </c>
    </row>
    <row r="47" spans="1:20" x14ac:dyDescent="0.35">
      <c r="O47" s="37"/>
      <c r="P47" s="38"/>
      <c r="Q47" s="39"/>
    </row>
    <row r="48" spans="1:20" x14ac:dyDescent="0.35">
      <c r="O48" s="37"/>
      <c r="P48" s="38"/>
      <c r="Q48" s="39"/>
    </row>
    <row r="49" spans="2:18" x14ac:dyDescent="0.35">
      <c r="P49" s="37"/>
      <c r="Q49" s="37"/>
      <c r="R49" s="50"/>
    </row>
    <row r="50" spans="2:18" x14ac:dyDescent="0.35">
      <c r="B50" s="8"/>
    </row>
    <row r="51" spans="2:18" x14ac:dyDescent="0.35">
      <c r="B51" s="8"/>
    </row>
    <row r="52" spans="2:18" x14ac:dyDescent="0.35">
      <c r="B52" s="8"/>
    </row>
    <row r="53" spans="2:18" x14ac:dyDescent="0.35">
      <c r="B53" s="8"/>
      <c r="H53" s="8"/>
      <c r="J53" s="8"/>
      <c r="K53" s="8"/>
      <c r="L53" s="8"/>
      <c r="M53" s="8"/>
      <c r="N53" s="8"/>
      <c r="O53" s="8"/>
      <c r="P53" s="8"/>
      <c r="Q53" s="8"/>
      <c r="R53" s="8"/>
    </row>
  </sheetData>
  <mergeCells count="33">
    <mergeCell ref="A44:F44"/>
    <mergeCell ref="C31:F31"/>
    <mergeCell ref="C32:F32"/>
    <mergeCell ref="C38:F38"/>
    <mergeCell ref="C39:F39"/>
    <mergeCell ref="C40:F40"/>
    <mergeCell ref="C41:F41"/>
    <mergeCell ref="C42:F42"/>
    <mergeCell ref="C36:F36"/>
    <mergeCell ref="C33:F33"/>
    <mergeCell ref="C34:F34"/>
    <mergeCell ref="C35:F35"/>
    <mergeCell ref="M5:M6"/>
    <mergeCell ref="C37:F37"/>
    <mergeCell ref="C43:F43"/>
    <mergeCell ref="K5:K6"/>
    <mergeCell ref="I5:I6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N5:N6"/>
    <mergeCell ref="J5:J6"/>
    <mergeCell ref="L5:L6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C1E5-EC0F-4987-BC49-05CCC4956F08}">
  <dimension ref="A1:T51"/>
  <sheetViews>
    <sheetView topLeftCell="D31" workbookViewId="0">
      <selection activeCell="J41" sqref="J41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793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87"/>
      <c r="B7" s="88"/>
      <c r="C7" s="89"/>
      <c r="D7" s="90"/>
      <c r="E7" s="90"/>
      <c r="F7" s="91"/>
      <c r="G7" s="92"/>
      <c r="H7" s="93"/>
      <c r="I7" s="93"/>
      <c r="J7" s="94"/>
      <c r="K7" s="94"/>
      <c r="L7" s="94"/>
      <c r="M7" s="94"/>
      <c r="N7" s="94"/>
      <c r="O7" s="92"/>
      <c r="P7" s="92"/>
      <c r="Q7" s="92"/>
      <c r="R7" s="44"/>
    </row>
    <row r="8" spans="1:20" ht="24" customHeight="1" x14ac:dyDescent="0.35">
      <c r="A8" s="95">
        <v>1</v>
      </c>
      <c r="B8" s="96">
        <v>45050</v>
      </c>
      <c r="C8" s="97" t="s">
        <v>859</v>
      </c>
      <c r="D8" s="98" t="s">
        <v>842</v>
      </c>
      <c r="E8" s="97" t="s">
        <v>112</v>
      </c>
      <c r="F8" s="99"/>
      <c r="G8" s="100">
        <v>256</v>
      </c>
      <c r="H8" s="100">
        <f>G8*18250</f>
        <v>4672000</v>
      </c>
      <c r="I8" s="101"/>
      <c r="J8" s="109">
        <v>2380000</v>
      </c>
      <c r="K8" s="102"/>
      <c r="L8" s="103"/>
      <c r="M8" s="104"/>
      <c r="N8" s="104"/>
      <c r="O8" s="104">
        <f>H8+J8+K8+L8+M8+N8</f>
        <v>7052000</v>
      </c>
      <c r="P8" s="104">
        <v>13636364</v>
      </c>
      <c r="Q8" s="104">
        <f>P8-O8</f>
        <v>6584364</v>
      </c>
      <c r="R8" s="46"/>
      <c r="S8" s="10"/>
      <c r="T8" s="10"/>
    </row>
    <row r="9" spans="1:20" ht="24" customHeight="1" x14ac:dyDescent="0.35">
      <c r="A9" s="21">
        <v>2</v>
      </c>
      <c r="B9" s="22">
        <v>45050</v>
      </c>
      <c r="C9" s="23" t="s">
        <v>794</v>
      </c>
      <c r="D9" s="24" t="s">
        <v>843</v>
      </c>
      <c r="E9" s="23" t="s">
        <v>873</v>
      </c>
      <c r="F9" s="25"/>
      <c r="G9" s="71">
        <v>91</v>
      </c>
      <c r="H9" s="71">
        <f t="shared" ref="H9:H13" si="0">G9*18250</f>
        <v>1660750</v>
      </c>
      <c r="I9" s="72"/>
      <c r="J9" s="59">
        <v>790000</v>
      </c>
      <c r="K9" s="73"/>
      <c r="L9" s="27"/>
      <c r="M9" s="26"/>
      <c r="N9" s="26"/>
      <c r="O9" s="26">
        <f t="shared" ref="O9:O25" si="1">H9+J9+K9+L9+M9+N9</f>
        <v>2450750</v>
      </c>
      <c r="P9" s="26">
        <v>4300000</v>
      </c>
      <c r="Q9" s="26">
        <f t="shared" ref="Q9:Q41" si="2">P9-O9</f>
        <v>1849250</v>
      </c>
      <c r="R9" s="46"/>
      <c r="S9" s="10"/>
      <c r="T9" s="10"/>
    </row>
    <row r="10" spans="1:20" ht="24" customHeight="1" x14ac:dyDescent="0.35">
      <c r="A10" s="21">
        <v>3</v>
      </c>
      <c r="B10" s="22">
        <v>45051</v>
      </c>
      <c r="C10" s="23" t="s">
        <v>179</v>
      </c>
      <c r="D10" s="24" t="s">
        <v>844</v>
      </c>
      <c r="E10" s="23" t="s">
        <v>874</v>
      </c>
      <c r="F10" s="25"/>
      <c r="G10" s="71">
        <v>106</v>
      </c>
      <c r="H10" s="71">
        <f t="shared" si="0"/>
        <v>1934500</v>
      </c>
      <c r="I10" s="72"/>
      <c r="J10" s="59">
        <v>430000</v>
      </c>
      <c r="K10" s="73"/>
      <c r="L10" s="27"/>
      <c r="M10" s="26"/>
      <c r="N10" s="26"/>
      <c r="O10" s="26">
        <f t="shared" si="1"/>
        <v>2364500</v>
      </c>
      <c r="P10" s="26">
        <v>4100000</v>
      </c>
      <c r="Q10" s="26">
        <f t="shared" si="2"/>
        <v>1735500</v>
      </c>
      <c r="R10" s="46"/>
      <c r="S10" s="10"/>
      <c r="T10" s="10"/>
    </row>
    <row r="11" spans="1:20" ht="24" customHeight="1" x14ac:dyDescent="0.35">
      <c r="A11" s="21">
        <v>4</v>
      </c>
      <c r="B11" s="22">
        <v>45051</v>
      </c>
      <c r="C11" s="23" t="s">
        <v>860</v>
      </c>
      <c r="D11" s="24" t="s">
        <v>845</v>
      </c>
      <c r="E11" s="23" t="s">
        <v>372</v>
      </c>
      <c r="F11" s="25"/>
      <c r="G11" s="71">
        <v>380</v>
      </c>
      <c r="H11" s="71">
        <f t="shared" si="0"/>
        <v>6935000</v>
      </c>
      <c r="I11" s="72"/>
      <c r="J11" s="59">
        <v>2970000</v>
      </c>
      <c r="K11" s="73"/>
      <c r="L11" s="27"/>
      <c r="M11" s="26"/>
      <c r="N11" s="26"/>
      <c r="O11" s="26">
        <f t="shared" si="1"/>
        <v>9905000</v>
      </c>
      <c r="P11" s="26">
        <v>19850000</v>
      </c>
      <c r="Q11" s="26">
        <f t="shared" si="2"/>
        <v>9945000</v>
      </c>
      <c r="R11" s="46"/>
      <c r="S11" s="10"/>
      <c r="T11" s="10"/>
    </row>
    <row r="12" spans="1:20" ht="24" customHeight="1" x14ac:dyDescent="0.35">
      <c r="A12" s="21">
        <v>5</v>
      </c>
      <c r="B12" s="22">
        <v>45054</v>
      </c>
      <c r="C12" s="23" t="s">
        <v>861</v>
      </c>
      <c r="D12" s="24" t="s">
        <v>846</v>
      </c>
      <c r="E12" s="23" t="s">
        <v>103</v>
      </c>
      <c r="F12" s="25"/>
      <c r="G12" s="71">
        <v>98</v>
      </c>
      <c r="H12" s="71">
        <f t="shared" si="0"/>
        <v>1788500</v>
      </c>
      <c r="I12" s="72"/>
      <c r="J12" s="59">
        <v>790000</v>
      </c>
      <c r="K12" s="73"/>
      <c r="L12" s="27"/>
      <c r="M12" s="26"/>
      <c r="N12" s="26"/>
      <c r="O12" s="26">
        <f>H12+J12+K12+L12+M12+N12</f>
        <v>2578500</v>
      </c>
      <c r="P12" s="26">
        <v>4300000</v>
      </c>
      <c r="Q12" s="26">
        <f t="shared" si="2"/>
        <v>1721500</v>
      </c>
      <c r="R12" s="46"/>
      <c r="S12" s="10"/>
      <c r="T12" s="10"/>
    </row>
    <row r="13" spans="1:20" ht="24" customHeight="1" x14ac:dyDescent="0.35">
      <c r="A13" s="21">
        <v>6</v>
      </c>
      <c r="B13" s="22">
        <v>45055</v>
      </c>
      <c r="C13" s="23" t="s">
        <v>182</v>
      </c>
      <c r="D13" s="24" t="s">
        <v>847</v>
      </c>
      <c r="E13" s="23" t="s">
        <v>875</v>
      </c>
      <c r="F13" s="25"/>
      <c r="G13" s="26">
        <v>80</v>
      </c>
      <c r="H13" s="71">
        <f t="shared" si="0"/>
        <v>1460000</v>
      </c>
      <c r="I13" s="72"/>
      <c r="J13" s="59">
        <v>790000</v>
      </c>
      <c r="K13" s="73"/>
      <c r="L13" s="27"/>
      <c r="M13" s="26"/>
      <c r="N13" s="26"/>
      <c r="O13" s="26">
        <f>H13+J13+K13+L13+M13+N13</f>
        <v>2250000</v>
      </c>
      <c r="P13" s="70">
        <v>4300000</v>
      </c>
      <c r="Q13" s="26">
        <f t="shared" si="2"/>
        <v>2050000</v>
      </c>
      <c r="R13" s="46"/>
      <c r="S13" s="10"/>
      <c r="T13" s="10"/>
    </row>
    <row r="14" spans="1:20" ht="24" customHeight="1" x14ac:dyDescent="0.35">
      <c r="A14" s="21">
        <v>7</v>
      </c>
      <c r="B14" s="22">
        <v>45056</v>
      </c>
      <c r="C14" s="23" t="s">
        <v>862</v>
      </c>
      <c r="D14" s="24" t="s">
        <v>848</v>
      </c>
      <c r="E14" s="23" t="s">
        <v>372</v>
      </c>
      <c r="F14" s="25"/>
      <c r="G14" s="71">
        <v>373</v>
      </c>
      <c r="H14" s="71">
        <f>50*18250+323*17650</f>
        <v>6613450</v>
      </c>
      <c r="I14" s="72"/>
      <c r="J14" s="59">
        <v>3032000</v>
      </c>
      <c r="K14" s="73"/>
      <c r="L14" s="27"/>
      <c r="M14" s="26"/>
      <c r="N14" s="26"/>
      <c r="O14" s="26">
        <f t="shared" si="1"/>
        <v>9645450</v>
      </c>
      <c r="P14" s="26">
        <v>19850000</v>
      </c>
      <c r="Q14" s="26">
        <f t="shared" si="2"/>
        <v>10204550</v>
      </c>
      <c r="R14" s="46"/>
      <c r="S14" s="10"/>
      <c r="T14" s="10"/>
    </row>
    <row r="15" spans="1:20" ht="24" customHeight="1" x14ac:dyDescent="0.35">
      <c r="A15" s="21">
        <v>8</v>
      </c>
      <c r="B15" s="22">
        <v>45058</v>
      </c>
      <c r="C15" s="23" t="s">
        <v>863</v>
      </c>
      <c r="D15" s="24" t="s">
        <v>849</v>
      </c>
      <c r="E15" s="23" t="s">
        <v>372</v>
      </c>
      <c r="F15" s="25"/>
      <c r="G15" s="71">
        <v>382</v>
      </c>
      <c r="H15" s="71">
        <f>G15*17650</f>
        <v>6742300</v>
      </c>
      <c r="I15" s="72"/>
      <c r="J15" s="59">
        <v>3790000</v>
      </c>
      <c r="K15" s="73"/>
      <c r="L15" s="27"/>
      <c r="M15" s="26"/>
      <c r="N15" s="26"/>
      <c r="O15" s="26">
        <f t="shared" si="1"/>
        <v>10532300</v>
      </c>
      <c r="P15" s="26">
        <v>20850000</v>
      </c>
      <c r="Q15" s="26">
        <f t="shared" si="2"/>
        <v>10317700</v>
      </c>
      <c r="R15" s="46"/>
      <c r="S15" s="10"/>
      <c r="T15" s="10"/>
    </row>
    <row r="16" spans="1:20" ht="24" customHeight="1" x14ac:dyDescent="0.35">
      <c r="A16" s="21">
        <v>9</v>
      </c>
      <c r="B16" s="22">
        <v>45061</v>
      </c>
      <c r="C16" s="23" t="s">
        <v>864</v>
      </c>
      <c r="D16" s="24" t="s">
        <v>850</v>
      </c>
      <c r="E16" s="23" t="s">
        <v>249</v>
      </c>
      <c r="F16" s="25"/>
      <c r="G16" s="71">
        <v>245</v>
      </c>
      <c r="H16" s="71">
        <f t="shared" ref="H16:H19" si="3">G16*17650</f>
        <v>4324250</v>
      </c>
      <c r="I16" s="72"/>
      <c r="J16" s="59">
        <v>2380000</v>
      </c>
      <c r="K16" s="73"/>
      <c r="L16" s="27"/>
      <c r="M16" s="26"/>
      <c r="N16" s="26"/>
      <c r="O16" s="26">
        <f t="shared" si="1"/>
        <v>6704250</v>
      </c>
      <c r="P16" s="26">
        <v>13090909</v>
      </c>
      <c r="Q16" s="26">
        <f t="shared" si="2"/>
        <v>6386659</v>
      </c>
      <c r="R16" s="46"/>
      <c r="S16" s="10"/>
      <c r="T16" s="10"/>
    </row>
    <row r="17" spans="1:20" ht="24" customHeight="1" x14ac:dyDescent="0.35">
      <c r="A17" s="21">
        <v>10</v>
      </c>
      <c r="B17" s="22">
        <v>45062</v>
      </c>
      <c r="C17" s="23" t="s">
        <v>865</v>
      </c>
      <c r="D17" s="24" t="s">
        <v>851</v>
      </c>
      <c r="E17" s="23" t="s">
        <v>781</v>
      </c>
      <c r="F17" s="25"/>
      <c r="G17" s="71">
        <v>57</v>
      </c>
      <c r="H17" s="71">
        <f t="shared" si="3"/>
        <v>1006050</v>
      </c>
      <c r="I17" s="72"/>
      <c r="J17" s="59">
        <v>430000</v>
      </c>
      <c r="K17" s="73"/>
      <c r="L17" s="27"/>
      <c r="M17" s="26"/>
      <c r="N17" s="26"/>
      <c r="O17" s="26">
        <f t="shared" si="1"/>
        <v>1436050</v>
      </c>
      <c r="P17" s="26">
        <v>2700000</v>
      </c>
      <c r="Q17" s="26">
        <f t="shared" si="2"/>
        <v>1263950</v>
      </c>
      <c r="R17" s="46"/>
      <c r="S17" s="10"/>
      <c r="T17" s="10"/>
    </row>
    <row r="18" spans="1:20" ht="24" customHeight="1" x14ac:dyDescent="0.35">
      <c r="A18" s="21">
        <v>11</v>
      </c>
      <c r="B18" s="22">
        <v>45063</v>
      </c>
      <c r="C18" s="23" t="s">
        <v>866</v>
      </c>
      <c r="D18" s="24" t="s">
        <v>852</v>
      </c>
      <c r="E18" s="23" t="s">
        <v>249</v>
      </c>
      <c r="F18" s="25"/>
      <c r="G18" s="71">
        <v>244</v>
      </c>
      <c r="H18" s="71">
        <f t="shared" si="3"/>
        <v>4306600</v>
      </c>
      <c r="I18" s="72"/>
      <c r="J18" s="59">
        <v>2380000</v>
      </c>
      <c r="K18" s="73"/>
      <c r="L18" s="27"/>
      <c r="M18" s="26"/>
      <c r="N18" s="26"/>
      <c r="O18" s="26">
        <f t="shared" si="1"/>
        <v>6686600</v>
      </c>
      <c r="P18" s="26">
        <v>13090909</v>
      </c>
      <c r="Q18" s="26">
        <f t="shared" si="2"/>
        <v>6404309</v>
      </c>
      <c r="R18" s="46"/>
      <c r="S18" s="10"/>
      <c r="T18" s="10"/>
    </row>
    <row r="19" spans="1:20" ht="24" customHeight="1" x14ac:dyDescent="0.35">
      <c r="A19" s="21">
        <v>12</v>
      </c>
      <c r="B19" s="22">
        <v>45065</v>
      </c>
      <c r="C19" s="23" t="s">
        <v>867</v>
      </c>
      <c r="D19" s="24" t="s">
        <v>467</v>
      </c>
      <c r="E19" s="23" t="s">
        <v>750</v>
      </c>
      <c r="F19" s="25"/>
      <c r="G19" s="71">
        <v>58</v>
      </c>
      <c r="H19" s="71">
        <f t="shared" si="3"/>
        <v>1023700</v>
      </c>
      <c r="I19" s="72"/>
      <c r="J19" s="59">
        <v>430000</v>
      </c>
      <c r="K19" s="73"/>
      <c r="L19" s="27"/>
      <c r="M19" s="26"/>
      <c r="N19" s="26"/>
      <c r="O19" s="26">
        <f t="shared" si="1"/>
        <v>1453700</v>
      </c>
      <c r="P19" s="26">
        <v>3050000</v>
      </c>
      <c r="Q19" s="26">
        <f t="shared" si="2"/>
        <v>1596300</v>
      </c>
      <c r="R19" s="46"/>
      <c r="S19" s="10"/>
      <c r="T19" s="10"/>
    </row>
    <row r="20" spans="1:20" ht="24" customHeight="1" x14ac:dyDescent="0.35">
      <c r="A20" s="21">
        <v>13</v>
      </c>
      <c r="B20" s="22">
        <v>45066</v>
      </c>
      <c r="C20" s="23" t="s">
        <v>868</v>
      </c>
      <c r="D20" s="24" t="s">
        <v>853</v>
      </c>
      <c r="E20" s="23" t="s">
        <v>372</v>
      </c>
      <c r="F20" s="25"/>
      <c r="G20" s="71">
        <v>384</v>
      </c>
      <c r="H20" s="71">
        <f>G20*17950</f>
        <v>6892800</v>
      </c>
      <c r="I20" s="72"/>
      <c r="J20" s="59">
        <v>3868000</v>
      </c>
      <c r="K20" s="73"/>
      <c r="L20" s="27"/>
      <c r="M20" s="26"/>
      <c r="N20" s="26"/>
      <c r="O20" s="26">
        <f t="shared" si="1"/>
        <v>10760800</v>
      </c>
      <c r="P20" s="26">
        <v>19650000</v>
      </c>
      <c r="Q20" s="26">
        <f t="shared" si="2"/>
        <v>8889200</v>
      </c>
      <c r="R20" s="46"/>
      <c r="S20" s="10"/>
      <c r="T20" s="10"/>
    </row>
    <row r="21" spans="1:20" ht="24" customHeight="1" x14ac:dyDescent="0.35">
      <c r="A21" s="21">
        <v>14</v>
      </c>
      <c r="B21" s="22">
        <v>45070</v>
      </c>
      <c r="C21" s="23" t="s">
        <v>869</v>
      </c>
      <c r="D21" s="24" t="s">
        <v>854</v>
      </c>
      <c r="E21" s="23" t="s">
        <v>458</v>
      </c>
      <c r="F21" s="25"/>
      <c r="G21" s="71">
        <v>228</v>
      </c>
      <c r="H21" s="71">
        <f t="shared" ref="H21:H24" si="4">G21*17950</f>
        <v>4092600</v>
      </c>
      <c r="I21" s="72"/>
      <c r="J21" s="59">
        <v>1360000</v>
      </c>
      <c r="K21" s="73"/>
      <c r="L21" s="27"/>
      <c r="M21" s="26"/>
      <c r="N21" s="26"/>
      <c r="O21" s="26">
        <f t="shared" si="1"/>
        <v>5452600</v>
      </c>
      <c r="P21" s="26">
        <v>9750000</v>
      </c>
      <c r="Q21" s="26">
        <f t="shared" si="2"/>
        <v>4297400</v>
      </c>
      <c r="R21" s="46"/>
      <c r="S21" s="10"/>
      <c r="T21" s="10"/>
    </row>
    <row r="22" spans="1:20" ht="24" customHeight="1" x14ac:dyDescent="0.35">
      <c r="A22" s="21">
        <v>15</v>
      </c>
      <c r="B22" s="22">
        <v>45072</v>
      </c>
      <c r="C22" s="23" t="s">
        <v>870</v>
      </c>
      <c r="D22" s="24" t="s">
        <v>855</v>
      </c>
      <c r="E22" s="23" t="s">
        <v>876</v>
      </c>
      <c r="F22" s="25"/>
      <c r="G22" s="71">
        <v>23</v>
      </c>
      <c r="H22" s="71">
        <f t="shared" si="4"/>
        <v>412850</v>
      </c>
      <c r="I22" s="72"/>
      <c r="J22" s="59">
        <v>300000</v>
      </c>
      <c r="K22" s="73"/>
      <c r="L22" s="27"/>
      <c r="M22" s="26"/>
      <c r="N22" s="26"/>
      <c r="O22" s="26">
        <f t="shared" si="1"/>
        <v>712850</v>
      </c>
      <c r="P22" s="26">
        <v>1400000</v>
      </c>
      <c r="Q22" s="26">
        <f t="shared" si="2"/>
        <v>687150</v>
      </c>
      <c r="R22" s="46"/>
      <c r="S22" s="10"/>
      <c r="T22" s="10"/>
    </row>
    <row r="23" spans="1:20" ht="24" customHeight="1" x14ac:dyDescent="0.35">
      <c r="A23" s="21">
        <v>16</v>
      </c>
      <c r="B23" s="22">
        <v>45072</v>
      </c>
      <c r="C23" s="23" t="s">
        <v>196</v>
      </c>
      <c r="D23" s="24" t="s">
        <v>856</v>
      </c>
      <c r="E23" s="23" t="s">
        <v>877</v>
      </c>
      <c r="F23" s="25"/>
      <c r="G23" s="71">
        <v>116</v>
      </c>
      <c r="H23" s="71">
        <f t="shared" si="4"/>
        <v>2082200</v>
      </c>
      <c r="I23" s="72"/>
      <c r="J23" s="59">
        <v>790000</v>
      </c>
      <c r="K23" s="73"/>
      <c r="L23" s="27"/>
      <c r="M23" s="26"/>
      <c r="N23" s="26"/>
      <c r="O23" s="26">
        <f t="shared" si="1"/>
        <v>2872200</v>
      </c>
      <c r="P23" s="26">
        <v>4500000</v>
      </c>
      <c r="Q23" s="26">
        <f t="shared" si="2"/>
        <v>1627800</v>
      </c>
      <c r="R23" s="46"/>
      <c r="S23" s="10"/>
      <c r="T23" s="10"/>
    </row>
    <row r="24" spans="1:20" ht="24" customHeight="1" x14ac:dyDescent="0.35">
      <c r="A24" s="21">
        <v>17</v>
      </c>
      <c r="B24" s="22">
        <v>45075</v>
      </c>
      <c r="C24" s="23" t="s">
        <v>871</v>
      </c>
      <c r="D24" s="24" t="s">
        <v>857</v>
      </c>
      <c r="E24" s="23" t="s">
        <v>781</v>
      </c>
      <c r="F24" s="25"/>
      <c r="G24" s="71">
        <v>57</v>
      </c>
      <c r="H24" s="71">
        <f t="shared" si="4"/>
        <v>1023150</v>
      </c>
      <c r="I24" s="72"/>
      <c r="J24" s="59">
        <v>430000</v>
      </c>
      <c r="K24" s="73"/>
      <c r="L24" s="27"/>
      <c r="M24" s="26"/>
      <c r="N24" s="26"/>
      <c r="O24" s="26">
        <f t="shared" si="1"/>
        <v>1453150</v>
      </c>
      <c r="P24" s="26">
        <v>2700000</v>
      </c>
      <c r="Q24" s="26">
        <f t="shared" si="2"/>
        <v>1246850</v>
      </c>
      <c r="R24" s="46"/>
      <c r="S24" s="10"/>
      <c r="T24" s="10"/>
    </row>
    <row r="25" spans="1:20" ht="24" customHeight="1" x14ac:dyDescent="0.35">
      <c r="A25" s="21">
        <v>18</v>
      </c>
      <c r="B25" s="22">
        <v>45075</v>
      </c>
      <c r="C25" s="23" t="s">
        <v>872</v>
      </c>
      <c r="D25" s="24" t="s">
        <v>858</v>
      </c>
      <c r="E25" s="23" t="s">
        <v>372</v>
      </c>
      <c r="F25" s="25"/>
      <c r="G25" s="71">
        <v>388</v>
      </c>
      <c r="H25" s="71">
        <f>G25*17950</f>
        <v>6964600</v>
      </c>
      <c r="I25" s="72"/>
      <c r="J25" s="59">
        <v>3870000</v>
      </c>
      <c r="K25" s="73"/>
      <c r="L25" s="27"/>
      <c r="M25" s="26"/>
      <c r="N25" s="26"/>
      <c r="O25" s="26">
        <f t="shared" si="1"/>
        <v>10834600</v>
      </c>
      <c r="P25" s="26">
        <v>20013636</v>
      </c>
      <c r="Q25" s="26">
        <f t="shared" si="2"/>
        <v>9179036</v>
      </c>
      <c r="R25" s="46"/>
      <c r="S25" s="10"/>
      <c r="T25" s="10"/>
    </row>
    <row r="26" spans="1:20" ht="24" customHeight="1" x14ac:dyDescent="0.35">
      <c r="A26" s="21"/>
      <c r="B26" s="22"/>
      <c r="C26" s="68"/>
      <c r="D26" s="64"/>
      <c r="E26" s="69"/>
      <c r="F26" s="86"/>
      <c r="G26" s="71"/>
      <c r="H26" s="71"/>
      <c r="I26" s="72"/>
      <c r="J26" s="71"/>
      <c r="K26" s="73"/>
      <c r="L26" s="27"/>
      <c r="M26" s="26"/>
      <c r="N26" s="26"/>
      <c r="O26" s="26"/>
      <c r="P26" s="26"/>
      <c r="Q26" s="26">
        <f t="shared" si="2"/>
        <v>0</v>
      </c>
      <c r="R26" s="46"/>
      <c r="S26" s="10"/>
      <c r="T26" s="10"/>
    </row>
    <row r="27" spans="1:20" ht="24" customHeight="1" x14ac:dyDescent="0.35">
      <c r="A27" s="21"/>
      <c r="B27" s="22"/>
      <c r="C27" s="139" t="s">
        <v>44</v>
      </c>
      <c r="D27" s="140"/>
      <c r="E27" s="140"/>
      <c r="F27" s="141"/>
      <c r="G27" s="54"/>
      <c r="H27" s="53"/>
      <c r="I27" s="54"/>
      <c r="J27" s="53"/>
      <c r="K27" s="51"/>
      <c r="L27" s="61">
        <v>1200000</v>
      </c>
      <c r="M27" s="26"/>
      <c r="N27" s="26"/>
      <c r="O27" s="26">
        <f>K27+L27+M27+N27</f>
        <v>1200000</v>
      </c>
      <c r="P27" s="26"/>
      <c r="Q27" s="26">
        <f t="shared" si="2"/>
        <v>-1200000</v>
      </c>
      <c r="R27" s="46"/>
      <c r="S27" s="10"/>
      <c r="T27" s="10"/>
    </row>
    <row r="28" spans="1:20" ht="24" customHeight="1" x14ac:dyDescent="0.35">
      <c r="A28" s="25"/>
      <c r="B28" s="28"/>
      <c r="C28" s="139" t="s">
        <v>391</v>
      </c>
      <c r="D28" s="140"/>
      <c r="E28" s="140"/>
      <c r="F28" s="141"/>
      <c r="G28" s="51"/>
      <c r="H28" s="51"/>
      <c r="I28" s="52"/>
      <c r="J28" s="51"/>
      <c r="K28" s="61">
        <v>12752000</v>
      </c>
      <c r="L28" s="51"/>
      <c r="M28" s="53"/>
      <c r="N28" s="53"/>
      <c r="O28" s="26">
        <f t="shared" ref="O28:O41" si="5">K28+L28+M28+N28</f>
        <v>12752000</v>
      </c>
      <c r="P28" s="26"/>
      <c r="Q28" s="26">
        <f t="shared" si="2"/>
        <v>-12752000</v>
      </c>
      <c r="R28" s="46"/>
      <c r="S28" s="10"/>
      <c r="T28" s="10"/>
    </row>
    <row r="29" spans="1:20" ht="24" customHeight="1" x14ac:dyDescent="0.35">
      <c r="A29" s="25"/>
      <c r="B29" s="28"/>
      <c r="C29" s="139" t="s">
        <v>1025</v>
      </c>
      <c r="D29" s="140"/>
      <c r="E29" s="140"/>
      <c r="F29" s="141"/>
      <c r="G29" s="51"/>
      <c r="H29" s="51"/>
      <c r="I29" s="52"/>
      <c r="J29" s="51"/>
      <c r="K29" s="51"/>
      <c r="L29" s="61">
        <v>200000</v>
      </c>
      <c r="M29" s="53"/>
      <c r="N29" s="53"/>
      <c r="O29" s="26">
        <f t="shared" si="5"/>
        <v>200000</v>
      </c>
      <c r="P29" s="26"/>
      <c r="Q29" s="26">
        <f t="shared" si="2"/>
        <v>-200000</v>
      </c>
      <c r="R29" s="46"/>
      <c r="S29" s="10"/>
      <c r="T29" s="10"/>
    </row>
    <row r="30" spans="1:20" ht="24" customHeight="1" x14ac:dyDescent="0.35">
      <c r="A30" s="25"/>
      <c r="B30" s="28"/>
      <c r="C30" s="139" t="s">
        <v>1026</v>
      </c>
      <c r="D30" s="140"/>
      <c r="E30" s="140"/>
      <c r="F30" s="141"/>
      <c r="G30" s="51"/>
      <c r="H30" s="51"/>
      <c r="I30" s="52"/>
      <c r="J30" s="51"/>
      <c r="K30" s="51"/>
      <c r="L30" s="61">
        <v>650000</v>
      </c>
      <c r="M30" s="53"/>
      <c r="N30" s="53"/>
      <c r="O30" s="26">
        <f t="shared" si="5"/>
        <v>650000</v>
      </c>
      <c r="P30" s="26"/>
      <c r="Q30" s="26">
        <f t="shared" si="2"/>
        <v>-650000</v>
      </c>
      <c r="R30" s="46"/>
      <c r="S30" s="10"/>
      <c r="T30" s="10"/>
    </row>
    <row r="31" spans="1:20" ht="24" customHeight="1" x14ac:dyDescent="0.35">
      <c r="A31" s="25"/>
      <c r="B31" s="28"/>
      <c r="C31" s="139" t="s">
        <v>1027</v>
      </c>
      <c r="D31" s="140"/>
      <c r="E31" s="140"/>
      <c r="F31" s="141"/>
      <c r="G31" s="51"/>
      <c r="H31" s="51"/>
      <c r="I31" s="52"/>
      <c r="J31" s="51"/>
      <c r="K31" s="51"/>
      <c r="L31" s="61">
        <v>1300000</v>
      </c>
      <c r="M31" s="53"/>
      <c r="N31" s="53"/>
      <c r="O31" s="26">
        <f t="shared" si="5"/>
        <v>1300000</v>
      </c>
      <c r="P31" s="26"/>
      <c r="Q31" s="26">
        <f t="shared" si="2"/>
        <v>-1300000</v>
      </c>
      <c r="R31" s="46"/>
      <c r="S31" s="10"/>
      <c r="T31" s="10"/>
    </row>
    <row r="32" spans="1:20" ht="24" customHeight="1" x14ac:dyDescent="0.35">
      <c r="A32" s="25"/>
      <c r="B32" s="28"/>
      <c r="C32" s="139" t="s">
        <v>1028</v>
      </c>
      <c r="D32" s="140"/>
      <c r="E32" s="140"/>
      <c r="F32" s="63"/>
      <c r="G32" s="51"/>
      <c r="H32" s="51"/>
      <c r="I32" s="52"/>
      <c r="J32" s="51"/>
      <c r="K32" s="51"/>
      <c r="L32" s="61">
        <v>250000</v>
      </c>
      <c r="M32" s="53"/>
      <c r="N32" s="53"/>
      <c r="O32" s="26">
        <f t="shared" si="5"/>
        <v>250000</v>
      </c>
      <c r="P32" s="26"/>
      <c r="Q32" s="26">
        <f t="shared" si="2"/>
        <v>-250000</v>
      </c>
      <c r="R32" s="46"/>
      <c r="S32" s="10"/>
      <c r="T32" s="10"/>
    </row>
    <row r="33" spans="1:20" ht="24" customHeight="1" x14ac:dyDescent="0.35">
      <c r="A33" s="25"/>
      <c r="B33" s="28"/>
      <c r="C33" s="139" t="s">
        <v>1029</v>
      </c>
      <c r="D33" s="140"/>
      <c r="E33" s="140"/>
      <c r="F33" s="141"/>
      <c r="G33" s="51"/>
      <c r="H33" s="51"/>
      <c r="I33" s="52"/>
      <c r="J33" s="51"/>
      <c r="K33" s="51"/>
      <c r="L33" s="61">
        <v>200000</v>
      </c>
      <c r="M33" s="53"/>
      <c r="N33" s="53"/>
      <c r="O33" s="26">
        <f t="shared" si="5"/>
        <v>200000</v>
      </c>
      <c r="P33" s="26"/>
      <c r="Q33" s="26">
        <f t="shared" si="2"/>
        <v>-200000</v>
      </c>
      <c r="R33" s="46"/>
      <c r="S33" s="10"/>
      <c r="T33" s="10"/>
    </row>
    <row r="34" spans="1:20" ht="24" customHeight="1" x14ac:dyDescent="0.35">
      <c r="A34" s="25"/>
      <c r="B34" s="28"/>
      <c r="C34" s="139" t="s">
        <v>1030</v>
      </c>
      <c r="D34" s="140"/>
      <c r="E34" s="140"/>
      <c r="F34" s="141"/>
      <c r="G34" s="51"/>
      <c r="H34" s="51"/>
      <c r="I34" s="52"/>
      <c r="J34" s="51"/>
      <c r="K34" s="51"/>
      <c r="L34" s="61">
        <v>200000</v>
      </c>
      <c r="M34" s="53"/>
      <c r="N34" s="53"/>
      <c r="O34" s="26">
        <f t="shared" si="5"/>
        <v>200000</v>
      </c>
      <c r="P34" s="26"/>
      <c r="Q34" s="26">
        <f t="shared" si="2"/>
        <v>-200000</v>
      </c>
      <c r="R34" s="46"/>
      <c r="S34" s="10"/>
      <c r="T34" s="10"/>
    </row>
    <row r="35" spans="1:20" ht="24" customHeight="1" x14ac:dyDescent="0.35">
      <c r="A35" s="25"/>
      <c r="B35" s="28"/>
      <c r="C35" s="139" t="s">
        <v>1031</v>
      </c>
      <c r="D35" s="140"/>
      <c r="E35" s="140"/>
      <c r="F35" s="141"/>
      <c r="G35" s="51"/>
      <c r="H35" s="51"/>
      <c r="I35" s="52"/>
      <c r="J35" s="51"/>
      <c r="K35" s="51"/>
      <c r="L35" s="61">
        <v>590000</v>
      </c>
      <c r="M35" s="53"/>
      <c r="N35" s="53"/>
      <c r="O35" s="26">
        <f t="shared" si="5"/>
        <v>590000</v>
      </c>
      <c r="P35" s="26"/>
      <c r="Q35" s="26">
        <f t="shared" si="2"/>
        <v>-590000</v>
      </c>
      <c r="R35" s="46"/>
      <c r="S35" s="10"/>
      <c r="T35" s="10"/>
    </row>
    <row r="36" spans="1:20" ht="24" customHeight="1" x14ac:dyDescent="0.35">
      <c r="A36" s="25"/>
      <c r="B36" s="28"/>
      <c r="C36" s="139" t="s">
        <v>1032</v>
      </c>
      <c r="D36" s="140"/>
      <c r="E36" s="140"/>
      <c r="F36" s="141"/>
      <c r="G36" s="51"/>
      <c r="H36" s="51"/>
      <c r="I36" s="52"/>
      <c r="J36" s="51"/>
      <c r="K36" s="51"/>
      <c r="L36" s="61">
        <v>610000</v>
      </c>
      <c r="M36" s="53"/>
      <c r="N36" s="53"/>
      <c r="O36" s="26">
        <f t="shared" si="5"/>
        <v>610000</v>
      </c>
      <c r="P36" s="26"/>
      <c r="Q36" s="26">
        <f t="shared" si="2"/>
        <v>-610000</v>
      </c>
      <c r="R36" s="46"/>
      <c r="S36" s="10"/>
      <c r="T36" s="10"/>
    </row>
    <row r="37" spans="1:20" ht="24" customHeight="1" x14ac:dyDescent="0.35">
      <c r="A37" s="25"/>
      <c r="B37" s="28"/>
      <c r="C37" s="139" t="s">
        <v>1033</v>
      </c>
      <c r="D37" s="140"/>
      <c r="E37" s="140"/>
      <c r="F37" s="141"/>
      <c r="G37" s="51"/>
      <c r="H37" s="51"/>
      <c r="I37" s="52"/>
      <c r="J37" s="51"/>
      <c r="K37" s="51"/>
      <c r="L37" s="61">
        <v>8580000</v>
      </c>
      <c r="M37" s="53"/>
      <c r="N37" s="53"/>
      <c r="O37" s="26">
        <f t="shared" si="5"/>
        <v>8580000</v>
      </c>
      <c r="P37" s="26"/>
      <c r="Q37" s="26">
        <f t="shared" si="2"/>
        <v>-8580000</v>
      </c>
      <c r="R37" s="46"/>
      <c r="S37" s="10"/>
      <c r="T37" s="10"/>
    </row>
    <row r="38" spans="1:20" ht="24" customHeight="1" x14ac:dyDescent="0.35">
      <c r="A38" s="25"/>
      <c r="B38" s="28"/>
      <c r="C38" s="139" t="s">
        <v>1041</v>
      </c>
      <c r="D38" s="140"/>
      <c r="E38" s="140"/>
      <c r="F38" s="141"/>
      <c r="G38" s="51"/>
      <c r="H38" s="51"/>
      <c r="I38" s="52"/>
      <c r="J38" s="51"/>
      <c r="K38" s="51"/>
      <c r="L38" s="61">
        <v>1680000</v>
      </c>
      <c r="M38" s="53"/>
      <c r="N38" s="53"/>
      <c r="O38" s="26">
        <f t="shared" si="5"/>
        <v>1680000</v>
      </c>
      <c r="P38" s="26"/>
      <c r="Q38" s="26">
        <f t="shared" si="2"/>
        <v>-1680000</v>
      </c>
      <c r="R38" s="46"/>
      <c r="S38" s="10"/>
      <c r="T38" s="10"/>
    </row>
    <row r="39" spans="1:20" ht="24" customHeight="1" x14ac:dyDescent="0.35">
      <c r="A39" s="25"/>
      <c r="B39" s="28"/>
      <c r="C39" s="139" t="s">
        <v>1045</v>
      </c>
      <c r="D39" s="140"/>
      <c r="E39" s="140"/>
      <c r="F39" s="141"/>
      <c r="G39" s="51"/>
      <c r="H39" s="51"/>
      <c r="I39" s="52"/>
      <c r="J39" s="51"/>
      <c r="K39" s="51"/>
      <c r="L39" s="61">
        <v>250000</v>
      </c>
      <c r="M39" s="53"/>
      <c r="N39" s="53"/>
      <c r="O39" s="26">
        <f t="shared" si="5"/>
        <v>250000</v>
      </c>
      <c r="P39" s="26"/>
      <c r="Q39" s="26">
        <f t="shared" si="2"/>
        <v>-250000</v>
      </c>
      <c r="R39" s="46"/>
      <c r="S39" s="10"/>
      <c r="T39" s="10"/>
    </row>
    <row r="40" spans="1:20" ht="24" customHeight="1" x14ac:dyDescent="0.35">
      <c r="A40" s="25"/>
      <c r="B40" s="28"/>
      <c r="C40" s="139" t="s">
        <v>1055</v>
      </c>
      <c r="D40" s="140"/>
      <c r="E40" s="140"/>
      <c r="F40" s="141"/>
      <c r="G40" s="51"/>
      <c r="H40" s="51"/>
      <c r="I40" s="52"/>
      <c r="J40" s="51"/>
      <c r="K40" s="77">
        <v>150000</v>
      </c>
      <c r="L40" s="51"/>
      <c r="M40" s="53"/>
      <c r="N40" s="53"/>
      <c r="O40" s="26">
        <f t="shared" si="5"/>
        <v>150000</v>
      </c>
      <c r="P40" s="26"/>
      <c r="Q40" s="26">
        <f t="shared" si="2"/>
        <v>-150000</v>
      </c>
      <c r="R40" s="46"/>
      <c r="S40" s="10"/>
      <c r="T40" s="10"/>
    </row>
    <row r="41" spans="1:20" ht="24" customHeight="1" x14ac:dyDescent="0.35">
      <c r="A41" s="25"/>
      <c r="B41" s="25"/>
      <c r="C41" s="139" t="s">
        <v>1053</v>
      </c>
      <c r="D41" s="140"/>
      <c r="E41" s="140"/>
      <c r="F41" s="141"/>
      <c r="G41" s="54"/>
      <c r="H41" s="53"/>
      <c r="I41" s="54"/>
      <c r="J41" s="53"/>
      <c r="K41" s="61">
        <v>8900000</v>
      </c>
      <c r="L41" s="53"/>
      <c r="M41" s="53"/>
      <c r="N41" s="53"/>
      <c r="O41" s="26">
        <f t="shared" si="5"/>
        <v>8900000</v>
      </c>
      <c r="P41" s="26"/>
      <c r="Q41" s="26">
        <f t="shared" si="2"/>
        <v>-8900000</v>
      </c>
      <c r="R41" s="48"/>
    </row>
    <row r="42" spans="1:20" ht="24" customHeight="1" x14ac:dyDescent="0.35">
      <c r="A42" s="136" t="s">
        <v>45</v>
      </c>
      <c r="B42" s="137"/>
      <c r="C42" s="137"/>
      <c r="D42" s="137"/>
      <c r="E42" s="137"/>
      <c r="F42" s="138"/>
      <c r="G42" s="33">
        <f>SUM(G8:G41)</f>
        <v>3566</v>
      </c>
      <c r="H42" s="34">
        <f t="shared" ref="H42:N42" si="6">SUM(H7:H41)</f>
        <v>63935300</v>
      </c>
      <c r="I42" s="34">
        <f t="shared" si="6"/>
        <v>0</v>
      </c>
      <c r="J42" s="34">
        <f t="shared" si="6"/>
        <v>31210000</v>
      </c>
      <c r="K42" s="34">
        <f t="shared" si="6"/>
        <v>21802000</v>
      </c>
      <c r="L42" s="34">
        <f t="shared" si="6"/>
        <v>15710000</v>
      </c>
      <c r="M42" s="34">
        <f t="shared" si="6"/>
        <v>0</v>
      </c>
      <c r="N42" s="34">
        <f t="shared" si="6"/>
        <v>0</v>
      </c>
      <c r="O42" s="34">
        <f>SUM(O8:O41)</f>
        <v>132657300</v>
      </c>
      <c r="P42" s="75">
        <f>SUM(P8:P41)</f>
        <v>181131818</v>
      </c>
      <c r="Q42" s="34">
        <f>P42-O42</f>
        <v>48474518</v>
      </c>
      <c r="R42" s="50"/>
    </row>
    <row r="43" spans="1:20" x14ac:dyDescent="0.35">
      <c r="O43" s="35"/>
      <c r="Q43" s="36"/>
    </row>
    <row r="44" spans="1:20" x14ac:dyDescent="0.35">
      <c r="O44" s="37"/>
      <c r="P44" s="38" t="s">
        <v>46</v>
      </c>
      <c r="Q44" s="39">
        <f>'04.2023'!Q44+'05.2023'!Q42</f>
        <v>75485394</v>
      </c>
    </row>
    <row r="45" spans="1:20" x14ac:dyDescent="0.35">
      <c r="O45" s="37"/>
      <c r="P45" s="38"/>
      <c r="Q45" s="39"/>
    </row>
    <row r="46" spans="1:20" x14ac:dyDescent="0.35">
      <c r="O46" s="37"/>
      <c r="P46" s="38"/>
      <c r="Q46" s="39"/>
    </row>
    <row r="47" spans="1:20" x14ac:dyDescent="0.35">
      <c r="P47" s="37"/>
      <c r="Q47" s="37"/>
      <c r="R47" s="50"/>
    </row>
    <row r="48" spans="1:20" x14ac:dyDescent="0.35">
      <c r="B48" s="8"/>
    </row>
    <row r="49" spans="2:18" x14ac:dyDescent="0.35">
      <c r="B49" s="8"/>
    </row>
    <row r="50" spans="2:18" x14ac:dyDescent="0.35">
      <c r="B50" s="8"/>
    </row>
    <row r="51" spans="2:18" x14ac:dyDescent="0.35">
      <c r="B51" s="8"/>
      <c r="H51" s="8"/>
      <c r="J51" s="8"/>
      <c r="K51" s="8"/>
      <c r="L51" s="8"/>
      <c r="M51" s="8"/>
      <c r="N51" s="8"/>
      <c r="O51" s="8"/>
      <c r="P51" s="8"/>
      <c r="Q51" s="8"/>
      <c r="R51" s="8"/>
    </row>
  </sheetData>
  <mergeCells count="35"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  <mergeCell ref="N5:N6"/>
    <mergeCell ref="C41:F41"/>
    <mergeCell ref="K5:K6"/>
    <mergeCell ref="L5:L6"/>
    <mergeCell ref="C32:E32"/>
    <mergeCell ref="C30:F30"/>
    <mergeCell ref="C31:F31"/>
    <mergeCell ref="C29:F29"/>
    <mergeCell ref="C27:F27"/>
    <mergeCell ref="C28:F28"/>
    <mergeCell ref="A42:F42"/>
    <mergeCell ref="C39:F39"/>
    <mergeCell ref="C33:F33"/>
    <mergeCell ref="C34:F34"/>
    <mergeCell ref="C36:F36"/>
    <mergeCell ref="C37:F37"/>
    <mergeCell ref="C38:F38"/>
    <mergeCell ref="C35:F35"/>
    <mergeCell ref="C40:F40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2677-28AC-45D4-BFCD-D7CD49ACF83D}">
  <dimension ref="A1:T49"/>
  <sheetViews>
    <sheetView topLeftCell="C32" workbookViewId="0">
      <selection activeCell="P38" sqref="P38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796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87"/>
      <c r="B7" s="88"/>
      <c r="C7" s="89"/>
      <c r="D7" s="90"/>
      <c r="E7" s="90"/>
      <c r="F7" s="91"/>
      <c r="G7" s="92"/>
      <c r="H7" s="93"/>
      <c r="I7" s="93"/>
      <c r="J7" s="94"/>
      <c r="K7" s="94"/>
      <c r="L7" s="94"/>
      <c r="M7" s="94"/>
      <c r="N7" s="94"/>
      <c r="O7" s="92"/>
      <c r="P7" s="92"/>
      <c r="Q7" s="92"/>
      <c r="R7" s="44"/>
    </row>
    <row r="8" spans="1:20" ht="24" customHeight="1" x14ac:dyDescent="0.35">
      <c r="A8" s="95">
        <v>1</v>
      </c>
      <c r="B8" s="96">
        <v>45077</v>
      </c>
      <c r="C8" s="97" t="s">
        <v>800</v>
      </c>
      <c r="D8" s="98" t="s">
        <v>815</v>
      </c>
      <c r="E8" s="97" t="s">
        <v>833</v>
      </c>
      <c r="F8" s="99"/>
      <c r="G8" s="100">
        <v>252</v>
      </c>
      <c r="H8" s="100">
        <f>G8*17940</f>
        <v>4520880</v>
      </c>
      <c r="I8" s="101"/>
      <c r="J8" s="109">
        <v>1360000</v>
      </c>
      <c r="K8" s="102"/>
      <c r="L8" s="103"/>
      <c r="M8" s="104"/>
      <c r="N8" s="104"/>
      <c r="O8" s="104">
        <f>H8+J8+K8+L8+M8+N8</f>
        <v>5880880</v>
      </c>
      <c r="P8" s="104">
        <v>10800000</v>
      </c>
      <c r="Q8" s="104">
        <f>P8-O8</f>
        <v>4919120</v>
      </c>
      <c r="R8" s="46"/>
      <c r="S8" s="10"/>
      <c r="T8" s="10"/>
    </row>
    <row r="9" spans="1:20" ht="24" customHeight="1" x14ac:dyDescent="0.35">
      <c r="A9" s="21">
        <v>2</v>
      </c>
      <c r="B9" s="22">
        <v>45078</v>
      </c>
      <c r="C9" s="23" t="s">
        <v>159</v>
      </c>
      <c r="D9" s="24" t="s">
        <v>816</v>
      </c>
      <c r="E9" s="23" t="s">
        <v>834</v>
      </c>
      <c r="F9" s="25"/>
      <c r="G9" s="71">
        <v>108</v>
      </c>
      <c r="H9" s="71">
        <f t="shared" ref="H9:H16" si="0">G9*17940</f>
        <v>1937520</v>
      </c>
      <c r="I9" s="72"/>
      <c r="J9" s="59">
        <v>430000</v>
      </c>
      <c r="K9" s="73"/>
      <c r="L9" s="27"/>
      <c r="M9" s="26"/>
      <c r="N9" s="26"/>
      <c r="O9" s="26">
        <f t="shared" ref="O9:O27" si="1">H9+J9+K9+L9+M9+N9</f>
        <v>2367520</v>
      </c>
      <c r="P9" s="26">
        <v>4000000</v>
      </c>
      <c r="Q9" s="26">
        <f t="shared" ref="Q9:Q27" si="2">P9-O9</f>
        <v>1632480</v>
      </c>
      <c r="R9" s="46"/>
      <c r="S9" s="10"/>
      <c r="T9" s="10"/>
    </row>
    <row r="10" spans="1:20" ht="24" customHeight="1" x14ac:dyDescent="0.35">
      <c r="A10" s="21">
        <v>3</v>
      </c>
      <c r="B10" s="22">
        <v>45079</v>
      </c>
      <c r="C10" s="23" t="s">
        <v>801</v>
      </c>
      <c r="D10" s="24" t="s">
        <v>817</v>
      </c>
      <c r="E10" s="23" t="s">
        <v>781</v>
      </c>
      <c r="F10" s="25"/>
      <c r="G10" s="71">
        <v>44</v>
      </c>
      <c r="H10" s="71">
        <f t="shared" si="0"/>
        <v>789360</v>
      </c>
      <c r="I10" s="72"/>
      <c r="J10" s="59">
        <v>430000</v>
      </c>
      <c r="K10" s="73"/>
      <c r="L10" s="27"/>
      <c r="M10" s="26"/>
      <c r="N10" s="26"/>
      <c r="O10" s="26">
        <f t="shared" si="1"/>
        <v>1219360</v>
      </c>
      <c r="P10" s="26">
        <v>2400000</v>
      </c>
      <c r="Q10" s="26">
        <f t="shared" si="2"/>
        <v>1180640</v>
      </c>
      <c r="R10" s="46"/>
      <c r="S10" s="10"/>
      <c r="T10" s="10"/>
    </row>
    <row r="11" spans="1:20" ht="24" customHeight="1" x14ac:dyDescent="0.35">
      <c r="A11" s="21">
        <v>4</v>
      </c>
      <c r="B11" s="22">
        <v>45082</v>
      </c>
      <c r="C11" s="23" t="s">
        <v>802</v>
      </c>
      <c r="D11" s="24" t="s">
        <v>818</v>
      </c>
      <c r="E11" s="23" t="s">
        <v>43</v>
      </c>
      <c r="F11" s="25"/>
      <c r="G11" s="71">
        <v>86</v>
      </c>
      <c r="H11" s="71">
        <f t="shared" si="0"/>
        <v>1542840</v>
      </c>
      <c r="I11" s="72"/>
      <c r="J11" s="71">
        <v>1290000</v>
      </c>
      <c r="K11" s="73"/>
      <c r="L11" s="27"/>
      <c r="M11" s="26"/>
      <c r="N11" s="26"/>
      <c r="O11" s="26">
        <f t="shared" si="1"/>
        <v>2832840</v>
      </c>
      <c r="P11" s="26">
        <v>3670000</v>
      </c>
      <c r="Q11" s="26">
        <f t="shared" si="2"/>
        <v>837160</v>
      </c>
      <c r="R11" s="46"/>
      <c r="S11" s="10"/>
      <c r="T11" s="10"/>
    </row>
    <row r="12" spans="1:20" ht="24" customHeight="1" x14ac:dyDescent="0.35">
      <c r="A12" s="21">
        <v>5</v>
      </c>
      <c r="B12" s="22">
        <v>45082</v>
      </c>
      <c r="C12" s="23" t="s">
        <v>803</v>
      </c>
      <c r="D12" s="24" t="s">
        <v>818</v>
      </c>
      <c r="E12" s="23" t="s">
        <v>835</v>
      </c>
      <c r="F12" s="25"/>
      <c r="G12" s="71"/>
      <c r="H12" s="71">
        <f t="shared" si="0"/>
        <v>0</v>
      </c>
      <c r="I12" s="72"/>
      <c r="J12" s="79">
        <v>0</v>
      </c>
      <c r="K12" s="73"/>
      <c r="L12" s="27"/>
      <c r="M12" s="26"/>
      <c r="N12" s="26"/>
      <c r="O12" s="26">
        <f>H12+J12+K12+L12+M12+N12</f>
        <v>0</v>
      </c>
      <c r="P12" s="70">
        <v>2700000</v>
      </c>
      <c r="Q12" s="26">
        <f t="shared" si="2"/>
        <v>2700000</v>
      </c>
      <c r="R12" s="46"/>
      <c r="S12" s="10"/>
      <c r="T12" s="10"/>
    </row>
    <row r="13" spans="1:20" ht="24" customHeight="1" x14ac:dyDescent="0.35">
      <c r="A13" s="21">
        <v>6</v>
      </c>
      <c r="B13" s="22">
        <v>45083</v>
      </c>
      <c r="C13" s="23" t="s">
        <v>804</v>
      </c>
      <c r="D13" s="24" t="s">
        <v>819</v>
      </c>
      <c r="E13" s="23" t="s">
        <v>431</v>
      </c>
      <c r="F13" s="25"/>
      <c r="G13" s="26">
        <v>124</v>
      </c>
      <c r="H13" s="71">
        <f t="shared" si="0"/>
        <v>2224560</v>
      </c>
      <c r="I13" s="72"/>
      <c r="J13" s="59">
        <v>790000</v>
      </c>
      <c r="K13" s="73"/>
      <c r="L13" s="27"/>
      <c r="M13" s="26"/>
      <c r="N13" s="26"/>
      <c r="O13" s="26">
        <f>H13+J13+K13+L13+M13+N13</f>
        <v>3014560</v>
      </c>
      <c r="P13" s="26">
        <v>5713636</v>
      </c>
      <c r="Q13" s="26">
        <f t="shared" si="2"/>
        <v>2699076</v>
      </c>
      <c r="R13" s="46"/>
      <c r="S13" s="10"/>
      <c r="T13" s="10"/>
    </row>
    <row r="14" spans="1:20" ht="24" customHeight="1" x14ac:dyDescent="0.35">
      <c r="A14" s="21">
        <v>7</v>
      </c>
      <c r="B14" s="22">
        <v>45084</v>
      </c>
      <c r="C14" s="23" t="s">
        <v>805</v>
      </c>
      <c r="D14" s="24" t="s">
        <v>820</v>
      </c>
      <c r="E14" s="23" t="s">
        <v>243</v>
      </c>
      <c r="F14" s="25"/>
      <c r="G14" s="71">
        <v>180</v>
      </c>
      <c r="H14" s="71">
        <f t="shared" si="0"/>
        <v>3229200</v>
      </c>
      <c r="I14" s="72"/>
      <c r="J14" s="59">
        <v>1530000</v>
      </c>
      <c r="K14" s="73"/>
      <c r="L14" s="27"/>
      <c r="M14" s="26"/>
      <c r="N14" s="26"/>
      <c r="O14" s="26">
        <f t="shared" si="1"/>
        <v>4759200</v>
      </c>
      <c r="P14" s="26">
        <v>9318182</v>
      </c>
      <c r="Q14" s="26">
        <f t="shared" si="2"/>
        <v>4558982</v>
      </c>
      <c r="R14" s="46"/>
      <c r="S14" s="10"/>
      <c r="T14" s="10"/>
    </row>
    <row r="15" spans="1:20" ht="24" customHeight="1" x14ac:dyDescent="0.35">
      <c r="A15" s="21">
        <v>8</v>
      </c>
      <c r="B15" s="22">
        <v>45086</v>
      </c>
      <c r="C15" s="23" t="s">
        <v>806</v>
      </c>
      <c r="D15" s="24" t="s">
        <v>821</v>
      </c>
      <c r="E15" s="23" t="s">
        <v>106</v>
      </c>
      <c r="F15" s="25"/>
      <c r="G15" s="71">
        <v>85</v>
      </c>
      <c r="H15" s="71">
        <f t="shared" si="0"/>
        <v>1524900</v>
      </c>
      <c r="I15" s="72"/>
      <c r="J15" s="59">
        <v>790000</v>
      </c>
      <c r="K15" s="73"/>
      <c r="L15" s="27"/>
      <c r="M15" s="26"/>
      <c r="N15" s="26"/>
      <c r="O15" s="26">
        <f t="shared" si="1"/>
        <v>2314900</v>
      </c>
      <c r="P15" s="26">
        <v>4597273</v>
      </c>
      <c r="Q15" s="26">
        <f t="shared" si="2"/>
        <v>2282373</v>
      </c>
      <c r="R15" s="46"/>
      <c r="S15" s="10"/>
      <c r="T15" s="10"/>
    </row>
    <row r="16" spans="1:20" ht="24" customHeight="1" x14ac:dyDescent="0.35">
      <c r="A16" s="21">
        <v>9</v>
      </c>
      <c r="B16" s="22">
        <v>45087</v>
      </c>
      <c r="C16" s="23" t="s">
        <v>807</v>
      </c>
      <c r="D16" s="24" t="s">
        <v>822</v>
      </c>
      <c r="E16" s="23" t="s">
        <v>795</v>
      </c>
      <c r="F16" s="25"/>
      <c r="G16" s="71">
        <v>160</v>
      </c>
      <c r="H16" s="71">
        <f t="shared" si="0"/>
        <v>2870400</v>
      </c>
      <c r="I16" s="72"/>
      <c r="J16" s="59">
        <v>1132000</v>
      </c>
      <c r="K16" s="73"/>
      <c r="L16" s="27"/>
      <c r="M16" s="26"/>
      <c r="N16" s="26"/>
      <c r="O16" s="26">
        <f t="shared" si="1"/>
        <v>4002400</v>
      </c>
      <c r="P16" s="26">
        <v>6700000</v>
      </c>
      <c r="Q16" s="26">
        <f t="shared" si="2"/>
        <v>2697600</v>
      </c>
      <c r="R16" s="46"/>
      <c r="S16" s="10"/>
      <c r="T16" s="10"/>
    </row>
    <row r="17" spans="1:20" ht="24" customHeight="1" x14ac:dyDescent="0.35">
      <c r="A17" s="21">
        <v>10</v>
      </c>
      <c r="B17" s="22">
        <v>45089</v>
      </c>
      <c r="C17" s="23" t="s">
        <v>808</v>
      </c>
      <c r="D17" s="24" t="s">
        <v>823</v>
      </c>
      <c r="E17" s="23" t="s">
        <v>836</v>
      </c>
      <c r="F17" s="25"/>
      <c r="G17" s="71">
        <v>66</v>
      </c>
      <c r="H17" s="71">
        <f>G17*18020</f>
        <v>1189320</v>
      </c>
      <c r="I17" s="72"/>
      <c r="J17" s="59">
        <v>430000</v>
      </c>
      <c r="K17" s="73"/>
      <c r="L17" s="27"/>
      <c r="M17" s="26"/>
      <c r="N17" s="26"/>
      <c r="O17" s="26">
        <f t="shared" si="1"/>
        <v>1619320</v>
      </c>
      <c r="P17" s="26">
        <v>3060000</v>
      </c>
      <c r="Q17" s="26">
        <f t="shared" si="2"/>
        <v>1440680</v>
      </c>
      <c r="R17" s="46"/>
      <c r="S17" s="10"/>
      <c r="T17" s="10"/>
    </row>
    <row r="18" spans="1:20" ht="24" customHeight="1" x14ac:dyDescent="0.35">
      <c r="A18" s="21">
        <v>11</v>
      </c>
      <c r="B18" s="22">
        <v>45091</v>
      </c>
      <c r="C18" s="23" t="s">
        <v>809</v>
      </c>
      <c r="D18" s="24" t="s">
        <v>824</v>
      </c>
      <c r="E18" s="23" t="s">
        <v>43</v>
      </c>
      <c r="F18" s="25"/>
      <c r="G18" s="71">
        <v>94</v>
      </c>
      <c r="H18" s="71">
        <f t="shared" ref="H18:H21" si="3">G18*18020</f>
        <v>1693880</v>
      </c>
      <c r="I18" s="72"/>
      <c r="J18" s="59">
        <v>1650000</v>
      </c>
      <c r="K18" s="73"/>
      <c r="L18" s="27"/>
      <c r="M18" s="26"/>
      <c r="N18" s="26"/>
      <c r="O18" s="26">
        <f t="shared" si="1"/>
        <v>3343880</v>
      </c>
      <c r="P18" s="26">
        <v>3670000</v>
      </c>
      <c r="Q18" s="26">
        <f t="shared" si="2"/>
        <v>326120</v>
      </c>
      <c r="R18" s="46"/>
      <c r="S18" s="10"/>
      <c r="T18" s="10"/>
    </row>
    <row r="19" spans="1:20" ht="24" customHeight="1" x14ac:dyDescent="0.35">
      <c r="A19" s="21">
        <v>12</v>
      </c>
      <c r="B19" s="22">
        <v>45091</v>
      </c>
      <c r="C19" s="23" t="s">
        <v>810</v>
      </c>
      <c r="D19" s="24" t="s">
        <v>824</v>
      </c>
      <c r="E19" s="23" t="s">
        <v>837</v>
      </c>
      <c r="F19" s="25"/>
      <c r="G19" s="71"/>
      <c r="H19" s="71">
        <f t="shared" si="3"/>
        <v>0</v>
      </c>
      <c r="I19" s="72"/>
      <c r="J19" s="59">
        <v>0</v>
      </c>
      <c r="K19" s="73"/>
      <c r="L19" s="27"/>
      <c r="M19" s="26"/>
      <c r="N19" s="26"/>
      <c r="O19" s="26">
        <f t="shared" si="1"/>
        <v>0</v>
      </c>
      <c r="P19" s="26">
        <v>2800000</v>
      </c>
      <c r="Q19" s="26">
        <f t="shared" si="2"/>
        <v>2800000</v>
      </c>
      <c r="R19" s="46"/>
      <c r="S19" s="10"/>
      <c r="T19" s="10"/>
    </row>
    <row r="20" spans="1:20" ht="24" customHeight="1" x14ac:dyDescent="0.35">
      <c r="A20" s="21">
        <v>13</v>
      </c>
      <c r="B20" s="22">
        <v>45093</v>
      </c>
      <c r="C20" s="23" t="s">
        <v>797</v>
      </c>
      <c r="D20" s="24" t="s">
        <v>825</v>
      </c>
      <c r="E20" s="23" t="s">
        <v>838</v>
      </c>
      <c r="F20" s="25"/>
      <c r="G20" s="71">
        <v>50</v>
      </c>
      <c r="H20" s="71">
        <f t="shared" si="3"/>
        <v>901000</v>
      </c>
      <c r="I20" s="72"/>
      <c r="J20" s="59">
        <v>340000</v>
      </c>
      <c r="K20" s="73"/>
      <c r="L20" s="27"/>
      <c r="M20" s="26"/>
      <c r="N20" s="26"/>
      <c r="O20" s="26">
        <f t="shared" si="1"/>
        <v>1241000</v>
      </c>
      <c r="P20" s="26">
        <v>2900000</v>
      </c>
      <c r="Q20" s="26">
        <f t="shared" si="2"/>
        <v>1659000</v>
      </c>
      <c r="R20" s="46"/>
      <c r="S20" s="10"/>
      <c r="T20" s="10"/>
    </row>
    <row r="21" spans="1:20" ht="24" customHeight="1" x14ac:dyDescent="0.35">
      <c r="A21" s="21">
        <v>14</v>
      </c>
      <c r="B21" s="22">
        <v>45096</v>
      </c>
      <c r="C21" s="23" t="s">
        <v>811</v>
      </c>
      <c r="D21" s="24" t="s">
        <v>826</v>
      </c>
      <c r="E21" s="23" t="s">
        <v>372</v>
      </c>
      <c r="F21" s="25"/>
      <c r="G21" s="71">
        <v>382</v>
      </c>
      <c r="H21" s="71">
        <f t="shared" si="3"/>
        <v>6883640</v>
      </c>
      <c r="I21" s="72"/>
      <c r="J21" s="59">
        <v>3870000</v>
      </c>
      <c r="K21" s="73"/>
      <c r="L21" s="27"/>
      <c r="M21" s="26"/>
      <c r="N21" s="26"/>
      <c r="O21" s="26">
        <f t="shared" si="1"/>
        <v>10753640</v>
      </c>
      <c r="P21" s="26">
        <v>17863636</v>
      </c>
      <c r="Q21" s="26">
        <f t="shared" si="2"/>
        <v>7109996</v>
      </c>
      <c r="R21" s="46"/>
      <c r="S21" s="10"/>
      <c r="T21" s="10"/>
    </row>
    <row r="22" spans="1:20" ht="24" customHeight="1" x14ac:dyDescent="0.35">
      <c r="A22" s="21">
        <v>15</v>
      </c>
      <c r="B22" s="22">
        <v>45097</v>
      </c>
      <c r="C22" s="23" t="s">
        <v>170</v>
      </c>
      <c r="D22" s="24" t="s">
        <v>827</v>
      </c>
      <c r="E22" s="23" t="s">
        <v>839</v>
      </c>
      <c r="F22" s="25"/>
      <c r="G22" s="71">
        <v>36</v>
      </c>
      <c r="H22" s="71">
        <f>G22*118170</f>
        <v>4254120</v>
      </c>
      <c r="I22" s="72"/>
      <c r="J22" s="59">
        <v>400000</v>
      </c>
      <c r="K22" s="73"/>
      <c r="L22" s="27"/>
      <c r="M22" s="26"/>
      <c r="N22" s="26"/>
      <c r="O22" s="26">
        <f t="shared" si="1"/>
        <v>4654120</v>
      </c>
      <c r="P22" s="26">
        <v>2300000</v>
      </c>
      <c r="Q22" s="26">
        <f t="shared" si="2"/>
        <v>-2354120</v>
      </c>
      <c r="R22" s="46"/>
      <c r="S22" s="10"/>
      <c r="T22" s="10"/>
    </row>
    <row r="23" spans="1:20" ht="24" customHeight="1" x14ac:dyDescent="0.35">
      <c r="A23" s="21">
        <v>16</v>
      </c>
      <c r="B23" s="22">
        <v>45098</v>
      </c>
      <c r="C23" s="23" t="s">
        <v>812</v>
      </c>
      <c r="D23" s="24" t="s">
        <v>828</v>
      </c>
      <c r="E23" s="23" t="s">
        <v>112</v>
      </c>
      <c r="F23" s="25"/>
      <c r="G23" s="71">
        <v>257</v>
      </c>
      <c r="H23" s="71">
        <f>G23*18170</f>
        <v>4669690</v>
      </c>
      <c r="I23" s="72"/>
      <c r="J23" s="59">
        <v>2380000</v>
      </c>
      <c r="K23" s="73"/>
      <c r="L23" s="27"/>
      <c r="M23" s="26"/>
      <c r="N23" s="26"/>
      <c r="O23" s="26">
        <f t="shared" si="1"/>
        <v>7049690</v>
      </c>
      <c r="P23" s="26">
        <v>13636364</v>
      </c>
      <c r="Q23" s="26">
        <f t="shared" si="2"/>
        <v>6586674</v>
      </c>
      <c r="R23" s="46"/>
      <c r="S23" s="10"/>
      <c r="T23" s="10"/>
    </row>
    <row r="24" spans="1:20" ht="24" customHeight="1" x14ac:dyDescent="0.35">
      <c r="A24" s="21">
        <v>17</v>
      </c>
      <c r="B24" s="22">
        <v>45099</v>
      </c>
      <c r="C24" s="23" t="s">
        <v>798</v>
      </c>
      <c r="D24" s="24" t="s">
        <v>829</v>
      </c>
      <c r="E24" s="23" t="s">
        <v>249</v>
      </c>
      <c r="F24" s="25"/>
      <c r="G24" s="71">
        <v>243</v>
      </c>
      <c r="H24" s="71">
        <f t="shared" ref="H24:H27" si="4">G24*18170</f>
        <v>4415310</v>
      </c>
      <c r="I24" s="72"/>
      <c r="J24" s="59">
        <v>2380000</v>
      </c>
      <c r="K24" s="73"/>
      <c r="L24" s="27"/>
      <c r="M24" s="26"/>
      <c r="N24" s="26"/>
      <c r="O24" s="26">
        <f t="shared" si="1"/>
        <v>6795310</v>
      </c>
      <c r="P24" s="26">
        <v>12400000</v>
      </c>
      <c r="Q24" s="26">
        <f t="shared" si="2"/>
        <v>5604690</v>
      </c>
      <c r="R24" s="46"/>
      <c r="S24" s="10"/>
      <c r="T24" s="10"/>
    </row>
    <row r="25" spans="1:20" ht="24" customHeight="1" x14ac:dyDescent="0.35">
      <c r="A25" s="21">
        <v>18</v>
      </c>
      <c r="B25" s="22">
        <v>45103</v>
      </c>
      <c r="C25" s="23" t="s">
        <v>799</v>
      </c>
      <c r="D25" s="24" t="s">
        <v>830</v>
      </c>
      <c r="E25" s="23" t="s">
        <v>227</v>
      </c>
      <c r="F25" s="25"/>
      <c r="G25" s="71">
        <v>180</v>
      </c>
      <c r="H25" s="71">
        <f t="shared" si="4"/>
        <v>3270600</v>
      </c>
      <c r="I25" s="72"/>
      <c r="J25" s="59">
        <v>1530000</v>
      </c>
      <c r="K25" s="73"/>
      <c r="L25" s="27"/>
      <c r="M25" s="26"/>
      <c r="N25" s="26"/>
      <c r="O25" s="26">
        <f t="shared" si="1"/>
        <v>4800600</v>
      </c>
      <c r="P25" s="26">
        <v>8045455</v>
      </c>
      <c r="Q25" s="26">
        <f t="shared" si="2"/>
        <v>3244855</v>
      </c>
      <c r="R25" s="46"/>
      <c r="S25" s="10"/>
      <c r="T25" s="10"/>
    </row>
    <row r="26" spans="1:20" ht="24" customHeight="1" x14ac:dyDescent="0.35">
      <c r="A26" s="21">
        <v>19</v>
      </c>
      <c r="B26" s="22">
        <v>45104</v>
      </c>
      <c r="C26" s="23" t="s">
        <v>813</v>
      </c>
      <c r="D26" s="24" t="s">
        <v>831</v>
      </c>
      <c r="E26" s="23" t="s">
        <v>840</v>
      </c>
      <c r="F26" s="25"/>
      <c r="G26" s="71">
        <v>182</v>
      </c>
      <c r="H26" s="71">
        <f t="shared" si="4"/>
        <v>3306940</v>
      </c>
      <c r="I26" s="72"/>
      <c r="J26" s="59">
        <v>640000</v>
      </c>
      <c r="K26" s="73"/>
      <c r="L26" s="27"/>
      <c r="M26" s="26"/>
      <c r="N26" s="26"/>
      <c r="O26" s="26">
        <f t="shared" si="1"/>
        <v>3946940</v>
      </c>
      <c r="P26" s="26">
        <v>6600000</v>
      </c>
      <c r="Q26" s="26">
        <f t="shared" si="2"/>
        <v>2653060</v>
      </c>
      <c r="R26" s="46"/>
      <c r="S26" s="10"/>
      <c r="T26" s="10"/>
    </row>
    <row r="27" spans="1:20" ht="24" customHeight="1" x14ac:dyDescent="0.35">
      <c r="A27" s="21">
        <v>20</v>
      </c>
      <c r="B27" s="22">
        <v>45105</v>
      </c>
      <c r="C27" s="23" t="s">
        <v>814</v>
      </c>
      <c r="D27" s="24" t="s">
        <v>832</v>
      </c>
      <c r="E27" s="23" t="s">
        <v>841</v>
      </c>
      <c r="F27" s="25"/>
      <c r="G27" s="71">
        <v>61</v>
      </c>
      <c r="H27" s="71">
        <f t="shared" si="4"/>
        <v>1108370</v>
      </c>
      <c r="I27" s="72"/>
      <c r="J27" s="59">
        <v>430000</v>
      </c>
      <c r="K27" s="73"/>
      <c r="L27" s="27"/>
      <c r="M27" s="26"/>
      <c r="N27" s="26"/>
      <c r="O27" s="26">
        <f t="shared" si="1"/>
        <v>1538370</v>
      </c>
      <c r="P27" s="26">
        <v>3290000</v>
      </c>
      <c r="Q27" s="26">
        <f t="shared" si="2"/>
        <v>1751630</v>
      </c>
      <c r="R27" s="46"/>
      <c r="S27" s="10"/>
      <c r="T27" s="10"/>
    </row>
    <row r="28" spans="1:20" ht="24" customHeight="1" x14ac:dyDescent="0.35">
      <c r="A28" s="21"/>
      <c r="B28" s="22"/>
      <c r="C28" s="139" t="s">
        <v>44</v>
      </c>
      <c r="D28" s="140"/>
      <c r="E28" s="140"/>
      <c r="F28" s="141"/>
      <c r="G28" s="54"/>
      <c r="H28" s="53"/>
      <c r="I28" s="54"/>
      <c r="J28" s="53"/>
      <c r="K28" s="51"/>
      <c r="L28" s="61">
        <v>1200000</v>
      </c>
      <c r="M28" s="26"/>
      <c r="N28" s="26"/>
      <c r="O28" s="26">
        <f>K28+L28+M28+N28</f>
        <v>1200000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391</v>
      </c>
      <c r="D29" s="140"/>
      <c r="E29" s="140"/>
      <c r="F29" s="141"/>
      <c r="G29" s="51"/>
      <c r="H29" s="51"/>
      <c r="I29" s="52"/>
      <c r="J29" s="51"/>
      <c r="K29" s="61">
        <v>7476000</v>
      </c>
      <c r="L29" s="51"/>
      <c r="M29" s="53"/>
      <c r="N29" s="53"/>
      <c r="O29" s="26">
        <f t="shared" ref="O29:O39" si="5">K29+L29+M29+N29</f>
        <v>7476000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1035</v>
      </c>
      <c r="D30" s="140"/>
      <c r="E30" s="140"/>
      <c r="F30" s="141"/>
      <c r="G30" s="51"/>
      <c r="H30" s="51"/>
      <c r="I30" s="52"/>
      <c r="J30" s="51"/>
      <c r="K30" s="51"/>
      <c r="L30" s="61">
        <v>781000</v>
      </c>
      <c r="M30" s="53"/>
      <c r="N30" s="53"/>
      <c r="O30" s="26">
        <f t="shared" si="5"/>
        <v>781000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1036</v>
      </c>
      <c r="D31" s="140"/>
      <c r="E31" s="140"/>
      <c r="F31" s="141"/>
      <c r="G31" s="51"/>
      <c r="H31" s="51"/>
      <c r="I31" s="52"/>
      <c r="J31" s="51"/>
      <c r="K31" s="51"/>
      <c r="L31" s="61">
        <v>300000</v>
      </c>
      <c r="M31" s="53"/>
      <c r="N31" s="53"/>
      <c r="O31" s="26">
        <f t="shared" si="5"/>
        <v>300000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1037</v>
      </c>
      <c r="D32" s="140"/>
      <c r="E32" s="140"/>
      <c r="F32" s="141"/>
      <c r="G32" s="51"/>
      <c r="H32" s="51"/>
      <c r="I32" s="52"/>
      <c r="J32" s="51"/>
      <c r="K32" s="51"/>
      <c r="L32" s="51"/>
      <c r="M32" s="53"/>
      <c r="N32" s="76">
        <f>1550000/3</f>
        <v>516666.66666666669</v>
      </c>
      <c r="O32" s="26">
        <f t="shared" si="5"/>
        <v>516666.66666666669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1038</v>
      </c>
      <c r="D33" s="140"/>
      <c r="E33" s="140"/>
      <c r="F33" s="63"/>
      <c r="G33" s="51"/>
      <c r="H33" s="51"/>
      <c r="I33" s="52"/>
      <c r="J33" s="51"/>
      <c r="K33" s="51"/>
      <c r="L33" s="61">
        <f>283000/4</f>
        <v>70750</v>
      </c>
      <c r="M33" s="53"/>
      <c r="N33" s="53"/>
      <c r="O33" s="26">
        <f t="shared" si="5"/>
        <v>70750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1039</v>
      </c>
      <c r="D34" s="140"/>
      <c r="E34" s="140"/>
      <c r="F34" s="141"/>
      <c r="G34" s="51"/>
      <c r="H34" s="51"/>
      <c r="I34" s="52"/>
      <c r="J34" s="51"/>
      <c r="K34" s="51"/>
      <c r="L34" s="61">
        <v>100000</v>
      </c>
      <c r="M34" s="53"/>
      <c r="N34" s="53"/>
      <c r="O34" s="26">
        <f t="shared" si="5"/>
        <v>100000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1040</v>
      </c>
      <c r="D35" s="140"/>
      <c r="E35" s="140"/>
      <c r="F35" s="141"/>
      <c r="G35" s="51"/>
      <c r="H35" s="51"/>
      <c r="I35" s="52"/>
      <c r="J35" s="51"/>
      <c r="K35" s="51"/>
      <c r="L35" s="61">
        <v>460000</v>
      </c>
      <c r="M35" s="53"/>
      <c r="N35" s="53"/>
      <c r="O35" s="26">
        <f t="shared" si="5"/>
        <v>460000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1042</v>
      </c>
      <c r="D36" s="140"/>
      <c r="E36" s="140"/>
      <c r="F36" s="141"/>
      <c r="G36" s="51"/>
      <c r="H36" s="51"/>
      <c r="I36" s="52"/>
      <c r="J36" s="51"/>
      <c r="K36" s="51"/>
      <c r="L36" s="61">
        <v>5500000</v>
      </c>
      <c r="M36" s="53"/>
      <c r="N36" s="53"/>
      <c r="O36" s="26">
        <f t="shared" si="5"/>
        <v>5500000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1043</v>
      </c>
      <c r="D37" s="140"/>
      <c r="E37" s="140"/>
      <c r="F37" s="141"/>
      <c r="G37" s="51"/>
      <c r="H37" s="51"/>
      <c r="I37" s="52"/>
      <c r="J37" s="51"/>
      <c r="K37" s="51"/>
      <c r="L37" s="61">
        <v>500000</v>
      </c>
      <c r="M37" s="53"/>
      <c r="N37" s="53"/>
      <c r="O37" s="26">
        <f t="shared" si="5"/>
        <v>500000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1044</v>
      </c>
      <c r="D38" s="140"/>
      <c r="E38" s="140"/>
      <c r="F38" s="141"/>
      <c r="G38" s="51"/>
      <c r="H38" s="51"/>
      <c r="I38" s="52"/>
      <c r="J38" s="51"/>
      <c r="K38" s="51"/>
      <c r="L38" s="61">
        <v>950000</v>
      </c>
      <c r="M38" s="53"/>
      <c r="N38" s="53"/>
      <c r="O38" s="26">
        <f t="shared" si="5"/>
        <v>950000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5"/>
      <c r="C39" s="139" t="s">
        <v>556</v>
      </c>
      <c r="D39" s="140"/>
      <c r="E39" s="140"/>
      <c r="F39" s="141"/>
      <c r="G39" s="54"/>
      <c r="H39" s="53"/>
      <c r="I39" s="54"/>
      <c r="J39" s="53"/>
      <c r="K39" s="61">
        <v>8000000</v>
      </c>
      <c r="L39" s="53"/>
      <c r="M39" s="53"/>
      <c r="N39" s="53"/>
      <c r="O39" s="26">
        <f t="shared" si="5"/>
        <v>8000000</v>
      </c>
      <c r="P39" s="26"/>
      <c r="Q39" s="26"/>
      <c r="R39" s="48"/>
    </row>
    <row r="40" spans="1:20" ht="24" customHeight="1" x14ac:dyDescent="0.35">
      <c r="A40" s="136" t="s">
        <v>45</v>
      </c>
      <c r="B40" s="137"/>
      <c r="C40" s="137"/>
      <c r="D40" s="137"/>
      <c r="E40" s="137"/>
      <c r="F40" s="138"/>
      <c r="G40" s="33">
        <f>SUM(G8:G39)</f>
        <v>2590</v>
      </c>
      <c r="H40" s="34">
        <f t="shared" ref="H40:N40" si="6">SUM(H7:H39)</f>
        <v>50332530</v>
      </c>
      <c r="I40" s="34">
        <f t="shared" si="6"/>
        <v>0</v>
      </c>
      <c r="J40" s="34">
        <f t="shared" si="6"/>
        <v>21802000</v>
      </c>
      <c r="K40" s="34">
        <f t="shared" si="6"/>
        <v>15476000</v>
      </c>
      <c r="L40" s="34">
        <f t="shared" si="6"/>
        <v>9861750</v>
      </c>
      <c r="M40" s="34">
        <f t="shared" si="6"/>
        <v>0</v>
      </c>
      <c r="N40" s="34">
        <f t="shared" si="6"/>
        <v>516666.66666666669</v>
      </c>
      <c r="O40" s="34">
        <f>SUM(O8:O39)</f>
        <v>97988946.666666672</v>
      </c>
      <c r="P40" s="75">
        <f>SUM(P8:P39)</f>
        <v>126464546</v>
      </c>
      <c r="Q40" s="34">
        <f>P40-O40</f>
        <v>28475599.333333328</v>
      </c>
      <c r="R40" s="50"/>
    </row>
    <row r="41" spans="1:20" x14ac:dyDescent="0.35">
      <c r="O41" s="35"/>
      <c r="Q41" s="36"/>
    </row>
    <row r="42" spans="1:20" x14ac:dyDescent="0.35">
      <c r="O42" s="37"/>
      <c r="P42" s="38" t="s">
        <v>46</v>
      </c>
      <c r="Q42" s="39">
        <f>'05.2023'!Q44+'06.2023'!Q40</f>
        <v>103960993.33333333</v>
      </c>
    </row>
    <row r="43" spans="1:20" x14ac:dyDescent="0.35">
      <c r="O43" s="37"/>
      <c r="P43" s="38"/>
      <c r="Q43" s="39"/>
    </row>
    <row r="44" spans="1:20" x14ac:dyDescent="0.35">
      <c r="O44" s="37"/>
      <c r="P44" s="38"/>
      <c r="Q44" s="39"/>
    </row>
    <row r="45" spans="1:20" x14ac:dyDescent="0.35">
      <c r="P45" s="37"/>
      <c r="Q45" s="37"/>
      <c r="R45" s="50"/>
    </row>
    <row r="46" spans="1:20" x14ac:dyDescent="0.35">
      <c r="B46" s="8"/>
    </row>
    <row r="47" spans="1:20" x14ac:dyDescent="0.35">
      <c r="B47" s="8"/>
    </row>
    <row r="48" spans="1:20" x14ac:dyDescent="0.35">
      <c r="B48" s="8"/>
    </row>
    <row r="49" s="8" customFormat="1" x14ac:dyDescent="0.35"/>
  </sheetData>
  <mergeCells count="32"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  <mergeCell ref="N5:N6"/>
    <mergeCell ref="A40:F40"/>
    <mergeCell ref="C34:F34"/>
    <mergeCell ref="C35:F35"/>
    <mergeCell ref="C37:F37"/>
    <mergeCell ref="C38:F38"/>
    <mergeCell ref="C39:F39"/>
    <mergeCell ref="C36:F36"/>
    <mergeCell ref="K5:K6"/>
    <mergeCell ref="L5:L6"/>
    <mergeCell ref="C33:E33"/>
    <mergeCell ref="C31:F31"/>
    <mergeCell ref="C32:F32"/>
    <mergeCell ref="C30:F30"/>
    <mergeCell ref="C28:F28"/>
    <mergeCell ref="C29:F29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75CD-2B0C-482F-AC9F-092CFF84C188}">
  <dimension ref="A1:T49"/>
  <sheetViews>
    <sheetView topLeftCell="D30" workbookViewId="0">
      <selection activeCell="Q41" sqref="Q41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878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87"/>
      <c r="B7" s="88"/>
      <c r="C7" s="89"/>
      <c r="D7" s="90"/>
      <c r="E7" s="90"/>
      <c r="F7" s="91"/>
      <c r="G7" s="92"/>
      <c r="H7" s="93"/>
      <c r="I7" s="93"/>
      <c r="J7" s="94"/>
      <c r="K7" s="94"/>
      <c r="L7" s="94"/>
      <c r="M7" s="94"/>
      <c r="N7" s="94"/>
      <c r="O7" s="92"/>
      <c r="P7" s="92"/>
      <c r="Q7" s="92"/>
      <c r="R7" s="44"/>
    </row>
    <row r="8" spans="1:20" ht="24" customHeight="1" x14ac:dyDescent="0.35">
      <c r="A8" s="95">
        <v>1</v>
      </c>
      <c r="B8" s="96">
        <v>45106</v>
      </c>
      <c r="C8" s="97" t="s">
        <v>879</v>
      </c>
      <c r="D8" s="98" t="s">
        <v>904</v>
      </c>
      <c r="E8" s="97" t="s">
        <v>372</v>
      </c>
      <c r="F8" s="99"/>
      <c r="G8" s="100">
        <v>378</v>
      </c>
      <c r="H8" s="100">
        <f>G8*18170</f>
        <v>6868260</v>
      </c>
      <c r="I8" s="101"/>
      <c r="J8" s="109">
        <v>3870000</v>
      </c>
      <c r="K8" s="102"/>
      <c r="L8" s="103"/>
      <c r="M8" s="104"/>
      <c r="N8" s="104"/>
      <c r="O8" s="104">
        <f>H8+J8+K8+L8+M8+N8</f>
        <v>10738260</v>
      </c>
      <c r="P8" s="104">
        <v>19650000</v>
      </c>
      <c r="Q8" s="104">
        <f>P8-O8</f>
        <v>8911740</v>
      </c>
      <c r="R8" s="46"/>
      <c r="S8" s="10"/>
      <c r="T8" s="10"/>
    </row>
    <row r="9" spans="1:20" ht="24" customHeight="1" x14ac:dyDescent="0.35">
      <c r="A9" s="21">
        <v>2</v>
      </c>
      <c r="B9" s="22">
        <v>45110</v>
      </c>
      <c r="C9" s="23" t="s">
        <v>880</v>
      </c>
      <c r="D9" s="24" t="s">
        <v>905</v>
      </c>
      <c r="E9" s="23" t="s">
        <v>876</v>
      </c>
      <c r="F9" s="25"/>
      <c r="G9" s="71">
        <v>10</v>
      </c>
      <c r="H9" s="71">
        <f>G9*18160</f>
        <v>181600</v>
      </c>
      <c r="I9" s="72"/>
      <c r="J9" s="59">
        <v>200000</v>
      </c>
      <c r="K9" s="73"/>
      <c r="L9" s="27"/>
      <c r="M9" s="26"/>
      <c r="N9" s="26"/>
      <c r="O9" s="26">
        <f t="shared" ref="O9:O30" si="0">H9+J9+K9+L9+M9+N9</f>
        <v>381600</v>
      </c>
      <c r="P9" s="26">
        <v>1100000</v>
      </c>
      <c r="Q9" s="26">
        <f t="shared" ref="Q9:Q30" si="1">P9-O9</f>
        <v>718400</v>
      </c>
      <c r="R9" s="46"/>
      <c r="S9" s="10"/>
      <c r="T9" s="10"/>
    </row>
    <row r="10" spans="1:20" ht="24" customHeight="1" x14ac:dyDescent="0.35">
      <c r="A10" s="21">
        <v>3</v>
      </c>
      <c r="B10" s="22">
        <v>45111</v>
      </c>
      <c r="C10" s="23" t="s">
        <v>881</v>
      </c>
      <c r="D10" s="24" t="s">
        <v>906</v>
      </c>
      <c r="E10" s="23" t="s">
        <v>899</v>
      </c>
      <c r="F10" s="25"/>
      <c r="G10" s="71">
        <v>201</v>
      </c>
      <c r="H10" s="71">
        <f t="shared" ref="H10:H15" si="2">G10*18160</f>
        <v>3650160</v>
      </c>
      <c r="I10" s="72"/>
      <c r="J10" s="59">
        <v>500000</v>
      </c>
      <c r="K10" s="73"/>
      <c r="L10" s="27"/>
      <c r="M10" s="26"/>
      <c r="N10" s="26"/>
      <c r="O10" s="26">
        <f t="shared" si="0"/>
        <v>4150160</v>
      </c>
      <c r="P10" s="26">
        <v>2300000</v>
      </c>
      <c r="Q10" s="26">
        <f t="shared" si="1"/>
        <v>-1850160</v>
      </c>
      <c r="R10" s="46"/>
      <c r="S10" s="10"/>
      <c r="T10" s="10"/>
    </row>
    <row r="11" spans="1:20" ht="24" customHeight="1" x14ac:dyDescent="0.35">
      <c r="A11" s="21">
        <v>4</v>
      </c>
      <c r="B11" s="22">
        <v>45111</v>
      </c>
      <c r="C11" s="23" t="s">
        <v>882</v>
      </c>
      <c r="D11" s="24" t="s">
        <v>906</v>
      </c>
      <c r="E11" s="23" t="s">
        <v>243</v>
      </c>
      <c r="F11" s="25"/>
      <c r="G11" s="71"/>
      <c r="H11" s="71">
        <f t="shared" si="2"/>
        <v>0</v>
      </c>
      <c r="I11" s="72"/>
      <c r="J11" s="59">
        <v>1530000</v>
      </c>
      <c r="K11" s="73"/>
      <c r="L11" s="27"/>
      <c r="M11" s="26"/>
      <c r="N11" s="26"/>
      <c r="O11" s="26">
        <f t="shared" si="0"/>
        <v>1530000</v>
      </c>
      <c r="P11" s="26">
        <v>10185185</v>
      </c>
      <c r="Q11" s="26">
        <f t="shared" si="1"/>
        <v>8655185</v>
      </c>
      <c r="R11" s="46"/>
      <c r="S11" s="10"/>
      <c r="T11" s="10"/>
    </row>
    <row r="12" spans="1:20" ht="24" customHeight="1" x14ac:dyDescent="0.35">
      <c r="A12" s="21">
        <v>5</v>
      </c>
      <c r="B12" s="22">
        <v>45112</v>
      </c>
      <c r="C12" s="23" t="s">
        <v>883</v>
      </c>
      <c r="D12" s="24" t="s">
        <v>907</v>
      </c>
      <c r="E12" s="23" t="s">
        <v>61</v>
      </c>
      <c r="F12" s="25"/>
      <c r="G12" s="71">
        <v>273</v>
      </c>
      <c r="H12" s="71">
        <f t="shared" si="2"/>
        <v>4957680</v>
      </c>
      <c r="I12" s="72"/>
      <c r="J12" s="59">
        <v>3030000</v>
      </c>
      <c r="K12" s="73"/>
      <c r="L12" s="27"/>
      <c r="M12" s="26"/>
      <c r="N12" s="26"/>
      <c r="O12" s="26">
        <f>H12+J12+K12+L12+M12+N12</f>
        <v>7987680</v>
      </c>
      <c r="P12" s="26">
        <v>13500000</v>
      </c>
      <c r="Q12" s="26">
        <f t="shared" si="1"/>
        <v>5512320</v>
      </c>
      <c r="R12" s="46"/>
      <c r="S12" s="10"/>
      <c r="T12" s="10"/>
    </row>
    <row r="13" spans="1:20" ht="24" customHeight="1" x14ac:dyDescent="0.35">
      <c r="A13" s="21">
        <v>6</v>
      </c>
      <c r="B13" s="22">
        <v>45113</v>
      </c>
      <c r="C13" s="23" t="s">
        <v>884</v>
      </c>
      <c r="D13" s="24" t="s">
        <v>908</v>
      </c>
      <c r="E13" s="23" t="s">
        <v>876</v>
      </c>
      <c r="F13" s="25"/>
      <c r="G13" s="26">
        <v>9</v>
      </c>
      <c r="H13" s="71">
        <f t="shared" si="2"/>
        <v>163440</v>
      </c>
      <c r="I13" s="72"/>
      <c r="J13" s="59">
        <v>200000</v>
      </c>
      <c r="K13" s="73"/>
      <c r="L13" s="27"/>
      <c r="M13" s="26"/>
      <c r="N13" s="26"/>
      <c r="O13" s="26">
        <f>H13+J13+K13+L13+M13+N13</f>
        <v>363440</v>
      </c>
      <c r="P13" s="26">
        <v>1100000</v>
      </c>
      <c r="Q13" s="26">
        <f t="shared" si="1"/>
        <v>736560</v>
      </c>
      <c r="R13" s="46"/>
      <c r="S13" s="10"/>
      <c r="T13" s="10"/>
    </row>
    <row r="14" spans="1:20" ht="24" customHeight="1" x14ac:dyDescent="0.35">
      <c r="A14" s="21">
        <v>7</v>
      </c>
      <c r="B14" s="22">
        <v>45114</v>
      </c>
      <c r="C14" s="23" t="s">
        <v>885</v>
      </c>
      <c r="D14" s="24" t="s">
        <v>909</v>
      </c>
      <c r="E14" s="23" t="s">
        <v>61</v>
      </c>
      <c r="F14" s="25"/>
      <c r="G14" s="71">
        <v>273</v>
      </c>
      <c r="H14" s="71">
        <f t="shared" si="2"/>
        <v>4957680</v>
      </c>
      <c r="I14" s="72"/>
      <c r="J14" s="59">
        <v>3030000</v>
      </c>
      <c r="K14" s="73"/>
      <c r="L14" s="27"/>
      <c r="M14" s="26"/>
      <c r="N14" s="26"/>
      <c r="O14" s="26">
        <f t="shared" si="0"/>
        <v>7987680</v>
      </c>
      <c r="P14" s="26">
        <v>13500000</v>
      </c>
      <c r="Q14" s="26">
        <f t="shared" si="1"/>
        <v>5512320</v>
      </c>
      <c r="R14" s="46"/>
      <c r="S14" s="10"/>
      <c r="T14" s="10"/>
    </row>
    <row r="15" spans="1:20" ht="24" customHeight="1" x14ac:dyDescent="0.35">
      <c r="A15" s="21">
        <v>8</v>
      </c>
      <c r="B15" s="22">
        <v>45117</v>
      </c>
      <c r="C15" s="23" t="s">
        <v>886</v>
      </c>
      <c r="D15" s="24" t="s">
        <v>910</v>
      </c>
      <c r="E15" s="23" t="s">
        <v>247</v>
      </c>
      <c r="F15" s="25"/>
      <c r="G15" s="71">
        <v>110</v>
      </c>
      <c r="H15" s="71">
        <f t="shared" si="2"/>
        <v>1997600</v>
      </c>
      <c r="I15" s="72"/>
      <c r="J15" s="59">
        <v>830000</v>
      </c>
      <c r="K15" s="73"/>
      <c r="L15" s="27"/>
      <c r="M15" s="26"/>
      <c r="N15" s="26"/>
      <c r="O15" s="26">
        <f t="shared" si="0"/>
        <v>2827600</v>
      </c>
      <c r="P15" s="26">
        <v>4800000</v>
      </c>
      <c r="Q15" s="26">
        <f t="shared" si="1"/>
        <v>1972400</v>
      </c>
      <c r="R15" s="46"/>
      <c r="S15" s="10"/>
      <c r="T15" s="10"/>
    </row>
    <row r="16" spans="1:20" ht="24" customHeight="1" x14ac:dyDescent="0.35">
      <c r="A16" s="21">
        <v>9</v>
      </c>
      <c r="B16" s="22">
        <v>45117</v>
      </c>
      <c r="C16" s="23" t="s">
        <v>887</v>
      </c>
      <c r="D16" s="24" t="s">
        <v>911</v>
      </c>
      <c r="E16" s="23" t="s">
        <v>610</v>
      </c>
      <c r="F16" s="25"/>
      <c r="G16" s="71">
        <v>83</v>
      </c>
      <c r="H16" s="71">
        <f>G16*18610</f>
        <v>1544630</v>
      </c>
      <c r="I16" s="72"/>
      <c r="J16" s="59">
        <v>790000</v>
      </c>
      <c r="K16" s="73"/>
      <c r="L16" s="27"/>
      <c r="M16" s="26"/>
      <c r="N16" s="26"/>
      <c r="O16" s="26">
        <f t="shared" si="0"/>
        <v>2334630</v>
      </c>
      <c r="P16" s="26">
        <v>4050000</v>
      </c>
      <c r="Q16" s="26">
        <f t="shared" si="1"/>
        <v>1715370</v>
      </c>
      <c r="R16" s="46"/>
      <c r="S16" s="10"/>
      <c r="T16" s="10"/>
    </row>
    <row r="17" spans="1:20" ht="24" customHeight="1" x14ac:dyDescent="0.35">
      <c r="A17" s="21">
        <v>10</v>
      </c>
      <c r="B17" s="22">
        <v>45118</v>
      </c>
      <c r="C17" s="23" t="s">
        <v>888</v>
      </c>
      <c r="D17" s="24" t="s">
        <v>912</v>
      </c>
      <c r="E17" s="23" t="s">
        <v>780</v>
      </c>
      <c r="F17" s="25"/>
      <c r="G17" s="71">
        <v>153</v>
      </c>
      <c r="H17" s="71">
        <f t="shared" ref="H17:H21" si="3">G17*18610</f>
        <v>2847330</v>
      </c>
      <c r="I17" s="72"/>
      <c r="J17" s="59">
        <v>1132000</v>
      </c>
      <c r="K17" s="73"/>
      <c r="L17" s="27"/>
      <c r="M17" s="26"/>
      <c r="N17" s="26"/>
      <c r="O17" s="26">
        <f t="shared" si="0"/>
        <v>3979330</v>
      </c>
      <c r="P17" s="26">
        <v>6700000</v>
      </c>
      <c r="Q17" s="26">
        <f t="shared" si="1"/>
        <v>2720670</v>
      </c>
      <c r="R17" s="46"/>
      <c r="S17" s="10"/>
      <c r="T17" s="10"/>
    </row>
    <row r="18" spans="1:20" ht="24" customHeight="1" x14ac:dyDescent="0.35">
      <c r="A18" s="21">
        <v>11</v>
      </c>
      <c r="B18" s="22">
        <v>45119</v>
      </c>
      <c r="C18" s="23" t="s">
        <v>275</v>
      </c>
      <c r="D18" s="24" t="s">
        <v>913</v>
      </c>
      <c r="E18" s="23" t="s">
        <v>781</v>
      </c>
      <c r="F18" s="25"/>
      <c r="G18" s="71">
        <v>45</v>
      </c>
      <c r="H18" s="71">
        <f t="shared" si="3"/>
        <v>837450</v>
      </c>
      <c r="I18" s="72"/>
      <c r="J18" s="59">
        <v>430000</v>
      </c>
      <c r="K18" s="73"/>
      <c r="L18" s="27"/>
      <c r="M18" s="26"/>
      <c r="N18" s="26"/>
      <c r="O18" s="26">
        <f t="shared" si="0"/>
        <v>1267450</v>
      </c>
      <c r="P18" s="26">
        <v>2400000</v>
      </c>
      <c r="Q18" s="26">
        <f t="shared" si="1"/>
        <v>1132550</v>
      </c>
      <c r="R18" s="46"/>
      <c r="S18" s="10"/>
      <c r="T18" s="10"/>
    </row>
    <row r="19" spans="1:20" ht="24" customHeight="1" x14ac:dyDescent="0.35">
      <c r="A19" s="21">
        <v>12</v>
      </c>
      <c r="B19" s="22">
        <v>45121</v>
      </c>
      <c r="C19" s="23" t="s">
        <v>889</v>
      </c>
      <c r="D19" s="24" t="s">
        <v>914</v>
      </c>
      <c r="E19" s="23" t="s">
        <v>900</v>
      </c>
      <c r="F19" s="25"/>
      <c r="G19" s="71">
        <v>187</v>
      </c>
      <c r="H19" s="71">
        <f t="shared" si="3"/>
        <v>3480070</v>
      </c>
      <c r="I19" s="72"/>
      <c r="J19" s="59">
        <v>1730000</v>
      </c>
      <c r="K19" s="73"/>
      <c r="L19" s="27"/>
      <c r="M19" s="26"/>
      <c r="N19" s="26"/>
      <c r="O19" s="26">
        <f t="shared" si="0"/>
        <v>5210070</v>
      </c>
      <c r="P19" s="26">
        <v>9397306</v>
      </c>
      <c r="Q19" s="26">
        <f t="shared" si="1"/>
        <v>4187236</v>
      </c>
      <c r="R19" s="46"/>
      <c r="S19" s="10"/>
      <c r="T19" s="10"/>
    </row>
    <row r="20" spans="1:20" ht="24" customHeight="1" x14ac:dyDescent="0.35">
      <c r="A20" s="21">
        <v>13</v>
      </c>
      <c r="B20" s="22">
        <v>45122</v>
      </c>
      <c r="C20" s="23" t="s">
        <v>890</v>
      </c>
      <c r="D20" s="24" t="s">
        <v>915</v>
      </c>
      <c r="E20" s="23" t="s">
        <v>372</v>
      </c>
      <c r="F20" s="25"/>
      <c r="G20" s="71">
        <v>382</v>
      </c>
      <c r="H20" s="71">
        <f t="shared" si="3"/>
        <v>7109020</v>
      </c>
      <c r="I20" s="72"/>
      <c r="J20" s="59">
        <v>3870000</v>
      </c>
      <c r="K20" s="73"/>
      <c r="L20" s="27"/>
      <c r="M20" s="26"/>
      <c r="N20" s="26"/>
      <c r="O20" s="26">
        <f t="shared" si="0"/>
        <v>10979020</v>
      </c>
      <c r="P20" s="26">
        <v>19650000</v>
      </c>
      <c r="Q20" s="26">
        <f t="shared" si="1"/>
        <v>8670980</v>
      </c>
      <c r="R20" s="46"/>
      <c r="S20" s="10"/>
      <c r="T20" s="10"/>
    </row>
    <row r="21" spans="1:20" ht="24" customHeight="1" x14ac:dyDescent="0.35">
      <c r="A21" s="21">
        <v>14</v>
      </c>
      <c r="B21" s="22">
        <v>45125</v>
      </c>
      <c r="C21" s="23" t="s">
        <v>891</v>
      </c>
      <c r="D21" s="24" t="s">
        <v>916</v>
      </c>
      <c r="E21" s="23" t="s">
        <v>901</v>
      </c>
      <c r="F21" s="25"/>
      <c r="G21" s="71">
        <v>89</v>
      </c>
      <c r="H21" s="71">
        <f t="shared" si="3"/>
        <v>1656290</v>
      </c>
      <c r="I21" s="72"/>
      <c r="J21" s="59">
        <v>790000</v>
      </c>
      <c r="K21" s="73"/>
      <c r="L21" s="27"/>
      <c r="M21" s="26"/>
      <c r="N21" s="26"/>
      <c r="O21" s="26">
        <f t="shared" si="0"/>
        <v>2446290</v>
      </c>
      <c r="P21" s="26">
        <v>3950000</v>
      </c>
      <c r="Q21" s="26">
        <f t="shared" si="1"/>
        <v>1503710</v>
      </c>
      <c r="R21" s="46"/>
      <c r="S21" s="10"/>
      <c r="T21" s="10"/>
    </row>
    <row r="22" spans="1:20" ht="24" customHeight="1" x14ac:dyDescent="0.35">
      <c r="A22" s="21">
        <v>15</v>
      </c>
      <c r="B22" s="22">
        <v>45126</v>
      </c>
      <c r="C22" s="23" t="s">
        <v>280</v>
      </c>
      <c r="D22" s="24" t="s">
        <v>917</v>
      </c>
      <c r="E22" s="23" t="s">
        <v>227</v>
      </c>
      <c r="F22" s="25"/>
      <c r="G22" s="71">
        <v>180</v>
      </c>
      <c r="H22" s="71">
        <f>G22*18610</f>
        <v>3349800</v>
      </c>
      <c r="I22" s="72"/>
      <c r="J22" s="59">
        <v>1530000</v>
      </c>
      <c r="K22" s="73"/>
      <c r="L22" s="27"/>
      <c r="M22" s="26"/>
      <c r="N22" s="26"/>
      <c r="O22" s="26">
        <f t="shared" si="0"/>
        <v>4879800</v>
      </c>
      <c r="P22" s="26">
        <v>8045455</v>
      </c>
      <c r="Q22" s="26">
        <f t="shared" si="1"/>
        <v>3165655</v>
      </c>
      <c r="R22" s="46"/>
      <c r="S22" s="10"/>
      <c r="T22" s="10"/>
    </row>
    <row r="23" spans="1:20" ht="24" customHeight="1" x14ac:dyDescent="0.35">
      <c r="A23" s="21">
        <v>16</v>
      </c>
      <c r="B23" s="22">
        <v>45127</v>
      </c>
      <c r="C23" s="23" t="s">
        <v>281</v>
      </c>
      <c r="D23" s="24" t="s">
        <v>918</v>
      </c>
      <c r="E23" s="23" t="s">
        <v>651</v>
      </c>
      <c r="F23" s="25"/>
      <c r="G23" s="71">
        <v>145</v>
      </c>
      <c r="H23" s="71">
        <f>G23*19500</f>
        <v>2827500</v>
      </c>
      <c r="I23" s="72"/>
      <c r="J23" s="59">
        <v>1080000</v>
      </c>
      <c r="K23" s="73"/>
      <c r="L23" s="27"/>
      <c r="M23" s="26"/>
      <c r="N23" s="26"/>
      <c r="O23" s="26">
        <f t="shared" si="0"/>
        <v>3907500</v>
      </c>
      <c r="P23" s="26">
        <v>6400000</v>
      </c>
      <c r="Q23" s="26">
        <f t="shared" si="1"/>
        <v>2492500</v>
      </c>
      <c r="R23" s="46"/>
      <c r="S23" s="10"/>
      <c r="T23" s="10"/>
    </row>
    <row r="24" spans="1:20" ht="24" customHeight="1" x14ac:dyDescent="0.35">
      <c r="A24" s="21">
        <v>17</v>
      </c>
      <c r="B24" s="22">
        <v>45129</v>
      </c>
      <c r="C24" s="23" t="s">
        <v>892</v>
      </c>
      <c r="D24" s="24" t="s">
        <v>919</v>
      </c>
      <c r="E24" s="23" t="s">
        <v>781</v>
      </c>
      <c r="F24" s="25"/>
      <c r="G24" s="71">
        <v>47</v>
      </c>
      <c r="H24" s="71">
        <f t="shared" ref="H24:H30" si="4">G24*19500</f>
        <v>916500</v>
      </c>
      <c r="I24" s="72"/>
      <c r="J24" s="59">
        <v>430000</v>
      </c>
      <c r="K24" s="73"/>
      <c r="L24" s="27"/>
      <c r="M24" s="26"/>
      <c r="N24" s="26"/>
      <c r="O24" s="26">
        <f t="shared" si="0"/>
        <v>1346500</v>
      </c>
      <c r="P24" s="26">
        <v>2400000</v>
      </c>
      <c r="Q24" s="26">
        <f t="shared" si="1"/>
        <v>1053500</v>
      </c>
      <c r="R24" s="46"/>
      <c r="S24" s="10"/>
      <c r="T24" s="10"/>
    </row>
    <row r="25" spans="1:20" ht="24" customHeight="1" x14ac:dyDescent="0.35">
      <c r="A25" s="21">
        <v>18</v>
      </c>
      <c r="B25" s="22">
        <v>45131</v>
      </c>
      <c r="C25" s="23" t="s">
        <v>893</v>
      </c>
      <c r="D25" s="24" t="s">
        <v>920</v>
      </c>
      <c r="E25" s="23" t="s">
        <v>651</v>
      </c>
      <c r="F25" s="25"/>
      <c r="G25" s="71">
        <v>148</v>
      </c>
      <c r="H25" s="71">
        <f t="shared" si="4"/>
        <v>2886000</v>
      </c>
      <c r="I25" s="72"/>
      <c r="J25" s="59">
        <v>1080000</v>
      </c>
      <c r="K25" s="73"/>
      <c r="L25" s="27"/>
      <c r="M25" s="26"/>
      <c r="N25" s="26"/>
      <c r="O25" s="26">
        <f t="shared" si="0"/>
        <v>3966000</v>
      </c>
      <c r="P25" s="26">
        <v>6550000</v>
      </c>
      <c r="Q25" s="26">
        <f t="shared" si="1"/>
        <v>2584000</v>
      </c>
      <c r="R25" s="46"/>
      <c r="S25" s="10"/>
      <c r="T25" s="10"/>
    </row>
    <row r="26" spans="1:20" ht="24" customHeight="1" x14ac:dyDescent="0.35">
      <c r="A26" s="21">
        <v>19</v>
      </c>
      <c r="B26" s="22">
        <v>45131</v>
      </c>
      <c r="C26" s="23" t="s">
        <v>894</v>
      </c>
      <c r="D26" s="24" t="s">
        <v>921</v>
      </c>
      <c r="E26" s="23" t="s">
        <v>902</v>
      </c>
      <c r="F26" s="25"/>
      <c r="G26" s="71">
        <v>163</v>
      </c>
      <c r="H26" s="71">
        <f t="shared" si="4"/>
        <v>3178500</v>
      </c>
      <c r="I26" s="72"/>
      <c r="J26" s="59">
        <v>1130000</v>
      </c>
      <c r="K26" s="73"/>
      <c r="L26" s="27"/>
      <c r="M26" s="26"/>
      <c r="N26" s="26"/>
      <c r="O26" s="26">
        <f t="shared" si="0"/>
        <v>4308500</v>
      </c>
      <c r="P26" s="26">
        <v>7450000</v>
      </c>
      <c r="Q26" s="26">
        <f t="shared" si="1"/>
        <v>3141500</v>
      </c>
      <c r="R26" s="46"/>
      <c r="S26" s="10"/>
      <c r="T26" s="10"/>
    </row>
    <row r="27" spans="1:20" ht="24" customHeight="1" x14ac:dyDescent="0.35">
      <c r="A27" s="21">
        <v>20</v>
      </c>
      <c r="B27" s="22">
        <v>45133</v>
      </c>
      <c r="C27" s="23" t="s">
        <v>895</v>
      </c>
      <c r="D27" s="24" t="s">
        <v>922</v>
      </c>
      <c r="E27" s="23" t="s">
        <v>112</v>
      </c>
      <c r="F27" s="25"/>
      <c r="G27" s="71">
        <v>261</v>
      </c>
      <c r="H27" s="71">
        <f t="shared" si="4"/>
        <v>5089500</v>
      </c>
      <c r="I27" s="72"/>
      <c r="J27" s="59">
        <v>2380000</v>
      </c>
      <c r="K27" s="73"/>
      <c r="L27" s="27"/>
      <c r="M27" s="26"/>
      <c r="N27" s="26"/>
      <c r="O27" s="26">
        <f t="shared" si="0"/>
        <v>7469500</v>
      </c>
      <c r="P27" s="26">
        <v>13636364</v>
      </c>
      <c r="Q27" s="26">
        <f t="shared" si="1"/>
        <v>6166864</v>
      </c>
      <c r="R27" s="46"/>
      <c r="S27" s="10"/>
      <c r="T27" s="10"/>
    </row>
    <row r="28" spans="1:20" ht="24" customHeight="1" x14ac:dyDescent="0.35">
      <c r="A28" s="21"/>
      <c r="B28" s="22">
        <v>45134</v>
      </c>
      <c r="C28" s="23" t="s">
        <v>896</v>
      </c>
      <c r="D28" s="24" t="s">
        <v>923</v>
      </c>
      <c r="E28" s="23" t="s">
        <v>903</v>
      </c>
      <c r="F28" s="25"/>
      <c r="G28" s="71">
        <v>85</v>
      </c>
      <c r="H28" s="71">
        <f t="shared" si="4"/>
        <v>1657500</v>
      </c>
      <c r="I28" s="72"/>
      <c r="J28" s="59">
        <v>790000</v>
      </c>
      <c r="K28" s="73"/>
      <c r="L28" s="27"/>
      <c r="M28" s="26"/>
      <c r="N28" s="26"/>
      <c r="O28" s="26">
        <f t="shared" si="0"/>
        <v>2447500</v>
      </c>
      <c r="P28" s="26">
        <v>3900000</v>
      </c>
      <c r="Q28" s="26">
        <f t="shared" si="1"/>
        <v>1452500</v>
      </c>
      <c r="R28" s="46"/>
      <c r="S28" s="10"/>
      <c r="T28" s="10"/>
    </row>
    <row r="29" spans="1:20" ht="24" customHeight="1" x14ac:dyDescent="0.35">
      <c r="A29" s="21"/>
      <c r="B29" s="22">
        <v>45134</v>
      </c>
      <c r="C29" s="23" t="s">
        <v>897</v>
      </c>
      <c r="D29" s="24" t="s">
        <v>924</v>
      </c>
      <c r="E29" s="23" t="s">
        <v>372</v>
      </c>
      <c r="F29" s="25"/>
      <c r="G29" s="71">
        <v>373</v>
      </c>
      <c r="H29" s="71">
        <f t="shared" si="4"/>
        <v>7273500</v>
      </c>
      <c r="I29" s="72"/>
      <c r="J29" s="59">
        <v>3870000</v>
      </c>
      <c r="K29" s="73"/>
      <c r="L29" s="27"/>
      <c r="M29" s="26"/>
      <c r="N29" s="26"/>
      <c r="O29" s="26">
        <f t="shared" si="0"/>
        <v>11143500</v>
      </c>
      <c r="P29" s="26">
        <v>19650000</v>
      </c>
      <c r="Q29" s="26">
        <f t="shared" si="1"/>
        <v>8506500</v>
      </c>
      <c r="R29" s="46"/>
      <c r="S29" s="10"/>
      <c r="T29" s="10"/>
    </row>
    <row r="30" spans="1:20" ht="24" customHeight="1" x14ac:dyDescent="0.35">
      <c r="A30" s="21"/>
      <c r="B30" s="22">
        <v>45138</v>
      </c>
      <c r="C30" s="23" t="s">
        <v>898</v>
      </c>
      <c r="D30" s="24" t="s">
        <v>925</v>
      </c>
      <c r="E30" s="23" t="s">
        <v>781</v>
      </c>
      <c r="F30" s="25"/>
      <c r="G30" s="71">
        <v>45</v>
      </c>
      <c r="H30" s="71">
        <f t="shared" si="4"/>
        <v>877500</v>
      </c>
      <c r="I30" s="72"/>
      <c r="J30" s="59">
        <v>430000</v>
      </c>
      <c r="K30" s="73"/>
      <c r="L30" s="27"/>
      <c r="M30" s="26"/>
      <c r="N30" s="26"/>
      <c r="O30" s="26">
        <f t="shared" si="0"/>
        <v>1307500</v>
      </c>
      <c r="P30" s="26">
        <v>2400000</v>
      </c>
      <c r="Q30" s="26">
        <f t="shared" si="1"/>
        <v>1092500</v>
      </c>
      <c r="R30" s="46"/>
      <c r="S30" s="10"/>
      <c r="T30" s="10"/>
    </row>
    <row r="31" spans="1:20" ht="24" customHeight="1" x14ac:dyDescent="0.35">
      <c r="A31" s="21"/>
      <c r="B31" s="22"/>
      <c r="C31" s="139" t="s">
        <v>44</v>
      </c>
      <c r="D31" s="140"/>
      <c r="E31" s="140"/>
      <c r="F31" s="141"/>
      <c r="G31" s="54"/>
      <c r="H31" s="53"/>
      <c r="I31" s="54"/>
      <c r="J31" s="53"/>
      <c r="K31" s="51"/>
      <c r="L31" s="61">
        <v>1200000</v>
      </c>
      <c r="M31" s="26"/>
      <c r="N31" s="26"/>
      <c r="O31" s="26">
        <f>K31+L31+M31+N31</f>
        <v>1200000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391</v>
      </c>
      <c r="D32" s="140"/>
      <c r="E32" s="140"/>
      <c r="F32" s="141"/>
      <c r="G32" s="51"/>
      <c r="H32" s="51"/>
      <c r="I32" s="52"/>
      <c r="J32" s="51"/>
      <c r="K32" s="61">
        <v>11868000</v>
      </c>
      <c r="L32" s="51"/>
      <c r="M32" s="53"/>
      <c r="N32" s="53"/>
      <c r="O32" s="26">
        <f t="shared" ref="O32:O39" si="5">K32+L32+M32+N32</f>
        <v>11868000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1046</v>
      </c>
      <c r="D33" s="140"/>
      <c r="E33" s="140"/>
      <c r="F33" s="141"/>
      <c r="G33" s="51"/>
      <c r="H33" s="51"/>
      <c r="I33" s="52"/>
      <c r="J33" s="51"/>
      <c r="K33" s="51"/>
      <c r="L33" s="61">
        <v>120000</v>
      </c>
      <c r="M33" s="53"/>
      <c r="N33" s="53"/>
      <c r="O33" s="26">
        <f t="shared" si="5"/>
        <v>120000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1047</v>
      </c>
      <c r="D34" s="140"/>
      <c r="E34" s="140"/>
      <c r="F34" s="141"/>
      <c r="G34" s="51"/>
      <c r="H34" s="51"/>
      <c r="I34" s="52"/>
      <c r="J34" s="51"/>
      <c r="K34" s="51"/>
      <c r="L34" s="61">
        <v>200000</v>
      </c>
      <c r="M34" s="53"/>
      <c r="N34" s="53"/>
      <c r="O34" s="26">
        <f t="shared" si="5"/>
        <v>200000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1048</v>
      </c>
      <c r="D35" s="140"/>
      <c r="E35" s="140"/>
      <c r="F35" s="141"/>
      <c r="G35" s="51"/>
      <c r="H35" s="51"/>
      <c r="I35" s="52"/>
      <c r="J35" s="51"/>
      <c r="K35" s="51"/>
      <c r="L35" s="61">
        <v>650000</v>
      </c>
      <c r="M35" s="53"/>
      <c r="N35" s="53"/>
      <c r="O35" s="26">
        <f t="shared" si="5"/>
        <v>650000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1049</v>
      </c>
      <c r="D36" s="140"/>
      <c r="E36" s="140"/>
      <c r="F36" s="63"/>
      <c r="G36" s="51"/>
      <c r="H36" s="51"/>
      <c r="I36" s="52"/>
      <c r="J36" s="51"/>
      <c r="K36" s="51"/>
      <c r="L36" s="61">
        <v>1950000</v>
      </c>
      <c r="M36" s="53"/>
      <c r="N36" s="53"/>
      <c r="O36" s="26">
        <f t="shared" si="5"/>
        <v>1950000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1050</v>
      </c>
      <c r="D37" s="140"/>
      <c r="E37" s="140"/>
      <c r="F37" s="141"/>
      <c r="G37" s="51"/>
      <c r="H37" s="51"/>
      <c r="I37" s="52"/>
      <c r="J37" s="51"/>
      <c r="K37" s="51"/>
      <c r="L37" s="61">
        <v>850000</v>
      </c>
      <c r="M37" s="53"/>
      <c r="N37" s="53"/>
      <c r="O37" s="26">
        <f t="shared" si="5"/>
        <v>850000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1051</v>
      </c>
      <c r="D38" s="140"/>
      <c r="E38" s="140"/>
      <c r="F38" s="141"/>
      <c r="G38" s="51"/>
      <c r="H38" s="51"/>
      <c r="I38" s="52"/>
      <c r="J38" s="51"/>
      <c r="K38" s="51"/>
      <c r="L38" s="51"/>
      <c r="M38" s="76">
        <v>11800000</v>
      </c>
      <c r="N38" s="53"/>
      <c r="O38" s="26">
        <f t="shared" si="5"/>
        <v>11800000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5"/>
      <c r="C39" s="139" t="s">
        <v>556</v>
      </c>
      <c r="D39" s="140"/>
      <c r="E39" s="140"/>
      <c r="F39" s="141"/>
      <c r="G39" s="54"/>
      <c r="H39" s="53"/>
      <c r="I39" s="54"/>
      <c r="J39" s="53"/>
      <c r="K39" s="61">
        <v>8000000</v>
      </c>
      <c r="L39" s="53"/>
      <c r="M39" s="53"/>
      <c r="N39" s="53"/>
      <c r="O39" s="26">
        <f t="shared" si="5"/>
        <v>8000000</v>
      </c>
      <c r="P39" s="26"/>
      <c r="Q39" s="26"/>
      <c r="R39" s="48"/>
    </row>
    <row r="40" spans="1:20" ht="24" customHeight="1" x14ac:dyDescent="0.35">
      <c r="A40" s="136" t="s">
        <v>45</v>
      </c>
      <c r="B40" s="137"/>
      <c r="C40" s="137"/>
      <c r="D40" s="137"/>
      <c r="E40" s="137"/>
      <c r="F40" s="138"/>
      <c r="G40" s="33">
        <f>SUM(G8:G39)</f>
        <v>3640</v>
      </c>
      <c r="H40" s="34">
        <f t="shared" ref="H40:N40" si="6">SUM(H7:H39)</f>
        <v>68307510</v>
      </c>
      <c r="I40" s="34">
        <f t="shared" si="6"/>
        <v>0</v>
      </c>
      <c r="J40" s="34">
        <f t="shared" si="6"/>
        <v>34652000</v>
      </c>
      <c r="K40" s="34">
        <f t="shared" si="6"/>
        <v>19868000</v>
      </c>
      <c r="L40" s="34">
        <f t="shared" si="6"/>
        <v>4970000</v>
      </c>
      <c r="M40" s="34">
        <f t="shared" si="6"/>
        <v>11800000</v>
      </c>
      <c r="N40" s="34">
        <f t="shared" si="6"/>
        <v>0</v>
      </c>
      <c r="O40" s="34">
        <f>SUM(O8:O39)</f>
        <v>139597510</v>
      </c>
      <c r="P40" s="75">
        <f>SUM(P8:P39)</f>
        <v>182714310</v>
      </c>
      <c r="Q40" s="34">
        <f>P40-O40</f>
        <v>43116800</v>
      </c>
      <c r="R40" s="50"/>
    </row>
    <row r="41" spans="1:20" x14ac:dyDescent="0.35">
      <c r="O41" s="35"/>
      <c r="Q41" s="36"/>
    </row>
    <row r="42" spans="1:20" x14ac:dyDescent="0.35">
      <c r="O42" s="37"/>
      <c r="P42" s="38" t="s">
        <v>46</v>
      </c>
      <c r="Q42" s="39">
        <f>'06.2023'!Q42+'07.2023'!Q40</f>
        <v>147077793.33333331</v>
      </c>
    </row>
    <row r="43" spans="1:20" x14ac:dyDescent="0.35">
      <c r="O43" s="37"/>
      <c r="P43" s="38"/>
      <c r="Q43" s="39"/>
    </row>
    <row r="44" spans="1:20" x14ac:dyDescent="0.35">
      <c r="O44" s="37"/>
      <c r="P44" s="38"/>
      <c r="Q44" s="39"/>
    </row>
    <row r="45" spans="1:20" x14ac:dyDescent="0.35">
      <c r="P45" s="37"/>
      <c r="Q45" s="37"/>
      <c r="R45" s="50"/>
    </row>
    <row r="46" spans="1:20" x14ac:dyDescent="0.35">
      <c r="B46" s="8"/>
    </row>
    <row r="47" spans="1:20" x14ac:dyDescent="0.35">
      <c r="B47" s="8"/>
    </row>
    <row r="48" spans="1:20" x14ac:dyDescent="0.35">
      <c r="B48" s="8"/>
    </row>
    <row r="49" s="8" customFormat="1" x14ac:dyDescent="0.35"/>
  </sheetData>
  <mergeCells count="29"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K5:K6"/>
    <mergeCell ref="L5:L6"/>
    <mergeCell ref="M5:M6"/>
    <mergeCell ref="C38:F38"/>
    <mergeCell ref="C39:F39"/>
    <mergeCell ref="A40:F40"/>
    <mergeCell ref="N5:N6"/>
    <mergeCell ref="C34:F34"/>
    <mergeCell ref="C35:F35"/>
    <mergeCell ref="C36:E36"/>
    <mergeCell ref="C37:F37"/>
    <mergeCell ref="C31:F31"/>
    <mergeCell ref="C32:F32"/>
    <mergeCell ref="C33:F33"/>
    <mergeCell ref="I5:I6"/>
    <mergeCell ref="J5:J6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35590-177B-4907-830A-E235AE04360F}">
  <dimension ref="A1:T46"/>
  <sheetViews>
    <sheetView topLeftCell="F22" workbookViewId="0">
      <selection activeCell="H31" sqref="H31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926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34" t="s">
        <v>0</v>
      </c>
      <c r="B5" s="132" t="s">
        <v>26</v>
      </c>
      <c r="C5" s="134" t="s">
        <v>27</v>
      </c>
      <c r="D5" s="134" t="s">
        <v>28</v>
      </c>
      <c r="E5" s="147" t="s">
        <v>29</v>
      </c>
      <c r="F5" s="147" t="s">
        <v>30</v>
      </c>
      <c r="G5" s="145" t="s">
        <v>31</v>
      </c>
      <c r="H5" s="146"/>
      <c r="I5" s="134" t="s">
        <v>37</v>
      </c>
      <c r="J5" s="128" t="s">
        <v>38</v>
      </c>
      <c r="K5" s="128" t="s">
        <v>39</v>
      </c>
      <c r="L5" s="128" t="s">
        <v>40</v>
      </c>
      <c r="M5" s="128" t="s">
        <v>41</v>
      </c>
      <c r="N5" s="128" t="s">
        <v>42</v>
      </c>
      <c r="O5" s="130" t="s">
        <v>32</v>
      </c>
      <c r="P5" s="130" t="s">
        <v>33</v>
      </c>
      <c r="Q5" s="130" t="s">
        <v>34</v>
      </c>
      <c r="R5" s="42"/>
    </row>
    <row r="6" spans="1:20" s="43" customFormat="1" x14ac:dyDescent="0.35">
      <c r="A6" s="135"/>
      <c r="B6" s="133"/>
      <c r="C6" s="135"/>
      <c r="D6" s="135"/>
      <c r="E6" s="148"/>
      <c r="F6" s="148"/>
      <c r="G6" s="11" t="s">
        <v>35</v>
      </c>
      <c r="H6" s="12" t="s">
        <v>36</v>
      </c>
      <c r="I6" s="135"/>
      <c r="J6" s="129"/>
      <c r="K6" s="129"/>
      <c r="L6" s="129"/>
      <c r="M6" s="129"/>
      <c r="N6" s="129"/>
      <c r="O6" s="131"/>
      <c r="P6" s="131"/>
      <c r="Q6" s="131"/>
      <c r="R6" s="42"/>
    </row>
    <row r="7" spans="1:20" s="45" customFormat="1" ht="24" customHeight="1" x14ac:dyDescent="0.35">
      <c r="A7" s="87"/>
      <c r="B7" s="88"/>
      <c r="C7" s="89"/>
      <c r="D7" s="90"/>
      <c r="E7" s="90"/>
      <c r="F7" s="91"/>
      <c r="G7" s="92"/>
      <c r="H7" s="93"/>
      <c r="I7" s="93"/>
      <c r="J7" s="94"/>
      <c r="K7" s="94"/>
      <c r="L7" s="94"/>
      <c r="M7" s="94"/>
      <c r="N7" s="94"/>
      <c r="O7" s="92"/>
      <c r="P7" s="92"/>
      <c r="Q7" s="92"/>
      <c r="R7" s="44"/>
    </row>
    <row r="8" spans="1:20" ht="24" customHeight="1" x14ac:dyDescent="0.35">
      <c r="A8" s="95">
        <v>1</v>
      </c>
      <c r="B8" s="96">
        <v>45138</v>
      </c>
      <c r="C8" s="97" t="s">
        <v>927</v>
      </c>
      <c r="D8" s="98" t="s">
        <v>949</v>
      </c>
      <c r="E8" s="97" t="s">
        <v>431</v>
      </c>
      <c r="F8" s="99"/>
      <c r="G8" s="100">
        <v>133</v>
      </c>
      <c r="H8" s="100">
        <f>G8*20610</f>
        <v>2741130</v>
      </c>
      <c r="I8" s="101"/>
      <c r="J8" s="109">
        <v>790000</v>
      </c>
      <c r="K8" s="102"/>
      <c r="L8" s="103"/>
      <c r="M8" s="104"/>
      <c r="N8" s="104"/>
      <c r="O8" s="104">
        <f>H8+J8+K8+L8+M8+N8</f>
        <v>3531130</v>
      </c>
      <c r="P8" s="104">
        <v>6005556</v>
      </c>
      <c r="Q8" s="104">
        <f>P8-O8</f>
        <v>2474426</v>
      </c>
      <c r="R8" s="46"/>
      <c r="S8" s="10"/>
      <c r="T8" s="10"/>
    </row>
    <row r="9" spans="1:20" ht="24" customHeight="1" x14ac:dyDescent="0.35">
      <c r="A9" s="21">
        <v>2</v>
      </c>
      <c r="B9" s="22">
        <v>45139</v>
      </c>
      <c r="C9" s="23" t="s">
        <v>928</v>
      </c>
      <c r="D9" s="24" t="s">
        <v>950</v>
      </c>
      <c r="E9" s="23" t="s">
        <v>111</v>
      </c>
      <c r="F9" s="25"/>
      <c r="G9" s="71">
        <v>111</v>
      </c>
      <c r="H9" s="71">
        <f t="shared" ref="H9:H15" si="0">G9*20610</f>
        <v>2287710</v>
      </c>
      <c r="I9" s="72"/>
      <c r="J9" s="59">
        <v>1090000</v>
      </c>
      <c r="K9" s="73"/>
      <c r="L9" s="27"/>
      <c r="M9" s="26"/>
      <c r="N9" s="26"/>
      <c r="O9" s="26">
        <f t="shared" ref="O9:O30" si="1">H9+J9+K9+L9+M9+N9</f>
        <v>3377710</v>
      </c>
      <c r="P9" s="26">
        <v>3700000</v>
      </c>
      <c r="Q9" s="26">
        <f t="shared" ref="Q9:Q30" si="2">P9-O9</f>
        <v>322290</v>
      </c>
      <c r="R9" s="46"/>
      <c r="S9" s="10"/>
      <c r="T9" s="10"/>
    </row>
    <row r="10" spans="1:20" ht="24" customHeight="1" x14ac:dyDescent="0.35">
      <c r="A10" s="21">
        <v>3</v>
      </c>
      <c r="B10" s="22">
        <v>45140</v>
      </c>
      <c r="C10" s="23" t="s">
        <v>929</v>
      </c>
      <c r="D10" s="24" t="s">
        <v>950</v>
      </c>
      <c r="E10" s="23" t="s">
        <v>970</v>
      </c>
      <c r="F10" s="25"/>
      <c r="G10" s="71"/>
      <c r="H10" s="71">
        <f t="shared" si="0"/>
        <v>0</v>
      </c>
      <c r="I10" s="72"/>
      <c r="J10" s="59">
        <v>0</v>
      </c>
      <c r="K10" s="73"/>
      <c r="L10" s="27"/>
      <c r="M10" s="26"/>
      <c r="N10" s="26"/>
      <c r="O10" s="26">
        <f t="shared" si="1"/>
        <v>0</v>
      </c>
      <c r="P10" s="26">
        <v>2000000</v>
      </c>
      <c r="Q10" s="26">
        <f t="shared" si="2"/>
        <v>2000000</v>
      </c>
      <c r="R10" s="46"/>
      <c r="S10" s="10"/>
      <c r="T10" s="10"/>
    </row>
    <row r="11" spans="1:20" ht="24" customHeight="1" x14ac:dyDescent="0.35">
      <c r="A11" s="21">
        <v>4</v>
      </c>
      <c r="B11" s="22">
        <v>45140</v>
      </c>
      <c r="C11" s="23" t="s">
        <v>930</v>
      </c>
      <c r="D11" s="24" t="s">
        <v>951</v>
      </c>
      <c r="E11" s="23" t="s">
        <v>971</v>
      </c>
      <c r="F11" s="25"/>
      <c r="G11" s="71">
        <v>78</v>
      </c>
      <c r="H11" s="71">
        <f t="shared" si="0"/>
        <v>1607580</v>
      </c>
      <c r="I11" s="72"/>
      <c r="J11" s="59">
        <v>610000</v>
      </c>
      <c r="K11" s="73"/>
      <c r="L11" s="27"/>
      <c r="M11" s="26"/>
      <c r="N11" s="26"/>
      <c r="O11" s="26">
        <f t="shared" si="1"/>
        <v>2217580</v>
      </c>
      <c r="P11" s="26">
        <v>4100000</v>
      </c>
      <c r="Q11" s="26">
        <f t="shared" si="2"/>
        <v>1882420</v>
      </c>
      <c r="R11" s="46"/>
      <c r="S11" s="10"/>
      <c r="T11" s="10"/>
    </row>
    <row r="12" spans="1:20" ht="24" customHeight="1" x14ac:dyDescent="0.35">
      <c r="A12" s="21">
        <v>5</v>
      </c>
      <c r="B12" s="22">
        <v>45141</v>
      </c>
      <c r="C12" s="23" t="s">
        <v>931</v>
      </c>
      <c r="D12" s="24" t="s">
        <v>951</v>
      </c>
      <c r="E12" s="23" t="s">
        <v>372</v>
      </c>
      <c r="F12" s="25"/>
      <c r="G12" s="71">
        <v>381</v>
      </c>
      <c r="H12" s="71">
        <f t="shared" si="0"/>
        <v>7852410</v>
      </c>
      <c r="I12" s="72"/>
      <c r="J12" s="59">
        <f>3870000+400000</f>
        <v>4270000</v>
      </c>
      <c r="K12" s="73"/>
      <c r="L12" s="27"/>
      <c r="M12" s="26"/>
      <c r="N12" s="26"/>
      <c r="O12" s="26">
        <f>H12+J12+K12+L12+M12+N12</f>
        <v>12122410</v>
      </c>
      <c r="P12" s="26">
        <v>21350000</v>
      </c>
      <c r="Q12" s="26">
        <f t="shared" si="2"/>
        <v>9227590</v>
      </c>
      <c r="R12" s="46"/>
      <c r="S12" s="10"/>
      <c r="T12" s="10"/>
    </row>
    <row r="13" spans="1:20" ht="24" customHeight="1" x14ac:dyDescent="0.35">
      <c r="A13" s="21">
        <v>6</v>
      </c>
      <c r="B13" s="22">
        <v>45144</v>
      </c>
      <c r="C13" s="23" t="s">
        <v>932</v>
      </c>
      <c r="D13" s="24" t="s">
        <v>952</v>
      </c>
      <c r="E13" s="23" t="s">
        <v>972</v>
      </c>
      <c r="F13" s="25"/>
      <c r="G13" s="26">
        <v>61</v>
      </c>
      <c r="H13" s="71">
        <f>G13*20610</f>
        <v>1257210</v>
      </c>
      <c r="I13" s="72"/>
      <c r="J13" s="59">
        <v>430000</v>
      </c>
      <c r="K13" s="73"/>
      <c r="L13" s="27"/>
      <c r="M13" s="26"/>
      <c r="N13" s="26"/>
      <c r="O13" s="26">
        <f>H13+J13+K13+L13+M13+N13</f>
        <v>1687210</v>
      </c>
      <c r="P13" s="26">
        <v>3060000</v>
      </c>
      <c r="Q13" s="26">
        <f t="shared" si="2"/>
        <v>1372790</v>
      </c>
      <c r="R13" s="46"/>
      <c r="S13" s="10"/>
      <c r="T13" s="10"/>
    </row>
    <row r="14" spans="1:20" ht="24" customHeight="1" x14ac:dyDescent="0.35">
      <c r="A14" s="21">
        <v>7</v>
      </c>
      <c r="B14" s="22">
        <v>45145</v>
      </c>
      <c r="C14" s="23" t="s">
        <v>933</v>
      </c>
      <c r="D14" s="24" t="s">
        <v>953</v>
      </c>
      <c r="E14" s="23" t="s">
        <v>973</v>
      </c>
      <c r="F14" s="25"/>
      <c r="G14" s="71">
        <v>83</v>
      </c>
      <c r="H14" s="71">
        <f t="shared" si="0"/>
        <v>1710630</v>
      </c>
      <c r="I14" s="72"/>
      <c r="J14" s="59">
        <v>430000</v>
      </c>
      <c r="K14" s="73"/>
      <c r="L14" s="27"/>
      <c r="M14" s="26"/>
      <c r="N14" s="26"/>
      <c r="O14" s="26">
        <f t="shared" si="1"/>
        <v>2140630</v>
      </c>
      <c r="P14" s="26">
        <v>3600000</v>
      </c>
      <c r="Q14" s="26">
        <f t="shared" si="2"/>
        <v>1459370</v>
      </c>
      <c r="R14" s="46"/>
      <c r="S14" s="10"/>
      <c r="T14" s="10"/>
    </row>
    <row r="15" spans="1:20" ht="24" customHeight="1" x14ac:dyDescent="0.35">
      <c r="A15" s="21">
        <v>8</v>
      </c>
      <c r="B15" s="22">
        <v>45145</v>
      </c>
      <c r="C15" s="23" t="s">
        <v>934</v>
      </c>
      <c r="D15" s="24" t="s">
        <v>954</v>
      </c>
      <c r="E15" s="23" t="s">
        <v>372</v>
      </c>
      <c r="F15" s="25"/>
      <c r="G15" s="71">
        <v>378</v>
      </c>
      <c r="H15" s="71">
        <f t="shared" si="0"/>
        <v>7790580</v>
      </c>
      <c r="I15" s="72"/>
      <c r="J15" s="59">
        <v>3870000</v>
      </c>
      <c r="K15" s="73"/>
      <c r="L15" s="27"/>
      <c r="M15" s="26"/>
      <c r="N15" s="26"/>
      <c r="O15" s="26">
        <f t="shared" si="1"/>
        <v>11660580</v>
      </c>
      <c r="P15" s="26">
        <v>20150000</v>
      </c>
      <c r="Q15" s="26">
        <f t="shared" si="2"/>
        <v>8489420</v>
      </c>
      <c r="R15" s="46"/>
      <c r="S15" s="10"/>
      <c r="T15" s="10"/>
    </row>
    <row r="16" spans="1:20" ht="24" customHeight="1" x14ac:dyDescent="0.35">
      <c r="A16" s="21">
        <v>9</v>
      </c>
      <c r="B16" s="22">
        <v>45148</v>
      </c>
      <c r="C16" s="23" t="s">
        <v>935</v>
      </c>
      <c r="D16" s="24" t="s">
        <v>955</v>
      </c>
      <c r="E16" s="23" t="s">
        <v>43</v>
      </c>
      <c r="F16" s="25"/>
      <c r="G16" s="71">
        <v>70</v>
      </c>
      <c r="H16" s="71">
        <f>G16*22420</f>
        <v>1569400</v>
      </c>
      <c r="I16" s="72"/>
      <c r="J16" s="59">
        <v>610000</v>
      </c>
      <c r="K16" s="73"/>
      <c r="L16" s="27"/>
      <c r="M16" s="26"/>
      <c r="N16" s="26"/>
      <c r="O16" s="26">
        <f t="shared" si="1"/>
        <v>2179400</v>
      </c>
      <c r="P16" s="26">
        <v>3670000</v>
      </c>
      <c r="Q16" s="26">
        <f t="shared" si="2"/>
        <v>1490600</v>
      </c>
      <c r="R16" s="46"/>
      <c r="S16" s="10"/>
      <c r="T16" s="10"/>
    </row>
    <row r="17" spans="1:20" ht="24" customHeight="1" x14ac:dyDescent="0.35">
      <c r="A17" s="21">
        <v>10</v>
      </c>
      <c r="B17" s="22">
        <v>45149</v>
      </c>
      <c r="C17" s="23" t="s">
        <v>936</v>
      </c>
      <c r="D17" s="24" t="s">
        <v>956</v>
      </c>
      <c r="E17" s="23" t="s">
        <v>876</v>
      </c>
      <c r="F17" s="25"/>
      <c r="G17" s="71">
        <v>10</v>
      </c>
      <c r="H17" s="71">
        <f t="shared" ref="H17:H22" si="3">G17*22420</f>
        <v>224200</v>
      </c>
      <c r="I17" s="72"/>
      <c r="J17" s="59">
        <v>200000</v>
      </c>
      <c r="K17" s="73"/>
      <c r="L17" s="27"/>
      <c r="M17" s="26"/>
      <c r="N17" s="26"/>
      <c r="O17" s="26">
        <f t="shared" si="1"/>
        <v>424200</v>
      </c>
      <c r="P17" s="26">
        <v>1100000</v>
      </c>
      <c r="Q17" s="26">
        <f t="shared" si="2"/>
        <v>675800</v>
      </c>
      <c r="R17" s="46"/>
      <c r="S17" s="10"/>
      <c r="T17" s="10"/>
    </row>
    <row r="18" spans="1:20" ht="24" customHeight="1" x14ac:dyDescent="0.35">
      <c r="A18" s="21">
        <v>11</v>
      </c>
      <c r="B18" s="22">
        <v>45152</v>
      </c>
      <c r="C18" s="23" t="s">
        <v>937</v>
      </c>
      <c r="D18" s="24" t="s">
        <v>957</v>
      </c>
      <c r="E18" s="23" t="s">
        <v>431</v>
      </c>
      <c r="F18" s="25"/>
      <c r="G18" s="71">
        <v>126</v>
      </c>
      <c r="H18" s="71">
        <f t="shared" si="3"/>
        <v>2824920</v>
      </c>
      <c r="I18" s="72"/>
      <c r="J18" s="59">
        <v>790000</v>
      </c>
      <c r="K18" s="73"/>
      <c r="L18" s="27"/>
      <c r="M18" s="26"/>
      <c r="N18" s="26"/>
      <c r="O18" s="26">
        <f t="shared" si="1"/>
        <v>3614920</v>
      </c>
      <c r="P18" s="26">
        <v>5670370</v>
      </c>
      <c r="Q18" s="26">
        <f t="shared" si="2"/>
        <v>2055450</v>
      </c>
      <c r="R18" s="46"/>
      <c r="S18" s="10"/>
      <c r="T18" s="10"/>
    </row>
    <row r="19" spans="1:20" ht="24" customHeight="1" x14ac:dyDescent="0.35">
      <c r="A19" s="21">
        <v>12</v>
      </c>
      <c r="B19" s="22">
        <v>45153</v>
      </c>
      <c r="C19" s="23" t="s">
        <v>938</v>
      </c>
      <c r="D19" s="24" t="s">
        <v>958</v>
      </c>
      <c r="E19" s="23" t="s">
        <v>372</v>
      </c>
      <c r="F19" s="25"/>
      <c r="G19" s="71">
        <v>377</v>
      </c>
      <c r="H19" s="71">
        <f t="shared" si="3"/>
        <v>8452340</v>
      </c>
      <c r="I19" s="72"/>
      <c r="J19" s="59">
        <v>3870000</v>
      </c>
      <c r="K19" s="73"/>
      <c r="L19" s="27"/>
      <c r="M19" s="26"/>
      <c r="N19" s="26"/>
      <c r="O19" s="26">
        <f t="shared" si="1"/>
        <v>12322340</v>
      </c>
      <c r="P19" s="26">
        <v>20900000</v>
      </c>
      <c r="Q19" s="26">
        <f t="shared" si="2"/>
        <v>8577660</v>
      </c>
      <c r="R19" s="46"/>
      <c r="S19" s="10"/>
      <c r="T19" s="10"/>
    </row>
    <row r="20" spans="1:20" ht="24" customHeight="1" x14ac:dyDescent="0.35">
      <c r="A20" s="21">
        <v>13</v>
      </c>
      <c r="B20" s="22">
        <v>45154</v>
      </c>
      <c r="C20" s="23" t="s">
        <v>336</v>
      </c>
      <c r="D20" s="24" t="s">
        <v>959</v>
      </c>
      <c r="E20" s="23" t="s">
        <v>974</v>
      </c>
      <c r="F20" s="25"/>
      <c r="G20" s="71">
        <v>91</v>
      </c>
      <c r="H20" s="71">
        <f t="shared" si="3"/>
        <v>2040220</v>
      </c>
      <c r="I20" s="72"/>
      <c r="J20" s="59">
        <v>790000</v>
      </c>
      <c r="K20" s="73"/>
      <c r="L20" s="27"/>
      <c r="M20" s="26"/>
      <c r="N20" s="26"/>
      <c r="O20" s="26">
        <f t="shared" si="1"/>
        <v>2830220</v>
      </c>
      <c r="P20" s="26">
        <v>4150000</v>
      </c>
      <c r="Q20" s="26">
        <f t="shared" si="2"/>
        <v>1319780</v>
      </c>
      <c r="R20" s="46"/>
      <c r="S20" s="10"/>
      <c r="T20" s="10"/>
    </row>
    <row r="21" spans="1:20" ht="24" customHeight="1" x14ac:dyDescent="0.35">
      <c r="A21" s="21">
        <v>14</v>
      </c>
      <c r="B21" s="22">
        <v>45155</v>
      </c>
      <c r="C21" s="23" t="s">
        <v>939</v>
      </c>
      <c r="D21" s="24" t="s">
        <v>960</v>
      </c>
      <c r="E21" s="23" t="s">
        <v>975</v>
      </c>
      <c r="F21" s="25"/>
      <c r="G21" s="71">
        <v>91</v>
      </c>
      <c r="H21" s="71">
        <f t="shared" si="3"/>
        <v>2040220</v>
      </c>
      <c r="I21" s="72"/>
      <c r="J21" s="59">
        <v>790000</v>
      </c>
      <c r="K21" s="73"/>
      <c r="L21" s="27"/>
      <c r="M21" s="26"/>
      <c r="N21" s="26"/>
      <c r="O21" s="26">
        <f t="shared" si="1"/>
        <v>2830220</v>
      </c>
      <c r="P21" s="26">
        <v>4814815</v>
      </c>
      <c r="Q21" s="26">
        <f t="shared" si="2"/>
        <v>1984595</v>
      </c>
      <c r="R21" s="46"/>
      <c r="S21" s="10"/>
      <c r="T21" s="10"/>
    </row>
    <row r="22" spans="1:20" ht="24" customHeight="1" x14ac:dyDescent="0.35">
      <c r="A22" s="21">
        <v>15</v>
      </c>
      <c r="B22" s="22">
        <v>45156</v>
      </c>
      <c r="C22" s="23" t="s">
        <v>940</v>
      </c>
      <c r="D22" s="24" t="s">
        <v>961</v>
      </c>
      <c r="E22" s="23" t="s">
        <v>976</v>
      </c>
      <c r="F22" s="25"/>
      <c r="G22" s="71">
        <v>55</v>
      </c>
      <c r="H22" s="71">
        <f t="shared" si="3"/>
        <v>1233100</v>
      </c>
      <c r="I22" s="72"/>
      <c r="J22" s="59">
        <v>340000</v>
      </c>
      <c r="K22" s="73"/>
      <c r="L22" s="27"/>
      <c r="M22" s="26"/>
      <c r="N22" s="26"/>
      <c r="O22" s="26">
        <f t="shared" si="1"/>
        <v>1573100</v>
      </c>
      <c r="P22" s="26">
        <v>3100000</v>
      </c>
      <c r="Q22" s="26">
        <f t="shared" si="2"/>
        <v>1526900</v>
      </c>
      <c r="R22" s="46"/>
      <c r="S22" s="10"/>
      <c r="T22" s="10"/>
    </row>
    <row r="23" spans="1:20" ht="24" customHeight="1" x14ac:dyDescent="0.35">
      <c r="A23" s="21">
        <v>16</v>
      </c>
      <c r="B23" s="22">
        <v>45159</v>
      </c>
      <c r="C23" s="23" t="s">
        <v>941</v>
      </c>
      <c r="D23" s="24" t="s">
        <v>962</v>
      </c>
      <c r="E23" s="23" t="s">
        <v>780</v>
      </c>
      <c r="F23" s="25"/>
      <c r="G23" s="71">
        <v>153</v>
      </c>
      <c r="H23" s="71">
        <f>G23*22350</f>
        <v>3419550</v>
      </c>
      <c r="I23" s="72"/>
      <c r="J23" s="59">
        <v>1080000</v>
      </c>
      <c r="K23" s="73"/>
      <c r="L23" s="27"/>
      <c r="M23" s="26"/>
      <c r="N23" s="26"/>
      <c r="O23" s="26">
        <f t="shared" si="1"/>
        <v>4499550</v>
      </c>
      <c r="P23" s="26">
        <v>7150000</v>
      </c>
      <c r="Q23" s="26">
        <f t="shared" si="2"/>
        <v>2650450</v>
      </c>
      <c r="R23" s="46"/>
      <c r="S23" s="10"/>
      <c r="T23" s="10"/>
    </row>
    <row r="24" spans="1:20" ht="24" customHeight="1" x14ac:dyDescent="0.35">
      <c r="A24" s="21">
        <v>17</v>
      </c>
      <c r="B24" s="22">
        <v>45159</v>
      </c>
      <c r="C24" s="23" t="s">
        <v>942</v>
      </c>
      <c r="D24" s="24" t="s">
        <v>963</v>
      </c>
      <c r="E24" s="23" t="s">
        <v>372</v>
      </c>
      <c r="F24" s="25"/>
      <c r="G24" s="71">
        <v>373</v>
      </c>
      <c r="H24" s="71">
        <f t="shared" ref="H24:H30" si="4">G24*22350</f>
        <v>8336550</v>
      </c>
      <c r="I24" s="72"/>
      <c r="J24" s="59">
        <v>3870000</v>
      </c>
      <c r="K24" s="73"/>
      <c r="L24" s="27"/>
      <c r="M24" s="26"/>
      <c r="N24" s="26"/>
      <c r="O24" s="26">
        <f t="shared" si="1"/>
        <v>12206550</v>
      </c>
      <c r="P24" s="26">
        <v>20900000</v>
      </c>
      <c r="Q24" s="26">
        <f t="shared" si="2"/>
        <v>8693450</v>
      </c>
      <c r="R24" s="46"/>
      <c r="S24" s="10"/>
      <c r="T24" s="10"/>
    </row>
    <row r="25" spans="1:20" ht="24" customHeight="1" x14ac:dyDescent="0.35">
      <c r="A25" s="21">
        <v>18</v>
      </c>
      <c r="B25" s="22">
        <v>45161</v>
      </c>
      <c r="C25" s="23" t="s">
        <v>943</v>
      </c>
      <c r="D25" s="24" t="s">
        <v>964</v>
      </c>
      <c r="E25" s="23" t="s">
        <v>977</v>
      </c>
      <c r="F25" s="25"/>
      <c r="G25" s="71">
        <v>303</v>
      </c>
      <c r="H25" s="71">
        <f t="shared" si="4"/>
        <v>6772050</v>
      </c>
      <c r="I25" s="72"/>
      <c r="J25" s="59">
        <v>2880000</v>
      </c>
      <c r="K25" s="73"/>
      <c r="L25" s="27"/>
      <c r="M25" s="26"/>
      <c r="N25" s="26"/>
      <c r="O25" s="26">
        <f t="shared" si="1"/>
        <v>9652050</v>
      </c>
      <c r="P25" s="26">
        <v>17564815</v>
      </c>
      <c r="Q25" s="26">
        <f t="shared" si="2"/>
        <v>7912765</v>
      </c>
      <c r="R25" s="46"/>
      <c r="S25" s="10"/>
      <c r="T25" s="10"/>
    </row>
    <row r="26" spans="1:20" ht="24" customHeight="1" x14ac:dyDescent="0.35">
      <c r="A26" s="21">
        <v>19</v>
      </c>
      <c r="B26" s="22">
        <v>45163</v>
      </c>
      <c r="C26" s="23" t="s">
        <v>944</v>
      </c>
      <c r="D26" s="24" t="s">
        <v>965</v>
      </c>
      <c r="E26" s="23" t="s">
        <v>112</v>
      </c>
      <c r="F26" s="25"/>
      <c r="G26" s="71">
        <v>254</v>
      </c>
      <c r="H26" s="71">
        <f t="shared" si="4"/>
        <v>5676900</v>
      </c>
      <c r="I26" s="72"/>
      <c r="J26" s="59">
        <v>2380000</v>
      </c>
      <c r="K26" s="73"/>
      <c r="L26" s="27"/>
      <c r="M26" s="26"/>
      <c r="N26" s="26"/>
      <c r="O26" s="26">
        <f t="shared" si="1"/>
        <v>8056900</v>
      </c>
      <c r="P26" s="26">
        <v>14053030</v>
      </c>
      <c r="Q26" s="26">
        <f t="shared" si="2"/>
        <v>5996130</v>
      </c>
      <c r="R26" s="46"/>
      <c r="S26" s="10"/>
      <c r="T26" s="10"/>
    </row>
    <row r="27" spans="1:20" ht="24" customHeight="1" x14ac:dyDescent="0.35">
      <c r="A27" s="21">
        <v>20</v>
      </c>
      <c r="B27" s="22">
        <v>45164</v>
      </c>
      <c r="C27" s="23" t="s">
        <v>945</v>
      </c>
      <c r="D27" s="24" t="s">
        <v>966</v>
      </c>
      <c r="E27" s="23" t="s">
        <v>227</v>
      </c>
      <c r="F27" s="25"/>
      <c r="G27" s="71">
        <v>180</v>
      </c>
      <c r="H27" s="71">
        <f t="shared" si="4"/>
        <v>4023000</v>
      </c>
      <c r="I27" s="72"/>
      <c r="J27" s="59">
        <v>1530000</v>
      </c>
      <c r="K27" s="73"/>
      <c r="L27" s="27"/>
      <c r="M27" s="26"/>
      <c r="N27" s="26"/>
      <c r="O27" s="26">
        <f t="shared" si="1"/>
        <v>5553000</v>
      </c>
      <c r="P27" s="26">
        <v>8666667</v>
      </c>
      <c r="Q27" s="26">
        <f t="shared" si="2"/>
        <v>3113667</v>
      </c>
      <c r="R27" s="46"/>
      <c r="S27" s="10"/>
      <c r="T27" s="10"/>
    </row>
    <row r="28" spans="1:20" ht="24" customHeight="1" x14ac:dyDescent="0.35">
      <c r="A28" s="21"/>
      <c r="B28" s="22">
        <v>45167</v>
      </c>
      <c r="C28" s="23" t="s">
        <v>946</v>
      </c>
      <c r="D28" s="24" t="s">
        <v>967</v>
      </c>
      <c r="E28" s="23" t="s">
        <v>903</v>
      </c>
      <c r="F28" s="25"/>
      <c r="G28" s="71">
        <v>84</v>
      </c>
      <c r="H28" s="71">
        <f t="shared" si="4"/>
        <v>1877400</v>
      </c>
      <c r="I28" s="72"/>
      <c r="J28" s="59">
        <v>430000</v>
      </c>
      <c r="K28" s="73"/>
      <c r="L28" s="27"/>
      <c r="M28" s="26"/>
      <c r="N28" s="26"/>
      <c r="O28" s="26">
        <f t="shared" si="1"/>
        <v>2307400</v>
      </c>
      <c r="P28" s="26">
        <v>4000000</v>
      </c>
      <c r="Q28" s="26">
        <f t="shared" si="2"/>
        <v>1692600</v>
      </c>
      <c r="R28" s="46"/>
      <c r="S28" s="10"/>
      <c r="T28" s="10"/>
    </row>
    <row r="29" spans="1:20" ht="24" customHeight="1" x14ac:dyDescent="0.35">
      <c r="A29" s="21"/>
      <c r="B29" s="22">
        <v>45167</v>
      </c>
      <c r="C29" s="23" t="s">
        <v>947</v>
      </c>
      <c r="D29" s="24" t="s">
        <v>968</v>
      </c>
      <c r="E29" s="23" t="s">
        <v>903</v>
      </c>
      <c r="F29" s="25"/>
      <c r="G29" s="71">
        <v>89</v>
      </c>
      <c r="H29" s="71">
        <f t="shared" si="4"/>
        <v>1989150</v>
      </c>
      <c r="I29" s="72"/>
      <c r="J29" s="59">
        <v>430000</v>
      </c>
      <c r="K29" s="73"/>
      <c r="L29" s="27"/>
      <c r="M29" s="26"/>
      <c r="N29" s="26"/>
      <c r="O29" s="26">
        <f t="shared" si="1"/>
        <v>2419150</v>
      </c>
      <c r="P29" s="26">
        <v>4000000</v>
      </c>
      <c r="Q29" s="26">
        <f t="shared" si="2"/>
        <v>1580850</v>
      </c>
      <c r="R29" s="46"/>
      <c r="S29" s="10"/>
      <c r="T29" s="10"/>
    </row>
    <row r="30" spans="1:20" ht="24" customHeight="1" x14ac:dyDescent="0.35">
      <c r="A30" s="21"/>
      <c r="B30" s="22">
        <v>45168</v>
      </c>
      <c r="C30" s="23" t="s">
        <v>948</v>
      </c>
      <c r="D30" s="24" t="s">
        <v>969</v>
      </c>
      <c r="E30" s="23" t="s">
        <v>978</v>
      </c>
      <c r="F30" s="25"/>
      <c r="G30" s="71">
        <v>93</v>
      </c>
      <c r="H30" s="71">
        <f t="shared" si="4"/>
        <v>2078550</v>
      </c>
      <c r="I30" s="72"/>
      <c r="J30" s="59">
        <v>790000</v>
      </c>
      <c r="K30" s="73"/>
      <c r="L30" s="27"/>
      <c r="M30" s="26"/>
      <c r="N30" s="26"/>
      <c r="O30" s="26">
        <f t="shared" si="1"/>
        <v>2868550</v>
      </c>
      <c r="P30" s="26">
        <v>4300000</v>
      </c>
      <c r="Q30" s="26">
        <f t="shared" si="2"/>
        <v>1431450</v>
      </c>
      <c r="R30" s="46"/>
      <c r="S30" s="10"/>
      <c r="T30" s="10"/>
    </row>
    <row r="31" spans="1:20" ht="24" customHeight="1" x14ac:dyDescent="0.35">
      <c r="A31" s="21"/>
      <c r="B31" s="22"/>
      <c r="C31" s="139" t="s">
        <v>44</v>
      </c>
      <c r="D31" s="140"/>
      <c r="E31" s="140"/>
      <c r="F31" s="141"/>
      <c r="G31" s="54"/>
      <c r="H31" s="53"/>
      <c r="I31" s="54"/>
      <c r="J31" s="53"/>
      <c r="K31" s="51"/>
      <c r="L31" s="61">
        <v>1200000</v>
      </c>
      <c r="M31" s="26"/>
      <c r="N31" s="26"/>
      <c r="O31" s="26">
        <f>K31+L31+M31+N31</f>
        <v>1200000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391</v>
      </c>
      <c r="D32" s="140"/>
      <c r="E32" s="140"/>
      <c r="F32" s="141"/>
      <c r="G32" s="51"/>
      <c r="H32" s="51"/>
      <c r="I32" s="52"/>
      <c r="J32" s="51"/>
      <c r="K32" s="61">
        <v>12987000</v>
      </c>
      <c r="L32" s="51"/>
      <c r="M32" s="53"/>
      <c r="N32" s="53"/>
      <c r="O32" s="26">
        <f t="shared" ref="O32:O36" si="5">K32+L32+M32+N32</f>
        <v>12987000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1052</v>
      </c>
      <c r="D33" s="140"/>
      <c r="E33" s="140"/>
      <c r="F33" s="141"/>
      <c r="G33" s="51"/>
      <c r="H33" s="51"/>
      <c r="I33" s="52"/>
      <c r="J33" s="51"/>
      <c r="K33" s="51"/>
      <c r="L33" s="61">
        <v>400000</v>
      </c>
      <c r="M33" s="53"/>
      <c r="N33" s="53"/>
      <c r="O33" s="26">
        <f t="shared" si="5"/>
        <v>400000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56" t="s">
        <v>1238</v>
      </c>
      <c r="D34" s="156"/>
      <c r="E34" s="156"/>
      <c r="F34" s="156"/>
      <c r="G34" s="106"/>
      <c r="H34" s="107"/>
      <c r="I34" s="106"/>
      <c r="J34" s="107"/>
      <c r="K34" s="115"/>
      <c r="L34" s="51">
        <v>5700000</v>
      </c>
      <c r="M34" s="53"/>
      <c r="N34" s="53"/>
      <c r="O34" s="26">
        <f t="shared" si="5"/>
        <v>5700000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1239</v>
      </c>
      <c r="D35" s="140"/>
      <c r="E35" s="140"/>
      <c r="F35" s="141"/>
      <c r="G35" s="51"/>
      <c r="H35" s="51"/>
      <c r="I35" s="52"/>
      <c r="J35" s="51"/>
      <c r="K35" s="51"/>
      <c r="L35" s="51">
        <v>650000</v>
      </c>
      <c r="M35" s="53"/>
      <c r="N35" s="53"/>
      <c r="O35" s="26">
        <f t="shared" si="5"/>
        <v>650000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5"/>
      <c r="C36" s="139" t="s">
        <v>390</v>
      </c>
      <c r="D36" s="140"/>
      <c r="E36" s="140"/>
      <c r="F36" s="141"/>
      <c r="G36" s="54"/>
      <c r="H36" s="53"/>
      <c r="I36" s="54"/>
      <c r="J36" s="53"/>
      <c r="K36" s="61">
        <v>8300000</v>
      </c>
      <c r="L36" s="53"/>
      <c r="M36" s="53"/>
      <c r="N36" s="53"/>
      <c r="O36" s="26">
        <f t="shared" si="5"/>
        <v>8300000</v>
      </c>
      <c r="P36" s="26"/>
      <c r="Q36" s="26"/>
      <c r="R36" s="48"/>
    </row>
    <row r="37" spans="1:20" ht="24" customHeight="1" x14ac:dyDescent="0.35">
      <c r="A37" s="136" t="s">
        <v>45</v>
      </c>
      <c r="B37" s="137"/>
      <c r="C37" s="137"/>
      <c r="D37" s="137"/>
      <c r="E37" s="137"/>
      <c r="F37" s="138"/>
      <c r="G37" s="33">
        <f>SUM(G8:G36)</f>
        <v>3574</v>
      </c>
      <c r="H37" s="34">
        <f t="shared" ref="H37:N37" si="6">SUM(H7:H36)</f>
        <v>77804800</v>
      </c>
      <c r="I37" s="34">
        <f t="shared" si="6"/>
        <v>0</v>
      </c>
      <c r="J37" s="34">
        <f t="shared" si="6"/>
        <v>32270000</v>
      </c>
      <c r="K37" s="34">
        <f t="shared" si="6"/>
        <v>21287000</v>
      </c>
      <c r="L37" s="34">
        <f t="shared" si="6"/>
        <v>7950000</v>
      </c>
      <c r="M37" s="34">
        <f t="shared" si="6"/>
        <v>0</v>
      </c>
      <c r="N37" s="34">
        <f t="shared" si="6"/>
        <v>0</v>
      </c>
      <c r="O37" s="34">
        <f>SUM(O8:O36)</f>
        <v>139311800</v>
      </c>
      <c r="P37" s="34">
        <f>SUM(P8:P36)</f>
        <v>188005253</v>
      </c>
      <c r="Q37" s="34">
        <f>P37-O37</f>
        <v>48693453</v>
      </c>
      <c r="R37" s="50"/>
    </row>
    <row r="38" spans="1:20" x14ac:dyDescent="0.35">
      <c r="O38" s="35"/>
      <c r="Q38" s="36"/>
    </row>
    <row r="39" spans="1:20" x14ac:dyDescent="0.35">
      <c r="O39" s="37"/>
      <c r="P39" s="38" t="s">
        <v>46</v>
      </c>
      <c r="Q39" s="39">
        <f>'07.2023'!Q42+'08.2023'!Q37</f>
        <v>195771246.33333331</v>
      </c>
    </row>
    <row r="40" spans="1:20" x14ac:dyDescent="0.35">
      <c r="O40" s="37"/>
      <c r="P40" s="38"/>
      <c r="Q40" s="39"/>
    </row>
    <row r="41" spans="1:20" x14ac:dyDescent="0.35">
      <c r="O41" s="37"/>
      <c r="P41" s="38"/>
      <c r="Q41" s="39"/>
    </row>
    <row r="42" spans="1:20" x14ac:dyDescent="0.35">
      <c r="P42" s="37"/>
      <c r="Q42" s="37"/>
      <c r="R42" s="50"/>
    </row>
    <row r="43" spans="1:20" x14ac:dyDescent="0.35">
      <c r="B43" s="8"/>
    </row>
    <row r="44" spans="1:20" x14ac:dyDescent="0.35">
      <c r="B44" s="8"/>
    </row>
    <row r="45" spans="1:20" x14ac:dyDescent="0.35">
      <c r="B45" s="8"/>
    </row>
    <row r="46" spans="1:20" x14ac:dyDescent="0.35">
      <c r="B46" s="8"/>
      <c r="H46" s="8"/>
      <c r="J46" s="8"/>
      <c r="K46" s="8"/>
      <c r="L46" s="8"/>
      <c r="M46" s="8"/>
      <c r="N46" s="8"/>
      <c r="O46" s="8"/>
      <c r="P46" s="8"/>
      <c r="Q46" s="8"/>
      <c r="R46" s="8"/>
    </row>
  </sheetData>
  <mergeCells count="26"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K5:K6"/>
    <mergeCell ref="L5:L6"/>
    <mergeCell ref="M5:M6"/>
    <mergeCell ref="A37:F37"/>
    <mergeCell ref="C34:F34"/>
    <mergeCell ref="C35:F35"/>
    <mergeCell ref="N5:N6"/>
    <mergeCell ref="C36:F36"/>
    <mergeCell ref="C31:F31"/>
    <mergeCell ref="C32:F32"/>
    <mergeCell ref="C33:F33"/>
    <mergeCell ref="I5:I6"/>
    <mergeCell ref="J5:J6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3DA3-AD0A-46B1-9BFC-258082074F65}">
  <dimension ref="A1:R50"/>
  <sheetViews>
    <sheetView topLeftCell="B21" workbookViewId="0">
      <selection activeCell="U12" sqref="U12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18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18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18" ht="15.5" x14ac:dyDescent="0.35">
      <c r="A3" s="127" t="s">
        <v>1056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18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18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18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18" ht="24" customHeight="1" x14ac:dyDescent="0.35">
      <c r="A8" s="95">
        <v>1</v>
      </c>
      <c r="B8" s="96">
        <v>45169</v>
      </c>
      <c r="C8" s="97" t="s">
        <v>1057</v>
      </c>
      <c r="D8" s="98" t="s">
        <v>1071</v>
      </c>
      <c r="E8" s="97" t="s">
        <v>249</v>
      </c>
      <c r="F8" s="99"/>
      <c r="G8" s="104">
        <v>241</v>
      </c>
      <c r="H8" s="104">
        <f>G8*22350</f>
        <v>5386350</v>
      </c>
      <c r="I8" s="99"/>
      <c r="J8" s="109">
        <v>2380000</v>
      </c>
      <c r="K8" s="103"/>
      <c r="L8" s="103"/>
      <c r="M8" s="104"/>
      <c r="N8" s="104"/>
      <c r="O8" s="104">
        <f>H8+J8+K8+L8+M8+N8</f>
        <v>7766350</v>
      </c>
      <c r="P8" s="104">
        <v>13150000</v>
      </c>
      <c r="Q8" s="104">
        <f>P8-O8</f>
        <v>5383650</v>
      </c>
      <c r="R8" s="46"/>
    </row>
    <row r="9" spans="1:18" ht="24" customHeight="1" x14ac:dyDescent="0.35">
      <c r="A9" s="21">
        <v>2</v>
      </c>
      <c r="B9" s="22">
        <v>45173</v>
      </c>
      <c r="C9" s="23" t="s">
        <v>395</v>
      </c>
      <c r="D9" s="24" t="s">
        <v>1072</v>
      </c>
      <c r="E9" s="23" t="s">
        <v>780</v>
      </c>
      <c r="F9" s="25"/>
      <c r="G9" s="26">
        <v>153</v>
      </c>
      <c r="H9" s="26">
        <f>G9*22640</f>
        <v>3463920</v>
      </c>
      <c r="I9" s="25"/>
      <c r="J9" s="59">
        <v>1080000</v>
      </c>
      <c r="K9" s="27"/>
      <c r="L9" s="27"/>
      <c r="M9" s="26"/>
      <c r="N9" s="26"/>
      <c r="O9" s="26">
        <f t="shared" ref="O9:O29" si="0">H9+J9+K9+L9+M9+N9</f>
        <v>4543920</v>
      </c>
      <c r="P9" s="26">
        <v>7150000</v>
      </c>
      <c r="Q9" s="26">
        <f t="shared" ref="Q9:Q29" si="1">P9-O9</f>
        <v>2606080</v>
      </c>
      <c r="R9" s="46"/>
    </row>
    <row r="10" spans="1:18" ht="24" customHeight="1" x14ac:dyDescent="0.35">
      <c r="A10" s="21">
        <v>3</v>
      </c>
      <c r="B10" s="22">
        <v>45175</v>
      </c>
      <c r="C10" s="23" t="s">
        <v>1058</v>
      </c>
      <c r="D10" s="24" t="s">
        <v>1073</v>
      </c>
      <c r="E10" s="23" t="s">
        <v>227</v>
      </c>
      <c r="F10" s="25"/>
      <c r="G10" s="26">
        <v>180</v>
      </c>
      <c r="H10" s="26">
        <f t="shared" ref="H10" si="2">G10*22640</f>
        <v>4075200</v>
      </c>
      <c r="I10" s="25"/>
      <c r="J10" s="59">
        <v>1530000</v>
      </c>
      <c r="K10" s="27"/>
      <c r="L10" s="27"/>
      <c r="M10" s="26"/>
      <c r="N10" s="26"/>
      <c r="O10" s="26">
        <f t="shared" si="0"/>
        <v>5605200</v>
      </c>
      <c r="P10" s="26">
        <v>8666667</v>
      </c>
      <c r="Q10" s="26">
        <f t="shared" si="1"/>
        <v>3061467</v>
      </c>
      <c r="R10" s="46"/>
    </row>
    <row r="11" spans="1:18" ht="24" customHeight="1" x14ac:dyDescent="0.35">
      <c r="A11" s="21">
        <v>4</v>
      </c>
      <c r="B11" s="22">
        <v>45175</v>
      </c>
      <c r="C11" s="23" t="s">
        <v>396</v>
      </c>
      <c r="D11" s="24" t="s">
        <v>1074</v>
      </c>
      <c r="E11" s="23" t="s">
        <v>61</v>
      </c>
      <c r="F11" s="25"/>
      <c r="G11" s="26">
        <v>283</v>
      </c>
      <c r="H11" s="26">
        <f>(G11-65)*22640+65*23050</f>
        <v>6433770</v>
      </c>
      <c r="I11" s="25"/>
      <c r="J11" s="59">
        <v>3020000</v>
      </c>
      <c r="K11" s="27"/>
      <c r="L11" s="27"/>
      <c r="M11" s="26"/>
      <c r="N11" s="26"/>
      <c r="O11" s="26">
        <f t="shared" si="0"/>
        <v>9453770</v>
      </c>
      <c r="P11" s="26">
        <v>14724074</v>
      </c>
      <c r="Q11" s="26">
        <f t="shared" si="1"/>
        <v>5270304</v>
      </c>
      <c r="R11" s="46"/>
    </row>
    <row r="12" spans="1:18" ht="24" customHeight="1" x14ac:dyDescent="0.35">
      <c r="A12" s="21">
        <v>5</v>
      </c>
      <c r="B12" s="22">
        <v>45176</v>
      </c>
      <c r="C12" s="23" t="s">
        <v>1059</v>
      </c>
      <c r="D12" s="24" t="s">
        <v>1075</v>
      </c>
      <c r="E12" s="23" t="s">
        <v>244</v>
      </c>
      <c r="F12" s="25"/>
      <c r="G12" s="26">
        <v>67</v>
      </c>
      <c r="H12" s="70">
        <f>G12*23050</f>
        <v>1544350</v>
      </c>
      <c r="I12" s="25"/>
      <c r="J12" s="59">
        <v>430000</v>
      </c>
      <c r="K12" s="27"/>
      <c r="L12" s="27"/>
      <c r="M12" s="26"/>
      <c r="N12" s="26"/>
      <c r="O12" s="26">
        <f>H12+J12+K12+L12+M12+N12</f>
        <v>1974350</v>
      </c>
      <c r="P12" s="26">
        <v>3500000</v>
      </c>
      <c r="Q12" s="26">
        <f t="shared" si="1"/>
        <v>1525650</v>
      </c>
      <c r="R12" s="46"/>
    </row>
    <row r="13" spans="1:18" ht="24" customHeight="1" x14ac:dyDescent="0.35">
      <c r="A13" s="21">
        <v>6</v>
      </c>
      <c r="B13" s="22">
        <v>45177</v>
      </c>
      <c r="C13" s="23" t="s">
        <v>1060</v>
      </c>
      <c r="D13" s="24" t="s">
        <v>1076</v>
      </c>
      <c r="E13" s="23" t="s">
        <v>1228</v>
      </c>
      <c r="F13" s="25"/>
      <c r="G13" s="26">
        <v>70</v>
      </c>
      <c r="H13" s="26">
        <f>G13*23050</f>
        <v>1613500</v>
      </c>
      <c r="I13" s="25"/>
      <c r="J13" s="59">
        <v>890000</v>
      </c>
      <c r="K13" s="27"/>
      <c r="L13" s="27"/>
      <c r="M13" s="26"/>
      <c r="N13" s="26"/>
      <c r="O13" s="26">
        <f>H13+J13+K13+L13+M13+N13</f>
        <v>2503500</v>
      </c>
      <c r="P13" s="26">
        <v>4300000</v>
      </c>
      <c r="Q13" s="26">
        <f t="shared" si="1"/>
        <v>1796500</v>
      </c>
      <c r="R13" s="46"/>
    </row>
    <row r="14" spans="1:18" ht="24" customHeight="1" x14ac:dyDescent="0.35">
      <c r="A14" s="21">
        <v>7</v>
      </c>
      <c r="B14" s="22">
        <v>45178</v>
      </c>
      <c r="C14" s="23" t="s">
        <v>1061</v>
      </c>
      <c r="D14" s="24" t="s">
        <v>1077</v>
      </c>
      <c r="E14" s="23" t="s">
        <v>249</v>
      </c>
      <c r="F14" s="25"/>
      <c r="G14" s="26">
        <v>240</v>
      </c>
      <c r="H14" s="26">
        <f t="shared" ref="H14:H20" si="3">G14*23050</f>
        <v>5532000</v>
      </c>
      <c r="I14" s="25"/>
      <c r="J14" s="59">
        <v>2380000</v>
      </c>
      <c r="K14" s="27"/>
      <c r="L14" s="27"/>
      <c r="M14" s="26"/>
      <c r="N14" s="26"/>
      <c r="O14" s="26">
        <f t="shared" si="0"/>
        <v>7912000</v>
      </c>
      <c r="P14" s="26">
        <v>13064815</v>
      </c>
      <c r="Q14" s="26">
        <f t="shared" si="1"/>
        <v>5152815</v>
      </c>
      <c r="R14" s="46"/>
    </row>
    <row r="15" spans="1:18" ht="24" customHeight="1" x14ac:dyDescent="0.35">
      <c r="A15" s="21">
        <v>8</v>
      </c>
      <c r="B15" s="22">
        <v>45180</v>
      </c>
      <c r="C15" s="23" t="s">
        <v>400</v>
      </c>
      <c r="D15" s="24" t="s">
        <v>1078</v>
      </c>
      <c r="E15" s="23" t="s">
        <v>227</v>
      </c>
      <c r="F15" s="25"/>
      <c r="G15" s="26">
        <v>180</v>
      </c>
      <c r="H15" s="26">
        <f t="shared" si="3"/>
        <v>4149000</v>
      </c>
      <c r="I15" s="25"/>
      <c r="J15" s="59">
        <v>1530000</v>
      </c>
      <c r="K15" s="27"/>
      <c r="L15" s="27"/>
      <c r="M15" s="26"/>
      <c r="N15" s="26"/>
      <c r="O15" s="26">
        <f t="shared" si="0"/>
        <v>5679000</v>
      </c>
      <c r="P15" s="26">
        <v>8666667</v>
      </c>
      <c r="Q15" s="26">
        <f t="shared" si="1"/>
        <v>2987667</v>
      </c>
      <c r="R15" s="46"/>
    </row>
    <row r="16" spans="1:18" ht="24" customHeight="1" x14ac:dyDescent="0.35">
      <c r="A16" s="21">
        <v>9</v>
      </c>
      <c r="B16" s="22">
        <v>45181</v>
      </c>
      <c r="C16" s="23" t="s">
        <v>401</v>
      </c>
      <c r="D16" s="24" t="s">
        <v>1079</v>
      </c>
      <c r="E16" s="23" t="s">
        <v>750</v>
      </c>
      <c r="F16" s="25"/>
      <c r="G16" s="26">
        <v>58</v>
      </c>
      <c r="H16" s="26">
        <f t="shared" si="3"/>
        <v>1336900</v>
      </c>
      <c r="I16" s="25"/>
      <c r="J16" s="59">
        <v>430000</v>
      </c>
      <c r="K16" s="27"/>
      <c r="L16" s="27"/>
      <c r="M16" s="26"/>
      <c r="N16" s="26"/>
      <c r="O16" s="26">
        <f t="shared" si="0"/>
        <v>1766900</v>
      </c>
      <c r="P16" s="26">
        <v>3200000</v>
      </c>
      <c r="Q16" s="26">
        <f t="shared" si="1"/>
        <v>1433100</v>
      </c>
      <c r="R16" s="46"/>
    </row>
    <row r="17" spans="1:18" ht="24" customHeight="1" x14ac:dyDescent="0.35">
      <c r="A17" s="21">
        <v>10</v>
      </c>
      <c r="B17" s="22">
        <v>45182</v>
      </c>
      <c r="C17" s="23" t="s">
        <v>1062</v>
      </c>
      <c r="D17" s="24" t="s">
        <v>1080</v>
      </c>
      <c r="E17" s="23" t="s">
        <v>522</v>
      </c>
      <c r="F17" s="25"/>
      <c r="G17" s="26">
        <v>103</v>
      </c>
      <c r="H17" s="26">
        <f t="shared" si="3"/>
        <v>2374150</v>
      </c>
      <c r="I17" s="25"/>
      <c r="J17" s="59">
        <v>890000</v>
      </c>
      <c r="K17" s="27"/>
      <c r="L17" s="27"/>
      <c r="M17" s="26"/>
      <c r="N17" s="26"/>
      <c r="O17" s="26">
        <f t="shared" si="0"/>
        <v>3264150</v>
      </c>
      <c r="P17" s="26">
        <v>5800000</v>
      </c>
      <c r="Q17" s="26">
        <f t="shared" si="1"/>
        <v>2535850</v>
      </c>
      <c r="R17" s="46"/>
    </row>
    <row r="18" spans="1:18" ht="24" customHeight="1" x14ac:dyDescent="0.35">
      <c r="A18" s="21">
        <v>11</v>
      </c>
      <c r="B18" s="22">
        <v>45183</v>
      </c>
      <c r="C18" s="23" t="s">
        <v>1063</v>
      </c>
      <c r="D18" s="24" t="s">
        <v>1081</v>
      </c>
      <c r="E18" s="23" t="s">
        <v>1229</v>
      </c>
      <c r="F18" s="25"/>
      <c r="G18" s="26">
        <v>43</v>
      </c>
      <c r="H18" s="26">
        <f t="shared" si="3"/>
        <v>991150</v>
      </c>
      <c r="I18" s="25"/>
      <c r="J18" s="59">
        <v>340000</v>
      </c>
      <c r="K18" s="27"/>
      <c r="L18" s="27"/>
      <c r="M18" s="26"/>
      <c r="N18" s="26"/>
      <c r="O18" s="26">
        <f t="shared" si="0"/>
        <v>1331150</v>
      </c>
      <c r="P18" s="26">
        <v>2940000</v>
      </c>
      <c r="Q18" s="26">
        <f t="shared" si="1"/>
        <v>1608850</v>
      </c>
      <c r="R18" s="46"/>
    </row>
    <row r="19" spans="1:18" ht="24" customHeight="1" x14ac:dyDescent="0.35">
      <c r="A19" s="21">
        <v>12</v>
      </c>
      <c r="B19" s="22">
        <v>45184</v>
      </c>
      <c r="C19" s="23" t="s">
        <v>1064</v>
      </c>
      <c r="D19" s="24" t="s">
        <v>1082</v>
      </c>
      <c r="E19" s="23" t="s">
        <v>780</v>
      </c>
      <c r="F19" s="25"/>
      <c r="G19" s="26">
        <v>153</v>
      </c>
      <c r="H19" s="26">
        <f t="shared" si="3"/>
        <v>3526650</v>
      </c>
      <c r="I19" s="25"/>
      <c r="J19" s="59">
        <v>1080000</v>
      </c>
      <c r="K19" s="27"/>
      <c r="L19" s="27"/>
      <c r="M19" s="26"/>
      <c r="N19" s="26"/>
      <c r="O19" s="26">
        <f t="shared" si="0"/>
        <v>4606650</v>
      </c>
      <c r="P19" s="26">
        <v>7150000</v>
      </c>
      <c r="Q19" s="26">
        <f t="shared" si="1"/>
        <v>2543350</v>
      </c>
      <c r="R19" s="46"/>
    </row>
    <row r="20" spans="1:18" ht="24" customHeight="1" x14ac:dyDescent="0.35">
      <c r="A20" s="21">
        <v>13</v>
      </c>
      <c r="B20" s="22">
        <v>45185</v>
      </c>
      <c r="C20" s="23" t="s">
        <v>1065</v>
      </c>
      <c r="D20" s="24" t="s">
        <v>1083</v>
      </c>
      <c r="E20" s="23" t="s">
        <v>227</v>
      </c>
      <c r="F20" s="25"/>
      <c r="G20" s="26">
        <v>180</v>
      </c>
      <c r="H20" s="26">
        <f t="shared" si="3"/>
        <v>4149000</v>
      </c>
      <c r="I20" s="25"/>
      <c r="J20" s="59">
        <v>1530000</v>
      </c>
      <c r="K20" s="27"/>
      <c r="L20" s="27"/>
      <c r="M20" s="26"/>
      <c r="N20" s="26"/>
      <c r="O20" s="26">
        <f t="shared" si="0"/>
        <v>5679000</v>
      </c>
      <c r="P20" s="26">
        <v>8666667</v>
      </c>
      <c r="Q20" s="26">
        <f t="shared" si="1"/>
        <v>2987667</v>
      </c>
      <c r="R20" s="46"/>
    </row>
    <row r="21" spans="1:18" ht="24" customHeight="1" x14ac:dyDescent="0.35">
      <c r="A21" s="21">
        <v>14</v>
      </c>
      <c r="B21" s="22">
        <v>45187</v>
      </c>
      <c r="C21" s="23" t="s">
        <v>1066</v>
      </c>
      <c r="D21" s="24" t="s">
        <v>1084</v>
      </c>
      <c r="E21" s="23" t="s">
        <v>249</v>
      </c>
      <c r="F21" s="25"/>
      <c r="G21" s="26">
        <v>244</v>
      </c>
      <c r="H21" s="26">
        <f>(G21)*23050</f>
        <v>5624200</v>
      </c>
      <c r="I21" s="25"/>
      <c r="J21" s="59">
        <v>2380000</v>
      </c>
      <c r="K21" s="27"/>
      <c r="L21" s="27"/>
      <c r="M21" s="26"/>
      <c r="N21" s="26"/>
      <c r="O21" s="26">
        <f t="shared" si="0"/>
        <v>8004200</v>
      </c>
      <c r="P21" s="26">
        <v>13564815</v>
      </c>
      <c r="Q21" s="26">
        <f t="shared" si="1"/>
        <v>5560615</v>
      </c>
      <c r="R21" s="46"/>
    </row>
    <row r="22" spans="1:18" ht="24" customHeight="1" x14ac:dyDescent="0.35">
      <c r="A22" s="21">
        <v>15</v>
      </c>
      <c r="B22" s="22">
        <v>45188</v>
      </c>
      <c r="C22" s="23" t="s">
        <v>405</v>
      </c>
      <c r="D22" s="24" t="s">
        <v>1085</v>
      </c>
      <c r="E22" s="23" t="s">
        <v>836</v>
      </c>
      <c r="F22" s="25"/>
      <c r="G22" s="26">
        <v>64</v>
      </c>
      <c r="H22" s="26">
        <f>G22*23590</f>
        <v>1509760</v>
      </c>
      <c r="I22" s="25"/>
      <c r="J22" s="59">
        <v>430000</v>
      </c>
      <c r="K22" s="27"/>
      <c r="L22" s="27"/>
      <c r="M22" s="26"/>
      <c r="N22" s="26"/>
      <c r="O22" s="26">
        <f t="shared" si="0"/>
        <v>1939760</v>
      </c>
      <c r="P22" s="26">
        <v>3210000</v>
      </c>
      <c r="Q22" s="26">
        <f t="shared" si="1"/>
        <v>1270240</v>
      </c>
      <c r="R22" s="46"/>
    </row>
    <row r="23" spans="1:18" ht="24" customHeight="1" x14ac:dyDescent="0.35">
      <c r="A23" s="21">
        <v>16</v>
      </c>
      <c r="B23" s="22">
        <v>45189</v>
      </c>
      <c r="C23" s="23" t="s">
        <v>406</v>
      </c>
      <c r="D23" s="24" t="s">
        <v>1086</v>
      </c>
      <c r="E23" s="23" t="s">
        <v>372</v>
      </c>
      <c r="F23" s="25"/>
      <c r="G23" s="26">
        <v>384</v>
      </c>
      <c r="H23" s="26">
        <f t="shared" ref="H23:H29" si="4">G23*23590</f>
        <v>9058560</v>
      </c>
      <c r="I23" s="25"/>
      <c r="J23" s="59">
        <v>3870000</v>
      </c>
      <c r="K23" s="27"/>
      <c r="L23" s="27"/>
      <c r="M23" s="26"/>
      <c r="N23" s="26"/>
      <c r="O23" s="26">
        <f t="shared" si="0"/>
        <v>12928560</v>
      </c>
      <c r="P23" s="26">
        <v>20900000</v>
      </c>
      <c r="Q23" s="26">
        <f t="shared" si="1"/>
        <v>7971440</v>
      </c>
      <c r="R23" s="46"/>
    </row>
    <row r="24" spans="1:18" ht="24" customHeight="1" x14ac:dyDescent="0.35">
      <c r="A24" s="21">
        <v>17</v>
      </c>
      <c r="B24" s="22">
        <v>45191</v>
      </c>
      <c r="C24" s="23" t="s">
        <v>1067</v>
      </c>
      <c r="D24" s="24" t="s">
        <v>1087</v>
      </c>
      <c r="E24" s="23" t="s">
        <v>651</v>
      </c>
      <c r="F24" s="25"/>
      <c r="G24" s="26">
        <v>151</v>
      </c>
      <c r="H24" s="26">
        <f t="shared" si="4"/>
        <v>3562090</v>
      </c>
      <c r="I24" s="25"/>
      <c r="J24" s="59">
        <v>1080000</v>
      </c>
      <c r="K24" s="27"/>
      <c r="L24" s="27"/>
      <c r="M24" s="26"/>
      <c r="N24" s="26"/>
      <c r="O24" s="26">
        <f t="shared" si="0"/>
        <v>4642090</v>
      </c>
      <c r="P24" s="26">
        <v>7100000</v>
      </c>
      <c r="Q24" s="26">
        <f t="shared" si="1"/>
        <v>2457910</v>
      </c>
      <c r="R24" s="46"/>
    </row>
    <row r="25" spans="1:18" ht="24" customHeight="1" x14ac:dyDescent="0.35">
      <c r="A25" s="21">
        <v>18</v>
      </c>
      <c r="B25" s="22">
        <v>45194</v>
      </c>
      <c r="C25" s="23" t="s">
        <v>409</v>
      </c>
      <c r="D25" s="24" t="s">
        <v>1088</v>
      </c>
      <c r="E25" s="23" t="s">
        <v>431</v>
      </c>
      <c r="F25" s="25"/>
      <c r="G25" s="26">
        <v>123</v>
      </c>
      <c r="H25" s="26">
        <f t="shared" si="4"/>
        <v>2901570</v>
      </c>
      <c r="I25" s="25"/>
      <c r="J25" s="59">
        <v>790000</v>
      </c>
      <c r="K25" s="27"/>
      <c r="L25" s="27"/>
      <c r="M25" s="26"/>
      <c r="N25" s="26"/>
      <c r="O25" s="26">
        <f t="shared" si="0"/>
        <v>3691570</v>
      </c>
      <c r="P25" s="26">
        <v>5820370</v>
      </c>
      <c r="Q25" s="26">
        <f t="shared" si="1"/>
        <v>2128800</v>
      </c>
      <c r="R25" s="46"/>
    </row>
    <row r="26" spans="1:18" ht="24" customHeight="1" x14ac:dyDescent="0.35">
      <c r="A26" s="21">
        <v>19</v>
      </c>
      <c r="B26" s="22">
        <v>45195</v>
      </c>
      <c r="C26" s="23" t="s">
        <v>1068</v>
      </c>
      <c r="D26" s="24" t="s">
        <v>1089</v>
      </c>
      <c r="E26" s="23" t="s">
        <v>117</v>
      </c>
      <c r="F26" s="25"/>
      <c r="G26" s="26">
        <v>61</v>
      </c>
      <c r="H26" s="26">
        <f t="shared" si="4"/>
        <v>1438990</v>
      </c>
      <c r="I26" s="25"/>
      <c r="J26" s="59">
        <v>530000</v>
      </c>
      <c r="K26" s="27"/>
      <c r="L26" s="27"/>
      <c r="M26" s="26"/>
      <c r="N26" s="26"/>
      <c r="O26" s="26">
        <f t="shared" si="0"/>
        <v>1968990</v>
      </c>
      <c r="P26" s="26">
        <v>3700000</v>
      </c>
      <c r="Q26" s="26">
        <f t="shared" si="1"/>
        <v>1731010</v>
      </c>
      <c r="R26" s="46"/>
    </row>
    <row r="27" spans="1:18" ht="24" customHeight="1" x14ac:dyDescent="0.35">
      <c r="A27" s="21">
        <v>20</v>
      </c>
      <c r="B27" s="22">
        <v>45196</v>
      </c>
      <c r="C27" s="23" t="s">
        <v>1069</v>
      </c>
      <c r="D27" s="24" t="s">
        <v>1090</v>
      </c>
      <c r="E27" s="23" t="s">
        <v>1230</v>
      </c>
      <c r="F27" s="25"/>
      <c r="G27" s="26">
        <v>87</v>
      </c>
      <c r="H27" s="26">
        <f t="shared" si="4"/>
        <v>2052330</v>
      </c>
      <c r="I27" s="25"/>
      <c r="J27" s="59">
        <v>430000</v>
      </c>
      <c r="K27" s="27"/>
      <c r="L27" s="27"/>
      <c r="M27" s="26"/>
      <c r="N27" s="26"/>
      <c r="O27" s="26">
        <f t="shared" si="0"/>
        <v>2482330</v>
      </c>
      <c r="P27" s="26">
        <v>4200000</v>
      </c>
      <c r="Q27" s="26">
        <f t="shared" si="1"/>
        <v>1717670</v>
      </c>
      <c r="R27" s="46"/>
    </row>
    <row r="28" spans="1:18" ht="24" customHeight="1" x14ac:dyDescent="0.35">
      <c r="A28" s="21">
        <v>21</v>
      </c>
      <c r="B28" s="22">
        <v>45198</v>
      </c>
      <c r="C28" s="23" t="s">
        <v>411</v>
      </c>
      <c r="D28" s="24" t="s">
        <v>1091</v>
      </c>
      <c r="E28" s="23" t="s">
        <v>227</v>
      </c>
      <c r="F28" s="25"/>
      <c r="G28" s="26">
        <v>180</v>
      </c>
      <c r="H28" s="26">
        <f t="shared" si="4"/>
        <v>4246200</v>
      </c>
      <c r="I28" s="25"/>
      <c r="J28" s="59">
        <v>1530000</v>
      </c>
      <c r="K28" s="27"/>
      <c r="L28" s="27"/>
      <c r="M28" s="26"/>
      <c r="N28" s="26"/>
      <c r="O28" s="26">
        <f t="shared" si="0"/>
        <v>5776200</v>
      </c>
      <c r="P28" s="26">
        <v>8851852</v>
      </c>
      <c r="Q28" s="26">
        <f t="shared" si="1"/>
        <v>3075652</v>
      </c>
      <c r="R28" s="46"/>
    </row>
    <row r="29" spans="1:18" ht="24" customHeight="1" x14ac:dyDescent="0.35">
      <c r="A29" s="21">
        <v>22</v>
      </c>
      <c r="B29" s="22">
        <v>45198</v>
      </c>
      <c r="C29" s="23" t="s">
        <v>1070</v>
      </c>
      <c r="D29" s="24" t="s">
        <v>1092</v>
      </c>
      <c r="E29" s="23" t="s">
        <v>227</v>
      </c>
      <c r="F29" s="25"/>
      <c r="G29" s="26">
        <v>180</v>
      </c>
      <c r="H29" s="26">
        <f t="shared" si="4"/>
        <v>4246200</v>
      </c>
      <c r="I29" s="25"/>
      <c r="J29" s="59">
        <v>1530000</v>
      </c>
      <c r="K29" s="27"/>
      <c r="L29" s="27"/>
      <c r="M29" s="26"/>
      <c r="N29" s="26"/>
      <c r="O29" s="26">
        <f t="shared" si="0"/>
        <v>5776200</v>
      </c>
      <c r="P29" s="26">
        <v>8851852</v>
      </c>
      <c r="Q29" s="26">
        <f t="shared" si="1"/>
        <v>3075652</v>
      </c>
      <c r="R29" s="46"/>
    </row>
    <row r="30" spans="1:18" ht="24" customHeight="1" x14ac:dyDescent="0.35">
      <c r="A30" s="21"/>
      <c r="B30" s="22"/>
      <c r="C30" s="139" t="s">
        <v>44</v>
      </c>
      <c r="D30" s="140"/>
      <c r="E30" s="140"/>
      <c r="F30" s="141"/>
      <c r="G30" s="54"/>
      <c r="H30" s="53"/>
      <c r="I30" s="54"/>
      <c r="J30" s="53"/>
      <c r="K30" s="51"/>
      <c r="L30" s="61">
        <v>1200000</v>
      </c>
      <c r="M30" s="26"/>
      <c r="N30" s="26"/>
      <c r="O30" s="26">
        <f>K30+L30+M30+N30</f>
        <v>1200000</v>
      </c>
      <c r="P30" s="26"/>
      <c r="Q30" s="30"/>
      <c r="R30" s="46"/>
    </row>
    <row r="31" spans="1:18" ht="24" customHeight="1" x14ac:dyDescent="0.35">
      <c r="A31" s="25"/>
      <c r="B31" s="28"/>
      <c r="C31" s="139" t="s">
        <v>391</v>
      </c>
      <c r="D31" s="140"/>
      <c r="E31" s="140"/>
      <c r="F31" s="141"/>
      <c r="G31" s="51"/>
      <c r="H31" s="51"/>
      <c r="I31" s="52"/>
      <c r="J31" s="51"/>
      <c r="K31" s="61">
        <v>10690000</v>
      </c>
      <c r="L31" s="51"/>
      <c r="M31" s="53"/>
      <c r="N31" s="53"/>
      <c r="O31" s="26">
        <f t="shared" ref="O31:O40" si="5">K31+L31+M31+N31</f>
        <v>10690000</v>
      </c>
      <c r="P31" s="26"/>
      <c r="Q31" s="30"/>
      <c r="R31" s="46"/>
    </row>
    <row r="32" spans="1:18" ht="24" customHeight="1" x14ac:dyDescent="0.35">
      <c r="A32" s="25"/>
      <c r="B32" s="28"/>
      <c r="C32" s="66" t="s">
        <v>1231</v>
      </c>
      <c r="D32" s="67"/>
      <c r="E32" s="67"/>
      <c r="F32" s="63"/>
      <c r="G32" s="51"/>
      <c r="H32" s="51"/>
      <c r="I32" s="52"/>
      <c r="J32" s="51"/>
      <c r="K32" s="51"/>
      <c r="L32" s="51"/>
      <c r="M32" s="76">
        <v>900000</v>
      </c>
      <c r="N32" s="53"/>
      <c r="O32" s="26">
        <f t="shared" si="5"/>
        <v>900000</v>
      </c>
      <c r="P32" s="26"/>
      <c r="Q32" s="30"/>
      <c r="R32" s="46"/>
    </row>
    <row r="33" spans="1:18" ht="24" customHeight="1" x14ac:dyDescent="0.35">
      <c r="A33" s="25"/>
      <c r="B33" s="28"/>
      <c r="C33" s="139" t="s">
        <v>1240</v>
      </c>
      <c r="D33" s="140"/>
      <c r="E33" s="140"/>
      <c r="F33" s="141"/>
      <c r="G33" s="51"/>
      <c r="H33" s="51"/>
      <c r="I33" s="52"/>
      <c r="J33" s="51"/>
      <c r="K33" s="51"/>
      <c r="L33" s="51"/>
      <c r="M33" s="53"/>
      <c r="N33" s="76">
        <v>2106000</v>
      </c>
      <c r="O33" s="26">
        <f t="shared" si="5"/>
        <v>2106000</v>
      </c>
      <c r="P33" s="26"/>
      <c r="Q33" s="30"/>
      <c r="R33" s="46"/>
    </row>
    <row r="34" spans="1:18" ht="24" customHeight="1" x14ac:dyDescent="0.35">
      <c r="A34" s="25"/>
      <c r="B34" s="28"/>
      <c r="C34" s="139" t="s">
        <v>1232</v>
      </c>
      <c r="D34" s="140"/>
      <c r="E34" s="140"/>
      <c r="F34" s="141"/>
      <c r="G34" s="51"/>
      <c r="H34" s="51"/>
      <c r="I34" s="52"/>
      <c r="J34" s="51"/>
      <c r="K34" s="51"/>
      <c r="L34" s="61">
        <v>100000</v>
      </c>
      <c r="M34" s="53"/>
      <c r="N34" s="53"/>
      <c r="O34" s="26">
        <f t="shared" si="5"/>
        <v>100000</v>
      </c>
      <c r="P34" s="26"/>
      <c r="Q34" s="30"/>
      <c r="R34" s="46"/>
    </row>
    <row r="35" spans="1:18" ht="24" customHeight="1" x14ac:dyDescent="0.35">
      <c r="A35" s="25"/>
      <c r="B35" s="28"/>
      <c r="C35" s="139" t="s">
        <v>1233</v>
      </c>
      <c r="D35" s="140"/>
      <c r="E35" s="140"/>
      <c r="F35" s="141"/>
      <c r="G35" s="51"/>
      <c r="H35" s="51"/>
      <c r="I35" s="52"/>
      <c r="J35" s="51"/>
      <c r="K35" s="51"/>
      <c r="L35" s="51"/>
      <c r="M35" s="53"/>
      <c r="N35" s="76">
        <f>13500000/4</f>
        <v>3375000</v>
      </c>
      <c r="O35" s="26">
        <f t="shared" si="5"/>
        <v>3375000</v>
      </c>
      <c r="P35" s="26"/>
      <c r="Q35" s="30"/>
      <c r="R35" s="46"/>
    </row>
    <row r="36" spans="1:18" ht="24" customHeight="1" x14ac:dyDescent="0.35">
      <c r="A36" s="25"/>
      <c r="B36" s="28"/>
      <c r="C36" s="139" t="s">
        <v>1234</v>
      </c>
      <c r="D36" s="140"/>
      <c r="E36" s="140"/>
      <c r="F36" s="141"/>
      <c r="G36" s="51"/>
      <c r="H36" s="51"/>
      <c r="I36" s="52"/>
      <c r="J36" s="51"/>
      <c r="K36" s="51"/>
      <c r="L36" s="51"/>
      <c r="M36" s="76">
        <v>70000</v>
      </c>
      <c r="N36" s="53"/>
      <c r="O36" s="26">
        <f t="shared" si="5"/>
        <v>70000</v>
      </c>
      <c r="P36" s="26"/>
      <c r="Q36" s="30"/>
      <c r="R36" s="46"/>
    </row>
    <row r="37" spans="1:18" ht="24" customHeight="1" x14ac:dyDescent="0.35">
      <c r="A37" s="25"/>
      <c r="B37" s="28"/>
      <c r="C37" s="139" t="s">
        <v>1235</v>
      </c>
      <c r="D37" s="140"/>
      <c r="E37" s="140"/>
      <c r="F37" s="141"/>
      <c r="G37" s="51"/>
      <c r="H37" s="51"/>
      <c r="I37" s="52"/>
      <c r="J37" s="51"/>
      <c r="K37" s="51"/>
      <c r="L37" s="61">
        <v>6400000</v>
      </c>
      <c r="M37" s="53"/>
      <c r="N37" s="53"/>
      <c r="O37" s="26">
        <f t="shared" si="5"/>
        <v>6400000</v>
      </c>
      <c r="P37" s="26"/>
      <c r="Q37" s="30"/>
      <c r="R37" s="46"/>
    </row>
    <row r="38" spans="1:18" ht="24" customHeight="1" x14ac:dyDescent="0.35">
      <c r="A38" s="25"/>
      <c r="B38" s="28"/>
      <c r="C38" s="139" t="s">
        <v>1236</v>
      </c>
      <c r="D38" s="140"/>
      <c r="E38" s="140"/>
      <c r="F38" s="141"/>
      <c r="G38" s="51"/>
      <c r="H38" s="51"/>
      <c r="I38" s="52"/>
      <c r="J38" s="51"/>
      <c r="K38" s="51"/>
      <c r="L38" s="51"/>
      <c r="M38" s="76">
        <v>150000</v>
      </c>
      <c r="N38" s="53"/>
      <c r="O38" s="26">
        <f t="shared" si="5"/>
        <v>150000</v>
      </c>
      <c r="P38" s="26"/>
      <c r="Q38" s="30"/>
      <c r="R38" s="46"/>
    </row>
    <row r="39" spans="1:18" ht="24" customHeight="1" x14ac:dyDescent="0.35">
      <c r="A39" s="25"/>
      <c r="B39" s="28"/>
      <c r="C39" s="139" t="s">
        <v>1237</v>
      </c>
      <c r="D39" s="140"/>
      <c r="E39" s="140"/>
      <c r="F39" s="141"/>
      <c r="G39" s="51"/>
      <c r="H39" s="51"/>
      <c r="I39" s="52"/>
      <c r="J39" s="51"/>
      <c r="K39" s="51"/>
      <c r="L39" s="61">
        <v>300000</v>
      </c>
      <c r="M39" s="53"/>
      <c r="N39" s="53"/>
      <c r="O39" s="26">
        <f t="shared" si="5"/>
        <v>300000</v>
      </c>
      <c r="P39" s="26"/>
      <c r="Q39" s="30"/>
      <c r="R39" s="46"/>
    </row>
    <row r="40" spans="1:18" ht="24" customHeight="1" x14ac:dyDescent="0.35">
      <c r="A40" s="25"/>
      <c r="B40" s="25"/>
      <c r="C40" s="139" t="s">
        <v>556</v>
      </c>
      <c r="D40" s="140"/>
      <c r="E40" s="140"/>
      <c r="F40" s="141"/>
      <c r="G40" s="54"/>
      <c r="H40" s="53"/>
      <c r="I40" s="54"/>
      <c r="J40" s="53"/>
      <c r="K40" s="51">
        <v>8000000</v>
      </c>
      <c r="L40" s="53"/>
      <c r="M40" s="53"/>
      <c r="N40" s="53"/>
      <c r="O40" s="26">
        <f t="shared" si="5"/>
        <v>8000000</v>
      </c>
      <c r="P40" s="26"/>
      <c r="Q40" s="26"/>
      <c r="R40" s="48"/>
    </row>
    <row r="41" spans="1:18" ht="24" customHeight="1" x14ac:dyDescent="0.35">
      <c r="A41" s="136" t="s">
        <v>45</v>
      </c>
      <c r="B41" s="137"/>
      <c r="C41" s="137"/>
      <c r="D41" s="137"/>
      <c r="E41" s="137"/>
      <c r="F41" s="138"/>
      <c r="G41" s="33">
        <f>SUM(G8:G40)</f>
        <v>3425</v>
      </c>
      <c r="H41" s="34">
        <f t="shared" ref="H41:N41" si="6">SUM(H7:H40)</f>
        <v>79215840</v>
      </c>
      <c r="I41" s="34">
        <f t="shared" si="6"/>
        <v>0</v>
      </c>
      <c r="J41" s="34">
        <f t="shared" si="6"/>
        <v>30080000</v>
      </c>
      <c r="K41" s="34">
        <f t="shared" si="6"/>
        <v>18690000</v>
      </c>
      <c r="L41" s="34">
        <f t="shared" si="6"/>
        <v>8000000</v>
      </c>
      <c r="M41" s="34">
        <f t="shared" si="6"/>
        <v>1120000</v>
      </c>
      <c r="N41" s="34">
        <f t="shared" si="6"/>
        <v>5481000</v>
      </c>
      <c r="O41" s="34">
        <f>SUM(O8:O40)</f>
        <v>142586840</v>
      </c>
      <c r="P41" s="75">
        <f>SUM(P8:P40)</f>
        <v>177177779</v>
      </c>
      <c r="Q41" s="34">
        <f>P41-O41</f>
        <v>34590939</v>
      </c>
      <c r="R41" s="50"/>
    </row>
    <row r="42" spans="1:18" x14ac:dyDescent="0.35">
      <c r="O42" s="35"/>
      <c r="Q42" s="36"/>
    </row>
    <row r="43" spans="1:18" x14ac:dyDescent="0.35">
      <c r="O43" s="37"/>
      <c r="P43" s="38" t="s">
        <v>46</v>
      </c>
      <c r="Q43" s="39">
        <f>'08.2023'!Q39+'09.2023'!Q41</f>
        <v>230362185.33333331</v>
      </c>
    </row>
    <row r="44" spans="1:18" x14ac:dyDescent="0.35">
      <c r="O44" s="37"/>
      <c r="P44" s="38"/>
      <c r="Q44" s="39"/>
    </row>
    <row r="45" spans="1:18" x14ac:dyDescent="0.35">
      <c r="O45" s="37"/>
      <c r="P45" s="38"/>
      <c r="Q45" s="39"/>
    </row>
    <row r="46" spans="1:18" x14ac:dyDescent="0.35">
      <c r="P46" s="37"/>
      <c r="Q46" s="37"/>
      <c r="R46" s="50"/>
    </row>
    <row r="47" spans="1:18" x14ac:dyDescent="0.35">
      <c r="B47" s="8"/>
    </row>
    <row r="48" spans="1:18" x14ac:dyDescent="0.35">
      <c r="B48" s="8"/>
    </row>
    <row r="49" spans="2:18" x14ac:dyDescent="0.35">
      <c r="B49" s="8"/>
    </row>
    <row r="50" spans="2:18" x14ac:dyDescent="0.35">
      <c r="B50" s="8"/>
      <c r="H50" s="8"/>
      <c r="J50" s="8"/>
      <c r="K50" s="8"/>
      <c r="L50" s="8"/>
      <c r="M50" s="8"/>
      <c r="N50" s="8"/>
      <c r="O50" s="8"/>
      <c r="P50" s="8"/>
      <c r="Q50" s="8"/>
      <c r="R50" s="8"/>
    </row>
  </sheetData>
  <mergeCells count="30">
    <mergeCell ref="C40:F40"/>
    <mergeCell ref="A41:F41"/>
    <mergeCell ref="O5:O6"/>
    <mergeCell ref="P5:P6"/>
    <mergeCell ref="Q5:Q6"/>
    <mergeCell ref="C30:F30"/>
    <mergeCell ref="C31:F31"/>
    <mergeCell ref="C35:F35"/>
    <mergeCell ref="I5:I6"/>
    <mergeCell ref="J5:J6"/>
    <mergeCell ref="K5:K6"/>
    <mergeCell ref="L5:L6"/>
    <mergeCell ref="M5:M6"/>
    <mergeCell ref="N5:N6"/>
    <mergeCell ref="C33:F33"/>
    <mergeCell ref="C34:F34"/>
    <mergeCell ref="C36:F36"/>
    <mergeCell ref="C37:F37"/>
    <mergeCell ref="C38:F38"/>
    <mergeCell ref="C39:F39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FA46-BCB6-4BBF-8789-CB4E668625E9}">
  <dimension ref="A1:T48"/>
  <sheetViews>
    <sheetView topLeftCell="A23" workbookViewId="0">
      <selection activeCell="P40" sqref="P40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1133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45199</v>
      </c>
      <c r="C8" s="97" t="s">
        <v>1093</v>
      </c>
      <c r="D8" s="98" t="s">
        <v>1108</v>
      </c>
      <c r="E8" s="97" t="s">
        <v>1126</v>
      </c>
      <c r="F8" s="99"/>
      <c r="G8" s="104">
        <v>86</v>
      </c>
      <c r="H8" s="104">
        <f>G8*23590</f>
        <v>2028740</v>
      </c>
      <c r="I8" s="99"/>
      <c r="J8" s="109">
        <v>430000</v>
      </c>
      <c r="K8" s="103"/>
      <c r="L8" s="103"/>
      <c r="M8" s="104"/>
      <c r="N8" s="104"/>
      <c r="O8" s="104">
        <f>H8+J8+K8+L8+M8+N8</f>
        <v>2458740</v>
      </c>
      <c r="P8" s="104">
        <v>3518519</v>
      </c>
      <c r="Q8" s="104">
        <f>P8-O8</f>
        <v>1059779</v>
      </c>
      <c r="R8" s="46"/>
      <c r="S8" s="10"/>
      <c r="T8" s="10"/>
    </row>
    <row r="9" spans="1:20" ht="24" customHeight="1" x14ac:dyDescent="0.35">
      <c r="A9" s="21">
        <v>2</v>
      </c>
      <c r="B9" s="22">
        <v>45201</v>
      </c>
      <c r="C9" s="23" t="s">
        <v>1094</v>
      </c>
      <c r="D9" s="24" t="s">
        <v>1109</v>
      </c>
      <c r="E9" s="23" t="s">
        <v>372</v>
      </c>
      <c r="F9" s="25"/>
      <c r="G9" s="26">
        <v>647</v>
      </c>
      <c r="H9" s="26">
        <f>G9*23590</f>
        <v>15262730</v>
      </c>
      <c r="I9" s="25"/>
      <c r="J9" s="59">
        <v>7292000</v>
      </c>
      <c r="K9" s="27"/>
      <c r="L9" s="27"/>
      <c r="M9" s="26"/>
      <c r="N9" s="26"/>
      <c r="O9" s="26">
        <f t="shared" ref="O9:O27" si="0">H9+J9+K9+L9+M9+N9</f>
        <v>22554730</v>
      </c>
      <c r="P9" s="26">
        <v>24000000</v>
      </c>
      <c r="Q9" s="26">
        <f t="shared" ref="Q9:Q27" si="1">P9-O9</f>
        <v>1445270</v>
      </c>
      <c r="R9" s="46"/>
      <c r="S9" s="10"/>
      <c r="T9" s="10"/>
    </row>
    <row r="10" spans="1:20" ht="24" customHeight="1" x14ac:dyDescent="0.35">
      <c r="A10" s="21">
        <v>3</v>
      </c>
      <c r="B10" s="22">
        <v>45205</v>
      </c>
      <c r="C10" s="23" t="s">
        <v>1095</v>
      </c>
      <c r="D10" s="24" t="s">
        <v>1109</v>
      </c>
      <c r="E10" s="23" t="s">
        <v>372</v>
      </c>
      <c r="F10" s="25"/>
      <c r="G10" s="26">
        <v>0</v>
      </c>
      <c r="H10" s="26"/>
      <c r="I10" s="25"/>
      <c r="J10" s="59">
        <v>0</v>
      </c>
      <c r="K10" s="27"/>
      <c r="L10" s="27"/>
      <c r="M10" s="26"/>
      <c r="N10" s="26"/>
      <c r="O10" s="26">
        <f t="shared" si="0"/>
        <v>0</v>
      </c>
      <c r="P10" s="26">
        <v>14500000</v>
      </c>
      <c r="Q10" s="26">
        <f t="shared" si="1"/>
        <v>14500000</v>
      </c>
      <c r="R10" s="46"/>
      <c r="S10" s="10"/>
      <c r="T10" s="10"/>
    </row>
    <row r="11" spans="1:20" ht="24" customHeight="1" x14ac:dyDescent="0.35">
      <c r="A11" s="21">
        <v>4</v>
      </c>
      <c r="B11" s="22">
        <v>45205</v>
      </c>
      <c r="C11" s="23" t="s">
        <v>1096</v>
      </c>
      <c r="D11" s="24" t="s">
        <v>1109</v>
      </c>
      <c r="E11" s="23" t="s">
        <v>651</v>
      </c>
      <c r="F11" s="25"/>
      <c r="G11" s="26">
        <v>0</v>
      </c>
      <c r="H11" s="26"/>
      <c r="I11" s="25"/>
      <c r="J11" s="59">
        <v>0</v>
      </c>
      <c r="K11" s="27"/>
      <c r="L11" s="27"/>
      <c r="M11" s="26"/>
      <c r="N11" s="26"/>
      <c r="O11" s="26">
        <f t="shared" si="0"/>
        <v>0</v>
      </c>
      <c r="P11" s="26">
        <v>1018519</v>
      </c>
      <c r="Q11" s="26">
        <f t="shared" si="1"/>
        <v>1018519</v>
      </c>
      <c r="R11" s="46"/>
      <c r="S11" s="10"/>
      <c r="T11" s="10"/>
    </row>
    <row r="12" spans="1:20" ht="24" customHeight="1" x14ac:dyDescent="0.35">
      <c r="A12" s="21">
        <v>5</v>
      </c>
      <c r="B12" s="22">
        <v>45208</v>
      </c>
      <c r="C12" s="23" t="s">
        <v>442</v>
      </c>
      <c r="D12" s="24" t="s">
        <v>1110</v>
      </c>
      <c r="E12" s="23" t="s">
        <v>1127</v>
      </c>
      <c r="F12" s="25"/>
      <c r="G12" s="26">
        <v>365</v>
      </c>
      <c r="H12" s="26">
        <f>G12*23590</f>
        <v>8610350</v>
      </c>
      <c r="I12" s="25"/>
      <c r="J12" s="59">
        <v>3814000</v>
      </c>
      <c r="K12" s="27"/>
      <c r="L12" s="27"/>
      <c r="M12" s="26"/>
      <c r="N12" s="26"/>
      <c r="O12" s="26">
        <f>H12+J12+K12+L12+M12+N12</f>
        <v>12424350</v>
      </c>
      <c r="P12" s="26">
        <v>21600000</v>
      </c>
      <c r="Q12" s="26">
        <f t="shared" si="1"/>
        <v>9175650</v>
      </c>
      <c r="R12" s="46"/>
      <c r="S12" s="10"/>
      <c r="T12" s="10"/>
    </row>
    <row r="13" spans="1:20" ht="24" customHeight="1" x14ac:dyDescent="0.35">
      <c r="A13" s="21">
        <v>6</v>
      </c>
      <c r="B13" s="22">
        <v>45210</v>
      </c>
      <c r="C13" s="23" t="s">
        <v>1097</v>
      </c>
      <c r="D13" s="24" t="s">
        <v>1111</v>
      </c>
      <c r="E13" s="23" t="s">
        <v>431</v>
      </c>
      <c r="F13" s="25"/>
      <c r="G13" s="26">
        <v>123</v>
      </c>
      <c r="H13" s="26">
        <f>G13*23590</f>
        <v>2901570</v>
      </c>
      <c r="I13" s="25"/>
      <c r="J13" s="59">
        <v>790000</v>
      </c>
      <c r="K13" s="27"/>
      <c r="L13" s="27"/>
      <c r="M13" s="26"/>
      <c r="N13" s="26"/>
      <c r="O13" s="26">
        <f>H13+J13+K13+L13+M13+N13</f>
        <v>3691570</v>
      </c>
      <c r="P13" s="26">
        <v>5720370</v>
      </c>
      <c r="Q13" s="26">
        <f t="shared" si="1"/>
        <v>2028800</v>
      </c>
      <c r="R13" s="46"/>
      <c r="S13" s="10"/>
      <c r="T13" s="10"/>
    </row>
    <row r="14" spans="1:20" ht="24" customHeight="1" x14ac:dyDescent="0.35">
      <c r="A14" s="21">
        <v>7</v>
      </c>
      <c r="B14" s="22">
        <v>45211</v>
      </c>
      <c r="C14" s="23" t="s">
        <v>445</v>
      </c>
      <c r="D14" s="24" t="s">
        <v>1112</v>
      </c>
      <c r="E14" s="23" t="s">
        <v>227</v>
      </c>
      <c r="F14" s="25"/>
      <c r="G14" s="26">
        <v>180</v>
      </c>
      <c r="H14" s="26">
        <f t="shared" ref="H14:H16" si="2">G14*23590</f>
        <v>4246200</v>
      </c>
      <c r="I14" s="25"/>
      <c r="J14" s="59">
        <v>1530000</v>
      </c>
      <c r="K14" s="27"/>
      <c r="L14" s="27"/>
      <c r="M14" s="26"/>
      <c r="N14" s="26"/>
      <c r="O14" s="26">
        <f t="shared" si="0"/>
        <v>5776200</v>
      </c>
      <c r="P14" s="26">
        <v>8851852</v>
      </c>
      <c r="Q14" s="26">
        <f t="shared" si="1"/>
        <v>3075652</v>
      </c>
      <c r="R14" s="46"/>
      <c r="S14" s="10"/>
      <c r="T14" s="10"/>
    </row>
    <row r="15" spans="1:20" ht="24" customHeight="1" x14ac:dyDescent="0.35">
      <c r="A15" s="21">
        <v>8</v>
      </c>
      <c r="B15" s="22">
        <v>45212</v>
      </c>
      <c r="C15" s="23" t="s">
        <v>446</v>
      </c>
      <c r="D15" s="24" t="s">
        <v>1113</v>
      </c>
      <c r="E15" s="23" t="s">
        <v>750</v>
      </c>
      <c r="F15" s="25"/>
      <c r="G15" s="26">
        <v>58</v>
      </c>
      <c r="H15" s="26">
        <f t="shared" si="2"/>
        <v>1368220</v>
      </c>
      <c r="I15" s="25"/>
      <c r="J15" s="59">
        <v>430000</v>
      </c>
      <c r="K15" s="27"/>
      <c r="L15" s="27"/>
      <c r="M15" s="26"/>
      <c r="N15" s="26"/>
      <c r="O15" s="26">
        <f t="shared" si="0"/>
        <v>1798220</v>
      </c>
      <c r="P15" s="26">
        <v>3200000</v>
      </c>
      <c r="Q15" s="26">
        <f t="shared" si="1"/>
        <v>1401780</v>
      </c>
      <c r="R15" s="46"/>
      <c r="S15" s="10"/>
      <c r="T15" s="10"/>
    </row>
    <row r="16" spans="1:20" ht="24" customHeight="1" x14ac:dyDescent="0.35">
      <c r="A16" s="21">
        <v>9</v>
      </c>
      <c r="B16" s="22">
        <v>45213</v>
      </c>
      <c r="C16" s="23" t="s">
        <v>1098</v>
      </c>
      <c r="D16" s="24" t="s">
        <v>1114</v>
      </c>
      <c r="E16" s="23" t="s">
        <v>249</v>
      </c>
      <c r="F16" s="25"/>
      <c r="G16" s="26">
        <v>246</v>
      </c>
      <c r="H16" s="26">
        <f t="shared" si="2"/>
        <v>5803140</v>
      </c>
      <c r="I16" s="25"/>
      <c r="J16" s="59">
        <v>2380000</v>
      </c>
      <c r="K16" s="27"/>
      <c r="L16" s="27"/>
      <c r="M16" s="26"/>
      <c r="N16" s="26"/>
      <c r="O16" s="26">
        <f t="shared" si="0"/>
        <v>8183140</v>
      </c>
      <c r="P16" s="26">
        <v>13900000</v>
      </c>
      <c r="Q16" s="26">
        <f t="shared" si="1"/>
        <v>5716860</v>
      </c>
      <c r="R16" s="46"/>
      <c r="S16" s="10"/>
      <c r="T16" s="10"/>
    </row>
    <row r="17" spans="1:20" ht="24" customHeight="1" x14ac:dyDescent="0.35">
      <c r="A17" s="21">
        <v>10</v>
      </c>
      <c r="B17" s="22">
        <v>45215</v>
      </c>
      <c r="C17" s="23" t="s">
        <v>1099</v>
      </c>
      <c r="D17" s="24" t="s">
        <v>1115</v>
      </c>
      <c r="E17" s="23" t="s">
        <v>249</v>
      </c>
      <c r="F17" s="25"/>
      <c r="G17" s="26">
        <v>249</v>
      </c>
      <c r="H17" s="26">
        <f>G17*22410</f>
        <v>5580090</v>
      </c>
      <c r="I17" s="25"/>
      <c r="J17" s="59">
        <v>2380000</v>
      </c>
      <c r="K17" s="27"/>
      <c r="L17" s="27"/>
      <c r="M17" s="26"/>
      <c r="N17" s="26"/>
      <c r="O17" s="26">
        <f t="shared" si="0"/>
        <v>7960090</v>
      </c>
      <c r="P17" s="26">
        <v>13900000</v>
      </c>
      <c r="Q17" s="26">
        <f t="shared" si="1"/>
        <v>5939910</v>
      </c>
      <c r="R17" s="46"/>
      <c r="S17" s="10"/>
      <c r="T17" s="10"/>
    </row>
    <row r="18" spans="1:20" ht="24" customHeight="1" x14ac:dyDescent="0.35">
      <c r="A18" s="21">
        <v>11</v>
      </c>
      <c r="B18" s="22">
        <v>45217</v>
      </c>
      <c r="C18" s="23" t="s">
        <v>1100</v>
      </c>
      <c r="D18" s="24" t="s">
        <v>1116</v>
      </c>
      <c r="E18" s="23" t="s">
        <v>249</v>
      </c>
      <c r="F18" s="25"/>
      <c r="G18" s="26">
        <v>249</v>
      </c>
      <c r="H18" s="26">
        <f t="shared" ref="H18:H20" si="3">G18*22410</f>
        <v>5580090</v>
      </c>
      <c r="I18" s="25"/>
      <c r="J18" s="59">
        <v>2380000</v>
      </c>
      <c r="K18" s="27"/>
      <c r="L18" s="27"/>
      <c r="M18" s="26"/>
      <c r="N18" s="26"/>
      <c r="O18" s="26">
        <f t="shared" si="0"/>
        <v>7960090</v>
      </c>
      <c r="P18" s="26">
        <v>13900000</v>
      </c>
      <c r="Q18" s="26">
        <f t="shared" si="1"/>
        <v>5939910</v>
      </c>
      <c r="R18" s="46"/>
      <c r="S18" s="10"/>
      <c r="T18" s="10"/>
    </row>
    <row r="19" spans="1:20" ht="24" customHeight="1" x14ac:dyDescent="0.35">
      <c r="A19" s="21">
        <v>12</v>
      </c>
      <c r="B19" s="22">
        <v>45219</v>
      </c>
      <c r="C19" s="23" t="s">
        <v>450</v>
      </c>
      <c r="D19" s="24" t="s">
        <v>1117</v>
      </c>
      <c r="E19" s="23" t="s">
        <v>227</v>
      </c>
      <c r="F19" s="25"/>
      <c r="G19" s="26">
        <v>182</v>
      </c>
      <c r="H19" s="26">
        <f t="shared" si="3"/>
        <v>4078620</v>
      </c>
      <c r="I19" s="25"/>
      <c r="J19" s="59">
        <v>1530000</v>
      </c>
      <c r="K19" s="27"/>
      <c r="L19" s="27"/>
      <c r="M19" s="26"/>
      <c r="N19" s="26"/>
      <c r="O19" s="26">
        <f t="shared" si="0"/>
        <v>5608620</v>
      </c>
      <c r="P19" s="26">
        <v>8851852</v>
      </c>
      <c r="Q19" s="26">
        <f t="shared" si="1"/>
        <v>3243232</v>
      </c>
      <c r="R19" s="46"/>
      <c r="S19" s="10"/>
      <c r="T19" s="10"/>
    </row>
    <row r="20" spans="1:20" ht="24" customHeight="1" x14ac:dyDescent="0.35">
      <c r="A20" s="21">
        <v>13</v>
      </c>
      <c r="B20" s="22">
        <v>45219</v>
      </c>
      <c r="C20" s="23" t="s">
        <v>451</v>
      </c>
      <c r="D20" s="24" t="s">
        <v>1118</v>
      </c>
      <c r="E20" s="23" t="s">
        <v>1128</v>
      </c>
      <c r="F20" s="25"/>
      <c r="G20" s="26">
        <v>377</v>
      </c>
      <c r="H20" s="26">
        <f t="shared" si="3"/>
        <v>8448570</v>
      </c>
      <c r="I20" s="25"/>
      <c r="J20" s="59">
        <v>3870000</v>
      </c>
      <c r="K20" s="27"/>
      <c r="L20" s="27"/>
      <c r="M20" s="26"/>
      <c r="N20" s="26"/>
      <c r="O20" s="26">
        <f t="shared" si="0"/>
        <v>12318570</v>
      </c>
      <c r="P20" s="26">
        <v>21200000</v>
      </c>
      <c r="Q20" s="26">
        <f t="shared" si="1"/>
        <v>8881430</v>
      </c>
      <c r="R20" s="46"/>
      <c r="S20" s="10"/>
      <c r="T20" s="10"/>
    </row>
    <row r="21" spans="1:20" ht="24" customHeight="1" x14ac:dyDescent="0.35">
      <c r="A21" s="21">
        <v>14</v>
      </c>
      <c r="B21" s="22">
        <v>45222</v>
      </c>
      <c r="C21" s="23" t="s">
        <v>1101</v>
      </c>
      <c r="D21" s="24" t="s">
        <v>1119</v>
      </c>
      <c r="E21" s="23" t="s">
        <v>1129</v>
      </c>
      <c r="F21" s="25"/>
      <c r="G21" s="26"/>
      <c r="H21" s="26"/>
      <c r="I21" s="25"/>
      <c r="J21" s="26"/>
      <c r="K21" s="27"/>
      <c r="L21" s="27"/>
      <c r="M21" s="26"/>
      <c r="N21" s="26"/>
      <c r="O21" s="26">
        <f t="shared" si="0"/>
        <v>0</v>
      </c>
      <c r="P21" s="70">
        <v>1000000</v>
      </c>
      <c r="Q21" s="26">
        <f t="shared" si="1"/>
        <v>1000000</v>
      </c>
      <c r="R21" s="46"/>
      <c r="S21" s="10"/>
      <c r="T21" s="10"/>
    </row>
    <row r="22" spans="1:20" ht="24" customHeight="1" x14ac:dyDescent="0.35">
      <c r="A22" s="21">
        <v>15</v>
      </c>
      <c r="B22" s="22">
        <v>45222</v>
      </c>
      <c r="C22" s="23" t="s">
        <v>1102</v>
      </c>
      <c r="D22" s="24" t="s">
        <v>1120</v>
      </c>
      <c r="E22" s="23" t="s">
        <v>1130</v>
      </c>
      <c r="F22" s="25"/>
      <c r="G22" s="26">
        <v>158</v>
      </c>
      <c r="H22" s="26">
        <f>G22*22480</f>
        <v>3551840</v>
      </c>
      <c r="I22" s="25"/>
      <c r="J22" s="59">
        <v>1040000</v>
      </c>
      <c r="K22" s="27"/>
      <c r="L22" s="27"/>
      <c r="M22" s="26"/>
      <c r="N22" s="26"/>
      <c r="O22" s="26">
        <f t="shared" si="0"/>
        <v>4591840</v>
      </c>
      <c r="P22" s="26">
        <v>7670370</v>
      </c>
      <c r="Q22" s="26">
        <f t="shared" si="1"/>
        <v>3078530</v>
      </c>
      <c r="R22" s="46"/>
      <c r="S22" s="10"/>
      <c r="T22" s="10"/>
    </row>
    <row r="23" spans="1:20" ht="24" customHeight="1" x14ac:dyDescent="0.35">
      <c r="A23" s="21">
        <v>16</v>
      </c>
      <c r="B23" s="22">
        <v>45223</v>
      </c>
      <c r="C23" s="23" t="s">
        <v>1103</v>
      </c>
      <c r="D23" s="24" t="s">
        <v>1121</v>
      </c>
      <c r="E23" s="23" t="s">
        <v>1131</v>
      </c>
      <c r="F23" s="25"/>
      <c r="G23" s="26">
        <v>11</v>
      </c>
      <c r="H23" s="26">
        <f t="shared" ref="H23:H27" si="4">G23*22480</f>
        <v>247280</v>
      </c>
      <c r="I23" s="25"/>
      <c r="J23" s="59">
        <v>300000</v>
      </c>
      <c r="K23" s="27"/>
      <c r="L23" s="27"/>
      <c r="M23" s="26"/>
      <c r="N23" s="26"/>
      <c r="O23" s="26">
        <f t="shared" si="0"/>
        <v>547280</v>
      </c>
      <c r="P23" s="26">
        <v>1700000</v>
      </c>
      <c r="Q23" s="26">
        <f t="shared" si="1"/>
        <v>1152720</v>
      </c>
      <c r="R23" s="46"/>
      <c r="S23" s="10"/>
      <c r="T23" s="10"/>
    </row>
    <row r="24" spans="1:20" ht="24" customHeight="1" x14ac:dyDescent="0.35">
      <c r="A24" s="21">
        <v>17</v>
      </c>
      <c r="B24" s="22">
        <v>45224</v>
      </c>
      <c r="C24" s="23" t="s">
        <v>1104</v>
      </c>
      <c r="D24" s="24" t="s">
        <v>1122</v>
      </c>
      <c r="E24" s="23" t="s">
        <v>243</v>
      </c>
      <c r="F24" s="25"/>
      <c r="G24" s="26">
        <v>180</v>
      </c>
      <c r="H24" s="26">
        <f t="shared" si="4"/>
        <v>4046400</v>
      </c>
      <c r="I24" s="25"/>
      <c r="J24" s="59">
        <v>1530000</v>
      </c>
      <c r="K24" s="27"/>
      <c r="L24" s="27"/>
      <c r="M24" s="26"/>
      <c r="N24" s="26"/>
      <c r="O24" s="26">
        <f t="shared" si="0"/>
        <v>5576400</v>
      </c>
      <c r="P24" s="26">
        <v>10185185</v>
      </c>
      <c r="Q24" s="26">
        <f t="shared" si="1"/>
        <v>4608785</v>
      </c>
      <c r="R24" s="46"/>
      <c r="S24" s="10"/>
      <c r="T24" s="10"/>
    </row>
    <row r="25" spans="1:20" ht="24" customHeight="1" x14ac:dyDescent="0.35">
      <c r="A25" s="21">
        <v>18</v>
      </c>
      <c r="B25" s="22">
        <v>45226</v>
      </c>
      <c r="C25" s="23" t="s">
        <v>1105</v>
      </c>
      <c r="D25" s="24" t="s">
        <v>1123</v>
      </c>
      <c r="E25" s="23" t="s">
        <v>1132</v>
      </c>
      <c r="F25" s="25"/>
      <c r="G25" s="26">
        <v>60</v>
      </c>
      <c r="H25" s="26">
        <f t="shared" si="4"/>
        <v>1348800</v>
      </c>
      <c r="I25" s="25"/>
      <c r="J25" s="59">
        <v>430000</v>
      </c>
      <c r="K25" s="27"/>
      <c r="L25" s="27"/>
      <c r="M25" s="26"/>
      <c r="N25" s="26"/>
      <c r="O25" s="26">
        <f t="shared" si="0"/>
        <v>1778800</v>
      </c>
      <c r="P25" s="26">
        <v>3210000</v>
      </c>
      <c r="Q25" s="26">
        <f t="shared" si="1"/>
        <v>1431200</v>
      </c>
      <c r="R25" s="46"/>
      <c r="S25" s="10"/>
      <c r="T25" s="10"/>
    </row>
    <row r="26" spans="1:20" ht="24" customHeight="1" x14ac:dyDescent="0.35">
      <c r="A26" s="21">
        <v>19</v>
      </c>
      <c r="B26" s="22">
        <v>45227</v>
      </c>
      <c r="C26" s="23" t="s">
        <v>1106</v>
      </c>
      <c r="D26" s="24" t="s">
        <v>1124</v>
      </c>
      <c r="E26" s="23" t="s">
        <v>111</v>
      </c>
      <c r="F26" s="25"/>
      <c r="G26" s="26">
        <v>84</v>
      </c>
      <c r="H26" s="26">
        <f t="shared" si="4"/>
        <v>1888320</v>
      </c>
      <c r="I26" s="25"/>
      <c r="J26" s="59">
        <v>790000</v>
      </c>
      <c r="K26" s="27"/>
      <c r="L26" s="27"/>
      <c r="M26" s="26"/>
      <c r="N26" s="26"/>
      <c r="O26" s="26">
        <f t="shared" si="0"/>
        <v>2678320</v>
      </c>
      <c r="P26" s="26">
        <v>4300000</v>
      </c>
      <c r="Q26" s="26">
        <f t="shared" si="1"/>
        <v>1621680</v>
      </c>
      <c r="R26" s="46"/>
      <c r="S26" s="10"/>
      <c r="T26" s="10"/>
    </row>
    <row r="27" spans="1:20" ht="24" customHeight="1" x14ac:dyDescent="0.35">
      <c r="A27" s="21">
        <v>20</v>
      </c>
      <c r="B27" s="22">
        <v>45229</v>
      </c>
      <c r="C27" s="23" t="s">
        <v>1107</v>
      </c>
      <c r="D27" s="24" t="s">
        <v>1125</v>
      </c>
      <c r="E27" s="23" t="s">
        <v>61</v>
      </c>
      <c r="F27" s="25"/>
      <c r="G27" s="26">
        <v>273</v>
      </c>
      <c r="H27" s="26">
        <f t="shared" si="4"/>
        <v>6137040</v>
      </c>
      <c r="I27" s="25"/>
      <c r="J27" s="59">
        <v>3032000</v>
      </c>
      <c r="K27" s="27"/>
      <c r="L27" s="27"/>
      <c r="M27" s="26"/>
      <c r="N27" s="26"/>
      <c r="O27" s="26">
        <f t="shared" si="0"/>
        <v>9169040</v>
      </c>
      <c r="P27" s="26">
        <v>14629630</v>
      </c>
      <c r="Q27" s="26">
        <f t="shared" si="1"/>
        <v>5460590</v>
      </c>
      <c r="R27" s="46"/>
      <c r="S27" s="10"/>
      <c r="T27" s="10"/>
    </row>
    <row r="28" spans="1:20" ht="24" customHeight="1" x14ac:dyDescent="0.35">
      <c r="A28" s="21"/>
      <c r="B28" s="22"/>
      <c r="C28" s="139" t="s">
        <v>44</v>
      </c>
      <c r="D28" s="140"/>
      <c r="E28" s="140"/>
      <c r="F28" s="141"/>
      <c r="G28" s="54"/>
      <c r="H28" s="53"/>
      <c r="I28" s="54"/>
      <c r="J28" s="53"/>
      <c r="K28" s="51"/>
      <c r="L28" s="61">
        <v>1200000</v>
      </c>
      <c r="M28" s="26"/>
      <c r="N28" s="26"/>
      <c r="O28" s="26">
        <f>K28+L28+M28+N28</f>
        <v>1200000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391</v>
      </c>
      <c r="D29" s="140"/>
      <c r="E29" s="140"/>
      <c r="F29" s="141"/>
      <c r="G29" s="51"/>
      <c r="H29" s="51"/>
      <c r="I29" s="52"/>
      <c r="J29" s="51"/>
      <c r="K29" s="61">
        <v>11420000</v>
      </c>
      <c r="L29" s="51"/>
      <c r="M29" s="53"/>
      <c r="N29" s="53"/>
      <c r="O29" s="26">
        <f t="shared" ref="O29:O36" si="5">K29+L29+M29+N29</f>
        <v>11420000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1241</v>
      </c>
      <c r="D30" s="140"/>
      <c r="E30" s="140"/>
      <c r="F30" s="141"/>
      <c r="G30" s="51"/>
      <c r="H30" s="51"/>
      <c r="I30" s="52"/>
      <c r="J30" s="51"/>
      <c r="K30" s="51"/>
      <c r="L30" s="51"/>
      <c r="M30" s="76">
        <v>170000</v>
      </c>
      <c r="N30" s="53"/>
      <c r="O30" s="26">
        <f t="shared" si="5"/>
        <v>170000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1242</v>
      </c>
      <c r="D31" s="140"/>
      <c r="E31" s="140"/>
      <c r="F31" s="141"/>
      <c r="G31" s="51"/>
      <c r="H31" s="51"/>
      <c r="I31" s="52"/>
      <c r="J31" s="51"/>
      <c r="K31" s="51"/>
      <c r="L31" s="61">
        <v>200000</v>
      </c>
      <c r="M31" s="53"/>
      <c r="N31" s="53"/>
      <c r="O31" s="26">
        <f t="shared" si="5"/>
        <v>200000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1243</v>
      </c>
      <c r="D32" s="140"/>
      <c r="E32" s="140"/>
      <c r="F32" s="141"/>
      <c r="G32" s="51"/>
      <c r="H32" s="51"/>
      <c r="I32" s="52"/>
      <c r="J32" s="51"/>
      <c r="K32" s="51"/>
      <c r="L32" s="61">
        <v>300000</v>
      </c>
      <c r="M32" s="53"/>
      <c r="N32" s="53"/>
      <c r="O32" s="26">
        <f t="shared" si="5"/>
        <v>300000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1244</v>
      </c>
      <c r="D33" s="140"/>
      <c r="E33" s="140"/>
      <c r="F33" s="141"/>
      <c r="G33" s="51"/>
      <c r="H33" s="51"/>
      <c r="I33" s="52"/>
      <c r="J33" s="51"/>
      <c r="K33" s="51"/>
      <c r="L33" s="51"/>
      <c r="M33" s="76">
        <v>11800000</v>
      </c>
      <c r="N33" s="53"/>
      <c r="O33" s="26">
        <f t="shared" si="5"/>
        <v>11800000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1245</v>
      </c>
      <c r="D34" s="140"/>
      <c r="E34" s="140"/>
      <c r="F34" s="141"/>
      <c r="G34" s="51"/>
      <c r="H34" s="51"/>
      <c r="I34" s="52"/>
      <c r="J34" s="51"/>
      <c r="K34" s="51"/>
      <c r="L34" s="51"/>
      <c r="M34" s="76">
        <v>400000</v>
      </c>
      <c r="N34" s="53"/>
      <c r="O34" s="26">
        <f t="shared" si="5"/>
        <v>400000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1246</v>
      </c>
      <c r="D35" s="140"/>
      <c r="E35" s="140"/>
      <c r="F35" s="141"/>
      <c r="G35" s="51"/>
      <c r="H35" s="51"/>
      <c r="I35" s="52"/>
      <c r="J35" s="51"/>
      <c r="K35" s="51"/>
      <c r="L35" s="61">
        <v>800000</v>
      </c>
      <c r="M35" s="53"/>
      <c r="N35" s="53"/>
      <c r="O35" s="26">
        <f t="shared" si="5"/>
        <v>800000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1247</v>
      </c>
      <c r="D36" s="140"/>
      <c r="E36" s="140"/>
      <c r="F36" s="141"/>
      <c r="G36" s="51"/>
      <c r="H36" s="51"/>
      <c r="I36" s="52"/>
      <c r="J36" s="51"/>
      <c r="K36" s="51"/>
      <c r="L36" s="51"/>
      <c r="M36" s="53"/>
      <c r="N36" s="76">
        <f>2300400/3</f>
        <v>766800</v>
      </c>
      <c r="O36" s="26">
        <f t="shared" si="5"/>
        <v>766800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1248</v>
      </c>
      <c r="D37" s="140"/>
      <c r="E37" s="140"/>
      <c r="F37" s="141"/>
      <c r="G37" s="51"/>
      <c r="H37" s="51"/>
      <c r="I37" s="52"/>
      <c r="J37" s="51"/>
      <c r="K37" s="51"/>
      <c r="L37" s="61">
        <v>1500000</v>
      </c>
      <c r="M37" s="53"/>
      <c r="N37" s="53"/>
      <c r="O37" s="26">
        <f>K37+L37+M37+N37</f>
        <v>1500000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5"/>
      <c r="C38" s="139" t="s">
        <v>556</v>
      </c>
      <c r="D38" s="140"/>
      <c r="E38" s="140"/>
      <c r="F38" s="141"/>
      <c r="G38" s="54"/>
      <c r="H38" s="53"/>
      <c r="I38" s="54"/>
      <c r="J38" s="53"/>
      <c r="K38" s="51">
        <v>8000000</v>
      </c>
      <c r="L38" s="53"/>
      <c r="M38" s="53"/>
      <c r="N38" s="53"/>
      <c r="O38" s="26">
        <f>K38+L38+M38+N38</f>
        <v>8000000</v>
      </c>
      <c r="P38" s="26"/>
      <c r="Q38" s="26"/>
      <c r="R38" s="48"/>
    </row>
    <row r="39" spans="1:20" ht="24" customHeight="1" x14ac:dyDescent="0.35">
      <c r="A39" s="136" t="s">
        <v>45</v>
      </c>
      <c r="B39" s="137"/>
      <c r="C39" s="137"/>
      <c r="D39" s="137"/>
      <c r="E39" s="137"/>
      <c r="F39" s="138"/>
      <c r="G39" s="33">
        <f>SUM(G8:G38)</f>
        <v>3528</v>
      </c>
      <c r="H39" s="34">
        <f t="shared" ref="H39:N39" si="6">SUM(H7:H38)</f>
        <v>81128000</v>
      </c>
      <c r="I39" s="34">
        <f t="shared" si="6"/>
        <v>0</v>
      </c>
      <c r="J39" s="116">
        <f t="shared" si="6"/>
        <v>33948000</v>
      </c>
      <c r="K39" s="34">
        <f t="shared" si="6"/>
        <v>19420000</v>
      </c>
      <c r="L39" s="34">
        <f t="shared" si="6"/>
        <v>4000000</v>
      </c>
      <c r="M39" s="34">
        <f t="shared" si="6"/>
        <v>12370000</v>
      </c>
      <c r="N39" s="34">
        <f t="shared" si="6"/>
        <v>766800</v>
      </c>
      <c r="O39" s="34">
        <f>SUM(O8:O38)</f>
        <v>151632800</v>
      </c>
      <c r="P39" s="75">
        <f>SUM(P8:P38)</f>
        <v>196856297</v>
      </c>
      <c r="Q39" s="34">
        <f>P39-O39</f>
        <v>45223497</v>
      </c>
      <c r="R39" s="50"/>
    </row>
    <row r="40" spans="1:20" x14ac:dyDescent="0.35">
      <c r="O40" s="35"/>
      <c r="Q40" s="36"/>
    </row>
    <row r="41" spans="1:20" x14ac:dyDescent="0.35">
      <c r="O41" s="37"/>
      <c r="P41" s="38" t="s">
        <v>46</v>
      </c>
      <c r="Q41" s="39">
        <f>'09.2023'!Q43+'10.2023'!Q39</f>
        <v>275585682.33333331</v>
      </c>
    </row>
    <row r="42" spans="1:20" x14ac:dyDescent="0.35">
      <c r="O42" s="37"/>
      <c r="P42" s="38"/>
      <c r="Q42" s="39"/>
    </row>
    <row r="43" spans="1:20" x14ac:dyDescent="0.35">
      <c r="O43" s="37"/>
      <c r="P43" s="38"/>
      <c r="Q43" s="39"/>
    </row>
    <row r="44" spans="1:20" x14ac:dyDescent="0.35">
      <c r="P44" s="37"/>
      <c r="Q44" s="37"/>
      <c r="R44" s="50"/>
    </row>
    <row r="45" spans="1:20" x14ac:dyDescent="0.35">
      <c r="B45" s="8"/>
    </row>
    <row r="46" spans="1:20" x14ac:dyDescent="0.35">
      <c r="B46" s="8"/>
    </row>
    <row r="47" spans="1:20" x14ac:dyDescent="0.35">
      <c r="B47" s="8"/>
    </row>
    <row r="48" spans="1:20" x14ac:dyDescent="0.35">
      <c r="B48" s="8"/>
      <c r="H48" s="8"/>
      <c r="J48" s="8"/>
      <c r="K48" s="8"/>
      <c r="L48" s="8"/>
      <c r="M48" s="8"/>
      <c r="N48" s="8"/>
      <c r="O48" s="8"/>
      <c r="P48" s="8"/>
      <c r="Q48" s="8"/>
      <c r="R48" s="8"/>
    </row>
  </sheetData>
  <mergeCells count="31">
    <mergeCell ref="C38:F38"/>
    <mergeCell ref="A39:F39"/>
    <mergeCell ref="O5:O6"/>
    <mergeCell ref="P5:P6"/>
    <mergeCell ref="Q5:Q6"/>
    <mergeCell ref="C28:F28"/>
    <mergeCell ref="C29:F29"/>
    <mergeCell ref="I5:I6"/>
    <mergeCell ref="J5:J6"/>
    <mergeCell ref="K5:K6"/>
    <mergeCell ref="L5:L6"/>
    <mergeCell ref="M5:M6"/>
    <mergeCell ref="N5:N6"/>
    <mergeCell ref="C30:F30"/>
    <mergeCell ref="C31:F31"/>
    <mergeCell ref="C37:F37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C32:F32"/>
    <mergeCell ref="C33:F33"/>
    <mergeCell ref="C34:F34"/>
    <mergeCell ref="C35:F35"/>
    <mergeCell ref="C36:F36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0EFC-4DAA-4D13-9BF9-9E5A796DB4FE}">
  <dimension ref="A1:T57"/>
  <sheetViews>
    <sheetView topLeftCell="A30" workbookViewId="0">
      <selection activeCell="P50" sqref="P50:Q50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6" width="10.726562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1134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45230</v>
      </c>
      <c r="C8" s="97" t="s">
        <v>1166</v>
      </c>
      <c r="D8" s="98" t="s">
        <v>1135</v>
      </c>
      <c r="E8" s="97" t="s">
        <v>1158</v>
      </c>
      <c r="F8" s="99"/>
      <c r="G8" s="104">
        <v>72</v>
      </c>
      <c r="H8" s="104">
        <f>G8*21940</f>
        <v>1579680</v>
      </c>
      <c r="I8" s="99"/>
      <c r="J8" s="109">
        <v>430000</v>
      </c>
      <c r="K8" s="103"/>
      <c r="L8" s="103"/>
      <c r="M8" s="104"/>
      <c r="N8" s="104"/>
      <c r="O8" s="104">
        <f>H8+J8+K8+L8+M8+N8</f>
        <v>2009680</v>
      </c>
      <c r="P8" s="104">
        <v>3400000</v>
      </c>
      <c r="Q8" s="104">
        <f>P8-O8</f>
        <v>1390320</v>
      </c>
      <c r="R8" s="46"/>
      <c r="S8" s="10"/>
      <c r="T8" s="10"/>
    </row>
    <row r="9" spans="1:20" ht="24" customHeight="1" x14ac:dyDescent="0.35">
      <c r="A9" s="21">
        <v>2</v>
      </c>
      <c r="B9" s="22">
        <v>45231</v>
      </c>
      <c r="C9" s="23" t="s">
        <v>1167</v>
      </c>
      <c r="D9" s="24" t="s">
        <v>1136</v>
      </c>
      <c r="E9" s="23" t="s">
        <v>431</v>
      </c>
      <c r="F9" s="25"/>
      <c r="G9" s="26">
        <v>110</v>
      </c>
      <c r="H9" s="26">
        <f t="shared" ref="H9:H17" si="0">G9*21940</f>
        <v>2413400</v>
      </c>
      <c r="I9" s="25"/>
      <c r="J9" s="59">
        <v>790000</v>
      </c>
      <c r="K9" s="27"/>
      <c r="L9" s="27"/>
      <c r="M9" s="26"/>
      <c r="N9" s="26"/>
      <c r="O9" s="26">
        <f t="shared" ref="O9:O31" si="1">H9+J9+K9+L9+M9+N9</f>
        <v>3203400</v>
      </c>
      <c r="P9" s="26">
        <v>5300000</v>
      </c>
      <c r="Q9" s="26">
        <f t="shared" ref="Q9:Q31" si="2">P9-O9</f>
        <v>2096600</v>
      </c>
      <c r="R9" s="46"/>
      <c r="S9" s="10"/>
      <c r="T9" s="10"/>
    </row>
    <row r="10" spans="1:20" ht="24" customHeight="1" x14ac:dyDescent="0.35">
      <c r="A10" s="21">
        <v>3</v>
      </c>
      <c r="B10" s="22">
        <v>45232</v>
      </c>
      <c r="C10" s="23" t="s">
        <v>1168</v>
      </c>
      <c r="D10" s="24" t="s">
        <v>1137</v>
      </c>
      <c r="E10" s="23" t="s">
        <v>1159</v>
      </c>
      <c r="F10" s="25"/>
      <c r="G10" s="26"/>
      <c r="H10" s="26">
        <f t="shared" si="0"/>
        <v>0</v>
      </c>
      <c r="I10" s="25"/>
      <c r="J10" s="26"/>
      <c r="K10" s="27"/>
      <c r="L10" s="27"/>
      <c r="M10" s="26"/>
      <c r="N10" s="26"/>
      <c r="O10" s="26">
        <f t="shared" si="1"/>
        <v>0</v>
      </c>
      <c r="P10" s="26">
        <v>0</v>
      </c>
      <c r="Q10" s="26">
        <f t="shared" si="2"/>
        <v>0</v>
      </c>
      <c r="R10" s="46"/>
      <c r="S10" s="10"/>
      <c r="T10" s="10"/>
    </row>
    <row r="11" spans="1:20" ht="24" customHeight="1" x14ac:dyDescent="0.35">
      <c r="A11" s="21">
        <v>4</v>
      </c>
      <c r="B11" s="22">
        <v>45232</v>
      </c>
      <c r="C11" s="23" t="s">
        <v>1169</v>
      </c>
      <c r="D11" s="24" t="s">
        <v>1138</v>
      </c>
      <c r="E11" s="23" t="s">
        <v>249</v>
      </c>
      <c r="F11" s="25"/>
      <c r="G11" s="26">
        <v>247</v>
      </c>
      <c r="H11" s="26">
        <f t="shared" si="0"/>
        <v>5419180</v>
      </c>
      <c r="I11" s="25"/>
      <c r="J11" s="59">
        <v>2380000</v>
      </c>
      <c r="K11" s="27"/>
      <c r="L11" s="27"/>
      <c r="M11" s="26"/>
      <c r="N11" s="26"/>
      <c r="O11" s="26">
        <f t="shared" si="1"/>
        <v>7799180</v>
      </c>
      <c r="P11" s="26">
        <v>12962963</v>
      </c>
      <c r="Q11" s="26">
        <f t="shared" si="2"/>
        <v>5163783</v>
      </c>
      <c r="R11" s="46"/>
      <c r="S11" s="10"/>
      <c r="T11" s="10"/>
    </row>
    <row r="12" spans="1:20" ht="24" customHeight="1" x14ac:dyDescent="0.35">
      <c r="A12" s="21">
        <v>5</v>
      </c>
      <c r="B12" s="22">
        <v>45233</v>
      </c>
      <c r="C12" s="23" t="s">
        <v>1170</v>
      </c>
      <c r="D12" s="24" t="s">
        <v>1139</v>
      </c>
      <c r="E12" s="23" t="s">
        <v>227</v>
      </c>
      <c r="F12" s="25"/>
      <c r="G12" s="26">
        <v>180</v>
      </c>
      <c r="H12" s="26">
        <f t="shared" si="0"/>
        <v>3949200</v>
      </c>
      <c r="I12" s="25"/>
      <c r="J12" s="59">
        <v>1530000</v>
      </c>
      <c r="K12" s="27"/>
      <c r="L12" s="27"/>
      <c r="M12" s="26"/>
      <c r="N12" s="26"/>
      <c r="O12" s="26">
        <f>H12+J12+K12+L12+M12+N12</f>
        <v>5479200</v>
      </c>
      <c r="P12" s="26">
        <v>8851852</v>
      </c>
      <c r="Q12" s="26">
        <f t="shared" si="2"/>
        <v>3372652</v>
      </c>
      <c r="R12" s="46"/>
      <c r="S12" s="10"/>
      <c r="T12" s="10"/>
    </row>
    <row r="13" spans="1:20" ht="24" customHeight="1" x14ac:dyDescent="0.35">
      <c r="A13" s="21">
        <v>6</v>
      </c>
      <c r="B13" s="22">
        <v>45236</v>
      </c>
      <c r="C13" s="23" t="s">
        <v>1171</v>
      </c>
      <c r="D13" s="24" t="s">
        <v>1140</v>
      </c>
      <c r="E13" s="23" t="s">
        <v>244</v>
      </c>
      <c r="F13" s="25"/>
      <c r="G13" s="26">
        <v>67</v>
      </c>
      <c r="H13" s="26">
        <f t="shared" si="0"/>
        <v>1469980</v>
      </c>
      <c r="I13" s="25"/>
      <c r="J13" s="59">
        <v>430000</v>
      </c>
      <c r="K13" s="27"/>
      <c r="L13" s="27"/>
      <c r="M13" s="26"/>
      <c r="N13" s="26"/>
      <c r="O13" s="26">
        <f>H13+J13+K13+L13+M13+N13</f>
        <v>1899980</v>
      </c>
      <c r="P13" s="26">
        <v>3200000</v>
      </c>
      <c r="Q13" s="26">
        <f t="shared" si="2"/>
        <v>1300020</v>
      </c>
      <c r="R13" s="46"/>
      <c r="S13" s="10"/>
      <c r="T13" s="10"/>
    </row>
    <row r="14" spans="1:20" ht="24" customHeight="1" x14ac:dyDescent="0.35">
      <c r="A14" s="21">
        <v>7</v>
      </c>
      <c r="B14" s="22">
        <v>45237</v>
      </c>
      <c r="C14" s="23" t="s">
        <v>1172</v>
      </c>
      <c r="D14" s="24" t="s">
        <v>1141</v>
      </c>
      <c r="E14" s="23" t="s">
        <v>1160</v>
      </c>
      <c r="F14" s="25"/>
      <c r="G14" s="26">
        <v>74</v>
      </c>
      <c r="H14" s="26">
        <f t="shared" si="0"/>
        <v>1623560</v>
      </c>
      <c r="I14" s="25"/>
      <c r="J14" s="59">
        <v>790000</v>
      </c>
      <c r="K14" s="27"/>
      <c r="L14" s="27"/>
      <c r="M14" s="26"/>
      <c r="N14" s="26"/>
      <c r="O14" s="26">
        <f t="shared" si="1"/>
        <v>2413560</v>
      </c>
      <c r="P14" s="26">
        <v>3700000</v>
      </c>
      <c r="Q14" s="26">
        <f t="shared" si="2"/>
        <v>1286440</v>
      </c>
      <c r="R14" s="46"/>
      <c r="S14" s="10"/>
      <c r="T14" s="10"/>
    </row>
    <row r="15" spans="1:20" ht="24" customHeight="1" x14ac:dyDescent="0.35">
      <c r="A15" s="21">
        <v>8</v>
      </c>
      <c r="B15" s="22">
        <v>45238</v>
      </c>
      <c r="C15" s="23" t="s">
        <v>1173</v>
      </c>
      <c r="D15" s="24" t="s">
        <v>1142</v>
      </c>
      <c r="E15" s="23" t="s">
        <v>227</v>
      </c>
      <c r="F15" s="25"/>
      <c r="G15" s="26">
        <v>193</v>
      </c>
      <c r="H15" s="26">
        <f t="shared" si="0"/>
        <v>4234420</v>
      </c>
      <c r="I15" s="25"/>
      <c r="J15" s="59">
        <v>1530000</v>
      </c>
      <c r="K15" s="27"/>
      <c r="L15" s="27"/>
      <c r="M15" s="26"/>
      <c r="N15" s="26"/>
      <c r="O15" s="26">
        <f t="shared" si="1"/>
        <v>5764420</v>
      </c>
      <c r="P15" s="26">
        <v>9259259</v>
      </c>
      <c r="Q15" s="26">
        <f t="shared" si="2"/>
        <v>3494839</v>
      </c>
      <c r="R15" s="46"/>
      <c r="S15" s="10"/>
      <c r="T15" s="10"/>
    </row>
    <row r="16" spans="1:20" ht="24" customHeight="1" x14ac:dyDescent="0.35">
      <c r="A16" s="21">
        <v>9</v>
      </c>
      <c r="B16" s="22">
        <v>45238</v>
      </c>
      <c r="C16" s="23" t="s">
        <v>487</v>
      </c>
      <c r="D16" s="24" t="s">
        <v>1143</v>
      </c>
      <c r="E16" s="23" t="s">
        <v>780</v>
      </c>
      <c r="F16" s="25"/>
      <c r="G16" s="26">
        <v>156</v>
      </c>
      <c r="H16" s="26">
        <f t="shared" si="0"/>
        <v>3422640</v>
      </c>
      <c r="I16" s="25"/>
      <c r="J16" s="59">
        <v>1190000</v>
      </c>
      <c r="K16" s="27"/>
      <c r="L16" s="27"/>
      <c r="M16" s="26"/>
      <c r="N16" s="26"/>
      <c r="O16" s="26">
        <f t="shared" si="1"/>
        <v>4612640</v>
      </c>
      <c r="P16" s="26">
        <v>7250000</v>
      </c>
      <c r="Q16" s="26">
        <f t="shared" si="2"/>
        <v>2637360</v>
      </c>
      <c r="R16" s="46"/>
      <c r="S16" s="10"/>
      <c r="T16" s="10"/>
    </row>
    <row r="17" spans="1:20" ht="24" customHeight="1" x14ac:dyDescent="0.35">
      <c r="A17" s="21">
        <v>10</v>
      </c>
      <c r="B17" s="22">
        <v>45240</v>
      </c>
      <c r="C17" s="23" t="s">
        <v>1174</v>
      </c>
      <c r="D17" s="24" t="s">
        <v>1144</v>
      </c>
      <c r="E17" s="23" t="s">
        <v>227</v>
      </c>
      <c r="F17" s="25"/>
      <c r="G17" s="26">
        <v>180</v>
      </c>
      <c r="H17" s="26">
        <f t="shared" si="0"/>
        <v>3949200</v>
      </c>
      <c r="I17" s="25"/>
      <c r="J17" s="59">
        <v>1530000</v>
      </c>
      <c r="K17" s="27"/>
      <c r="L17" s="27"/>
      <c r="M17" s="26"/>
      <c r="N17" s="26"/>
      <c r="O17" s="26">
        <f t="shared" si="1"/>
        <v>5479200</v>
      </c>
      <c r="P17" s="26">
        <v>8851852</v>
      </c>
      <c r="Q17" s="26">
        <f t="shared" si="2"/>
        <v>3372652</v>
      </c>
      <c r="R17" s="46"/>
      <c r="S17" s="10"/>
      <c r="T17" s="10"/>
    </row>
    <row r="18" spans="1:20" ht="24" customHeight="1" x14ac:dyDescent="0.35">
      <c r="A18" s="21">
        <v>11</v>
      </c>
      <c r="B18" s="22">
        <v>45243</v>
      </c>
      <c r="C18" s="23" t="s">
        <v>1175</v>
      </c>
      <c r="D18" s="24" t="s">
        <v>1145</v>
      </c>
      <c r="E18" s="23" t="s">
        <v>1161</v>
      </c>
      <c r="F18" s="25"/>
      <c r="G18" s="26">
        <v>61</v>
      </c>
      <c r="H18" s="26">
        <f>G18*20880</f>
        <v>1273680</v>
      </c>
      <c r="I18" s="25"/>
      <c r="J18" s="59">
        <v>430000</v>
      </c>
      <c r="K18" s="27"/>
      <c r="L18" s="27"/>
      <c r="M18" s="26"/>
      <c r="N18" s="26"/>
      <c r="O18" s="26">
        <f t="shared" si="1"/>
        <v>1703680</v>
      </c>
      <c r="P18" s="26">
        <v>3450000</v>
      </c>
      <c r="Q18" s="26">
        <f t="shared" si="2"/>
        <v>1746320</v>
      </c>
      <c r="R18" s="46"/>
      <c r="S18" s="10"/>
      <c r="T18" s="10"/>
    </row>
    <row r="19" spans="1:20" ht="24" customHeight="1" x14ac:dyDescent="0.35">
      <c r="A19" s="21">
        <v>12</v>
      </c>
      <c r="B19" s="22">
        <v>45244</v>
      </c>
      <c r="C19" s="23" t="s">
        <v>490</v>
      </c>
      <c r="D19" s="24" t="s">
        <v>1146</v>
      </c>
      <c r="E19" s="23" t="s">
        <v>243</v>
      </c>
      <c r="F19" s="25"/>
      <c r="G19" s="26">
        <v>180</v>
      </c>
      <c r="H19" s="26">
        <f t="shared" ref="H19:H29" si="3">G19*20880</f>
        <v>3758400</v>
      </c>
      <c r="I19" s="25"/>
      <c r="J19" s="59">
        <v>1530000</v>
      </c>
      <c r="K19" s="27"/>
      <c r="L19" s="27"/>
      <c r="M19" s="26"/>
      <c r="N19" s="26"/>
      <c r="O19" s="26">
        <f t="shared" si="1"/>
        <v>5288400</v>
      </c>
      <c r="P19" s="26">
        <v>11111111</v>
      </c>
      <c r="Q19" s="26">
        <f t="shared" si="2"/>
        <v>5822711</v>
      </c>
      <c r="R19" s="46"/>
      <c r="S19" s="10"/>
      <c r="T19" s="10"/>
    </row>
    <row r="20" spans="1:20" ht="24" customHeight="1" x14ac:dyDescent="0.35">
      <c r="A20" s="21">
        <v>13</v>
      </c>
      <c r="B20" s="22">
        <v>45244</v>
      </c>
      <c r="C20" s="23" t="s">
        <v>1176</v>
      </c>
      <c r="D20" s="24" t="s">
        <v>1147</v>
      </c>
      <c r="E20" s="23" t="s">
        <v>781</v>
      </c>
      <c r="F20" s="25"/>
      <c r="G20" s="26">
        <v>57</v>
      </c>
      <c r="H20" s="26">
        <f t="shared" si="3"/>
        <v>1190160</v>
      </c>
      <c r="I20" s="25"/>
      <c r="J20" s="59">
        <v>430000</v>
      </c>
      <c r="K20" s="27"/>
      <c r="L20" s="27"/>
      <c r="M20" s="26"/>
      <c r="N20" s="26"/>
      <c r="O20" s="26">
        <f t="shared" si="1"/>
        <v>1620160</v>
      </c>
      <c r="P20" s="26">
        <v>2800000</v>
      </c>
      <c r="Q20" s="26">
        <f t="shared" si="2"/>
        <v>1179840</v>
      </c>
      <c r="R20" s="46"/>
      <c r="S20" s="10"/>
      <c r="T20" s="10"/>
    </row>
    <row r="21" spans="1:20" ht="24" customHeight="1" x14ac:dyDescent="0.35">
      <c r="A21" s="21">
        <v>14</v>
      </c>
      <c r="B21" s="22">
        <v>45245</v>
      </c>
      <c r="C21" s="23" t="s">
        <v>1177</v>
      </c>
      <c r="D21" s="24" t="s">
        <v>128</v>
      </c>
      <c r="E21" s="23" t="s">
        <v>1162</v>
      </c>
      <c r="F21" s="25"/>
      <c r="G21" s="26">
        <v>89</v>
      </c>
      <c r="H21" s="26">
        <f t="shared" si="3"/>
        <v>1858320</v>
      </c>
      <c r="I21" s="25"/>
      <c r="J21" s="59">
        <v>790000</v>
      </c>
      <c r="K21" s="27"/>
      <c r="L21" s="27"/>
      <c r="M21" s="26"/>
      <c r="N21" s="26"/>
      <c r="O21" s="26">
        <f t="shared" si="1"/>
        <v>2648320</v>
      </c>
      <c r="P21" s="26">
        <v>4010000</v>
      </c>
      <c r="Q21" s="26">
        <f t="shared" si="2"/>
        <v>1361680</v>
      </c>
      <c r="R21" s="46"/>
      <c r="S21" s="10"/>
      <c r="T21" s="10"/>
    </row>
    <row r="22" spans="1:20" ht="24" customHeight="1" x14ac:dyDescent="0.35">
      <c r="A22" s="21">
        <v>15</v>
      </c>
      <c r="B22" s="22">
        <v>45246</v>
      </c>
      <c r="C22" s="23" t="s">
        <v>492</v>
      </c>
      <c r="D22" s="24" t="s">
        <v>1148</v>
      </c>
      <c r="E22" s="23" t="s">
        <v>1163</v>
      </c>
      <c r="F22" s="25"/>
      <c r="G22" s="26">
        <v>110</v>
      </c>
      <c r="H22" s="26">
        <f t="shared" si="3"/>
        <v>2296800</v>
      </c>
      <c r="I22" s="25"/>
      <c r="J22" s="59">
        <v>790000</v>
      </c>
      <c r="K22" s="27"/>
      <c r="L22" s="27"/>
      <c r="M22" s="26"/>
      <c r="N22" s="26"/>
      <c r="O22" s="26">
        <f t="shared" si="1"/>
        <v>3086800</v>
      </c>
      <c r="P22" s="26">
        <v>4420000</v>
      </c>
      <c r="Q22" s="26">
        <f t="shared" si="2"/>
        <v>1333200</v>
      </c>
      <c r="R22" s="46"/>
      <c r="S22" s="10"/>
      <c r="T22" s="10"/>
    </row>
    <row r="23" spans="1:20" ht="24" customHeight="1" x14ac:dyDescent="0.35">
      <c r="A23" s="21">
        <v>16</v>
      </c>
      <c r="B23" s="22">
        <v>45247</v>
      </c>
      <c r="C23" s="23" t="s">
        <v>1178</v>
      </c>
      <c r="D23" s="24" t="s">
        <v>1149</v>
      </c>
      <c r="E23" s="23" t="s">
        <v>651</v>
      </c>
      <c r="F23" s="25"/>
      <c r="G23" s="26">
        <v>150</v>
      </c>
      <c r="H23" s="26">
        <f t="shared" si="3"/>
        <v>3132000</v>
      </c>
      <c r="I23" s="25"/>
      <c r="J23" s="59">
        <v>1082000</v>
      </c>
      <c r="K23" s="27"/>
      <c r="L23" s="27"/>
      <c r="M23" s="26"/>
      <c r="N23" s="26"/>
      <c r="O23" s="26">
        <f t="shared" si="1"/>
        <v>4214000</v>
      </c>
      <c r="P23" s="26">
        <v>6700000</v>
      </c>
      <c r="Q23" s="26">
        <f t="shared" si="2"/>
        <v>2486000</v>
      </c>
      <c r="R23" s="46"/>
      <c r="S23" s="10"/>
      <c r="T23" s="10"/>
    </row>
    <row r="24" spans="1:20" ht="24" customHeight="1" x14ac:dyDescent="0.35">
      <c r="A24" s="21">
        <v>17</v>
      </c>
      <c r="B24" s="22">
        <v>45250</v>
      </c>
      <c r="C24" s="23" t="s">
        <v>1179</v>
      </c>
      <c r="D24" s="24" t="s">
        <v>1150</v>
      </c>
      <c r="E24" s="23" t="s">
        <v>781</v>
      </c>
      <c r="F24" s="25"/>
      <c r="G24" s="26">
        <v>60</v>
      </c>
      <c r="H24" s="26">
        <f t="shared" si="3"/>
        <v>1252800</v>
      </c>
      <c r="I24" s="25"/>
      <c r="J24" s="59">
        <v>430000</v>
      </c>
      <c r="K24" s="27"/>
      <c r="L24" s="27"/>
      <c r="M24" s="26"/>
      <c r="N24" s="26"/>
      <c r="O24" s="26">
        <f t="shared" si="1"/>
        <v>1682800</v>
      </c>
      <c r="P24" s="26">
        <v>3024000</v>
      </c>
      <c r="Q24" s="26">
        <f t="shared" si="2"/>
        <v>1341200</v>
      </c>
      <c r="R24" s="46"/>
      <c r="S24" s="10"/>
      <c r="T24" s="10"/>
    </row>
    <row r="25" spans="1:20" ht="24" customHeight="1" x14ac:dyDescent="0.35">
      <c r="A25" s="21">
        <v>18</v>
      </c>
      <c r="B25" s="22">
        <v>45251</v>
      </c>
      <c r="C25" s="23" t="s">
        <v>1180</v>
      </c>
      <c r="D25" s="24" t="s">
        <v>1151</v>
      </c>
      <c r="E25" s="23" t="s">
        <v>61</v>
      </c>
      <c r="F25" s="25"/>
      <c r="G25" s="26">
        <v>273</v>
      </c>
      <c r="H25" s="26">
        <f t="shared" si="3"/>
        <v>5700240</v>
      </c>
      <c r="I25" s="25"/>
      <c r="J25" s="59">
        <v>3032000</v>
      </c>
      <c r="K25" s="27"/>
      <c r="L25" s="27"/>
      <c r="M25" s="26"/>
      <c r="N25" s="26"/>
      <c r="O25" s="26">
        <f t="shared" si="1"/>
        <v>8732240</v>
      </c>
      <c r="P25" s="26">
        <v>14629630</v>
      </c>
      <c r="Q25" s="26">
        <f t="shared" si="2"/>
        <v>5897390</v>
      </c>
      <c r="R25" s="46"/>
      <c r="S25" s="10"/>
      <c r="T25" s="10"/>
    </row>
    <row r="26" spans="1:20" ht="24" customHeight="1" x14ac:dyDescent="0.35">
      <c r="A26" s="21">
        <v>19</v>
      </c>
      <c r="B26" s="22">
        <v>45251</v>
      </c>
      <c r="C26" s="23" t="s">
        <v>1181</v>
      </c>
      <c r="D26" s="24" t="s">
        <v>1152</v>
      </c>
      <c r="E26" s="23" t="s">
        <v>244</v>
      </c>
      <c r="F26" s="25"/>
      <c r="G26" s="26">
        <v>68</v>
      </c>
      <c r="H26" s="26">
        <f>G26*20880</f>
        <v>1419840</v>
      </c>
      <c r="I26" s="25"/>
      <c r="J26" s="59">
        <v>430000</v>
      </c>
      <c r="K26" s="27"/>
      <c r="L26" s="27"/>
      <c r="M26" s="26"/>
      <c r="N26" s="26"/>
      <c r="O26" s="26">
        <f t="shared" si="1"/>
        <v>1849840</v>
      </c>
      <c r="P26" s="26">
        <v>3300000</v>
      </c>
      <c r="Q26" s="26">
        <f t="shared" si="2"/>
        <v>1450160</v>
      </c>
      <c r="R26" s="46"/>
      <c r="S26" s="10"/>
      <c r="T26" s="10"/>
    </row>
    <row r="27" spans="1:20" ht="24" customHeight="1" x14ac:dyDescent="0.35">
      <c r="A27" s="21">
        <v>20</v>
      </c>
      <c r="B27" s="22">
        <v>45254</v>
      </c>
      <c r="C27" s="23" t="s">
        <v>1182</v>
      </c>
      <c r="D27" s="24" t="s">
        <v>1153</v>
      </c>
      <c r="E27" s="23" t="s">
        <v>227</v>
      </c>
      <c r="F27" s="25"/>
      <c r="G27" s="26">
        <v>180</v>
      </c>
      <c r="H27" s="26">
        <f t="shared" si="3"/>
        <v>3758400</v>
      </c>
      <c r="I27" s="25"/>
      <c r="J27" s="59">
        <v>1530000</v>
      </c>
      <c r="K27" s="27"/>
      <c r="L27" s="27"/>
      <c r="M27" s="26"/>
      <c r="N27" s="26"/>
      <c r="O27" s="26">
        <f t="shared" si="1"/>
        <v>5288400</v>
      </c>
      <c r="P27" s="26">
        <v>8851852</v>
      </c>
      <c r="Q27" s="26">
        <f t="shared" si="2"/>
        <v>3563452</v>
      </c>
      <c r="R27" s="46"/>
      <c r="S27" s="10"/>
      <c r="T27" s="10"/>
    </row>
    <row r="28" spans="1:20" ht="24" customHeight="1" x14ac:dyDescent="0.35">
      <c r="A28" s="21">
        <v>21</v>
      </c>
      <c r="B28" s="22">
        <v>45255</v>
      </c>
      <c r="C28" s="23" t="s">
        <v>1183</v>
      </c>
      <c r="D28" s="24" t="s">
        <v>1154</v>
      </c>
      <c r="E28" s="23" t="s">
        <v>1164</v>
      </c>
      <c r="F28" s="25"/>
      <c r="G28" s="26">
        <v>143</v>
      </c>
      <c r="H28" s="26">
        <f t="shared" si="3"/>
        <v>2985840</v>
      </c>
      <c r="I28" s="25"/>
      <c r="J28" s="59">
        <v>1082000</v>
      </c>
      <c r="K28" s="27"/>
      <c r="L28" s="27"/>
      <c r="M28" s="26"/>
      <c r="N28" s="26"/>
      <c r="O28" s="26">
        <f t="shared" si="1"/>
        <v>4067840</v>
      </c>
      <c r="P28" s="26">
        <v>6500000</v>
      </c>
      <c r="Q28" s="26">
        <f t="shared" si="2"/>
        <v>2432160</v>
      </c>
      <c r="R28" s="46"/>
      <c r="S28" s="10"/>
      <c r="T28" s="10"/>
    </row>
    <row r="29" spans="1:20" ht="24" customHeight="1" x14ac:dyDescent="0.35">
      <c r="A29" s="21">
        <v>22</v>
      </c>
      <c r="B29" s="22">
        <v>45257</v>
      </c>
      <c r="C29" s="23" t="s">
        <v>1184</v>
      </c>
      <c r="D29" s="24" t="s">
        <v>1155</v>
      </c>
      <c r="E29" s="23" t="s">
        <v>1165</v>
      </c>
      <c r="F29" s="25"/>
      <c r="G29" s="26">
        <v>113</v>
      </c>
      <c r="H29" s="26">
        <f t="shared" si="3"/>
        <v>2359440</v>
      </c>
      <c r="I29" s="25"/>
      <c r="J29" s="59">
        <v>430000</v>
      </c>
      <c r="K29" s="27"/>
      <c r="L29" s="27"/>
      <c r="M29" s="26"/>
      <c r="N29" s="26"/>
      <c r="O29" s="26">
        <f t="shared" si="1"/>
        <v>2789440</v>
      </c>
      <c r="P29" s="26">
        <v>4300000</v>
      </c>
      <c r="Q29" s="26">
        <f t="shared" si="2"/>
        <v>1510560</v>
      </c>
      <c r="R29" s="46"/>
      <c r="S29" s="10"/>
      <c r="T29" s="10"/>
    </row>
    <row r="30" spans="1:20" ht="24" customHeight="1" x14ac:dyDescent="0.35">
      <c r="A30" s="21">
        <v>23</v>
      </c>
      <c r="B30" s="22">
        <v>45257</v>
      </c>
      <c r="C30" s="23" t="s">
        <v>1185</v>
      </c>
      <c r="D30" s="24" t="s">
        <v>1156</v>
      </c>
      <c r="E30" s="23" t="s">
        <v>372</v>
      </c>
      <c r="F30" s="25"/>
      <c r="G30" s="26">
        <v>381</v>
      </c>
      <c r="H30" s="26">
        <f>G30*20280</f>
        <v>7726680</v>
      </c>
      <c r="I30" s="25"/>
      <c r="J30" s="59">
        <v>3868000</v>
      </c>
      <c r="K30" s="27"/>
      <c r="L30" s="27"/>
      <c r="M30" s="26"/>
      <c r="N30" s="26"/>
      <c r="O30" s="26">
        <f t="shared" si="1"/>
        <v>11594680</v>
      </c>
      <c r="P30" s="26">
        <v>20800000</v>
      </c>
      <c r="Q30" s="26">
        <f t="shared" si="2"/>
        <v>9205320</v>
      </c>
      <c r="R30" s="46"/>
      <c r="S30" s="10"/>
      <c r="T30" s="10"/>
    </row>
    <row r="31" spans="1:20" ht="24" customHeight="1" x14ac:dyDescent="0.35">
      <c r="A31" s="21">
        <v>24</v>
      </c>
      <c r="B31" s="22">
        <v>45259</v>
      </c>
      <c r="C31" s="23" t="s">
        <v>1186</v>
      </c>
      <c r="D31" s="24" t="s">
        <v>1157</v>
      </c>
      <c r="E31" s="23" t="s">
        <v>651</v>
      </c>
      <c r="F31" s="25"/>
      <c r="G31" s="26">
        <v>147</v>
      </c>
      <c r="H31" s="26">
        <f>G31*20280</f>
        <v>2981160</v>
      </c>
      <c r="I31" s="25"/>
      <c r="J31" s="59">
        <v>1082000</v>
      </c>
      <c r="K31" s="27"/>
      <c r="L31" s="27"/>
      <c r="M31" s="26"/>
      <c r="N31" s="26"/>
      <c r="O31" s="26">
        <f t="shared" si="1"/>
        <v>4063160</v>
      </c>
      <c r="P31" s="26">
        <v>6700000</v>
      </c>
      <c r="Q31" s="26">
        <f t="shared" si="2"/>
        <v>2636840</v>
      </c>
      <c r="R31" s="46"/>
      <c r="S31" s="10"/>
      <c r="T31" s="10"/>
    </row>
    <row r="32" spans="1:20" ht="24" customHeight="1" x14ac:dyDescent="0.35">
      <c r="A32" s="21"/>
      <c r="B32" s="22"/>
      <c r="C32" s="23"/>
      <c r="D32" s="24"/>
      <c r="E32" s="23"/>
      <c r="F32" s="25"/>
      <c r="G32" s="26"/>
      <c r="H32" s="26"/>
      <c r="I32" s="25"/>
      <c r="J32" s="26"/>
      <c r="K32" s="27"/>
      <c r="L32" s="27"/>
      <c r="M32" s="26"/>
      <c r="N32" s="26"/>
      <c r="O32" s="26"/>
      <c r="P32" s="26"/>
      <c r="Q32" s="26"/>
      <c r="R32" s="46"/>
      <c r="S32" s="10"/>
      <c r="T32" s="10"/>
    </row>
    <row r="33" spans="1:20" ht="24" customHeight="1" x14ac:dyDescent="0.35">
      <c r="A33" s="21"/>
      <c r="B33" s="22"/>
      <c r="C33" s="155" t="s">
        <v>44</v>
      </c>
      <c r="D33" s="155"/>
      <c r="E33" s="155"/>
      <c r="F33" s="155"/>
      <c r="G33" s="54"/>
      <c r="H33" s="53"/>
      <c r="I33" s="54"/>
      <c r="J33" s="53"/>
      <c r="K33" s="51"/>
      <c r="L33" s="61">
        <v>1200000</v>
      </c>
      <c r="M33" s="26"/>
      <c r="N33" s="26"/>
      <c r="O33" s="26">
        <f>K33+L33+M33+N33</f>
        <v>1200000</v>
      </c>
      <c r="P33" s="26"/>
      <c r="Q33" s="26"/>
      <c r="R33" s="46"/>
      <c r="S33" s="10"/>
      <c r="T33" s="10"/>
    </row>
    <row r="34" spans="1:20" ht="24" customHeight="1" x14ac:dyDescent="0.35">
      <c r="A34" s="25"/>
      <c r="B34" s="28"/>
      <c r="C34" s="155" t="s">
        <v>391</v>
      </c>
      <c r="D34" s="155"/>
      <c r="E34" s="155"/>
      <c r="F34" s="155"/>
      <c r="G34" s="51"/>
      <c r="H34" s="51"/>
      <c r="I34" s="52"/>
      <c r="J34" s="51"/>
      <c r="K34" s="61">
        <v>9568000</v>
      </c>
      <c r="L34" s="51"/>
      <c r="M34" s="53"/>
      <c r="N34" s="53"/>
      <c r="O34" s="26">
        <f t="shared" ref="O34:O47" si="4">K34+L34+M34+N34</f>
        <v>9568000</v>
      </c>
      <c r="P34" s="26"/>
      <c r="Q34" s="26"/>
      <c r="R34" s="46"/>
      <c r="S34" s="10"/>
      <c r="T34" s="10"/>
    </row>
    <row r="35" spans="1:20" ht="24" customHeight="1" x14ac:dyDescent="0.35">
      <c r="A35" s="25"/>
      <c r="B35" s="28"/>
      <c r="C35" s="139" t="s">
        <v>1250</v>
      </c>
      <c r="D35" s="140"/>
      <c r="E35" s="140"/>
      <c r="F35" s="141"/>
      <c r="G35" s="51"/>
      <c r="H35" s="51"/>
      <c r="I35" s="52"/>
      <c r="J35" s="51"/>
      <c r="K35" s="51"/>
      <c r="L35" s="51"/>
      <c r="M35" s="53"/>
      <c r="N35" s="76">
        <f>15050000/4</f>
        <v>3762500</v>
      </c>
      <c r="O35" s="26">
        <f t="shared" si="4"/>
        <v>3762500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67" t="s">
        <v>1251</v>
      </c>
      <c r="D36" s="168"/>
      <c r="E36" s="168"/>
      <c r="F36" s="169"/>
      <c r="G36" s="51"/>
      <c r="H36" s="51"/>
      <c r="I36" s="52"/>
      <c r="J36" s="51"/>
      <c r="K36" s="51"/>
      <c r="L36" s="51"/>
      <c r="M36" s="53"/>
      <c r="N36" s="53"/>
      <c r="O36" s="26">
        <f t="shared" si="4"/>
        <v>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1252</v>
      </c>
      <c r="D37" s="140"/>
      <c r="E37" s="140"/>
      <c r="F37" s="141"/>
      <c r="G37" s="51"/>
      <c r="H37" s="51"/>
      <c r="I37" s="52"/>
      <c r="J37" s="51"/>
      <c r="K37" s="51"/>
      <c r="L37" s="61">
        <v>8532000</v>
      </c>
      <c r="M37" s="53"/>
      <c r="N37" s="53"/>
      <c r="O37" s="26">
        <f t="shared" si="4"/>
        <v>8532000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1253</v>
      </c>
      <c r="D38" s="140"/>
      <c r="E38" s="140"/>
      <c r="F38" s="141"/>
      <c r="G38" s="51"/>
      <c r="H38" s="51"/>
      <c r="I38" s="52"/>
      <c r="J38" s="51"/>
      <c r="K38" s="51"/>
      <c r="L38" s="61">
        <v>580000</v>
      </c>
      <c r="M38" s="53"/>
      <c r="N38" s="53"/>
      <c r="O38" s="26">
        <f t="shared" si="4"/>
        <v>580000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1254</v>
      </c>
      <c r="D39" s="140"/>
      <c r="E39" s="140"/>
      <c r="F39" s="141"/>
      <c r="G39" s="51"/>
      <c r="H39" s="51"/>
      <c r="I39" s="52"/>
      <c r="J39" s="51"/>
      <c r="K39" s="51"/>
      <c r="L39" s="51"/>
      <c r="M39" s="76">
        <v>80000</v>
      </c>
      <c r="N39" s="53"/>
      <c r="O39" s="26">
        <f t="shared" si="4"/>
        <v>80000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1255</v>
      </c>
      <c r="D40" s="140"/>
      <c r="E40" s="140"/>
      <c r="F40" s="141"/>
      <c r="G40" s="51"/>
      <c r="H40" s="51"/>
      <c r="I40" s="52"/>
      <c r="J40" s="51"/>
      <c r="K40" s="51"/>
      <c r="L40" s="61">
        <v>5280000</v>
      </c>
      <c r="M40" s="53"/>
      <c r="N40" s="53"/>
      <c r="O40" s="26">
        <f t="shared" si="4"/>
        <v>5280000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1256</v>
      </c>
      <c r="D41" s="140"/>
      <c r="E41" s="140"/>
      <c r="F41" s="141"/>
      <c r="G41" s="51"/>
      <c r="H41" s="51"/>
      <c r="I41" s="52"/>
      <c r="J41" s="51"/>
      <c r="K41" s="51"/>
      <c r="L41" s="61">
        <v>3500000</v>
      </c>
      <c r="M41" s="53"/>
      <c r="N41" s="53"/>
      <c r="O41" s="26">
        <f t="shared" si="4"/>
        <v>3500000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1258</v>
      </c>
      <c r="D42" s="140"/>
      <c r="E42" s="140"/>
      <c r="F42" s="141"/>
      <c r="G42" s="51"/>
      <c r="H42" s="51"/>
      <c r="I42" s="52"/>
      <c r="J42" s="51"/>
      <c r="K42" s="51"/>
      <c r="L42" s="61">
        <v>200000</v>
      </c>
      <c r="M42" s="53"/>
      <c r="N42" s="53"/>
      <c r="O42" s="26">
        <f t="shared" si="4"/>
        <v>200000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8"/>
      <c r="C43" s="139" t="s">
        <v>1261</v>
      </c>
      <c r="D43" s="140"/>
      <c r="E43" s="140"/>
      <c r="F43" s="141"/>
      <c r="G43" s="51"/>
      <c r="H43" s="51"/>
      <c r="I43" s="52"/>
      <c r="J43" s="51"/>
      <c r="K43" s="51"/>
      <c r="L43" s="61">
        <v>1160000</v>
      </c>
      <c r="M43" s="53"/>
      <c r="N43" s="53"/>
      <c r="O43" s="26">
        <f t="shared" si="4"/>
        <v>1160000</v>
      </c>
      <c r="P43" s="26"/>
      <c r="Q43" s="30"/>
      <c r="R43" s="46"/>
      <c r="S43" s="10"/>
      <c r="T43" s="10"/>
    </row>
    <row r="44" spans="1:20" ht="24" customHeight="1" x14ac:dyDescent="0.35">
      <c r="A44" s="25"/>
      <c r="B44" s="28"/>
      <c r="C44" s="139" t="s">
        <v>1262</v>
      </c>
      <c r="D44" s="140"/>
      <c r="E44" s="140"/>
      <c r="F44" s="141"/>
      <c r="G44" s="51"/>
      <c r="H44" s="51"/>
      <c r="I44" s="52"/>
      <c r="J44" s="51"/>
      <c r="K44" s="51"/>
      <c r="L44" s="61">
        <v>2190000</v>
      </c>
      <c r="M44" s="53"/>
      <c r="N44" s="53"/>
      <c r="O44" s="26">
        <f t="shared" si="4"/>
        <v>2190000</v>
      </c>
      <c r="P44" s="26"/>
      <c r="Q44" s="30"/>
      <c r="R44" s="46"/>
      <c r="S44" s="10"/>
      <c r="T44" s="10"/>
    </row>
    <row r="45" spans="1:20" ht="24" customHeight="1" x14ac:dyDescent="0.35">
      <c r="A45" s="25"/>
      <c r="B45" s="28"/>
      <c r="C45" s="139" t="s">
        <v>1263</v>
      </c>
      <c r="D45" s="140"/>
      <c r="E45" s="140"/>
      <c r="F45" s="141"/>
      <c r="G45" s="51"/>
      <c r="H45" s="51"/>
      <c r="I45" s="52"/>
      <c r="J45" s="51"/>
      <c r="K45" s="51"/>
      <c r="L45" s="61">
        <v>3200000</v>
      </c>
      <c r="M45" s="53"/>
      <c r="N45" s="53"/>
      <c r="O45" s="26">
        <f t="shared" si="4"/>
        <v>3200000</v>
      </c>
      <c r="P45" s="26"/>
      <c r="Q45" s="30"/>
      <c r="R45" s="46"/>
      <c r="S45" s="10"/>
      <c r="T45" s="10"/>
    </row>
    <row r="46" spans="1:20" ht="24" customHeight="1" x14ac:dyDescent="0.35">
      <c r="A46" s="25"/>
      <c r="B46" s="28"/>
      <c r="C46" s="139" t="s">
        <v>1264</v>
      </c>
      <c r="D46" s="140"/>
      <c r="E46" s="140"/>
      <c r="F46" s="141"/>
      <c r="G46" s="51"/>
      <c r="H46" s="51"/>
      <c r="I46" s="52"/>
      <c r="J46" s="51"/>
      <c r="K46" s="51"/>
      <c r="L46" s="61">
        <v>1200000</v>
      </c>
      <c r="M46" s="53"/>
      <c r="N46" s="53"/>
      <c r="O46" s="26">
        <f t="shared" si="4"/>
        <v>1200000</v>
      </c>
      <c r="P46" s="26"/>
      <c r="Q46" s="30"/>
      <c r="R46" s="46"/>
      <c r="S46" s="10"/>
      <c r="T46" s="10"/>
    </row>
    <row r="47" spans="1:20" ht="24" customHeight="1" x14ac:dyDescent="0.35">
      <c r="A47" s="25"/>
      <c r="B47" s="25"/>
      <c r="C47" s="139" t="s">
        <v>1249</v>
      </c>
      <c r="D47" s="140"/>
      <c r="E47" s="140"/>
      <c r="F47" s="141"/>
      <c r="G47" s="54"/>
      <c r="H47" s="53"/>
      <c r="I47" s="54"/>
      <c r="J47" s="53"/>
      <c r="K47" s="51">
        <v>7700000</v>
      </c>
      <c r="L47" s="53"/>
      <c r="M47" s="53"/>
      <c r="N47" s="53"/>
      <c r="O47" s="26">
        <f t="shared" si="4"/>
        <v>7700000</v>
      </c>
      <c r="P47" s="26"/>
      <c r="Q47" s="26"/>
      <c r="R47" s="48"/>
    </row>
    <row r="48" spans="1:20" ht="24" customHeight="1" x14ac:dyDescent="0.35">
      <c r="A48" s="136" t="s">
        <v>45</v>
      </c>
      <c r="B48" s="137"/>
      <c r="C48" s="137"/>
      <c r="D48" s="137"/>
      <c r="E48" s="137"/>
      <c r="F48" s="138"/>
      <c r="G48" s="33">
        <f>SUM(G8:G47)</f>
        <v>3291</v>
      </c>
      <c r="H48" s="34">
        <f t="shared" ref="H48:N48" si="5">SUM(H7:H47)</f>
        <v>69755020</v>
      </c>
      <c r="I48" s="34">
        <f t="shared" si="5"/>
        <v>0</v>
      </c>
      <c r="J48" s="34">
        <f t="shared" si="5"/>
        <v>27536000</v>
      </c>
      <c r="K48" s="34">
        <f t="shared" si="5"/>
        <v>17268000</v>
      </c>
      <c r="L48" s="34">
        <f t="shared" si="5"/>
        <v>27042000</v>
      </c>
      <c r="M48" s="34">
        <f t="shared" si="5"/>
        <v>80000</v>
      </c>
      <c r="N48" s="34">
        <f t="shared" si="5"/>
        <v>3762500</v>
      </c>
      <c r="O48" s="34">
        <f>SUM(O8:O47)</f>
        <v>145443520</v>
      </c>
      <c r="P48" s="75">
        <f>SUM(P8:P47)</f>
        <v>163372519</v>
      </c>
      <c r="Q48" s="34">
        <f>P48-O48</f>
        <v>17928999</v>
      </c>
      <c r="R48" s="50"/>
    </row>
    <row r="49" spans="2:18" x14ac:dyDescent="0.35">
      <c r="O49" s="35"/>
      <c r="Q49" s="36"/>
    </row>
    <row r="50" spans="2:18" x14ac:dyDescent="0.35">
      <c r="O50" s="37"/>
      <c r="P50" s="38" t="s">
        <v>46</v>
      </c>
      <c r="Q50" s="39">
        <f>'10.2023'!Q41+'11.2023'!Q48</f>
        <v>293514681.33333331</v>
      </c>
    </row>
    <row r="51" spans="2:18" x14ac:dyDescent="0.35">
      <c r="O51" s="37"/>
      <c r="P51" s="38"/>
      <c r="Q51" s="39"/>
    </row>
    <row r="52" spans="2:18" x14ac:dyDescent="0.35">
      <c r="O52" s="37"/>
      <c r="P52" s="38"/>
      <c r="Q52" s="39"/>
    </row>
    <row r="53" spans="2:18" x14ac:dyDescent="0.35">
      <c r="P53" s="37"/>
      <c r="Q53" s="37"/>
      <c r="R53" s="50"/>
    </row>
    <row r="54" spans="2:18" x14ac:dyDescent="0.35">
      <c r="B54" s="8"/>
    </row>
    <row r="55" spans="2:18" x14ac:dyDescent="0.35">
      <c r="B55" s="8"/>
    </row>
    <row r="56" spans="2:18" x14ac:dyDescent="0.35">
      <c r="B56" s="8"/>
    </row>
    <row r="57" spans="2:18" x14ac:dyDescent="0.35">
      <c r="B57" s="8"/>
      <c r="H57" s="8"/>
      <c r="J57" s="8"/>
      <c r="K57" s="8"/>
      <c r="L57" s="8"/>
      <c r="M57" s="8"/>
      <c r="N57" s="8"/>
      <c r="O57" s="8"/>
      <c r="P57" s="8"/>
      <c r="Q57" s="8"/>
      <c r="R57" s="8"/>
    </row>
  </sheetData>
  <mergeCells count="35">
    <mergeCell ref="C47:F47"/>
    <mergeCell ref="A48:F48"/>
    <mergeCell ref="O5:O6"/>
    <mergeCell ref="P5:P6"/>
    <mergeCell ref="Q5:Q6"/>
    <mergeCell ref="C33:F33"/>
    <mergeCell ref="C34:F34"/>
    <mergeCell ref="C35:F35"/>
    <mergeCell ref="I5:I6"/>
    <mergeCell ref="J5:J6"/>
    <mergeCell ref="K5:K6"/>
    <mergeCell ref="L5:L6"/>
    <mergeCell ref="M5:M6"/>
    <mergeCell ref="N5:N6"/>
    <mergeCell ref="C36:F36"/>
    <mergeCell ref="C37:F37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C43:F43"/>
    <mergeCell ref="C44:F44"/>
    <mergeCell ref="C45:F45"/>
    <mergeCell ref="C46:F46"/>
    <mergeCell ref="C38:F38"/>
    <mergeCell ref="C39:F39"/>
    <mergeCell ref="C40:F40"/>
    <mergeCell ref="C41:F41"/>
    <mergeCell ref="C42:F42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02E3-890E-4D73-ADA5-158F3C2805D7}">
  <dimension ref="A1:T51"/>
  <sheetViews>
    <sheetView topLeftCell="I40" workbookViewId="0">
      <selection activeCell="X42" sqref="X42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1227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45260</v>
      </c>
      <c r="C8" s="97" t="s">
        <v>1187</v>
      </c>
      <c r="D8" s="98" t="s">
        <v>1207</v>
      </c>
      <c r="E8" s="97" t="s">
        <v>1164</v>
      </c>
      <c r="F8" s="99"/>
      <c r="G8" s="104">
        <v>139</v>
      </c>
      <c r="H8" s="104">
        <f>G8*20190</f>
        <v>2806410</v>
      </c>
      <c r="I8" s="99"/>
      <c r="J8" s="109">
        <v>1082000</v>
      </c>
      <c r="K8" s="103"/>
      <c r="L8" s="103"/>
      <c r="M8" s="104"/>
      <c r="N8" s="104"/>
      <c r="O8" s="104">
        <f>H8+J8+K8+L8+M8+N8</f>
        <v>3888410</v>
      </c>
      <c r="P8" s="104">
        <v>6500000</v>
      </c>
      <c r="Q8" s="104">
        <f>P8-O8</f>
        <v>2611590</v>
      </c>
      <c r="R8" s="46"/>
      <c r="S8" s="10"/>
      <c r="T8" s="10"/>
    </row>
    <row r="9" spans="1:20" ht="24" customHeight="1" x14ac:dyDescent="0.35">
      <c r="A9" s="21">
        <v>2</v>
      </c>
      <c r="B9" s="22">
        <v>45261</v>
      </c>
      <c r="C9" s="23" t="s">
        <v>567</v>
      </c>
      <c r="D9" s="24" t="s">
        <v>1208</v>
      </c>
      <c r="E9" s="23" t="s">
        <v>249</v>
      </c>
      <c r="F9" s="25"/>
      <c r="G9" s="26">
        <v>244</v>
      </c>
      <c r="H9" s="104">
        <f t="shared" ref="H9:H11" si="0">G9*20190</f>
        <v>4926360</v>
      </c>
      <c r="I9" s="25"/>
      <c r="J9" s="59">
        <v>2380000</v>
      </c>
      <c r="K9" s="27"/>
      <c r="L9" s="27"/>
      <c r="M9" s="26"/>
      <c r="N9" s="26"/>
      <c r="O9" s="26">
        <f t="shared" ref="O9:O26" si="1">H9+J9+K9+L9+M9+N9</f>
        <v>7306360</v>
      </c>
      <c r="P9" s="26">
        <v>12500000</v>
      </c>
      <c r="Q9" s="26">
        <f t="shared" ref="Q9:Q27" si="2">P9-O9</f>
        <v>5193640</v>
      </c>
      <c r="R9" s="46"/>
      <c r="S9" s="10"/>
      <c r="T9" s="10"/>
    </row>
    <row r="10" spans="1:20" ht="24" customHeight="1" x14ac:dyDescent="0.35">
      <c r="A10" s="21">
        <v>3</v>
      </c>
      <c r="B10" s="22">
        <v>45264</v>
      </c>
      <c r="C10" s="23" t="s">
        <v>569</v>
      </c>
      <c r="D10" s="24" t="s">
        <v>1209</v>
      </c>
      <c r="E10" s="23" t="s">
        <v>111</v>
      </c>
      <c r="F10" s="25"/>
      <c r="G10" s="26">
        <v>66</v>
      </c>
      <c r="H10" s="104">
        <f t="shared" si="0"/>
        <v>1332540</v>
      </c>
      <c r="I10" s="25"/>
      <c r="J10" s="59">
        <v>790000</v>
      </c>
      <c r="K10" s="27"/>
      <c r="L10" s="27"/>
      <c r="M10" s="26"/>
      <c r="N10" s="26"/>
      <c r="O10" s="26">
        <f t="shared" si="1"/>
        <v>2122540</v>
      </c>
      <c r="P10" s="26">
        <v>3450000</v>
      </c>
      <c r="Q10" s="26">
        <f t="shared" si="2"/>
        <v>1327460</v>
      </c>
      <c r="R10" s="46"/>
      <c r="S10" s="10"/>
      <c r="T10" s="10"/>
    </row>
    <row r="11" spans="1:20" ht="24" customHeight="1" x14ac:dyDescent="0.35">
      <c r="A11" s="21">
        <v>4</v>
      </c>
      <c r="B11" s="22">
        <v>45265</v>
      </c>
      <c r="C11" s="23" t="s">
        <v>1188</v>
      </c>
      <c r="D11" s="24" t="s">
        <v>1210</v>
      </c>
      <c r="E11" s="23" t="s">
        <v>372</v>
      </c>
      <c r="F11" s="25"/>
      <c r="G11" s="26">
        <v>382</v>
      </c>
      <c r="H11" s="104">
        <f t="shared" si="0"/>
        <v>7712580</v>
      </c>
      <c r="I11" s="25"/>
      <c r="J11" s="59">
        <v>3868000</v>
      </c>
      <c r="K11" s="27"/>
      <c r="L11" s="27"/>
      <c r="M11" s="26"/>
      <c r="N11" s="26"/>
      <c r="O11" s="26">
        <f t="shared" si="1"/>
        <v>11580580</v>
      </c>
      <c r="P11" s="26">
        <v>20800000</v>
      </c>
      <c r="Q11" s="26">
        <f t="shared" si="2"/>
        <v>9219420</v>
      </c>
      <c r="R11" s="46"/>
      <c r="S11" s="10"/>
      <c r="T11" s="10"/>
    </row>
    <row r="12" spans="1:20" ht="24" customHeight="1" x14ac:dyDescent="0.35">
      <c r="A12" s="21">
        <v>5</v>
      </c>
      <c r="B12" s="22">
        <v>45266</v>
      </c>
      <c r="C12" s="23" t="s">
        <v>1189</v>
      </c>
      <c r="D12" s="24" t="s">
        <v>1211</v>
      </c>
      <c r="E12" s="23" t="s">
        <v>1203</v>
      </c>
      <c r="F12" s="25"/>
      <c r="G12" s="26">
        <v>63</v>
      </c>
      <c r="H12" s="26">
        <f>G12*19720</f>
        <v>1242360</v>
      </c>
      <c r="I12" s="25"/>
      <c r="J12" s="59">
        <v>430000</v>
      </c>
      <c r="K12" s="27"/>
      <c r="L12" s="27"/>
      <c r="M12" s="26"/>
      <c r="N12" s="26"/>
      <c r="O12" s="26">
        <f>H12+J12+K12+L12+M12+N12</f>
        <v>1672360</v>
      </c>
      <c r="P12" s="26">
        <v>3210000</v>
      </c>
      <c r="Q12" s="26">
        <f t="shared" si="2"/>
        <v>1537640</v>
      </c>
      <c r="R12" s="46"/>
      <c r="S12" s="10"/>
      <c r="T12" s="10"/>
    </row>
    <row r="13" spans="1:20" ht="24" customHeight="1" x14ac:dyDescent="0.35">
      <c r="A13" s="21">
        <v>6</v>
      </c>
      <c r="B13" s="22">
        <v>45268</v>
      </c>
      <c r="C13" s="23" t="s">
        <v>1190</v>
      </c>
      <c r="D13" s="24" t="s">
        <v>1212</v>
      </c>
      <c r="E13" s="23" t="s">
        <v>227</v>
      </c>
      <c r="F13" s="25"/>
      <c r="G13" s="26">
        <v>180</v>
      </c>
      <c r="H13" s="26">
        <f t="shared" ref="H13:H14" si="3">G13*19720</f>
        <v>3549600</v>
      </c>
      <c r="I13" s="25"/>
      <c r="J13" s="59">
        <v>1530000</v>
      </c>
      <c r="K13" s="27"/>
      <c r="L13" s="27"/>
      <c r="M13" s="26"/>
      <c r="N13" s="26"/>
      <c r="O13" s="26">
        <f>H13+J13+K13+L13+M13+N13</f>
        <v>5079600</v>
      </c>
      <c r="P13" s="26">
        <v>8851852</v>
      </c>
      <c r="Q13" s="26">
        <f t="shared" si="2"/>
        <v>3772252</v>
      </c>
      <c r="R13" s="46"/>
      <c r="S13" s="10"/>
      <c r="T13" s="10"/>
    </row>
    <row r="14" spans="1:20" ht="24" customHeight="1" x14ac:dyDescent="0.35">
      <c r="A14" s="21">
        <v>7</v>
      </c>
      <c r="B14" s="22">
        <v>45268</v>
      </c>
      <c r="C14" s="23" t="s">
        <v>1191</v>
      </c>
      <c r="D14" s="24" t="s">
        <v>1213</v>
      </c>
      <c r="E14" s="23" t="s">
        <v>1022</v>
      </c>
      <c r="F14" s="25"/>
      <c r="G14" s="26">
        <v>164</v>
      </c>
      <c r="H14" s="26">
        <f t="shared" si="3"/>
        <v>3234080</v>
      </c>
      <c r="I14" s="25"/>
      <c r="J14" s="59">
        <v>1082000</v>
      </c>
      <c r="K14" s="27"/>
      <c r="L14" s="27"/>
      <c r="M14" s="26"/>
      <c r="N14" s="26"/>
      <c r="O14" s="26">
        <f t="shared" si="1"/>
        <v>4316080</v>
      </c>
      <c r="P14" s="26">
        <v>7050000</v>
      </c>
      <c r="Q14" s="26">
        <f t="shared" si="2"/>
        <v>2733920</v>
      </c>
      <c r="R14" s="46"/>
      <c r="S14" s="10"/>
      <c r="T14" s="10"/>
    </row>
    <row r="15" spans="1:20" ht="24" customHeight="1" x14ac:dyDescent="0.35">
      <c r="A15" s="21">
        <v>8</v>
      </c>
      <c r="B15" s="22">
        <v>45271</v>
      </c>
      <c r="C15" s="23" t="s">
        <v>1192</v>
      </c>
      <c r="D15" s="24" t="s">
        <v>1214</v>
      </c>
      <c r="E15" s="23" t="s">
        <v>1022</v>
      </c>
      <c r="F15" s="25"/>
      <c r="G15" s="26">
        <v>164</v>
      </c>
      <c r="H15" s="26">
        <f>G15*19010</f>
        <v>3117640</v>
      </c>
      <c r="I15" s="25"/>
      <c r="J15" s="59">
        <v>1082000</v>
      </c>
      <c r="K15" s="27"/>
      <c r="L15" s="27"/>
      <c r="M15" s="26"/>
      <c r="N15" s="26"/>
      <c r="O15" s="26">
        <f t="shared" si="1"/>
        <v>4199640</v>
      </c>
      <c r="P15" s="26">
        <v>7050000</v>
      </c>
      <c r="Q15" s="26">
        <f t="shared" si="2"/>
        <v>2850360</v>
      </c>
      <c r="R15" s="46"/>
      <c r="S15" s="10"/>
      <c r="T15" s="10"/>
    </row>
    <row r="16" spans="1:20" ht="24" customHeight="1" x14ac:dyDescent="0.35">
      <c r="A16" s="21">
        <v>9</v>
      </c>
      <c r="B16" s="22">
        <v>45271</v>
      </c>
      <c r="C16" s="23" t="s">
        <v>1193</v>
      </c>
      <c r="D16" s="24" t="s">
        <v>1215</v>
      </c>
      <c r="E16" s="23" t="s">
        <v>1204</v>
      </c>
      <c r="F16" s="25"/>
      <c r="G16" s="26">
        <v>45</v>
      </c>
      <c r="H16" s="26">
        <f t="shared" ref="H16:H21" si="4">G16*19010</f>
        <v>855450</v>
      </c>
      <c r="I16" s="25"/>
      <c r="J16" s="59">
        <v>430000</v>
      </c>
      <c r="K16" s="27"/>
      <c r="L16" s="27"/>
      <c r="M16" s="26"/>
      <c r="N16" s="26"/>
      <c r="O16" s="26">
        <f t="shared" si="1"/>
        <v>1285450</v>
      </c>
      <c r="P16" s="26">
        <v>2500000</v>
      </c>
      <c r="Q16" s="26">
        <f t="shared" si="2"/>
        <v>1214550</v>
      </c>
      <c r="R16" s="46"/>
      <c r="S16" s="10"/>
      <c r="T16" s="10"/>
    </row>
    <row r="17" spans="1:20" ht="24" customHeight="1" x14ac:dyDescent="0.35">
      <c r="A17" s="21">
        <v>10</v>
      </c>
      <c r="B17" s="22">
        <v>45273</v>
      </c>
      <c r="C17" s="23" t="s">
        <v>1194</v>
      </c>
      <c r="D17" s="24" t="s">
        <v>1216</v>
      </c>
      <c r="E17" s="23" t="s">
        <v>837</v>
      </c>
      <c r="F17" s="25"/>
      <c r="G17" s="26">
        <v>67</v>
      </c>
      <c r="H17" s="26">
        <f t="shared" si="4"/>
        <v>1273670</v>
      </c>
      <c r="I17" s="25"/>
      <c r="J17" s="59">
        <v>790000</v>
      </c>
      <c r="K17" s="27"/>
      <c r="L17" s="27"/>
      <c r="M17" s="26"/>
      <c r="N17" s="26"/>
      <c r="O17" s="26">
        <f t="shared" si="1"/>
        <v>2063670</v>
      </c>
      <c r="P17" s="26">
        <v>3540000</v>
      </c>
      <c r="Q17" s="26">
        <f t="shared" si="2"/>
        <v>1476330</v>
      </c>
      <c r="R17" s="46"/>
      <c r="S17" s="10"/>
      <c r="T17" s="10"/>
    </row>
    <row r="18" spans="1:20" ht="24" customHeight="1" x14ac:dyDescent="0.35">
      <c r="A18" s="21">
        <v>11</v>
      </c>
      <c r="B18" s="22">
        <v>45273</v>
      </c>
      <c r="C18" s="23" t="s">
        <v>1195</v>
      </c>
      <c r="D18" s="24" t="s">
        <v>1217</v>
      </c>
      <c r="E18" s="23" t="s">
        <v>1205</v>
      </c>
      <c r="F18" s="25"/>
      <c r="G18" s="26">
        <v>64</v>
      </c>
      <c r="H18" s="26">
        <f t="shared" si="4"/>
        <v>1216640</v>
      </c>
      <c r="I18" s="25"/>
      <c r="J18" s="59">
        <v>430000</v>
      </c>
      <c r="K18" s="27"/>
      <c r="L18" s="27"/>
      <c r="M18" s="26"/>
      <c r="N18" s="26"/>
      <c r="O18" s="26">
        <f t="shared" si="1"/>
        <v>1646640</v>
      </c>
      <c r="P18" s="26">
        <v>3300000</v>
      </c>
      <c r="Q18" s="26">
        <f t="shared" si="2"/>
        <v>1653360</v>
      </c>
      <c r="R18" s="46"/>
      <c r="S18" s="10"/>
      <c r="T18" s="10"/>
    </row>
    <row r="19" spans="1:20" ht="24" customHeight="1" x14ac:dyDescent="0.35">
      <c r="A19" s="21">
        <v>12</v>
      </c>
      <c r="B19" s="22">
        <v>45274</v>
      </c>
      <c r="C19" s="23" t="s">
        <v>1196</v>
      </c>
      <c r="D19" s="24" t="s">
        <v>1218</v>
      </c>
      <c r="E19" s="23" t="s">
        <v>431</v>
      </c>
      <c r="F19" s="25"/>
      <c r="G19" s="26">
        <v>123</v>
      </c>
      <c r="H19" s="26">
        <f t="shared" si="4"/>
        <v>2338230</v>
      </c>
      <c r="I19" s="25"/>
      <c r="J19" s="59">
        <v>790000</v>
      </c>
      <c r="K19" s="27"/>
      <c r="L19" s="27"/>
      <c r="M19" s="26"/>
      <c r="N19" s="26"/>
      <c r="O19" s="26">
        <f t="shared" si="1"/>
        <v>3128230</v>
      </c>
      <c r="P19" s="26">
        <v>5470370</v>
      </c>
      <c r="Q19" s="26">
        <f t="shared" si="2"/>
        <v>2342140</v>
      </c>
      <c r="R19" s="46"/>
      <c r="S19" s="10"/>
      <c r="T19" s="10"/>
    </row>
    <row r="20" spans="1:20" ht="24" customHeight="1" x14ac:dyDescent="0.35">
      <c r="A20" s="21">
        <v>13</v>
      </c>
      <c r="B20" s="22">
        <v>45277</v>
      </c>
      <c r="C20" s="23" t="s">
        <v>1197</v>
      </c>
      <c r="D20" s="24" t="s">
        <v>1219</v>
      </c>
      <c r="E20" s="23" t="s">
        <v>249</v>
      </c>
      <c r="F20" s="25"/>
      <c r="G20" s="26">
        <v>240</v>
      </c>
      <c r="H20" s="26">
        <f>G20*19010</f>
        <v>4562400</v>
      </c>
      <c r="I20" s="25"/>
      <c r="J20" s="59">
        <v>2380000</v>
      </c>
      <c r="K20" s="27"/>
      <c r="L20" s="27"/>
      <c r="M20" s="26"/>
      <c r="N20" s="26"/>
      <c r="O20" s="26">
        <f t="shared" si="1"/>
        <v>6942400</v>
      </c>
      <c r="P20" s="26">
        <v>12777778</v>
      </c>
      <c r="Q20" s="26">
        <f t="shared" si="2"/>
        <v>5835378</v>
      </c>
      <c r="R20" s="46"/>
      <c r="S20" s="10"/>
      <c r="T20" s="10"/>
    </row>
    <row r="21" spans="1:20" ht="24" customHeight="1" x14ac:dyDescent="0.35">
      <c r="A21" s="21">
        <v>14</v>
      </c>
      <c r="B21" s="22">
        <v>45279</v>
      </c>
      <c r="C21" s="23" t="s">
        <v>1198</v>
      </c>
      <c r="D21" s="24" t="s">
        <v>1220</v>
      </c>
      <c r="E21" s="23" t="s">
        <v>227</v>
      </c>
      <c r="F21" s="25"/>
      <c r="G21" s="26">
        <v>180</v>
      </c>
      <c r="H21" s="26">
        <f t="shared" si="4"/>
        <v>3421800</v>
      </c>
      <c r="I21" s="25"/>
      <c r="J21" s="59">
        <v>1530000</v>
      </c>
      <c r="K21" s="27"/>
      <c r="L21" s="27"/>
      <c r="M21" s="26"/>
      <c r="N21" s="26"/>
      <c r="O21" s="26">
        <f t="shared" si="1"/>
        <v>4951800</v>
      </c>
      <c r="P21" s="26">
        <v>8296296</v>
      </c>
      <c r="Q21" s="26">
        <f t="shared" si="2"/>
        <v>3344496</v>
      </c>
      <c r="R21" s="46"/>
      <c r="S21" s="10"/>
      <c r="T21" s="10"/>
    </row>
    <row r="22" spans="1:20" ht="24" customHeight="1" x14ac:dyDescent="0.35">
      <c r="A22" s="21">
        <v>15</v>
      </c>
      <c r="B22" s="22">
        <v>45280</v>
      </c>
      <c r="C22" s="23" t="s">
        <v>579</v>
      </c>
      <c r="D22" s="24" t="s">
        <v>1221</v>
      </c>
      <c r="E22" s="23" t="s">
        <v>1127</v>
      </c>
      <c r="F22" s="25"/>
      <c r="G22" s="26">
        <v>365</v>
      </c>
      <c r="H22" s="26">
        <f>G22*19520</f>
        <v>7124800</v>
      </c>
      <c r="I22" s="25"/>
      <c r="J22" s="59">
        <v>3868000</v>
      </c>
      <c r="K22" s="27"/>
      <c r="L22" s="27"/>
      <c r="M22" s="26"/>
      <c r="N22" s="26"/>
      <c r="O22" s="26">
        <f t="shared" si="1"/>
        <v>10992800</v>
      </c>
      <c r="P22" s="26">
        <v>20450000</v>
      </c>
      <c r="Q22" s="26">
        <f t="shared" si="2"/>
        <v>9457200</v>
      </c>
      <c r="R22" s="46"/>
      <c r="S22" s="10"/>
      <c r="T22" s="10"/>
    </row>
    <row r="23" spans="1:20" ht="24" customHeight="1" x14ac:dyDescent="0.35">
      <c r="A23" s="21">
        <v>16</v>
      </c>
      <c r="B23" s="22">
        <v>45285</v>
      </c>
      <c r="C23" s="23" t="s">
        <v>1199</v>
      </c>
      <c r="D23" s="24" t="s">
        <v>1222</v>
      </c>
      <c r="E23" s="23" t="s">
        <v>244</v>
      </c>
      <c r="F23" s="25"/>
      <c r="G23" s="26">
        <v>62</v>
      </c>
      <c r="H23" s="26">
        <f t="shared" ref="H23:H25" si="5">G23*19520</f>
        <v>1210240</v>
      </c>
      <c r="I23" s="25"/>
      <c r="J23" s="59">
        <v>430000</v>
      </c>
      <c r="K23" s="27"/>
      <c r="L23" s="27"/>
      <c r="M23" s="26"/>
      <c r="N23" s="26"/>
      <c r="O23" s="26">
        <f t="shared" si="1"/>
        <v>1640240</v>
      </c>
      <c r="P23" s="26">
        <v>2920741</v>
      </c>
      <c r="Q23" s="26">
        <f t="shared" si="2"/>
        <v>1280501</v>
      </c>
      <c r="R23" s="46"/>
      <c r="S23" s="10"/>
      <c r="T23" s="10"/>
    </row>
    <row r="24" spans="1:20" ht="24" customHeight="1" x14ac:dyDescent="0.35">
      <c r="A24" s="21">
        <v>17</v>
      </c>
      <c r="B24" s="22">
        <v>45285</v>
      </c>
      <c r="C24" s="23" t="s">
        <v>1200</v>
      </c>
      <c r="D24" s="24" t="s">
        <v>1223</v>
      </c>
      <c r="E24" s="23" t="s">
        <v>1206</v>
      </c>
      <c r="F24" s="25"/>
      <c r="G24" s="26">
        <v>130</v>
      </c>
      <c r="H24" s="26">
        <f t="shared" si="5"/>
        <v>2537600</v>
      </c>
      <c r="I24" s="25"/>
      <c r="J24" s="59">
        <v>830000</v>
      </c>
      <c r="K24" s="27"/>
      <c r="L24" s="27"/>
      <c r="M24" s="26"/>
      <c r="N24" s="26"/>
      <c r="O24" s="26">
        <f t="shared" si="1"/>
        <v>3367600</v>
      </c>
      <c r="P24" s="26">
        <v>4900000</v>
      </c>
      <c r="Q24" s="26">
        <f t="shared" si="2"/>
        <v>1532400</v>
      </c>
      <c r="R24" s="46"/>
      <c r="S24" s="10"/>
      <c r="T24" s="10"/>
    </row>
    <row r="25" spans="1:20" ht="24" customHeight="1" x14ac:dyDescent="0.35">
      <c r="A25" s="21">
        <v>18</v>
      </c>
      <c r="B25" s="22">
        <v>45286</v>
      </c>
      <c r="C25" s="23" t="s">
        <v>1201</v>
      </c>
      <c r="D25" s="24" t="s">
        <v>1224</v>
      </c>
      <c r="E25" s="23" t="s">
        <v>975</v>
      </c>
      <c r="F25" s="25"/>
      <c r="G25" s="26">
        <v>95</v>
      </c>
      <c r="H25" s="26">
        <f t="shared" si="5"/>
        <v>1854400</v>
      </c>
      <c r="I25" s="25"/>
      <c r="J25" s="59">
        <v>790000</v>
      </c>
      <c r="K25" s="27"/>
      <c r="L25" s="27"/>
      <c r="M25" s="26"/>
      <c r="N25" s="26"/>
      <c r="O25" s="26">
        <f t="shared" si="1"/>
        <v>2644400</v>
      </c>
      <c r="P25" s="26">
        <v>4583333</v>
      </c>
      <c r="Q25" s="26">
        <f t="shared" si="2"/>
        <v>1938933</v>
      </c>
      <c r="R25" s="46"/>
      <c r="S25" s="10"/>
      <c r="T25" s="10"/>
    </row>
    <row r="26" spans="1:20" ht="24" customHeight="1" x14ac:dyDescent="0.35">
      <c r="A26" s="21">
        <v>19</v>
      </c>
      <c r="B26" s="22">
        <v>45287</v>
      </c>
      <c r="C26" s="23" t="s">
        <v>583</v>
      </c>
      <c r="D26" s="24" t="s">
        <v>1225</v>
      </c>
      <c r="E26" s="23" t="s">
        <v>372</v>
      </c>
      <c r="F26" s="25"/>
      <c r="G26" s="26">
        <v>373</v>
      </c>
      <c r="H26" s="26">
        <f>G26*19780</f>
        <v>7377940</v>
      </c>
      <c r="I26" s="25"/>
      <c r="J26" s="59">
        <v>3868000</v>
      </c>
      <c r="K26" s="27"/>
      <c r="L26" s="27"/>
      <c r="M26" s="26"/>
      <c r="N26" s="26"/>
      <c r="O26" s="26">
        <f t="shared" si="1"/>
        <v>11245940</v>
      </c>
      <c r="P26" s="26">
        <v>20450000</v>
      </c>
      <c r="Q26" s="26">
        <f t="shared" si="2"/>
        <v>9204060</v>
      </c>
      <c r="R26" s="46"/>
      <c r="S26" s="10"/>
      <c r="T26" s="10"/>
    </row>
    <row r="27" spans="1:20" ht="24" customHeight="1" x14ac:dyDescent="0.35">
      <c r="A27" s="21">
        <v>20</v>
      </c>
      <c r="B27" s="22">
        <v>45289</v>
      </c>
      <c r="C27" s="23" t="s">
        <v>1202</v>
      </c>
      <c r="D27" s="24" t="s">
        <v>1226</v>
      </c>
      <c r="E27" s="23" t="s">
        <v>651</v>
      </c>
      <c r="F27" s="25"/>
      <c r="G27" s="26">
        <v>147</v>
      </c>
      <c r="H27" s="26">
        <f>G27*19780</f>
        <v>2907660</v>
      </c>
      <c r="I27" s="25"/>
      <c r="J27" s="59">
        <v>1080000</v>
      </c>
      <c r="K27" s="27"/>
      <c r="L27" s="27"/>
      <c r="M27" s="26"/>
      <c r="N27" s="26"/>
      <c r="O27" s="26">
        <f>H27+J27+K27+L27+M27+N27</f>
        <v>3987660</v>
      </c>
      <c r="P27" s="26">
        <v>6550000</v>
      </c>
      <c r="Q27" s="26">
        <f t="shared" si="2"/>
        <v>2562340</v>
      </c>
      <c r="R27" s="46"/>
      <c r="S27" s="10"/>
      <c r="T27" s="10"/>
    </row>
    <row r="28" spans="1:20" ht="24" customHeight="1" x14ac:dyDescent="0.35">
      <c r="A28" s="21"/>
      <c r="B28" s="22"/>
      <c r="C28" s="23"/>
      <c r="D28" s="24"/>
      <c r="E28" s="23"/>
      <c r="F28" s="25"/>
      <c r="G28" s="26"/>
      <c r="H28" s="26"/>
      <c r="I28" s="25"/>
      <c r="J28" s="26"/>
      <c r="K28" s="27"/>
      <c r="L28" s="27"/>
      <c r="M28" s="26"/>
      <c r="N28" s="26"/>
      <c r="O28" s="26"/>
      <c r="P28" s="26"/>
      <c r="Q28" s="26"/>
      <c r="R28" s="46"/>
      <c r="S28" s="10"/>
      <c r="T28" s="10"/>
    </row>
    <row r="29" spans="1:20" ht="24" customHeight="1" x14ac:dyDescent="0.35">
      <c r="A29" s="21"/>
      <c r="B29" s="22"/>
      <c r="C29" s="139" t="s">
        <v>44</v>
      </c>
      <c r="D29" s="140"/>
      <c r="E29" s="140"/>
      <c r="F29" s="141"/>
      <c r="G29" s="54"/>
      <c r="H29" s="53"/>
      <c r="I29" s="54"/>
      <c r="J29" s="53"/>
      <c r="K29" s="51"/>
      <c r="L29" s="61">
        <v>1200000</v>
      </c>
      <c r="M29" s="26"/>
      <c r="N29" s="26"/>
      <c r="O29" s="26">
        <f>K29+L29+M29+N29</f>
        <v>1200000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391</v>
      </c>
      <c r="D30" s="140"/>
      <c r="E30" s="140"/>
      <c r="F30" s="141"/>
      <c r="G30" s="51"/>
      <c r="H30" s="51"/>
      <c r="I30" s="52"/>
      <c r="J30" s="51"/>
      <c r="K30" s="61">
        <v>10559000</v>
      </c>
      <c r="L30" s="51"/>
      <c r="M30" s="53"/>
      <c r="N30" s="53"/>
      <c r="O30" s="26">
        <f t="shared" ref="O30:O41" si="6">K30+L30+M30+N30</f>
        <v>10559000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1257</v>
      </c>
      <c r="D31" s="140"/>
      <c r="E31" s="140"/>
      <c r="F31" s="141"/>
      <c r="G31" s="51"/>
      <c r="H31" s="51"/>
      <c r="I31" s="52"/>
      <c r="J31" s="51"/>
      <c r="K31" s="51"/>
      <c r="L31" s="61">
        <v>100000</v>
      </c>
      <c r="M31" s="53"/>
      <c r="N31" s="53"/>
      <c r="O31" s="26">
        <f t="shared" si="6"/>
        <v>100000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1259</v>
      </c>
      <c r="D32" s="140"/>
      <c r="E32" s="140"/>
      <c r="F32" s="141"/>
      <c r="G32" s="51"/>
      <c r="H32" s="51"/>
      <c r="I32" s="52"/>
      <c r="J32" s="51"/>
      <c r="K32" s="51"/>
      <c r="L32" s="61">
        <v>972000</v>
      </c>
      <c r="M32" s="53"/>
      <c r="N32" s="53"/>
      <c r="O32" s="26">
        <f t="shared" si="6"/>
        <v>972000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1260</v>
      </c>
      <c r="D33" s="140"/>
      <c r="E33" s="140"/>
      <c r="F33" s="141"/>
      <c r="G33" s="51"/>
      <c r="H33" s="51"/>
      <c r="I33" s="52"/>
      <c r="J33" s="51"/>
      <c r="K33" s="51"/>
      <c r="L33" s="77">
        <f>480000/4</f>
        <v>120000</v>
      </c>
      <c r="M33" s="53"/>
      <c r="N33" s="53"/>
      <c r="O33" s="26">
        <f t="shared" si="6"/>
        <v>120000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1265</v>
      </c>
      <c r="D34" s="140"/>
      <c r="E34" s="140"/>
      <c r="F34" s="141"/>
      <c r="G34" s="51"/>
      <c r="H34" s="51"/>
      <c r="I34" s="52"/>
      <c r="J34" s="51"/>
      <c r="K34" s="51"/>
      <c r="L34" s="61">
        <v>330000</v>
      </c>
      <c r="M34" s="53"/>
      <c r="N34" s="53"/>
      <c r="O34" s="26">
        <f t="shared" si="6"/>
        <v>330000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1266</v>
      </c>
      <c r="D35" s="140"/>
      <c r="E35" s="140"/>
      <c r="F35" s="141"/>
      <c r="G35" s="51"/>
      <c r="H35" s="51"/>
      <c r="I35" s="52"/>
      <c r="J35" s="51"/>
      <c r="K35" s="51"/>
      <c r="L35" s="61">
        <v>3800000</v>
      </c>
      <c r="M35" s="53"/>
      <c r="N35" s="53"/>
      <c r="O35" s="26">
        <f t="shared" si="6"/>
        <v>3800000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1267</v>
      </c>
      <c r="D36" s="140"/>
      <c r="E36" s="140"/>
      <c r="F36" s="141"/>
      <c r="G36" s="51"/>
      <c r="H36" s="51"/>
      <c r="I36" s="52"/>
      <c r="J36" s="51"/>
      <c r="K36" s="51"/>
      <c r="L36" s="61">
        <v>800000</v>
      </c>
      <c r="M36" s="53"/>
      <c r="N36" s="53"/>
      <c r="O36" s="26">
        <f t="shared" si="6"/>
        <v>800000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1268</v>
      </c>
      <c r="D37" s="140"/>
      <c r="E37" s="140"/>
      <c r="F37" s="141"/>
      <c r="G37" s="51"/>
      <c r="H37" s="51"/>
      <c r="I37" s="52"/>
      <c r="J37" s="51"/>
      <c r="K37" s="51"/>
      <c r="L37" s="61">
        <v>1080000</v>
      </c>
      <c r="M37" s="53"/>
      <c r="N37" s="53"/>
      <c r="O37" s="26">
        <f t="shared" si="6"/>
        <v>1080000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1269</v>
      </c>
      <c r="D38" s="140"/>
      <c r="E38" s="140"/>
      <c r="F38" s="141"/>
      <c r="G38" s="51"/>
      <c r="H38" s="51"/>
      <c r="I38" s="52"/>
      <c r="J38" s="51"/>
      <c r="K38" s="51"/>
      <c r="L38" s="51"/>
      <c r="M38" s="76">
        <v>9800000</v>
      </c>
      <c r="N38" s="53"/>
      <c r="O38" s="26">
        <f t="shared" si="6"/>
        <v>9800000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1270</v>
      </c>
      <c r="D39" s="140"/>
      <c r="E39" s="140"/>
      <c r="F39" s="141"/>
      <c r="G39" s="51"/>
      <c r="H39" s="51"/>
      <c r="I39" s="52"/>
      <c r="J39" s="51"/>
      <c r="K39" s="51"/>
      <c r="L39" s="51"/>
      <c r="M39" s="76">
        <v>380000</v>
      </c>
      <c r="N39" s="53"/>
      <c r="O39" s="26">
        <f t="shared" si="6"/>
        <v>380000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1271</v>
      </c>
      <c r="D40" s="140"/>
      <c r="E40" s="140"/>
      <c r="F40" s="141"/>
      <c r="G40" s="51"/>
      <c r="H40" s="51"/>
      <c r="I40" s="52"/>
      <c r="J40" s="51"/>
      <c r="K40" s="51"/>
      <c r="L40" s="61">
        <v>1720000</v>
      </c>
      <c r="M40" s="53"/>
      <c r="N40" s="53"/>
      <c r="O40" s="26">
        <f t="shared" si="6"/>
        <v>1720000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5"/>
      <c r="C41" s="139" t="s">
        <v>1249</v>
      </c>
      <c r="D41" s="140"/>
      <c r="E41" s="140"/>
      <c r="F41" s="141"/>
      <c r="G41" s="54"/>
      <c r="H41" s="53"/>
      <c r="I41" s="54"/>
      <c r="J41" s="53"/>
      <c r="K41" s="51">
        <v>7700000</v>
      </c>
      <c r="L41" s="53"/>
      <c r="M41" s="53"/>
      <c r="N41" s="53"/>
      <c r="O41" s="26">
        <f t="shared" si="6"/>
        <v>7700000</v>
      </c>
      <c r="P41" s="26"/>
      <c r="Q41" s="26"/>
      <c r="R41" s="48"/>
    </row>
    <row r="42" spans="1:20" ht="24" customHeight="1" x14ac:dyDescent="0.35">
      <c r="A42" s="136" t="s">
        <v>45</v>
      </c>
      <c r="B42" s="137"/>
      <c r="C42" s="137"/>
      <c r="D42" s="137"/>
      <c r="E42" s="137"/>
      <c r="F42" s="138"/>
      <c r="G42" s="33">
        <f>SUM(G8:G41)</f>
        <v>3293</v>
      </c>
      <c r="H42" s="34">
        <f t="shared" ref="H42:N42" si="7">SUM(H7:H41)</f>
        <v>64602400</v>
      </c>
      <c r="I42" s="34">
        <f t="shared" si="7"/>
        <v>0</v>
      </c>
      <c r="J42" s="34">
        <f t="shared" si="7"/>
        <v>29460000</v>
      </c>
      <c r="K42" s="34">
        <f t="shared" si="7"/>
        <v>18259000</v>
      </c>
      <c r="L42" s="34">
        <f t="shared" si="7"/>
        <v>10122000</v>
      </c>
      <c r="M42" s="34">
        <f t="shared" si="7"/>
        <v>10180000</v>
      </c>
      <c r="N42" s="34">
        <f t="shared" si="7"/>
        <v>0</v>
      </c>
      <c r="O42" s="34">
        <f>SUM(O8:O41)</f>
        <v>132623400</v>
      </c>
      <c r="P42" s="75">
        <f>SUM(P8:P41)</f>
        <v>165150370</v>
      </c>
      <c r="Q42" s="34">
        <f>P42-O42</f>
        <v>32526970</v>
      </c>
      <c r="R42" s="50"/>
    </row>
    <row r="43" spans="1:20" x14ac:dyDescent="0.35">
      <c r="O43" s="35"/>
      <c r="Q43" s="36"/>
    </row>
    <row r="44" spans="1:20" x14ac:dyDescent="0.35">
      <c r="O44" s="37"/>
      <c r="P44" s="38" t="s">
        <v>46</v>
      </c>
      <c r="Q44" s="39">
        <f>'11.2023'!Q50+'12.2023'!Q42</f>
        <v>326041651.33333331</v>
      </c>
    </row>
    <row r="45" spans="1:20" x14ac:dyDescent="0.35">
      <c r="O45" s="37"/>
      <c r="P45" s="38" t="s">
        <v>633</v>
      </c>
      <c r="Q45" s="39">
        <v>24000000</v>
      </c>
    </row>
    <row r="46" spans="1:20" x14ac:dyDescent="0.35">
      <c r="O46" s="37"/>
      <c r="P46" s="38" t="s">
        <v>634</v>
      </c>
      <c r="Q46" s="39">
        <f>Q44-Q45</f>
        <v>302041651.33333331</v>
      </c>
    </row>
    <row r="47" spans="1:20" x14ac:dyDescent="0.35">
      <c r="P47" s="37" t="s">
        <v>635</v>
      </c>
      <c r="Q47" s="37">
        <f>Q46*29.55%</f>
        <v>89253307.968999997</v>
      </c>
      <c r="R47" s="50"/>
    </row>
    <row r="48" spans="1:20" x14ac:dyDescent="0.35">
      <c r="B48" s="8"/>
    </row>
    <row r="49" spans="2:18" x14ac:dyDescent="0.35">
      <c r="B49" s="8"/>
    </row>
    <row r="50" spans="2:18" x14ac:dyDescent="0.35">
      <c r="B50" s="8"/>
    </row>
    <row r="51" spans="2:18" x14ac:dyDescent="0.35">
      <c r="B51" s="8"/>
      <c r="H51" s="8"/>
      <c r="J51" s="8"/>
      <c r="K51" s="8"/>
      <c r="L51" s="8"/>
      <c r="M51" s="8"/>
      <c r="N51" s="8"/>
      <c r="O51" s="8"/>
      <c r="P51" s="8"/>
      <c r="Q51" s="8"/>
      <c r="R51" s="8"/>
    </row>
  </sheetData>
  <mergeCells count="33">
    <mergeCell ref="C41:F41"/>
    <mergeCell ref="A42:F42"/>
    <mergeCell ref="O5:O6"/>
    <mergeCell ref="P5:P6"/>
    <mergeCell ref="Q5:Q6"/>
    <mergeCell ref="C29:F29"/>
    <mergeCell ref="C30:F30"/>
    <mergeCell ref="C31:F31"/>
    <mergeCell ref="I5:I6"/>
    <mergeCell ref="J5:J6"/>
    <mergeCell ref="K5:K6"/>
    <mergeCell ref="L5:L6"/>
    <mergeCell ref="M5:M6"/>
    <mergeCell ref="N5:N6"/>
    <mergeCell ref="C32:F32"/>
    <mergeCell ref="C33:F33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C39:F39"/>
    <mergeCell ref="C40:F40"/>
    <mergeCell ref="C34:F34"/>
    <mergeCell ref="C35:F35"/>
    <mergeCell ref="C36:F36"/>
    <mergeCell ref="C37:F37"/>
    <mergeCell ref="C38:F38"/>
  </mergeCell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849FF-832A-4941-997A-DF4461F45018}">
  <dimension ref="A1:T56"/>
  <sheetViews>
    <sheetView topLeftCell="F39" workbookViewId="0">
      <selection activeCell="O43" sqref="O43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1272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45290</v>
      </c>
      <c r="C8" s="97" t="s">
        <v>1273</v>
      </c>
      <c r="D8" s="98" t="s">
        <v>1305</v>
      </c>
      <c r="E8" s="97" t="s">
        <v>1164</v>
      </c>
      <c r="F8" s="99"/>
      <c r="G8" s="104">
        <v>146</v>
      </c>
      <c r="H8" s="104">
        <f>G8*19780</f>
        <v>2887880</v>
      </c>
      <c r="I8" s="99"/>
      <c r="J8" s="104">
        <v>1080000</v>
      </c>
      <c r="K8" s="103"/>
      <c r="L8" s="103"/>
      <c r="M8" s="104"/>
      <c r="N8" s="104"/>
      <c r="O8" s="104">
        <f>H8+J8+K8+L8+M8+N8</f>
        <v>3967880</v>
      </c>
      <c r="P8" s="104">
        <v>6350000</v>
      </c>
      <c r="Q8" s="104">
        <f>P8-O8</f>
        <v>2382120</v>
      </c>
      <c r="R8" s="46"/>
      <c r="S8" s="10"/>
      <c r="T8" s="10"/>
    </row>
    <row r="9" spans="1:20" ht="24" customHeight="1" x14ac:dyDescent="0.35">
      <c r="A9" s="21">
        <v>2</v>
      </c>
      <c r="B9" s="22">
        <v>45293</v>
      </c>
      <c r="C9" s="23" t="s">
        <v>1274</v>
      </c>
      <c r="D9" s="24" t="s">
        <v>1306</v>
      </c>
      <c r="E9" s="23" t="s">
        <v>1298</v>
      </c>
      <c r="F9" s="25"/>
      <c r="G9" s="26">
        <v>32</v>
      </c>
      <c r="H9" s="104">
        <f>G9*19780</f>
        <v>632960</v>
      </c>
      <c r="I9" s="25"/>
      <c r="J9" s="26">
        <v>430000</v>
      </c>
      <c r="K9" s="27"/>
      <c r="L9" s="27"/>
      <c r="M9" s="26"/>
      <c r="N9" s="26"/>
      <c r="O9" s="26">
        <f t="shared" ref="O9:O26" si="0">H9+J9+K9+L9+M9+N9</f>
        <v>1062960</v>
      </c>
      <c r="P9" s="26">
        <v>2100000</v>
      </c>
      <c r="Q9" s="26">
        <f t="shared" ref="Q9:Q33" si="1">P9-O9</f>
        <v>1037040</v>
      </c>
      <c r="R9" s="46"/>
      <c r="S9" s="10"/>
      <c r="T9" s="10"/>
    </row>
    <row r="10" spans="1:20" ht="24" customHeight="1" x14ac:dyDescent="0.35">
      <c r="A10" s="21">
        <v>3</v>
      </c>
      <c r="B10" s="22">
        <v>45294</v>
      </c>
      <c r="C10" s="23" t="s">
        <v>1275</v>
      </c>
      <c r="D10" s="24" t="s">
        <v>1307</v>
      </c>
      <c r="E10" s="23" t="s">
        <v>227</v>
      </c>
      <c r="F10" s="25"/>
      <c r="G10" s="26">
        <v>193</v>
      </c>
      <c r="H10" s="26">
        <f>G10*19360</f>
        <v>3736480</v>
      </c>
      <c r="I10" s="25"/>
      <c r="J10" s="26">
        <v>1530000</v>
      </c>
      <c r="K10" s="27"/>
      <c r="L10" s="27"/>
      <c r="M10" s="26"/>
      <c r="N10" s="26"/>
      <c r="O10" s="26">
        <f t="shared" si="0"/>
        <v>5266480</v>
      </c>
      <c r="P10" s="26">
        <v>8703704</v>
      </c>
      <c r="Q10" s="26">
        <f t="shared" si="1"/>
        <v>3437224</v>
      </c>
      <c r="R10" s="46"/>
      <c r="S10" s="10"/>
      <c r="T10" s="10"/>
    </row>
    <row r="11" spans="1:20" ht="24" customHeight="1" x14ac:dyDescent="0.35">
      <c r="A11" s="21">
        <v>4</v>
      </c>
      <c r="B11" s="22">
        <v>45295</v>
      </c>
      <c r="C11" s="23" t="s">
        <v>1276</v>
      </c>
      <c r="D11" s="24" t="s">
        <v>1308</v>
      </c>
      <c r="E11" s="23" t="s">
        <v>227</v>
      </c>
      <c r="F11" s="25"/>
      <c r="G11" s="26">
        <v>187</v>
      </c>
      <c r="H11" s="26">
        <f t="shared" ref="H11:H16" si="2">G11*19360</f>
        <v>3620320</v>
      </c>
      <c r="I11" s="25"/>
      <c r="J11" s="26">
        <v>1530000</v>
      </c>
      <c r="K11" s="27"/>
      <c r="L11" s="27"/>
      <c r="M11" s="26"/>
      <c r="N11" s="26"/>
      <c r="O11" s="26">
        <f t="shared" si="0"/>
        <v>5150320</v>
      </c>
      <c r="P11" s="26">
        <v>8296296</v>
      </c>
      <c r="Q11" s="26">
        <f t="shared" si="1"/>
        <v>3145976</v>
      </c>
      <c r="R11" s="46"/>
      <c r="S11" s="10"/>
      <c r="T11" s="10"/>
    </row>
    <row r="12" spans="1:20" ht="24" customHeight="1" x14ac:dyDescent="0.35">
      <c r="A12" s="21">
        <v>5</v>
      </c>
      <c r="B12" s="22">
        <v>45296</v>
      </c>
      <c r="C12" s="23" t="s">
        <v>1277</v>
      </c>
      <c r="D12" s="24" t="s">
        <v>1309</v>
      </c>
      <c r="E12" s="23" t="s">
        <v>244</v>
      </c>
      <c r="F12" s="25"/>
      <c r="G12" s="26">
        <v>80</v>
      </c>
      <c r="H12" s="26">
        <f t="shared" si="2"/>
        <v>1548800</v>
      </c>
      <c r="I12" s="25"/>
      <c r="J12" s="26">
        <v>730000</v>
      </c>
      <c r="K12" s="27"/>
      <c r="L12" s="27"/>
      <c r="M12" s="26"/>
      <c r="N12" s="26"/>
      <c r="O12" s="26">
        <f>H12+J12+K12+L12+M12+N12</f>
        <v>2278800</v>
      </c>
      <c r="P12" s="26">
        <v>3180000</v>
      </c>
      <c r="Q12" s="26">
        <f t="shared" si="1"/>
        <v>901200</v>
      </c>
      <c r="R12" s="46"/>
      <c r="S12" s="10"/>
      <c r="T12" s="10"/>
    </row>
    <row r="13" spans="1:20" ht="24" customHeight="1" x14ac:dyDescent="0.25">
      <c r="A13" s="21">
        <v>6</v>
      </c>
      <c r="B13" s="22">
        <v>45297</v>
      </c>
      <c r="C13" s="23" t="s">
        <v>1278</v>
      </c>
      <c r="D13" s="24" t="s">
        <v>1309</v>
      </c>
      <c r="E13" s="23" t="s">
        <v>244</v>
      </c>
      <c r="F13" s="25"/>
      <c r="G13" s="26"/>
      <c r="H13" s="26">
        <f t="shared" si="2"/>
        <v>0</v>
      </c>
      <c r="I13" s="25"/>
      <c r="J13" s="26"/>
      <c r="K13" s="27"/>
      <c r="L13" s="27"/>
      <c r="M13" s="26"/>
      <c r="N13" s="26"/>
      <c r="O13" s="26">
        <f>H13+J13+K13+L13+M13+N13</f>
        <v>0</v>
      </c>
      <c r="P13" s="121">
        <v>2331000</v>
      </c>
      <c r="Q13" s="26">
        <f t="shared" si="1"/>
        <v>2331000</v>
      </c>
      <c r="R13" s="46"/>
      <c r="S13" s="10"/>
      <c r="T13" s="10"/>
    </row>
    <row r="14" spans="1:20" ht="24" customHeight="1" x14ac:dyDescent="0.35">
      <c r="A14" s="21">
        <v>7</v>
      </c>
      <c r="B14" s="22">
        <v>45297</v>
      </c>
      <c r="C14" s="23" t="s">
        <v>1279</v>
      </c>
      <c r="D14" s="24" t="s">
        <v>1310</v>
      </c>
      <c r="E14" s="23" t="s">
        <v>249</v>
      </c>
      <c r="F14" s="25"/>
      <c r="G14" s="26">
        <v>244</v>
      </c>
      <c r="H14" s="26">
        <f t="shared" si="2"/>
        <v>4723840</v>
      </c>
      <c r="I14" s="25"/>
      <c r="J14" s="26">
        <v>2380000</v>
      </c>
      <c r="K14" s="27"/>
      <c r="L14" s="27"/>
      <c r="M14" s="26"/>
      <c r="N14" s="26"/>
      <c r="O14" s="26">
        <f t="shared" si="0"/>
        <v>7103840</v>
      </c>
      <c r="P14" s="26">
        <v>12777778</v>
      </c>
      <c r="Q14" s="26">
        <f t="shared" si="1"/>
        <v>5673938</v>
      </c>
      <c r="R14" s="46"/>
      <c r="S14" s="10"/>
      <c r="T14" s="10"/>
    </row>
    <row r="15" spans="1:20" ht="24" customHeight="1" x14ac:dyDescent="0.35">
      <c r="A15" s="21">
        <v>8</v>
      </c>
      <c r="B15" s="22">
        <v>45299</v>
      </c>
      <c r="C15" s="23" t="s">
        <v>1280</v>
      </c>
      <c r="D15" s="24" t="s">
        <v>1311</v>
      </c>
      <c r="E15" s="23" t="s">
        <v>112</v>
      </c>
      <c r="F15" s="25"/>
      <c r="G15" s="26">
        <v>258</v>
      </c>
      <c r="H15" s="26">
        <f t="shared" si="2"/>
        <v>4994880</v>
      </c>
      <c r="I15" s="25"/>
      <c r="J15" s="26">
        <v>2380000</v>
      </c>
      <c r="K15" s="27"/>
      <c r="L15" s="27"/>
      <c r="M15" s="26"/>
      <c r="N15" s="26"/>
      <c r="O15" s="26">
        <f t="shared" si="0"/>
        <v>7374880</v>
      </c>
      <c r="P15" s="26">
        <v>12962963</v>
      </c>
      <c r="Q15" s="26">
        <f t="shared" si="1"/>
        <v>5588083</v>
      </c>
      <c r="R15" s="46"/>
      <c r="S15" s="10"/>
      <c r="T15" s="10"/>
    </row>
    <row r="16" spans="1:20" ht="24" customHeight="1" x14ac:dyDescent="0.35">
      <c r="A16" s="21">
        <v>9</v>
      </c>
      <c r="B16" s="22">
        <v>45300</v>
      </c>
      <c r="C16" s="23" t="s">
        <v>1281</v>
      </c>
      <c r="D16" s="24" t="s">
        <v>467</v>
      </c>
      <c r="E16" s="23" t="s">
        <v>1299</v>
      </c>
      <c r="F16" s="25"/>
      <c r="G16" s="26">
        <v>42</v>
      </c>
      <c r="H16" s="26">
        <f t="shared" si="2"/>
        <v>813120</v>
      </c>
      <c r="I16" s="25"/>
      <c r="J16" s="26">
        <v>340000</v>
      </c>
      <c r="K16" s="27"/>
      <c r="L16" s="27"/>
      <c r="M16" s="26"/>
      <c r="N16" s="26"/>
      <c r="O16" s="26">
        <f t="shared" si="0"/>
        <v>1153120</v>
      </c>
      <c r="P16" s="26">
        <v>2670000</v>
      </c>
      <c r="Q16" s="26">
        <f t="shared" si="1"/>
        <v>1516880</v>
      </c>
      <c r="R16" s="46"/>
      <c r="S16" s="10"/>
      <c r="T16" s="10"/>
    </row>
    <row r="17" spans="1:20" ht="24" customHeight="1" x14ac:dyDescent="0.35">
      <c r="A17" s="21">
        <v>10</v>
      </c>
      <c r="B17" s="22">
        <v>45301</v>
      </c>
      <c r="C17" s="23" t="s">
        <v>1282</v>
      </c>
      <c r="D17" s="24" t="s">
        <v>1312</v>
      </c>
      <c r="E17" s="23" t="s">
        <v>66</v>
      </c>
      <c r="F17" s="25"/>
      <c r="G17" s="26">
        <v>340</v>
      </c>
      <c r="H17" s="26">
        <f>G17*19700</f>
        <v>6698000</v>
      </c>
      <c r="I17" s="25"/>
      <c r="J17" s="26">
        <v>3460000</v>
      </c>
      <c r="K17" s="27"/>
      <c r="L17" s="27"/>
      <c r="M17" s="26"/>
      <c r="N17" s="26"/>
      <c r="O17" s="26">
        <f t="shared" si="0"/>
        <v>10158000</v>
      </c>
      <c r="P17" s="26">
        <v>18655556</v>
      </c>
      <c r="Q17" s="26">
        <f t="shared" si="1"/>
        <v>8497556</v>
      </c>
      <c r="R17" s="46"/>
      <c r="S17" s="10"/>
      <c r="T17" s="10"/>
    </row>
    <row r="18" spans="1:20" ht="24" customHeight="1" x14ac:dyDescent="0.35">
      <c r="A18" s="21">
        <v>11</v>
      </c>
      <c r="B18" s="22">
        <v>45303</v>
      </c>
      <c r="C18" s="23" t="s">
        <v>649</v>
      </c>
      <c r="D18" s="24" t="s">
        <v>1313</v>
      </c>
      <c r="E18" s="23" t="s">
        <v>1164</v>
      </c>
      <c r="F18" s="25"/>
      <c r="G18" s="26">
        <v>159</v>
      </c>
      <c r="H18" s="26">
        <f t="shared" ref="H18:H21" si="3">G18*19700</f>
        <v>3132300</v>
      </c>
      <c r="I18" s="25"/>
      <c r="J18" s="26">
        <v>1080000</v>
      </c>
      <c r="K18" s="27"/>
      <c r="L18" s="27"/>
      <c r="M18" s="26"/>
      <c r="N18" s="26"/>
      <c r="O18" s="26">
        <f t="shared" si="0"/>
        <v>4212300</v>
      </c>
      <c r="P18" s="26">
        <v>6350000</v>
      </c>
      <c r="Q18" s="26">
        <f t="shared" si="1"/>
        <v>2137700</v>
      </c>
      <c r="R18" s="46"/>
      <c r="S18" s="10"/>
      <c r="T18" s="10"/>
    </row>
    <row r="19" spans="1:20" ht="24" customHeight="1" x14ac:dyDescent="0.35">
      <c r="A19" s="21">
        <v>12</v>
      </c>
      <c r="B19" s="22">
        <v>45306</v>
      </c>
      <c r="C19" s="23" t="s">
        <v>1283</v>
      </c>
      <c r="D19" s="24" t="s">
        <v>1314</v>
      </c>
      <c r="E19" s="23" t="s">
        <v>651</v>
      </c>
      <c r="F19" s="25"/>
      <c r="G19" s="26">
        <v>147</v>
      </c>
      <c r="H19" s="26">
        <f t="shared" si="3"/>
        <v>2895900</v>
      </c>
      <c r="I19" s="25"/>
      <c r="J19" s="26">
        <v>1080000</v>
      </c>
      <c r="K19" s="27"/>
      <c r="L19" s="27"/>
      <c r="M19" s="26"/>
      <c r="N19" s="26"/>
      <c r="O19" s="26">
        <f t="shared" si="0"/>
        <v>3975900</v>
      </c>
      <c r="P19" s="26">
        <v>6550000</v>
      </c>
      <c r="Q19" s="26">
        <f t="shared" si="1"/>
        <v>2574100</v>
      </c>
      <c r="R19" s="46"/>
      <c r="S19" s="10"/>
      <c r="T19" s="10"/>
    </row>
    <row r="20" spans="1:20" ht="24" customHeight="1" x14ac:dyDescent="0.35">
      <c r="A20" s="21">
        <v>13</v>
      </c>
      <c r="B20" s="22">
        <v>45307</v>
      </c>
      <c r="C20" s="23" t="s">
        <v>1284</v>
      </c>
      <c r="D20" s="24" t="s">
        <v>1315</v>
      </c>
      <c r="E20" s="23" t="s">
        <v>1300</v>
      </c>
      <c r="F20" s="25"/>
      <c r="G20" s="26">
        <v>44</v>
      </c>
      <c r="H20" s="26">
        <f t="shared" si="3"/>
        <v>866800</v>
      </c>
      <c r="I20" s="25"/>
      <c r="J20" s="26">
        <v>340000</v>
      </c>
      <c r="K20" s="27"/>
      <c r="L20" s="27"/>
      <c r="M20" s="26"/>
      <c r="N20" s="26"/>
      <c r="O20" s="26">
        <f t="shared" si="0"/>
        <v>1206800</v>
      </c>
      <c r="P20" s="26">
        <v>2670000</v>
      </c>
      <c r="Q20" s="26">
        <f t="shared" si="1"/>
        <v>1463200</v>
      </c>
      <c r="R20" s="46"/>
      <c r="S20" s="10"/>
      <c r="T20" s="10"/>
    </row>
    <row r="21" spans="1:20" ht="24" customHeight="1" x14ac:dyDescent="0.35">
      <c r="A21" s="21">
        <v>14</v>
      </c>
      <c r="B21" s="22">
        <v>45307</v>
      </c>
      <c r="C21" s="23" t="s">
        <v>1285</v>
      </c>
      <c r="D21" s="24" t="s">
        <v>1316</v>
      </c>
      <c r="E21" s="23" t="s">
        <v>61</v>
      </c>
      <c r="F21" s="25"/>
      <c r="G21" s="26">
        <v>273</v>
      </c>
      <c r="H21" s="26">
        <f t="shared" si="3"/>
        <v>5378100</v>
      </c>
      <c r="I21" s="25"/>
      <c r="J21" s="26">
        <v>3032000</v>
      </c>
      <c r="K21" s="27"/>
      <c r="L21" s="27"/>
      <c r="M21" s="26"/>
      <c r="N21" s="26"/>
      <c r="O21" s="26">
        <f t="shared" si="0"/>
        <v>8410100</v>
      </c>
      <c r="P21" s="26">
        <v>14500000</v>
      </c>
      <c r="Q21" s="26">
        <f t="shared" si="1"/>
        <v>6089900</v>
      </c>
      <c r="R21" s="46"/>
      <c r="S21" s="10"/>
      <c r="T21" s="10"/>
    </row>
    <row r="22" spans="1:20" ht="24" customHeight="1" x14ac:dyDescent="0.35">
      <c r="A22" s="21">
        <v>15</v>
      </c>
      <c r="B22" s="22">
        <v>45308</v>
      </c>
      <c r="C22" s="23" t="s">
        <v>1286</v>
      </c>
      <c r="D22" s="24" t="s">
        <v>1317</v>
      </c>
      <c r="E22" s="23" t="s">
        <v>1301</v>
      </c>
      <c r="F22" s="25"/>
      <c r="G22" s="26">
        <v>91</v>
      </c>
      <c r="H22" s="26">
        <f>G22*20190</f>
        <v>1837290</v>
      </c>
      <c r="I22" s="25"/>
      <c r="J22" s="26">
        <v>430000</v>
      </c>
      <c r="K22" s="27"/>
      <c r="L22" s="27"/>
      <c r="M22" s="26"/>
      <c r="N22" s="26"/>
      <c r="O22" s="26">
        <f t="shared" si="0"/>
        <v>2267290</v>
      </c>
      <c r="P22" s="26">
        <v>4500000</v>
      </c>
      <c r="Q22" s="26">
        <f t="shared" si="1"/>
        <v>2232710</v>
      </c>
      <c r="R22" s="46"/>
      <c r="S22" s="10"/>
      <c r="T22" s="10"/>
    </row>
    <row r="23" spans="1:20" ht="24" customHeight="1" x14ac:dyDescent="0.35">
      <c r="A23" s="21">
        <v>16</v>
      </c>
      <c r="B23" s="22">
        <v>45309</v>
      </c>
      <c r="C23" s="23" t="s">
        <v>1287</v>
      </c>
      <c r="D23" s="24" t="s">
        <v>1318</v>
      </c>
      <c r="E23" s="23" t="s">
        <v>61</v>
      </c>
      <c r="F23" s="25"/>
      <c r="G23" s="26">
        <v>273</v>
      </c>
      <c r="H23" s="26">
        <f t="shared" ref="H23:H27" si="4">G23*20190</f>
        <v>5511870</v>
      </c>
      <c r="I23" s="25"/>
      <c r="J23" s="26">
        <v>3032000</v>
      </c>
      <c r="K23" s="27"/>
      <c r="L23" s="27"/>
      <c r="M23" s="26"/>
      <c r="N23" s="26"/>
      <c r="O23" s="26">
        <f t="shared" si="0"/>
        <v>8543870</v>
      </c>
      <c r="P23" s="26">
        <v>14500000</v>
      </c>
      <c r="Q23" s="26">
        <f t="shared" si="1"/>
        <v>5956130</v>
      </c>
      <c r="R23" s="46"/>
      <c r="S23" s="10"/>
      <c r="T23" s="10"/>
    </row>
    <row r="24" spans="1:20" ht="24" customHeight="1" x14ac:dyDescent="0.35">
      <c r="A24" s="21">
        <v>17</v>
      </c>
      <c r="B24" s="22">
        <v>45310</v>
      </c>
      <c r="C24" s="23" t="s">
        <v>1288</v>
      </c>
      <c r="D24" s="24" t="s">
        <v>1319</v>
      </c>
      <c r="E24" s="23" t="s">
        <v>876</v>
      </c>
      <c r="F24" s="25"/>
      <c r="G24" s="26">
        <v>11</v>
      </c>
      <c r="H24" s="26">
        <f t="shared" si="4"/>
        <v>222090</v>
      </c>
      <c r="I24" s="25"/>
      <c r="J24" s="26">
        <v>300000</v>
      </c>
      <c r="K24" s="27"/>
      <c r="L24" s="27"/>
      <c r="M24" s="26"/>
      <c r="N24" s="26"/>
      <c r="O24" s="26">
        <f t="shared" si="0"/>
        <v>522090</v>
      </c>
      <c r="P24" s="26">
        <v>1500000</v>
      </c>
      <c r="Q24" s="26">
        <f t="shared" si="1"/>
        <v>977910</v>
      </c>
      <c r="R24" s="46"/>
      <c r="S24" s="10"/>
      <c r="T24" s="10"/>
    </row>
    <row r="25" spans="1:20" ht="24" customHeight="1" x14ac:dyDescent="0.35">
      <c r="A25" s="21">
        <v>18</v>
      </c>
      <c r="B25" s="22">
        <v>45313</v>
      </c>
      <c r="C25" s="23" t="s">
        <v>1289</v>
      </c>
      <c r="D25" s="24" t="s">
        <v>1320</v>
      </c>
      <c r="E25" s="23" t="s">
        <v>1302</v>
      </c>
      <c r="F25" s="25"/>
      <c r="G25" s="26">
        <v>82</v>
      </c>
      <c r="H25" s="26">
        <f t="shared" si="4"/>
        <v>1655580</v>
      </c>
      <c r="I25" s="25"/>
      <c r="J25" s="26">
        <v>430000</v>
      </c>
      <c r="K25" s="27"/>
      <c r="L25" s="27"/>
      <c r="M25" s="26"/>
      <c r="N25" s="26"/>
      <c r="O25" s="26">
        <f t="shared" si="0"/>
        <v>2085580</v>
      </c>
      <c r="P25" s="26">
        <v>4100000</v>
      </c>
      <c r="Q25" s="26">
        <f t="shared" si="1"/>
        <v>2014420</v>
      </c>
      <c r="R25" s="46"/>
      <c r="S25" s="10"/>
      <c r="T25" s="10"/>
    </row>
    <row r="26" spans="1:20" ht="24" customHeight="1" x14ac:dyDescent="0.35">
      <c r="A26" s="21">
        <v>19</v>
      </c>
      <c r="B26" s="22">
        <v>45313</v>
      </c>
      <c r="C26" s="23" t="s">
        <v>1290</v>
      </c>
      <c r="D26" s="24" t="s">
        <v>1321</v>
      </c>
      <c r="E26" s="23" t="s">
        <v>1303</v>
      </c>
      <c r="F26" s="25"/>
      <c r="G26" s="26">
        <v>271</v>
      </c>
      <c r="H26" s="26">
        <f t="shared" si="4"/>
        <v>5471490</v>
      </c>
      <c r="I26" s="25"/>
      <c r="J26" s="26">
        <v>1360000</v>
      </c>
      <c r="K26" s="27"/>
      <c r="L26" s="27"/>
      <c r="M26" s="26"/>
      <c r="N26" s="26"/>
      <c r="O26" s="26">
        <f t="shared" si="0"/>
        <v>6831490</v>
      </c>
      <c r="P26" s="26">
        <v>10800000</v>
      </c>
      <c r="Q26" s="26">
        <f t="shared" si="1"/>
        <v>3968510</v>
      </c>
      <c r="R26" s="46"/>
      <c r="S26" s="10"/>
      <c r="T26" s="10"/>
    </row>
    <row r="27" spans="1:20" ht="24" customHeight="1" x14ac:dyDescent="0.35">
      <c r="A27" s="21">
        <v>20</v>
      </c>
      <c r="B27" s="22">
        <v>45314</v>
      </c>
      <c r="C27" s="23" t="s">
        <v>1291</v>
      </c>
      <c r="D27" s="24" t="s">
        <v>1322</v>
      </c>
      <c r="E27" s="23" t="s">
        <v>1132</v>
      </c>
      <c r="F27" s="25"/>
      <c r="G27" s="26">
        <v>61</v>
      </c>
      <c r="H27" s="26">
        <f t="shared" si="4"/>
        <v>1231590</v>
      </c>
      <c r="I27" s="25"/>
      <c r="J27" s="26">
        <v>430000</v>
      </c>
      <c r="K27" s="27"/>
      <c r="L27" s="27"/>
      <c r="M27" s="26"/>
      <c r="N27" s="26"/>
      <c r="O27" s="26">
        <f>H27+J27+K27+L27+M27+N27</f>
        <v>1661590</v>
      </c>
      <c r="P27" s="26">
        <v>3090000</v>
      </c>
      <c r="Q27" s="26">
        <f t="shared" si="1"/>
        <v>1428410</v>
      </c>
      <c r="R27" s="46"/>
      <c r="S27" s="10"/>
      <c r="T27" s="10"/>
    </row>
    <row r="28" spans="1:20" ht="24" customHeight="1" x14ac:dyDescent="0.35">
      <c r="A28" s="21">
        <v>21</v>
      </c>
      <c r="B28" s="22">
        <v>45315</v>
      </c>
      <c r="C28" s="23" t="s">
        <v>1292</v>
      </c>
      <c r="D28" s="24" t="s">
        <v>1323</v>
      </c>
      <c r="E28" s="23" t="s">
        <v>651</v>
      </c>
      <c r="F28" s="25"/>
      <c r="G28" s="26">
        <v>147</v>
      </c>
      <c r="H28" s="26">
        <f>G28*20370</f>
        <v>2994390</v>
      </c>
      <c r="I28" s="25"/>
      <c r="J28" s="26">
        <v>1080000</v>
      </c>
      <c r="K28" s="27"/>
      <c r="L28" s="27"/>
      <c r="M28" s="26"/>
      <c r="N28" s="26"/>
      <c r="O28" s="26">
        <f t="shared" ref="O28:O33" si="5">H28+J28+K28+L28+M28+N28</f>
        <v>4074390</v>
      </c>
      <c r="P28" s="26">
        <v>6550000</v>
      </c>
      <c r="Q28" s="26">
        <f t="shared" si="1"/>
        <v>2475610</v>
      </c>
      <c r="R28" s="46"/>
      <c r="S28" s="10"/>
      <c r="T28" s="10"/>
    </row>
    <row r="29" spans="1:20" ht="24" customHeight="1" x14ac:dyDescent="0.35">
      <c r="A29" s="21">
        <v>22</v>
      </c>
      <c r="B29" s="22">
        <v>45316</v>
      </c>
      <c r="C29" s="23" t="s">
        <v>1293</v>
      </c>
      <c r="D29" s="24" t="s">
        <v>1324</v>
      </c>
      <c r="E29" s="23" t="s">
        <v>527</v>
      </c>
      <c r="F29" s="25"/>
      <c r="G29" s="26">
        <v>69</v>
      </c>
      <c r="H29" s="26">
        <f t="shared" ref="H29:H33" si="6">G29*20370</f>
        <v>1405530</v>
      </c>
      <c r="I29" s="25"/>
      <c r="J29" s="26">
        <v>990000</v>
      </c>
      <c r="K29" s="27"/>
      <c r="L29" s="27"/>
      <c r="M29" s="26"/>
      <c r="N29" s="26"/>
      <c r="O29" s="26">
        <f t="shared" si="5"/>
        <v>2395530</v>
      </c>
      <c r="P29" s="26">
        <v>4000000</v>
      </c>
      <c r="Q29" s="26">
        <f t="shared" si="1"/>
        <v>1604470</v>
      </c>
      <c r="R29" s="46"/>
      <c r="S29" s="10"/>
      <c r="T29" s="10"/>
    </row>
    <row r="30" spans="1:20" ht="24" customHeight="1" x14ac:dyDescent="0.35">
      <c r="A30" s="21">
        <v>23</v>
      </c>
      <c r="B30" s="22">
        <v>45317</v>
      </c>
      <c r="C30" s="23" t="s">
        <v>1294</v>
      </c>
      <c r="D30" s="24" t="s">
        <v>1325</v>
      </c>
      <c r="E30" s="23" t="s">
        <v>527</v>
      </c>
      <c r="F30" s="25"/>
      <c r="G30" s="26">
        <v>67</v>
      </c>
      <c r="H30" s="26">
        <f t="shared" si="6"/>
        <v>1364790</v>
      </c>
      <c r="I30" s="25"/>
      <c r="J30" s="26">
        <v>790000</v>
      </c>
      <c r="K30" s="27"/>
      <c r="L30" s="27"/>
      <c r="M30" s="26"/>
      <c r="N30" s="26"/>
      <c r="O30" s="26">
        <f t="shared" si="5"/>
        <v>2154790</v>
      </c>
      <c r="P30" s="26">
        <v>3700000</v>
      </c>
      <c r="Q30" s="26">
        <f t="shared" si="1"/>
        <v>1545210</v>
      </c>
      <c r="R30" s="46"/>
      <c r="S30" s="10"/>
      <c r="T30" s="10"/>
    </row>
    <row r="31" spans="1:20" ht="24" customHeight="1" x14ac:dyDescent="0.35">
      <c r="A31" s="21">
        <v>24</v>
      </c>
      <c r="B31" s="22">
        <v>45318</v>
      </c>
      <c r="C31" s="23" t="s">
        <v>1295</v>
      </c>
      <c r="D31" s="24" t="s">
        <v>1326</v>
      </c>
      <c r="E31" s="23" t="s">
        <v>227</v>
      </c>
      <c r="F31" s="25"/>
      <c r="G31" s="26">
        <v>180</v>
      </c>
      <c r="H31" s="26">
        <f t="shared" si="6"/>
        <v>3666600</v>
      </c>
      <c r="I31" s="25"/>
      <c r="J31" s="26">
        <v>1530000</v>
      </c>
      <c r="K31" s="27"/>
      <c r="L31" s="27"/>
      <c r="M31" s="26"/>
      <c r="N31" s="26"/>
      <c r="O31" s="26">
        <f t="shared" si="5"/>
        <v>5196600</v>
      </c>
      <c r="P31" s="26">
        <v>8296296</v>
      </c>
      <c r="Q31" s="26">
        <f t="shared" si="1"/>
        <v>3099696</v>
      </c>
      <c r="R31" s="46"/>
      <c r="S31" s="10"/>
      <c r="T31" s="10"/>
    </row>
    <row r="32" spans="1:20" ht="24" customHeight="1" x14ac:dyDescent="0.35">
      <c r="A32" s="21">
        <v>25</v>
      </c>
      <c r="B32" s="22">
        <v>45320</v>
      </c>
      <c r="C32" s="23" t="s">
        <v>1296</v>
      </c>
      <c r="D32" s="24" t="s">
        <v>1327</v>
      </c>
      <c r="E32" s="23" t="s">
        <v>61</v>
      </c>
      <c r="F32" s="25"/>
      <c r="G32" s="26">
        <v>273</v>
      </c>
      <c r="H32" s="26">
        <f t="shared" si="6"/>
        <v>5561010</v>
      </c>
      <c r="I32" s="25"/>
      <c r="J32" s="26">
        <v>3032000</v>
      </c>
      <c r="K32" s="27"/>
      <c r="L32" s="27"/>
      <c r="M32" s="26"/>
      <c r="N32" s="26"/>
      <c r="O32" s="26">
        <f t="shared" si="5"/>
        <v>8593010</v>
      </c>
      <c r="P32" s="26">
        <v>14500000</v>
      </c>
      <c r="Q32" s="26">
        <f t="shared" si="1"/>
        <v>5906990</v>
      </c>
      <c r="R32" s="46"/>
      <c r="S32" s="10"/>
      <c r="T32" s="10"/>
    </row>
    <row r="33" spans="1:20" ht="24" customHeight="1" x14ac:dyDescent="0.35">
      <c r="A33" s="21">
        <v>26</v>
      </c>
      <c r="B33" s="22">
        <v>45321</v>
      </c>
      <c r="C33" s="23" t="s">
        <v>1297</v>
      </c>
      <c r="D33" s="24" t="s">
        <v>1328</v>
      </c>
      <c r="E33" s="23" t="s">
        <v>1304</v>
      </c>
      <c r="F33" s="25"/>
      <c r="G33" s="26">
        <v>166</v>
      </c>
      <c r="H33" s="26">
        <f t="shared" si="6"/>
        <v>3381420</v>
      </c>
      <c r="I33" s="25"/>
      <c r="J33" s="26">
        <v>1080000</v>
      </c>
      <c r="K33" s="27"/>
      <c r="L33" s="27"/>
      <c r="M33" s="26"/>
      <c r="N33" s="26"/>
      <c r="O33" s="26">
        <f t="shared" si="5"/>
        <v>4461420</v>
      </c>
      <c r="P33" s="26">
        <v>7224074</v>
      </c>
      <c r="Q33" s="26">
        <f t="shared" si="1"/>
        <v>2762654</v>
      </c>
      <c r="R33" s="46"/>
      <c r="S33" s="10"/>
      <c r="T33" s="10"/>
    </row>
    <row r="34" spans="1:20" ht="24" customHeight="1" x14ac:dyDescent="0.35">
      <c r="A34" s="21"/>
      <c r="B34" s="22"/>
      <c r="C34" s="139" t="s">
        <v>44</v>
      </c>
      <c r="D34" s="140"/>
      <c r="E34" s="140"/>
      <c r="F34" s="141"/>
      <c r="G34" s="54"/>
      <c r="H34" s="53"/>
      <c r="I34" s="54"/>
      <c r="J34" s="53"/>
      <c r="K34" s="51">
        <v>1200000</v>
      </c>
      <c r="L34" s="51"/>
      <c r="M34" s="26"/>
      <c r="N34" s="26"/>
      <c r="O34" s="26">
        <f>K34+L34+M34+N34</f>
        <v>1200000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391</v>
      </c>
      <c r="D35" s="140"/>
      <c r="E35" s="140"/>
      <c r="F35" s="141"/>
      <c r="G35" s="51"/>
      <c r="H35" s="51"/>
      <c r="I35" s="52"/>
      <c r="J35" s="51"/>
      <c r="K35" s="51">
        <v>13016000</v>
      </c>
      <c r="L35" s="51"/>
      <c r="M35" s="53"/>
      <c r="N35" s="53"/>
      <c r="O35" s="26">
        <f t="shared" ref="O35:O46" si="7">K35+L35+M35+N35</f>
        <v>13016000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66" t="s">
        <v>1767</v>
      </c>
      <c r="D36" s="67"/>
      <c r="E36" s="67"/>
      <c r="F36" s="63"/>
      <c r="G36" s="51"/>
      <c r="H36" s="51"/>
      <c r="I36" s="52"/>
      <c r="J36" s="51"/>
      <c r="K36" s="51">
        <v>300000</v>
      </c>
      <c r="L36" s="51"/>
      <c r="M36" s="53"/>
      <c r="N36" s="53"/>
      <c r="O36" s="26">
        <f t="shared" si="7"/>
        <v>300000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1493</v>
      </c>
      <c r="D37" s="140"/>
      <c r="E37" s="140"/>
      <c r="F37" s="141"/>
      <c r="G37" s="51"/>
      <c r="H37" s="51"/>
      <c r="I37" s="52"/>
      <c r="J37" s="51"/>
      <c r="K37" s="51"/>
      <c r="L37" s="51">
        <v>150000</v>
      </c>
      <c r="M37" s="53"/>
      <c r="N37" s="53"/>
      <c r="O37" s="26">
        <f t="shared" si="7"/>
        <v>150000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1494</v>
      </c>
      <c r="D38" s="140"/>
      <c r="E38" s="140"/>
      <c r="F38" s="141"/>
      <c r="G38" s="51"/>
      <c r="H38" s="51"/>
      <c r="I38" s="52"/>
      <c r="J38" s="51"/>
      <c r="K38" s="51"/>
      <c r="L38" s="51">
        <v>150000</v>
      </c>
      <c r="M38" s="53"/>
      <c r="N38" s="53"/>
      <c r="O38" s="26">
        <f t="shared" si="7"/>
        <v>150000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1495</v>
      </c>
      <c r="D39" s="140"/>
      <c r="E39" s="140"/>
      <c r="F39" s="141"/>
      <c r="G39" s="51"/>
      <c r="H39" s="51"/>
      <c r="I39" s="52"/>
      <c r="J39" s="51"/>
      <c r="K39" s="51"/>
      <c r="L39" s="51">
        <v>756000</v>
      </c>
      <c r="M39" s="53"/>
      <c r="N39" s="53"/>
      <c r="O39" s="26">
        <f t="shared" si="7"/>
        <v>756000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1496</v>
      </c>
      <c r="D40" s="140"/>
      <c r="E40" s="140"/>
      <c r="F40" s="141"/>
      <c r="G40" s="51"/>
      <c r="H40" s="51"/>
      <c r="I40" s="52"/>
      <c r="J40" s="51"/>
      <c r="K40" s="51"/>
      <c r="L40" s="51">
        <v>500000</v>
      </c>
      <c r="M40" s="53"/>
      <c r="N40" s="53"/>
      <c r="O40" s="26">
        <f t="shared" si="7"/>
        <v>500000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1497</v>
      </c>
      <c r="D41" s="140"/>
      <c r="E41" s="140"/>
      <c r="F41" s="141"/>
      <c r="G41" s="51"/>
      <c r="H41" s="51"/>
      <c r="I41" s="52"/>
      <c r="J41" s="51"/>
      <c r="K41" s="51"/>
      <c r="L41" s="51">
        <v>150000</v>
      </c>
      <c r="M41" s="53"/>
      <c r="N41" s="53"/>
      <c r="O41" s="26">
        <f t="shared" si="7"/>
        <v>150000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1498</v>
      </c>
      <c r="D42" s="140"/>
      <c r="E42" s="140"/>
      <c r="F42" s="141"/>
      <c r="G42" s="51"/>
      <c r="H42" s="51"/>
      <c r="I42" s="52"/>
      <c r="J42" s="51"/>
      <c r="K42" s="51"/>
      <c r="L42" s="51">
        <v>600000</v>
      </c>
      <c r="M42" s="53"/>
      <c r="N42" s="53"/>
      <c r="O42" s="26">
        <f t="shared" si="7"/>
        <v>600000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8"/>
      <c r="C43" s="139" t="s">
        <v>1499</v>
      </c>
      <c r="D43" s="140"/>
      <c r="E43" s="140"/>
      <c r="F43" s="141"/>
      <c r="G43" s="51"/>
      <c r="H43" s="51"/>
      <c r="I43" s="52"/>
      <c r="J43" s="51"/>
      <c r="K43" s="51"/>
      <c r="L43" s="51"/>
      <c r="M43" s="53"/>
      <c r="N43" s="53">
        <f>13500000/4</f>
        <v>3375000</v>
      </c>
      <c r="O43" s="26">
        <f t="shared" si="7"/>
        <v>3375000</v>
      </c>
      <c r="P43" s="26"/>
      <c r="Q43" s="30"/>
      <c r="R43" s="46"/>
      <c r="S43" s="10"/>
      <c r="T43" s="10"/>
    </row>
    <row r="44" spans="1:20" ht="24" customHeight="1" x14ac:dyDescent="0.35">
      <c r="A44" s="25"/>
      <c r="B44" s="28"/>
      <c r="C44" s="139" t="s">
        <v>1539</v>
      </c>
      <c r="D44" s="140"/>
      <c r="E44" s="140"/>
      <c r="F44" s="141"/>
      <c r="G44" s="51"/>
      <c r="H44" s="51"/>
      <c r="I44" s="52"/>
      <c r="J44" s="51"/>
      <c r="K44" s="51"/>
      <c r="L44" s="51">
        <v>1150000</v>
      </c>
      <c r="M44" s="53"/>
      <c r="N44" s="53"/>
      <c r="O44" s="26">
        <f t="shared" si="7"/>
        <v>1150000</v>
      </c>
      <c r="P44" s="26"/>
      <c r="Q44" s="30"/>
      <c r="R44" s="46"/>
      <c r="S44" s="10"/>
      <c r="T44" s="10"/>
    </row>
    <row r="45" spans="1:20" ht="24" customHeight="1" x14ac:dyDescent="0.35">
      <c r="A45" s="25"/>
      <c r="B45" s="28"/>
      <c r="C45" s="139" t="s">
        <v>1542</v>
      </c>
      <c r="D45" s="140"/>
      <c r="E45" s="140"/>
      <c r="F45" s="141"/>
      <c r="G45" s="51"/>
      <c r="H45" s="51"/>
      <c r="I45" s="52"/>
      <c r="J45" s="51"/>
      <c r="K45" s="51"/>
      <c r="L45" s="51">
        <v>4900000</v>
      </c>
      <c r="M45" s="53"/>
      <c r="N45" s="53"/>
      <c r="O45" s="26">
        <f t="shared" si="7"/>
        <v>4900000</v>
      </c>
      <c r="P45" s="26"/>
      <c r="Q45" s="30"/>
      <c r="R45" s="46"/>
      <c r="S45" s="10"/>
      <c r="T45" s="10"/>
    </row>
    <row r="46" spans="1:20" ht="24" customHeight="1" x14ac:dyDescent="0.35">
      <c r="A46" s="25"/>
      <c r="B46" s="25"/>
      <c r="C46" s="139" t="s">
        <v>1760</v>
      </c>
      <c r="D46" s="140"/>
      <c r="E46" s="140"/>
      <c r="F46" s="141"/>
      <c r="G46" s="54"/>
      <c r="H46" s="53"/>
      <c r="I46" s="54"/>
      <c r="J46" s="53"/>
      <c r="K46" s="51">
        <v>8600000</v>
      </c>
      <c r="L46" s="53"/>
      <c r="M46" s="53"/>
      <c r="N46" s="53"/>
      <c r="O46" s="26">
        <f t="shared" si="7"/>
        <v>8600000</v>
      </c>
      <c r="P46" s="26"/>
      <c r="Q46" s="26"/>
      <c r="R46" s="48"/>
    </row>
    <row r="47" spans="1:20" ht="24" customHeight="1" x14ac:dyDescent="0.35">
      <c r="A47" s="136" t="s">
        <v>45</v>
      </c>
      <c r="B47" s="137"/>
      <c r="C47" s="137"/>
      <c r="D47" s="137"/>
      <c r="E47" s="137"/>
      <c r="F47" s="138"/>
      <c r="G47" s="33">
        <f>SUM(G8:G46)</f>
        <v>3836</v>
      </c>
      <c r="H47" s="34">
        <f t="shared" ref="H47:N47" si="8">SUM(H7:H46)</f>
        <v>76233030</v>
      </c>
      <c r="I47" s="34">
        <f t="shared" si="8"/>
        <v>0</v>
      </c>
      <c r="J47" s="34">
        <f t="shared" si="8"/>
        <v>33876000</v>
      </c>
      <c r="K47" s="34">
        <f t="shared" si="8"/>
        <v>23116000</v>
      </c>
      <c r="L47" s="34">
        <f t="shared" si="8"/>
        <v>8356000</v>
      </c>
      <c r="M47" s="34">
        <f t="shared" si="8"/>
        <v>0</v>
      </c>
      <c r="N47" s="34">
        <f t="shared" si="8"/>
        <v>3375000</v>
      </c>
      <c r="O47" s="34">
        <f>SUM(O8:O46)</f>
        <v>144956030</v>
      </c>
      <c r="P47" s="120">
        <f>SUM(P8:P46)</f>
        <v>190857667</v>
      </c>
      <c r="Q47" s="34">
        <f>P47-O47</f>
        <v>45901637</v>
      </c>
      <c r="R47" s="50"/>
    </row>
    <row r="48" spans="1:20" x14ac:dyDescent="0.35">
      <c r="O48" s="35"/>
      <c r="Q48" s="36"/>
    </row>
    <row r="49" spans="2:18" x14ac:dyDescent="0.35">
      <c r="O49" s="37"/>
      <c r="P49" s="38" t="s">
        <v>46</v>
      </c>
      <c r="Q49" s="39">
        <f>Q47</f>
        <v>45901637</v>
      </c>
    </row>
    <row r="50" spans="2:18" x14ac:dyDescent="0.35">
      <c r="O50" s="37"/>
      <c r="P50" s="38"/>
      <c r="Q50" s="39"/>
    </row>
    <row r="51" spans="2:18" x14ac:dyDescent="0.35">
      <c r="O51" s="37"/>
      <c r="P51" s="38"/>
      <c r="Q51" s="39"/>
    </row>
    <row r="52" spans="2:18" x14ac:dyDescent="0.35">
      <c r="P52" s="37"/>
      <c r="Q52" s="37"/>
      <c r="R52" s="50"/>
    </row>
    <row r="53" spans="2:18" x14ac:dyDescent="0.35">
      <c r="B53" s="8"/>
    </row>
    <row r="54" spans="2:18" x14ac:dyDescent="0.35">
      <c r="B54" s="8"/>
    </row>
    <row r="55" spans="2:18" x14ac:dyDescent="0.35">
      <c r="B55" s="8"/>
    </row>
    <row r="56" spans="2:18" x14ac:dyDescent="0.35">
      <c r="B56" s="8"/>
      <c r="H56" s="8"/>
      <c r="J56" s="8"/>
      <c r="K56" s="8"/>
      <c r="L56" s="8"/>
      <c r="M56" s="8"/>
      <c r="N56" s="8"/>
      <c r="O56" s="8"/>
      <c r="P56" s="8"/>
      <c r="Q56" s="8"/>
      <c r="R56" s="8"/>
    </row>
  </sheetData>
  <mergeCells count="32">
    <mergeCell ref="A47:F47"/>
    <mergeCell ref="C41:F41"/>
    <mergeCell ref="C42:F42"/>
    <mergeCell ref="C44:F44"/>
    <mergeCell ref="C45:F45"/>
    <mergeCell ref="C43:F43"/>
    <mergeCell ref="N5:N6"/>
    <mergeCell ref="C46:F46"/>
    <mergeCell ref="K5:K6"/>
    <mergeCell ref="L5:L6"/>
    <mergeCell ref="C40:F40"/>
    <mergeCell ref="C38:F38"/>
    <mergeCell ref="C39:F39"/>
    <mergeCell ref="C37:F37"/>
    <mergeCell ref="C34:F34"/>
    <mergeCell ref="C35:F35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A47A-F2D8-42AE-B973-86AF33D2DE7C}">
  <dimension ref="A1:T47"/>
  <sheetViews>
    <sheetView topLeftCell="F31" workbookViewId="0">
      <selection activeCell="P38" sqref="P38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1329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45322</v>
      </c>
      <c r="C8" s="97" t="s">
        <v>1330</v>
      </c>
      <c r="D8" s="98" t="s">
        <v>1352</v>
      </c>
      <c r="E8" s="97" t="s">
        <v>1342</v>
      </c>
      <c r="F8" s="99"/>
      <c r="G8" s="104">
        <v>90</v>
      </c>
      <c r="H8" s="104">
        <f>G8*20990</f>
        <v>1889100</v>
      </c>
      <c r="I8" s="99"/>
      <c r="J8" s="104">
        <v>1190000</v>
      </c>
      <c r="K8" s="103"/>
      <c r="L8" s="103"/>
      <c r="M8" s="104"/>
      <c r="N8" s="104"/>
      <c r="O8" s="104">
        <f>H8+J8+K8+L8+M8+N8</f>
        <v>3079100</v>
      </c>
      <c r="P8" s="104">
        <v>5400000</v>
      </c>
      <c r="Q8" s="104">
        <f>P8-O8</f>
        <v>2320900</v>
      </c>
      <c r="R8" s="46"/>
      <c r="S8" s="10"/>
      <c r="T8" s="10"/>
    </row>
    <row r="9" spans="1:20" ht="24" customHeight="1" x14ac:dyDescent="0.35">
      <c r="A9" s="21">
        <v>2</v>
      </c>
      <c r="B9" s="22">
        <v>45323</v>
      </c>
      <c r="C9" s="23" t="s">
        <v>1331</v>
      </c>
      <c r="D9" s="24" t="s">
        <v>1353</v>
      </c>
      <c r="E9" s="23" t="s">
        <v>244</v>
      </c>
      <c r="F9" s="25"/>
      <c r="G9" s="26">
        <v>89</v>
      </c>
      <c r="H9" s="26">
        <f t="shared" ref="H9:H10" si="0">G9*20990</f>
        <v>1868110</v>
      </c>
      <c r="I9" s="25"/>
      <c r="J9" s="26">
        <v>430000</v>
      </c>
      <c r="K9" s="27"/>
      <c r="L9" s="27"/>
      <c r="M9" s="26"/>
      <c r="N9" s="26"/>
      <c r="O9" s="26">
        <f t="shared" ref="O9:O24" si="1">H9+J9+K9+L9+M9+N9</f>
        <v>2298110</v>
      </c>
      <c r="P9" s="26">
        <v>4300000</v>
      </c>
      <c r="Q9" s="26">
        <f t="shared" ref="Q9:Q24" si="2">P9-O9</f>
        <v>2001890</v>
      </c>
      <c r="R9" s="46"/>
      <c r="S9" s="10"/>
      <c r="T9" s="10"/>
    </row>
    <row r="10" spans="1:20" ht="24" customHeight="1" x14ac:dyDescent="0.35">
      <c r="A10" s="21">
        <v>3</v>
      </c>
      <c r="B10" s="22">
        <v>45324</v>
      </c>
      <c r="C10" s="23" t="s">
        <v>663</v>
      </c>
      <c r="D10" s="24" t="s">
        <v>1354</v>
      </c>
      <c r="E10" s="23" t="s">
        <v>244</v>
      </c>
      <c r="F10" s="25"/>
      <c r="G10" s="26">
        <v>81</v>
      </c>
      <c r="H10" s="26">
        <f t="shared" si="0"/>
        <v>1700190</v>
      </c>
      <c r="I10" s="25"/>
      <c r="J10" s="26">
        <v>430000</v>
      </c>
      <c r="K10" s="27"/>
      <c r="L10" s="27"/>
      <c r="M10" s="26"/>
      <c r="N10" s="26"/>
      <c r="O10" s="26">
        <f t="shared" si="1"/>
        <v>2130190</v>
      </c>
      <c r="P10" s="26">
        <v>4300000</v>
      </c>
      <c r="Q10" s="26">
        <f t="shared" si="2"/>
        <v>2169810</v>
      </c>
      <c r="R10" s="46"/>
      <c r="S10" s="10"/>
      <c r="T10" s="10"/>
    </row>
    <row r="11" spans="1:20" ht="24" customHeight="1" x14ac:dyDescent="0.35">
      <c r="A11" s="21">
        <v>4</v>
      </c>
      <c r="B11" s="22">
        <v>45327</v>
      </c>
      <c r="C11" s="23" t="s">
        <v>1332</v>
      </c>
      <c r="D11" s="24" t="s">
        <v>1355</v>
      </c>
      <c r="E11" s="23" t="s">
        <v>1343</v>
      </c>
      <c r="F11" s="25"/>
      <c r="G11" s="26">
        <v>81</v>
      </c>
      <c r="H11" s="26">
        <f>G11*21360</f>
        <v>1730160</v>
      </c>
      <c r="I11" s="25"/>
      <c r="J11" s="26">
        <v>790000</v>
      </c>
      <c r="K11" s="27"/>
      <c r="L11" s="27"/>
      <c r="M11" s="26"/>
      <c r="N11" s="26"/>
      <c r="O11" s="26">
        <f t="shared" si="1"/>
        <v>2520160</v>
      </c>
      <c r="P11" s="26">
        <v>4100000</v>
      </c>
      <c r="Q11" s="26">
        <f t="shared" si="2"/>
        <v>1579840</v>
      </c>
      <c r="R11" s="46"/>
      <c r="S11" s="10"/>
      <c r="T11" s="10"/>
    </row>
    <row r="12" spans="1:20" ht="24" customHeight="1" x14ac:dyDescent="0.35">
      <c r="A12" s="21">
        <v>5</v>
      </c>
      <c r="B12" s="22">
        <v>45328</v>
      </c>
      <c r="C12" s="23" t="s">
        <v>664</v>
      </c>
      <c r="D12" s="24" t="s">
        <v>1356</v>
      </c>
      <c r="E12" s="23" t="s">
        <v>1022</v>
      </c>
      <c r="F12" s="25"/>
      <c r="G12" s="26">
        <v>160</v>
      </c>
      <c r="H12" s="26">
        <f t="shared" ref="H12:H16" si="3">G12*21360</f>
        <v>3417600</v>
      </c>
      <c r="I12" s="25"/>
      <c r="J12" s="26">
        <v>1070000</v>
      </c>
      <c r="K12" s="27"/>
      <c r="L12" s="27"/>
      <c r="M12" s="26"/>
      <c r="N12" s="26"/>
      <c r="O12" s="26">
        <f>H12+J12+K12+L12+M12+N12</f>
        <v>4487600</v>
      </c>
      <c r="P12" s="26">
        <v>6900000</v>
      </c>
      <c r="Q12" s="26">
        <f t="shared" si="2"/>
        <v>2412400</v>
      </c>
      <c r="R12" s="46"/>
      <c r="S12" s="10"/>
      <c r="T12" s="10"/>
    </row>
    <row r="13" spans="1:20" ht="24" customHeight="1" x14ac:dyDescent="0.35">
      <c r="A13" s="21">
        <v>6</v>
      </c>
      <c r="B13" s="22">
        <v>45337</v>
      </c>
      <c r="C13" s="23" t="s">
        <v>1333</v>
      </c>
      <c r="D13" s="24" t="s">
        <v>1357</v>
      </c>
      <c r="E13" s="23" t="s">
        <v>43</v>
      </c>
      <c r="F13" s="25"/>
      <c r="G13" s="26">
        <v>72</v>
      </c>
      <c r="H13" s="26">
        <f t="shared" si="3"/>
        <v>1537920</v>
      </c>
      <c r="I13" s="25"/>
      <c r="J13" s="26">
        <v>430000</v>
      </c>
      <c r="K13" s="27"/>
      <c r="L13" s="27"/>
      <c r="M13" s="26"/>
      <c r="N13" s="26"/>
      <c r="O13" s="26">
        <f>H13+J13+K13+L13+M13+N13</f>
        <v>1967920</v>
      </c>
      <c r="P13" s="26">
        <v>3710000</v>
      </c>
      <c r="Q13" s="26">
        <f t="shared" si="2"/>
        <v>1742080</v>
      </c>
      <c r="R13" s="46"/>
      <c r="S13" s="10"/>
      <c r="T13" s="10"/>
    </row>
    <row r="14" spans="1:20" ht="24" customHeight="1" x14ac:dyDescent="0.35">
      <c r="A14" s="21">
        <v>7</v>
      </c>
      <c r="B14" s="22">
        <v>45337</v>
      </c>
      <c r="C14" s="23" t="s">
        <v>671</v>
      </c>
      <c r="D14" s="24" t="s">
        <v>1358</v>
      </c>
      <c r="E14" s="23" t="s">
        <v>1344</v>
      </c>
      <c r="F14" s="25"/>
      <c r="G14" s="26">
        <v>45</v>
      </c>
      <c r="H14" s="26">
        <f t="shared" si="3"/>
        <v>961200</v>
      </c>
      <c r="I14" s="25"/>
      <c r="J14" s="26">
        <v>340000</v>
      </c>
      <c r="K14" s="27"/>
      <c r="L14" s="27"/>
      <c r="M14" s="26"/>
      <c r="N14" s="26"/>
      <c r="O14" s="26">
        <f t="shared" si="1"/>
        <v>1301200</v>
      </c>
      <c r="P14" s="26">
        <v>3029259</v>
      </c>
      <c r="Q14" s="26">
        <f t="shared" si="2"/>
        <v>1728059</v>
      </c>
      <c r="R14" s="46"/>
      <c r="S14" s="10"/>
      <c r="T14" s="10"/>
    </row>
    <row r="15" spans="1:20" ht="24" customHeight="1" x14ac:dyDescent="0.35">
      <c r="A15" s="21">
        <v>8</v>
      </c>
      <c r="B15" s="22">
        <v>45338</v>
      </c>
      <c r="C15" s="23" t="s">
        <v>672</v>
      </c>
      <c r="D15" s="24" t="s">
        <v>1359</v>
      </c>
      <c r="E15" s="23" t="s">
        <v>1345</v>
      </c>
      <c r="F15" s="25"/>
      <c r="G15" s="26">
        <v>83</v>
      </c>
      <c r="H15" s="26">
        <f t="shared" si="3"/>
        <v>1772880</v>
      </c>
      <c r="I15" s="25"/>
      <c r="J15" s="26">
        <v>790000</v>
      </c>
      <c r="K15" s="27"/>
      <c r="L15" s="27"/>
      <c r="M15" s="26"/>
      <c r="N15" s="26"/>
      <c r="O15" s="26">
        <f t="shared" si="1"/>
        <v>2562880</v>
      </c>
      <c r="P15" s="26">
        <v>4090000</v>
      </c>
      <c r="Q15" s="26">
        <f t="shared" si="2"/>
        <v>1527120</v>
      </c>
      <c r="R15" s="46"/>
      <c r="S15" s="10"/>
      <c r="T15" s="10"/>
    </row>
    <row r="16" spans="1:20" ht="24" customHeight="1" x14ac:dyDescent="0.35">
      <c r="A16" s="21">
        <v>9</v>
      </c>
      <c r="B16" s="22">
        <v>45341</v>
      </c>
      <c r="C16" s="23" t="s">
        <v>1334</v>
      </c>
      <c r="D16" s="24" t="s">
        <v>1360</v>
      </c>
      <c r="E16" s="23" t="s">
        <v>1346</v>
      </c>
      <c r="F16" s="25"/>
      <c r="G16" s="26">
        <v>65</v>
      </c>
      <c r="H16" s="26">
        <f t="shared" si="3"/>
        <v>1388400</v>
      </c>
      <c r="I16" s="25"/>
      <c r="J16" s="26">
        <v>430000</v>
      </c>
      <c r="K16" s="27"/>
      <c r="L16" s="27"/>
      <c r="M16" s="26"/>
      <c r="N16" s="26"/>
      <c r="O16" s="26">
        <f t="shared" si="1"/>
        <v>1818400</v>
      </c>
      <c r="P16" s="26">
        <v>3200000</v>
      </c>
      <c r="Q16" s="26">
        <f t="shared" si="2"/>
        <v>1381600</v>
      </c>
      <c r="R16" s="46"/>
      <c r="S16" s="10"/>
      <c r="T16" s="10"/>
    </row>
    <row r="17" spans="1:20" ht="24" customHeight="1" x14ac:dyDescent="0.35">
      <c r="A17" s="21">
        <v>10</v>
      </c>
      <c r="B17" s="22">
        <v>45342</v>
      </c>
      <c r="C17" s="23" t="s">
        <v>1335</v>
      </c>
      <c r="D17" s="24" t="s">
        <v>1361</v>
      </c>
      <c r="E17" s="23" t="s">
        <v>1347</v>
      </c>
      <c r="F17" s="25"/>
      <c r="G17" s="26">
        <v>74</v>
      </c>
      <c r="H17" s="26">
        <f>G17*20910</f>
        <v>1547340</v>
      </c>
      <c r="I17" s="25"/>
      <c r="J17" s="26">
        <v>530000</v>
      </c>
      <c r="K17" s="27"/>
      <c r="L17" s="27"/>
      <c r="M17" s="26"/>
      <c r="N17" s="26"/>
      <c r="O17" s="26">
        <f t="shared" si="1"/>
        <v>2077340</v>
      </c>
      <c r="P17" s="26">
        <v>3400000</v>
      </c>
      <c r="Q17" s="26">
        <f t="shared" si="2"/>
        <v>1322660</v>
      </c>
      <c r="R17" s="46"/>
      <c r="S17" s="10"/>
      <c r="T17" s="10"/>
    </row>
    <row r="18" spans="1:20" ht="24" customHeight="1" x14ac:dyDescent="0.35">
      <c r="A18" s="21">
        <v>11</v>
      </c>
      <c r="B18" s="22">
        <v>45344</v>
      </c>
      <c r="C18" s="23" t="s">
        <v>1336</v>
      </c>
      <c r="D18" s="24" t="s">
        <v>1362</v>
      </c>
      <c r="E18" s="23" t="s">
        <v>750</v>
      </c>
      <c r="F18" s="25"/>
      <c r="G18" s="26">
        <v>58</v>
      </c>
      <c r="H18" s="26">
        <f t="shared" ref="H18:H23" si="4">G18*20910</f>
        <v>1212780</v>
      </c>
      <c r="I18" s="25"/>
      <c r="J18" s="26">
        <v>430000</v>
      </c>
      <c r="K18" s="27"/>
      <c r="L18" s="27"/>
      <c r="M18" s="26"/>
      <c r="N18" s="26"/>
      <c r="O18" s="26">
        <f t="shared" si="1"/>
        <v>1642780</v>
      </c>
      <c r="P18" s="26">
        <v>3080000</v>
      </c>
      <c r="Q18" s="26">
        <f t="shared" si="2"/>
        <v>1437220</v>
      </c>
      <c r="R18" s="46"/>
      <c r="S18" s="10"/>
      <c r="T18" s="10"/>
    </row>
    <row r="19" spans="1:20" ht="24" customHeight="1" x14ac:dyDescent="0.35">
      <c r="A19" s="21">
        <v>12</v>
      </c>
      <c r="B19" s="22">
        <v>45344</v>
      </c>
      <c r="C19" s="23" t="s">
        <v>1337</v>
      </c>
      <c r="D19" s="24" t="s">
        <v>1363</v>
      </c>
      <c r="E19" s="23" t="s">
        <v>1348</v>
      </c>
      <c r="F19" s="25"/>
      <c r="G19" s="26">
        <v>110</v>
      </c>
      <c r="H19" s="26">
        <f t="shared" si="4"/>
        <v>2300100</v>
      </c>
      <c r="I19" s="25"/>
      <c r="J19" s="26">
        <v>1090000</v>
      </c>
      <c r="K19" s="27"/>
      <c r="L19" s="27"/>
      <c r="M19" s="26"/>
      <c r="N19" s="26"/>
      <c r="O19" s="26">
        <f t="shared" si="1"/>
        <v>3390100</v>
      </c>
      <c r="P19" s="26">
        <v>5700000</v>
      </c>
      <c r="Q19" s="26">
        <f t="shared" si="2"/>
        <v>2309900</v>
      </c>
      <c r="R19" s="46"/>
      <c r="S19" s="10"/>
      <c r="T19" s="10"/>
    </row>
    <row r="20" spans="1:20" ht="24" customHeight="1" x14ac:dyDescent="0.35">
      <c r="A20" s="21">
        <v>13</v>
      </c>
      <c r="B20" s="22">
        <v>45345</v>
      </c>
      <c r="C20" s="23" t="s">
        <v>1338</v>
      </c>
      <c r="D20" s="24" t="s">
        <v>1364</v>
      </c>
      <c r="E20" s="23" t="s">
        <v>1349</v>
      </c>
      <c r="F20" s="25"/>
      <c r="G20" s="26">
        <v>68</v>
      </c>
      <c r="H20" s="26">
        <f t="shared" si="4"/>
        <v>1421880</v>
      </c>
      <c r="I20" s="25"/>
      <c r="J20" s="26">
        <v>610000</v>
      </c>
      <c r="K20" s="27"/>
      <c r="L20" s="27"/>
      <c r="M20" s="26"/>
      <c r="N20" s="26"/>
      <c r="O20" s="26">
        <f t="shared" si="1"/>
        <v>2031880</v>
      </c>
      <c r="P20" s="26">
        <v>3900000</v>
      </c>
      <c r="Q20" s="26">
        <f t="shared" si="2"/>
        <v>1868120</v>
      </c>
      <c r="R20" s="46"/>
      <c r="S20" s="10"/>
      <c r="T20" s="10"/>
    </row>
    <row r="21" spans="1:20" ht="24" customHeight="1" x14ac:dyDescent="0.35">
      <c r="A21" s="21">
        <v>14</v>
      </c>
      <c r="B21" s="22">
        <v>45348</v>
      </c>
      <c r="C21" s="23" t="s">
        <v>1339</v>
      </c>
      <c r="D21" s="24" t="s">
        <v>1365</v>
      </c>
      <c r="E21" s="23" t="s">
        <v>1350</v>
      </c>
      <c r="F21" s="25"/>
      <c r="G21" s="26">
        <v>91</v>
      </c>
      <c r="H21" s="26">
        <f t="shared" si="4"/>
        <v>1902810</v>
      </c>
      <c r="I21" s="25"/>
      <c r="J21" s="26">
        <v>790000</v>
      </c>
      <c r="K21" s="27"/>
      <c r="L21" s="27"/>
      <c r="M21" s="26"/>
      <c r="N21" s="26"/>
      <c r="O21" s="26">
        <f t="shared" si="1"/>
        <v>2692810</v>
      </c>
      <c r="P21" s="26">
        <v>4570000</v>
      </c>
      <c r="Q21" s="26">
        <f t="shared" si="2"/>
        <v>1877190</v>
      </c>
      <c r="R21" s="46"/>
      <c r="S21" s="10"/>
      <c r="T21" s="10"/>
    </row>
    <row r="22" spans="1:20" ht="24" customHeight="1" x14ac:dyDescent="0.35">
      <c r="A22" s="21">
        <v>15</v>
      </c>
      <c r="B22" s="22">
        <v>45348</v>
      </c>
      <c r="C22" s="23" t="s">
        <v>1340</v>
      </c>
      <c r="D22" s="24" t="s">
        <v>1366</v>
      </c>
      <c r="E22" s="23" t="s">
        <v>457</v>
      </c>
      <c r="F22" s="25"/>
      <c r="G22" s="26">
        <v>80</v>
      </c>
      <c r="H22" s="26">
        <f t="shared" si="4"/>
        <v>1672800</v>
      </c>
      <c r="I22" s="25"/>
      <c r="J22" s="26">
        <v>430000</v>
      </c>
      <c r="K22" s="27"/>
      <c r="L22" s="27"/>
      <c r="M22" s="26"/>
      <c r="N22" s="26"/>
      <c r="O22" s="26">
        <f t="shared" si="1"/>
        <v>2102800</v>
      </c>
      <c r="P22" s="26">
        <v>4400000</v>
      </c>
      <c r="Q22" s="26">
        <f t="shared" si="2"/>
        <v>2297200</v>
      </c>
      <c r="R22" s="46"/>
      <c r="S22" s="10"/>
      <c r="T22" s="10"/>
    </row>
    <row r="23" spans="1:20" ht="24" customHeight="1" x14ac:dyDescent="0.35">
      <c r="A23" s="21">
        <v>16</v>
      </c>
      <c r="B23" s="22">
        <v>45349</v>
      </c>
      <c r="C23" s="23" t="s">
        <v>680</v>
      </c>
      <c r="D23" s="24" t="s">
        <v>1367</v>
      </c>
      <c r="E23" s="23" t="s">
        <v>1351</v>
      </c>
      <c r="F23" s="25"/>
      <c r="G23" s="26">
        <v>110</v>
      </c>
      <c r="H23" s="26">
        <f t="shared" si="4"/>
        <v>2300100</v>
      </c>
      <c r="I23" s="25"/>
      <c r="J23" s="26">
        <v>1290000</v>
      </c>
      <c r="K23" s="27"/>
      <c r="L23" s="27"/>
      <c r="M23" s="26"/>
      <c r="N23" s="26"/>
      <c r="O23" s="26">
        <f t="shared" si="1"/>
        <v>3590100</v>
      </c>
      <c r="P23" s="26">
        <v>3870000</v>
      </c>
      <c r="Q23" s="26">
        <f t="shared" si="2"/>
        <v>279900</v>
      </c>
      <c r="R23" s="46"/>
      <c r="S23" s="10"/>
      <c r="T23" s="10"/>
    </row>
    <row r="24" spans="1:20" ht="24" customHeight="1" x14ac:dyDescent="0.35">
      <c r="A24" s="21">
        <v>17</v>
      </c>
      <c r="B24" s="22">
        <v>45350</v>
      </c>
      <c r="C24" s="23" t="s">
        <v>1341</v>
      </c>
      <c r="D24" s="24" t="s">
        <v>1367</v>
      </c>
      <c r="E24" s="23" t="s">
        <v>1300</v>
      </c>
      <c r="F24" s="25"/>
      <c r="G24" s="26"/>
      <c r="H24" s="26"/>
      <c r="I24" s="25"/>
      <c r="J24" s="26"/>
      <c r="K24" s="27"/>
      <c r="L24" s="27"/>
      <c r="M24" s="26"/>
      <c r="N24" s="26"/>
      <c r="O24" s="26">
        <f t="shared" si="1"/>
        <v>0</v>
      </c>
      <c r="P24" s="26">
        <v>2800000</v>
      </c>
      <c r="Q24" s="26">
        <f t="shared" si="2"/>
        <v>2800000</v>
      </c>
      <c r="R24" s="46"/>
      <c r="S24" s="10"/>
      <c r="T24" s="10"/>
    </row>
    <row r="25" spans="1:20" ht="24" customHeight="1" x14ac:dyDescent="0.35">
      <c r="A25" s="21"/>
      <c r="B25" s="22"/>
      <c r="C25" s="139" t="s">
        <v>44</v>
      </c>
      <c r="D25" s="140"/>
      <c r="E25" s="140"/>
      <c r="F25" s="141"/>
      <c r="G25" s="54"/>
      <c r="H25" s="53"/>
      <c r="I25" s="54"/>
      <c r="J25" s="53"/>
      <c r="K25" s="51">
        <v>1200000</v>
      </c>
      <c r="L25" s="51"/>
      <c r="M25" s="26"/>
      <c r="N25" s="26"/>
      <c r="O25" s="26">
        <f>K25+L25+M25+N25</f>
        <v>1200000</v>
      </c>
      <c r="P25" s="26"/>
      <c r="Q25" s="30"/>
      <c r="R25" s="46"/>
      <c r="S25" s="10"/>
      <c r="T25" s="10"/>
    </row>
    <row r="26" spans="1:20" ht="24" customHeight="1" x14ac:dyDescent="0.35">
      <c r="A26" s="25"/>
      <c r="B26" s="28"/>
      <c r="C26" s="139" t="s">
        <v>391</v>
      </c>
      <c r="D26" s="140"/>
      <c r="E26" s="140"/>
      <c r="F26" s="141"/>
      <c r="G26" s="51"/>
      <c r="H26" s="51"/>
      <c r="I26" s="52"/>
      <c r="J26" s="51"/>
      <c r="K26" s="51">
        <v>8010647</v>
      </c>
      <c r="L26" s="51"/>
      <c r="M26" s="53"/>
      <c r="N26" s="53"/>
      <c r="O26" s="26">
        <f t="shared" ref="O26:O37" si="5">K26+L26+M26+N26</f>
        <v>8010647</v>
      </c>
      <c r="P26" s="26"/>
      <c r="Q26" s="30"/>
      <c r="R26" s="46"/>
      <c r="S26" s="10"/>
      <c r="T26" s="10"/>
    </row>
    <row r="27" spans="1:20" ht="24" customHeight="1" x14ac:dyDescent="0.35">
      <c r="A27" s="25"/>
      <c r="B27" s="28"/>
      <c r="C27" s="66" t="s">
        <v>1765</v>
      </c>
      <c r="D27" s="67"/>
      <c r="E27" s="67"/>
      <c r="F27" s="63"/>
      <c r="G27" s="51"/>
      <c r="H27" s="51"/>
      <c r="I27" s="52"/>
      <c r="J27" s="51"/>
      <c r="K27" s="51">
        <v>3000000</v>
      </c>
      <c r="L27" s="51"/>
      <c r="M27" s="53"/>
      <c r="N27" s="53"/>
      <c r="O27" s="26">
        <f t="shared" si="5"/>
        <v>3000000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66" t="s">
        <v>1766</v>
      </c>
      <c r="D28" s="67"/>
      <c r="E28" s="67"/>
      <c r="F28" s="63"/>
      <c r="G28" s="51"/>
      <c r="H28" s="51"/>
      <c r="I28" s="52"/>
      <c r="J28" s="51"/>
      <c r="K28" s="51">
        <v>200000</v>
      </c>
      <c r="L28" s="51"/>
      <c r="M28" s="53"/>
      <c r="N28" s="53"/>
      <c r="O28" s="26">
        <f t="shared" si="5"/>
        <v>200000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1500</v>
      </c>
      <c r="D29" s="140"/>
      <c r="E29" s="140"/>
      <c r="F29" s="141"/>
      <c r="G29" s="51"/>
      <c r="H29" s="51"/>
      <c r="I29" s="52"/>
      <c r="J29" s="51"/>
      <c r="K29" s="51"/>
      <c r="L29" s="51">
        <v>2500000</v>
      </c>
      <c r="M29" s="53"/>
      <c r="N29" s="53"/>
      <c r="O29" s="26">
        <f t="shared" si="5"/>
        <v>2500000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1501</v>
      </c>
      <c r="D30" s="140"/>
      <c r="E30" s="140"/>
      <c r="F30" s="141"/>
      <c r="G30" s="51"/>
      <c r="H30" s="51"/>
      <c r="I30" s="52"/>
      <c r="J30" s="51"/>
      <c r="K30" s="51"/>
      <c r="L30" s="51">
        <v>230000</v>
      </c>
      <c r="M30" s="53"/>
      <c r="N30" s="53"/>
      <c r="O30" s="26">
        <f t="shared" si="5"/>
        <v>230000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1502</v>
      </c>
      <c r="D31" s="140"/>
      <c r="E31" s="140"/>
      <c r="F31" s="141"/>
      <c r="G31" s="51"/>
      <c r="H31" s="51"/>
      <c r="I31" s="52"/>
      <c r="J31" s="51"/>
      <c r="K31" s="51"/>
      <c r="L31" s="51">
        <v>2600000</v>
      </c>
      <c r="M31" s="53"/>
      <c r="N31" s="53"/>
      <c r="O31" s="26">
        <f t="shared" si="5"/>
        <v>2600000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1503</v>
      </c>
      <c r="D32" s="140"/>
      <c r="E32" s="140"/>
      <c r="F32" s="141"/>
      <c r="G32" s="51"/>
      <c r="H32" s="51"/>
      <c r="I32" s="52"/>
      <c r="J32" s="51"/>
      <c r="K32" s="51"/>
      <c r="L32" s="51">
        <v>1056000</v>
      </c>
      <c r="M32" s="53"/>
      <c r="N32" s="53"/>
      <c r="O32" s="26">
        <f t="shared" si="5"/>
        <v>1056000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1504</v>
      </c>
      <c r="D33" s="140"/>
      <c r="E33" s="140"/>
      <c r="F33" s="141"/>
      <c r="G33" s="51"/>
      <c r="H33" s="51"/>
      <c r="I33" s="52"/>
      <c r="J33" s="51"/>
      <c r="K33" s="51"/>
      <c r="L33" s="51"/>
      <c r="M33" s="53">
        <v>11800000</v>
      </c>
      <c r="N33" s="53"/>
      <c r="O33" s="26">
        <f t="shared" si="5"/>
        <v>11800000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1505</v>
      </c>
      <c r="D34" s="140"/>
      <c r="E34" s="140"/>
      <c r="F34" s="141"/>
      <c r="G34" s="51"/>
      <c r="H34" s="51"/>
      <c r="I34" s="52"/>
      <c r="J34" s="51"/>
      <c r="K34" s="51"/>
      <c r="L34" s="51">
        <v>918000</v>
      </c>
      <c r="M34" s="53"/>
      <c r="N34" s="53"/>
      <c r="O34" s="26">
        <f t="shared" si="5"/>
        <v>918000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1540</v>
      </c>
      <c r="D35" s="140"/>
      <c r="E35" s="140"/>
      <c r="F35" s="141"/>
      <c r="G35" s="51"/>
      <c r="H35" s="51"/>
      <c r="I35" s="52"/>
      <c r="J35" s="51"/>
      <c r="K35" s="51"/>
      <c r="L35" s="51">
        <v>640000</v>
      </c>
      <c r="M35" s="53"/>
      <c r="N35" s="53"/>
      <c r="O35" s="26">
        <f t="shared" si="5"/>
        <v>640000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1541</v>
      </c>
      <c r="D36" s="140"/>
      <c r="E36" s="140"/>
      <c r="F36" s="141"/>
      <c r="G36" s="51"/>
      <c r="H36" s="51"/>
      <c r="I36" s="52"/>
      <c r="J36" s="51"/>
      <c r="K36" s="51"/>
      <c r="L36" s="51">
        <v>740000</v>
      </c>
      <c r="M36" s="53"/>
      <c r="N36" s="53"/>
      <c r="O36" s="26">
        <f t="shared" si="5"/>
        <v>740000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5"/>
      <c r="C37" s="139" t="s">
        <v>556</v>
      </c>
      <c r="D37" s="140"/>
      <c r="E37" s="140"/>
      <c r="F37" s="141"/>
      <c r="G37" s="54"/>
      <c r="H37" s="53"/>
      <c r="I37" s="54"/>
      <c r="J37" s="53"/>
      <c r="K37" s="51">
        <v>8000000</v>
      </c>
      <c r="L37" s="53"/>
      <c r="M37" s="53"/>
      <c r="N37" s="53"/>
      <c r="O37" s="26">
        <f t="shared" si="5"/>
        <v>8000000</v>
      </c>
      <c r="P37" s="26"/>
      <c r="Q37" s="26"/>
      <c r="R37" s="48"/>
    </row>
    <row r="38" spans="1:20" ht="24" customHeight="1" x14ac:dyDescent="0.35">
      <c r="A38" s="136" t="s">
        <v>45</v>
      </c>
      <c r="B38" s="137"/>
      <c r="C38" s="137"/>
      <c r="D38" s="137"/>
      <c r="E38" s="137"/>
      <c r="F38" s="138"/>
      <c r="G38" s="33">
        <f>SUM(G8:G37)</f>
        <v>1357</v>
      </c>
      <c r="H38" s="34">
        <f t="shared" ref="H38:N38" si="6">SUM(H7:H37)</f>
        <v>28623370</v>
      </c>
      <c r="I38" s="34">
        <f t="shared" si="6"/>
        <v>0</v>
      </c>
      <c r="J38" s="34">
        <f t="shared" si="6"/>
        <v>11070000</v>
      </c>
      <c r="K38" s="34">
        <f t="shared" si="6"/>
        <v>20410647</v>
      </c>
      <c r="L38" s="34">
        <f t="shared" si="6"/>
        <v>8684000</v>
      </c>
      <c r="M38" s="34">
        <f t="shared" si="6"/>
        <v>11800000</v>
      </c>
      <c r="N38" s="34">
        <f t="shared" si="6"/>
        <v>0</v>
      </c>
      <c r="O38" s="34">
        <f>SUM(O8:O37)</f>
        <v>80588017</v>
      </c>
      <c r="P38" s="34">
        <f>SUM(P8:P37)</f>
        <v>70749259</v>
      </c>
      <c r="Q38" s="34">
        <f>P38-O38</f>
        <v>-9838758</v>
      </c>
      <c r="R38" s="50"/>
    </row>
    <row r="39" spans="1:20" x14ac:dyDescent="0.35">
      <c r="O39" s="35"/>
      <c r="Q39" s="36"/>
    </row>
    <row r="40" spans="1:20" x14ac:dyDescent="0.35">
      <c r="O40" s="37"/>
      <c r="P40" s="38" t="s">
        <v>46</v>
      </c>
      <c r="Q40" s="39">
        <f>'01.2024'!Q47+'02.2024'!Q38</f>
        <v>36062879</v>
      </c>
    </row>
    <row r="41" spans="1:20" x14ac:dyDescent="0.35">
      <c r="O41" s="37"/>
      <c r="P41" s="38"/>
      <c r="Q41" s="39"/>
    </row>
    <row r="42" spans="1:20" x14ac:dyDescent="0.35">
      <c r="O42" s="37"/>
      <c r="P42" s="38"/>
      <c r="Q42" s="39"/>
    </row>
    <row r="43" spans="1:20" x14ac:dyDescent="0.35">
      <c r="P43" s="37"/>
      <c r="Q43" s="37"/>
      <c r="R43" s="50"/>
    </row>
    <row r="44" spans="1:20" x14ac:dyDescent="0.35">
      <c r="B44" s="8"/>
    </row>
    <row r="45" spans="1:20" x14ac:dyDescent="0.35">
      <c r="B45" s="8"/>
    </row>
    <row r="46" spans="1:20" x14ac:dyDescent="0.35">
      <c r="B46" s="8"/>
    </row>
    <row r="47" spans="1:20" x14ac:dyDescent="0.35">
      <c r="B47" s="8"/>
      <c r="H47" s="8"/>
      <c r="J47" s="8"/>
      <c r="K47" s="8"/>
      <c r="L47" s="8"/>
      <c r="M47" s="8"/>
      <c r="N47" s="8"/>
      <c r="O47" s="8"/>
      <c r="P47" s="8"/>
      <c r="Q47" s="8"/>
      <c r="R47" s="8"/>
    </row>
  </sheetData>
  <mergeCells count="31">
    <mergeCell ref="A38:F38"/>
    <mergeCell ref="C33:F33"/>
    <mergeCell ref="C34:F34"/>
    <mergeCell ref="C36:F36"/>
    <mergeCell ref="C35:F35"/>
    <mergeCell ref="N5:N6"/>
    <mergeCell ref="C37:F37"/>
    <mergeCell ref="K5:K6"/>
    <mergeCell ref="L5:L6"/>
    <mergeCell ref="C32:F32"/>
    <mergeCell ref="C30:F30"/>
    <mergeCell ref="C31:F31"/>
    <mergeCell ref="C29:F29"/>
    <mergeCell ref="C25:F25"/>
    <mergeCell ref="C26:F26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AC70-4FC7-4878-8181-48173E228631}">
  <dimension ref="A1:T52"/>
  <sheetViews>
    <sheetView topLeftCell="E40" workbookViewId="0">
      <selection activeCell="P43" sqref="P43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1368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45351</v>
      </c>
      <c r="C8" s="97" t="s">
        <v>1369</v>
      </c>
      <c r="D8" s="98" t="s">
        <v>1393</v>
      </c>
      <c r="E8" s="97" t="s">
        <v>431</v>
      </c>
      <c r="F8" s="99"/>
      <c r="G8" s="104">
        <v>110</v>
      </c>
      <c r="H8" s="104">
        <f>G8*20770</f>
        <v>2284700</v>
      </c>
      <c r="I8" s="99"/>
      <c r="J8" s="104">
        <v>790000</v>
      </c>
      <c r="K8" s="103"/>
      <c r="L8" s="103"/>
      <c r="M8" s="104"/>
      <c r="N8" s="104"/>
      <c r="O8" s="104">
        <f>H8+J8+K8+L8+M8+N8</f>
        <v>3074700</v>
      </c>
      <c r="P8" s="104">
        <v>5200000</v>
      </c>
      <c r="Q8" s="104">
        <f>P8-O8</f>
        <v>2125300</v>
      </c>
      <c r="R8" s="46"/>
      <c r="S8" s="10"/>
      <c r="T8" s="10"/>
    </row>
    <row r="9" spans="1:20" ht="24" customHeight="1" x14ac:dyDescent="0.35">
      <c r="A9" s="21">
        <v>2</v>
      </c>
      <c r="B9" s="22">
        <v>45352</v>
      </c>
      <c r="C9" s="23" t="s">
        <v>1370</v>
      </c>
      <c r="D9" s="24" t="s">
        <v>1394</v>
      </c>
      <c r="E9" s="23" t="s">
        <v>750</v>
      </c>
      <c r="F9" s="25"/>
      <c r="G9" s="26">
        <v>61</v>
      </c>
      <c r="H9" s="26">
        <f t="shared" ref="H9:H12" si="0">G9*20770</f>
        <v>1266970</v>
      </c>
      <c r="I9" s="25"/>
      <c r="J9" s="26">
        <v>430000</v>
      </c>
      <c r="K9" s="27"/>
      <c r="L9" s="27"/>
      <c r="M9" s="26"/>
      <c r="N9" s="26"/>
      <c r="O9" s="26">
        <f t="shared" ref="O9:O27" si="1">H9+J9+K9+L9+M9+N9</f>
        <v>1696970</v>
      </c>
      <c r="P9" s="26">
        <v>3080000</v>
      </c>
      <c r="Q9" s="26">
        <f t="shared" ref="Q9:Q27" si="2">P9-O9</f>
        <v>1383030</v>
      </c>
      <c r="R9" s="46"/>
      <c r="S9" s="10"/>
      <c r="T9" s="10"/>
    </row>
    <row r="10" spans="1:20" ht="24" customHeight="1" x14ac:dyDescent="0.35">
      <c r="A10" s="21">
        <v>3</v>
      </c>
      <c r="B10" s="22">
        <v>45355</v>
      </c>
      <c r="C10" s="23" t="s">
        <v>1371</v>
      </c>
      <c r="D10" s="24" t="s">
        <v>1395</v>
      </c>
      <c r="E10" s="23" t="s">
        <v>227</v>
      </c>
      <c r="F10" s="25"/>
      <c r="G10" s="26">
        <v>180</v>
      </c>
      <c r="H10" s="26">
        <f t="shared" si="0"/>
        <v>3738600</v>
      </c>
      <c r="I10" s="25"/>
      <c r="J10" s="26">
        <v>1530000</v>
      </c>
      <c r="K10" s="27"/>
      <c r="L10" s="27"/>
      <c r="M10" s="26"/>
      <c r="N10" s="26"/>
      <c r="O10" s="26">
        <f t="shared" si="1"/>
        <v>5268600</v>
      </c>
      <c r="P10" s="26">
        <v>8666667</v>
      </c>
      <c r="Q10" s="26">
        <f t="shared" si="2"/>
        <v>3398067</v>
      </c>
      <c r="R10" s="46"/>
      <c r="S10" s="10"/>
      <c r="T10" s="10"/>
    </row>
    <row r="11" spans="1:20" ht="24" customHeight="1" x14ac:dyDescent="0.35">
      <c r="A11" s="21">
        <v>4</v>
      </c>
      <c r="B11" s="22">
        <v>45355</v>
      </c>
      <c r="C11" s="23" t="s">
        <v>1372</v>
      </c>
      <c r="D11" s="24" t="s">
        <v>1396</v>
      </c>
      <c r="E11" s="23" t="s">
        <v>1162</v>
      </c>
      <c r="F11" s="25"/>
      <c r="G11" s="26">
        <v>88</v>
      </c>
      <c r="H11" s="26">
        <f t="shared" si="0"/>
        <v>1827760</v>
      </c>
      <c r="I11" s="25"/>
      <c r="J11" s="26">
        <v>790000</v>
      </c>
      <c r="K11" s="27"/>
      <c r="L11" s="27"/>
      <c r="M11" s="26"/>
      <c r="N11" s="26"/>
      <c r="O11" s="26">
        <f t="shared" si="1"/>
        <v>2617760</v>
      </c>
      <c r="P11" s="26">
        <v>4090000</v>
      </c>
      <c r="Q11" s="26">
        <f t="shared" si="2"/>
        <v>1472240</v>
      </c>
      <c r="R11" s="46"/>
      <c r="S11" s="10"/>
      <c r="T11" s="10"/>
    </row>
    <row r="12" spans="1:20" ht="24" customHeight="1" x14ac:dyDescent="0.35">
      <c r="A12" s="21">
        <v>5</v>
      </c>
      <c r="B12" s="22">
        <v>45356</v>
      </c>
      <c r="C12" s="23" t="s">
        <v>1373</v>
      </c>
      <c r="D12" s="24" t="s">
        <v>1397</v>
      </c>
      <c r="E12" s="23" t="s">
        <v>750</v>
      </c>
      <c r="F12" s="25"/>
      <c r="G12" s="26">
        <v>58</v>
      </c>
      <c r="H12" s="26">
        <f t="shared" si="0"/>
        <v>1204660</v>
      </c>
      <c r="I12" s="25"/>
      <c r="J12" s="26">
        <v>430000</v>
      </c>
      <c r="K12" s="27"/>
      <c r="L12" s="27"/>
      <c r="M12" s="26"/>
      <c r="N12" s="26"/>
      <c r="O12" s="26">
        <f>H12+J12+K12+L12+M12+N12</f>
        <v>1634660</v>
      </c>
      <c r="P12" s="26">
        <v>3080000</v>
      </c>
      <c r="Q12" s="26">
        <f t="shared" si="2"/>
        <v>1445340</v>
      </c>
      <c r="R12" s="46"/>
      <c r="S12" s="10"/>
      <c r="T12" s="10"/>
    </row>
    <row r="13" spans="1:20" ht="24" customHeight="1" x14ac:dyDescent="0.35">
      <c r="A13" s="21">
        <v>6</v>
      </c>
      <c r="B13" s="22">
        <v>45357</v>
      </c>
      <c r="C13" s="23" t="s">
        <v>725</v>
      </c>
      <c r="D13" s="24" t="s">
        <v>1398</v>
      </c>
      <c r="E13" s="23" t="s">
        <v>1385</v>
      </c>
      <c r="F13" s="25"/>
      <c r="G13" s="26">
        <v>72</v>
      </c>
      <c r="H13" s="26">
        <f>G13*20470</f>
        <v>1473840</v>
      </c>
      <c r="I13" s="25"/>
      <c r="J13" s="26">
        <v>630000</v>
      </c>
      <c r="K13" s="27"/>
      <c r="L13" s="27"/>
      <c r="M13" s="26"/>
      <c r="N13" s="26"/>
      <c r="O13" s="26">
        <f>H13+J13+K13+L13+M13+N13</f>
        <v>2103840</v>
      </c>
      <c r="P13" s="26">
        <v>3500000</v>
      </c>
      <c r="Q13" s="26">
        <f t="shared" si="2"/>
        <v>1396160</v>
      </c>
      <c r="R13" s="46"/>
      <c r="S13" s="10"/>
      <c r="T13" s="10"/>
    </row>
    <row r="14" spans="1:20" ht="24" customHeight="1" x14ac:dyDescent="0.35">
      <c r="A14" s="21">
        <v>7</v>
      </c>
      <c r="B14" s="22">
        <v>45358</v>
      </c>
      <c r="C14" s="23" t="s">
        <v>1374</v>
      </c>
      <c r="D14" s="24" t="s">
        <v>1399</v>
      </c>
      <c r="E14" s="23" t="s">
        <v>43</v>
      </c>
      <c r="F14" s="25"/>
      <c r="G14" s="26">
        <v>73</v>
      </c>
      <c r="H14" s="26">
        <f>G14*20470</f>
        <v>1494310</v>
      </c>
      <c r="I14" s="25"/>
      <c r="J14" s="26">
        <v>610000</v>
      </c>
      <c r="K14" s="27"/>
      <c r="L14" s="27"/>
      <c r="M14" s="26"/>
      <c r="N14" s="26"/>
      <c r="O14" s="26">
        <f t="shared" si="1"/>
        <v>2104310</v>
      </c>
      <c r="P14" s="26">
        <v>3710000</v>
      </c>
      <c r="Q14" s="26">
        <f t="shared" si="2"/>
        <v>1605690</v>
      </c>
      <c r="R14" s="46"/>
      <c r="S14" s="10"/>
      <c r="T14" s="10"/>
    </row>
    <row r="15" spans="1:20" ht="24" customHeight="1" x14ac:dyDescent="0.35">
      <c r="A15" s="21">
        <v>8</v>
      </c>
      <c r="B15" s="22">
        <v>45363</v>
      </c>
      <c r="C15" s="23" t="s">
        <v>1375</v>
      </c>
      <c r="D15" s="24" t="s">
        <v>1400</v>
      </c>
      <c r="E15" s="23" t="s">
        <v>750</v>
      </c>
      <c r="F15" s="25"/>
      <c r="G15" s="26">
        <v>58</v>
      </c>
      <c r="H15" s="26">
        <f>G15*20540</f>
        <v>1191320</v>
      </c>
      <c r="I15" s="25"/>
      <c r="J15" s="26">
        <v>1110000</v>
      </c>
      <c r="K15" s="27"/>
      <c r="L15" s="27"/>
      <c r="M15" s="26"/>
      <c r="N15" s="26"/>
      <c r="O15" s="26">
        <f t="shared" si="1"/>
        <v>2301320</v>
      </c>
      <c r="P15" s="26">
        <v>3080000</v>
      </c>
      <c r="Q15" s="26">
        <f t="shared" si="2"/>
        <v>778680</v>
      </c>
      <c r="R15" s="46"/>
      <c r="S15" s="10"/>
      <c r="T15" s="10"/>
    </row>
    <row r="16" spans="1:20" ht="24" customHeight="1" x14ac:dyDescent="0.35">
      <c r="A16" s="21">
        <v>9</v>
      </c>
      <c r="B16" s="22">
        <v>45364</v>
      </c>
      <c r="C16" s="23" t="s">
        <v>1376</v>
      </c>
      <c r="D16" s="24" t="s">
        <v>1401</v>
      </c>
      <c r="E16" s="23" t="s">
        <v>1386</v>
      </c>
      <c r="F16" s="25"/>
      <c r="G16" s="26">
        <v>61</v>
      </c>
      <c r="H16" s="26">
        <f t="shared" ref="H16:H20" si="3">G16*20540</f>
        <v>1252940</v>
      </c>
      <c r="I16" s="25"/>
      <c r="J16" s="26">
        <v>430000</v>
      </c>
      <c r="K16" s="27"/>
      <c r="L16" s="27"/>
      <c r="M16" s="26"/>
      <c r="N16" s="26"/>
      <c r="O16" s="26">
        <f t="shared" si="1"/>
        <v>1682940</v>
      </c>
      <c r="P16" s="26">
        <v>3330000</v>
      </c>
      <c r="Q16" s="26">
        <f t="shared" si="2"/>
        <v>1647060</v>
      </c>
      <c r="R16" s="46"/>
      <c r="S16" s="10"/>
      <c r="T16" s="10"/>
    </row>
    <row r="17" spans="1:20" ht="24" customHeight="1" x14ac:dyDescent="0.35">
      <c r="A17" s="21">
        <v>10</v>
      </c>
      <c r="B17" s="22">
        <v>45366</v>
      </c>
      <c r="C17" s="23" t="s">
        <v>1377</v>
      </c>
      <c r="D17" s="24" t="s">
        <v>1402</v>
      </c>
      <c r="E17" s="23" t="s">
        <v>1299</v>
      </c>
      <c r="F17" s="25"/>
      <c r="G17" s="26">
        <v>48</v>
      </c>
      <c r="H17" s="26">
        <f t="shared" si="3"/>
        <v>985920</v>
      </c>
      <c r="I17" s="25"/>
      <c r="J17" s="26">
        <v>430000</v>
      </c>
      <c r="K17" s="27"/>
      <c r="L17" s="27"/>
      <c r="M17" s="26"/>
      <c r="N17" s="26"/>
      <c r="O17" s="26">
        <f t="shared" si="1"/>
        <v>1415920</v>
      </c>
      <c r="P17" s="26">
        <v>2670000</v>
      </c>
      <c r="Q17" s="26">
        <f t="shared" si="2"/>
        <v>1254080</v>
      </c>
      <c r="R17" s="46"/>
      <c r="S17" s="10"/>
      <c r="T17" s="10"/>
    </row>
    <row r="18" spans="1:20" ht="24" customHeight="1" x14ac:dyDescent="0.35">
      <c r="A18" s="21">
        <v>11</v>
      </c>
      <c r="B18" s="22">
        <v>45369</v>
      </c>
      <c r="C18" s="23" t="s">
        <v>733</v>
      </c>
      <c r="D18" s="24" t="s">
        <v>1403</v>
      </c>
      <c r="E18" s="23" t="s">
        <v>1387</v>
      </c>
      <c r="F18" s="25"/>
      <c r="G18" s="26">
        <v>45</v>
      </c>
      <c r="H18" s="26">
        <f t="shared" si="3"/>
        <v>924300</v>
      </c>
      <c r="I18" s="25"/>
      <c r="J18" s="26">
        <v>340000</v>
      </c>
      <c r="K18" s="27"/>
      <c r="L18" s="27"/>
      <c r="M18" s="26"/>
      <c r="N18" s="26"/>
      <c r="O18" s="26">
        <f t="shared" si="1"/>
        <v>1264300</v>
      </c>
      <c r="P18" s="26">
        <v>2800000</v>
      </c>
      <c r="Q18" s="26">
        <f t="shared" si="2"/>
        <v>1535700</v>
      </c>
      <c r="R18" s="46"/>
      <c r="S18" s="10"/>
      <c r="T18" s="10"/>
    </row>
    <row r="19" spans="1:20" ht="24" customHeight="1" x14ac:dyDescent="0.35">
      <c r="A19" s="21">
        <v>12</v>
      </c>
      <c r="B19" s="22">
        <v>45369</v>
      </c>
      <c r="C19" s="23" t="s">
        <v>1378</v>
      </c>
      <c r="D19" s="24" t="s">
        <v>1404</v>
      </c>
      <c r="E19" s="23" t="s">
        <v>43</v>
      </c>
      <c r="F19" s="25"/>
      <c r="G19" s="26">
        <v>68</v>
      </c>
      <c r="H19" s="26">
        <f t="shared" si="3"/>
        <v>1396720</v>
      </c>
      <c r="I19" s="25"/>
      <c r="J19" s="26">
        <v>430000</v>
      </c>
      <c r="K19" s="27"/>
      <c r="L19" s="27"/>
      <c r="M19" s="26"/>
      <c r="N19" s="26"/>
      <c r="O19" s="26">
        <f t="shared" si="1"/>
        <v>1826720</v>
      </c>
      <c r="P19" s="26">
        <v>3710000</v>
      </c>
      <c r="Q19" s="26">
        <f t="shared" si="2"/>
        <v>1883280</v>
      </c>
      <c r="R19" s="46"/>
      <c r="S19" s="10"/>
      <c r="T19" s="10"/>
    </row>
    <row r="20" spans="1:20" ht="24" customHeight="1" x14ac:dyDescent="0.35">
      <c r="A20" s="21">
        <v>13</v>
      </c>
      <c r="B20" s="22">
        <v>45370</v>
      </c>
      <c r="C20" s="23" t="s">
        <v>734</v>
      </c>
      <c r="D20" s="24" t="s">
        <v>1405</v>
      </c>
      <c r="E20" s="23" t="s">
        <v>249</v>
      </c>
      <c r="F20" s="25"/>
      <c r="G20" s="26">
        <v>248</v>
      </c>
      <c r="H20" s="26">
        <f t="shared" si="3"/>
        <v>5093920</v>
      </c>
      <c r="I20" s="25"/>
      <c r="J20" s="26">
        <v>790000</v>
      </c>
      <c r="K20" s="27"/>
      <c r="L20" s="27"/>
      <c r="M20" s="26"/>
      <c r="N20" s="26"/>
      <c r="O20" s="26">
        <f t="shared" si="1"/>
        <v>5883920</v>
      </c>
      <c r="P20" s="26">
        <v>13181818</v>
      </c>
      <c r="Q20" s="26">
        <f t="shared" si="2"/>
        <v>7297898</v>
      </c>
      <c r="R20" s="46"/>
      <c r="S20" s="10"/>
      <c r="T20" s="10"/>
    </row>
    <row r="21" spans="1:20" ht="24" customHeight="1" x14ac:dyDescent="0.35">
      <c r="A21" s="21">
        <v>14</v>
      </c>
      <c r="B21" s="22">
        <v>45371</v>
      </c>
      <c r="C21" s="23" t="s">
        <v>1379</v>
      </c>
      <c r="D21" s="24" t="s">
        <v>1406</v>
      </c>
      <c r="E21" s="23" t="s">
        <v>43</v>
      </c>
      <c r="F21" s="25"/>
      <c r="G21" s="26">
        <v>73</v>
      </c>
      <c r="H21" s="26">
        <f>G21*21010</f>
        <v>1533730</v>
      </c>
      <c r="I21" s="25"/>
      <c r="J21" s="26">
        <v>2380000</v>
      </c>
      <c r="K21" s="27"/>
      <c r="L21" s="27"/>
      <c r="M21" s="26"/>
      <c r="N21" s="26"/>
      <c r="O21" s="26">
        <f t="shared" si="1"/>
        <v>3913730</v>
      </c>
      <c r="P21" s="26">
        <v>3710000</v>
      </c>
      <c r="Q21" s="26">
        <f t="shared" si="2"/>
        <v>-203730</v>
      </c>
      <c r="R21" s="46"/>
      <c r="S21" s="10"/>
      <c r="T21" s="10"/>
    </row>
    <row r="22" spans="1:20" ht="24" customHeight="1" x14ac:dyDescent="0.35">
      <c r="A22" s="21">
        <v>15</v>
      </c>
      <c r="B22" s="22">
        <v>45376</v>
      </c>
      <c r="C22" s="23" t="s">
        <v>1380</v>
      </c>
      <c r="D22" s="24" t="s">
        <v>1407</v>
      </c>
      <c r="E22" s="23" t="s">
        <v>1388</v>
      </c>
      <c r="F22" s="25"/>
      <c r="G22" s="26">
        <v>198</v>
      </c>
      <c r="H22" s="26">
        <f>G22*21010</f>
        <v>4159980</v>
      </c>
      <c r="I22" s="25"/>
      <c r="J22" s="26">
        <v>430000</v>
      </c>
      <c r="K22" s="27"/>
      <c r="L22" s="27"/>
      <c r="M22" s="26"/>
      <c r="N22" s="26"/>
      <c r="O22" s="26">
        <f t="shared" si="1"/>
        <v>4589980</v>
      </c>
      <c r="P22" s="26">
        <v>8300000</v>
      </c>
      <c r="Q22" s="26">
        <f t="shared" si="2"/>
        <v>3710020</v>
      </c>
      <c r="R22" s="46"/>
      <c r="S22" s="10"/>
      <c r="T22" s="10"/>
    </row>
    <row r="23" spans="1:20" ht="24" customHeight="1" x14ac:dyDescent="0.35">
      <c r="A23" s="21">
        <v>16</v>
      </c>
      <c r="B23" s="22">
        <v>45376</v>
      </c>
      <c r="C23" s="23" t="s">
        <v>1381</v>
      </c>
      <c r="D23" s="24" t="s">
        <v>1407</v>
      </c>
      <c r="E23" s="23" t="s">
        <v>1389</v>
      </c>
      <c r="F23" s="25"/>
      <c r="G23" s="26"/>
      <c r="H23" s="26"/>
      <c r="I23" s="25"/>
      <c r="J23" s="26">
        <v>1370000</v>
      </c>
      <c r="K23" s="27"/>
      <c r="L23" s="27"/>
      <c r="M23" s="26"/>
      <c r="N23" s="26"/>
      <c r="O23" s="26">
        <f t="shared" si="1"/>
        <v>1370000</v>
      </c>
      <c r="P23" s="26">
        <v>0</v>
      </c>
      <c r="Q23" s="26">
        <f t="shared" si="2"/>
        <v>-1370000</v>
      </c>
      <c r="R23" s="46"/>
      <c r="S23" s="10"/>
      <c r="T23" s="10"/>
    </row>
    <row r="24" spans="1:20" ht="24" customHeight="1" x14ac:dyDescent="0.35">
      <c r="A24" s="21">
        <v>17</v>
      </c>
      <c r="B24" s="22">
        <v>45377</v>
      </c>
      <c r="C24" s="23" t="s">
        <v>1382</v>
      </c>
      <c r="D24" s="24" t="s">
        <v>1408</v>
      </c>
      <c r="E24" s="23" t="s">
        <v>528</v>
      </c>
      <c r="F24" s="25"/>
      <c r="G24" s="26">
        <v>74</v>
      </c>
      <c r="H24" s="26">
        <f>G24*20690</f>
        <v>1531060</v>
      </c>
      <c r="I24" s="25"/>
      <c r="J24" s="26">
        <v>530000</v>
      </c>
      <c r="K24" s="27"/>
      <c r="L24" s="27"/>
      <c r="M24" s="26"/>
      <c r="N24" s="26"/>
      <c r="O24" s="26">
        <f t="shared" si="1"/>
        <v>2061060</v>
      </c>
      <c r="P24" s="26">
        <v>3400000</v>
      </c>
      <c r="Q24" s="26">
        <f t="shared" si="2"/>
        <v>1338940</v>
      </c>
      <c r="R24" s="46"/>
      <c r="S24" s="10"/>
      <c r="T24" s="10"/>
    </row>
    <row r="25" spans="1:20" ht="24" customHeight="1" x14ac:dyDescent="0.35">
      <c r="A25" s="21">
        <v>18</v>
      </c>
      <c r="B25" s="22">
        <v>45378</v>
      </c>
      <c r="C25" s="23" t="s">
        <v>55</v>
      </c>
      <c r="D25" s="24" t="s">
        <v>1409</v>
      </c>
      <c r="E25" s="23" t="s">
        <v>1390</v>
      </c>
      <c r="F25" s="25"/>
      <c r="G25" s="26">
        <v>91</v>
      </c>
      <c r="H25" s="26">
        <f t="shared" ref="H25:H27" si="4">G25*20690</f>
        <v>1882790</v>
      </c>
      <c r="I25" s="25"/>
      <c r="J25" s="26">
        <v>790000</v>
      </c>
      <c r="K25" s="27"/>
      <c r="L25" s="27"/>
      <c r="M25" s="26"/>
      <c r="N25" s="26"/>
      <c r="O25" s="26">
        <f t="shared" si="1"/>
        <v>2672790</v>
      </c>
      <c r="P25" s="26">
        <v>4200000</v>
      </c>
      <c r="Q25" s="26">
        <f t="shared" si="2"/>
        <v>1527210</v>
      </c>
      <c r="R25" s="46"/>
      <c r="S25" s="10"/>
      <c r="T25" s="10"/>
    </row>
    <row r="26" spans="1:20" ht="24" customHeight="1" x14ac:dyDescent="0.35">
      <c r="A26" s="21">
        <v>19</v>
      </c>
      <c r="B26" s="22">
        <v>45379</v>
      </c>
      <c r="C26" s="23" t="s">
        <v>1383</v>
      </c>
      <c r="D26" s="24" t="s">
        <v>1410</v>
      </c>
      <c r="E26" s="23" t="s">
        <v>1391</v>
      </c>
      <c r="F26" s="25"/>
      <c r="G26" s="26">
        <v>93</v>
      </c>
      <c r="H26" s="26">
        <f t="shared" si="4"/>
        <v>1924170</v>
      </c>
      <c r="I26" s="25"/>
      <c r="J26" s="26">
        <v>790000</v>
      </c>
      <c r="K26" s="27"/>
      <c r="L26" s="27"/>
      <c r="M26" s="26"/>
      <c r="N26" s="26"/>
      <c r="O26" s="26">
        <f t="shared" si="1"/>
        <v>2714170</v>
      </c>
      <c r="P26" s="26">
        <v>4300000</v>
      </c>
      <c r="Q26" s="26">
        <f t="shared" si="2"/>
        <v>1585830</v>
      </c>
      <c r="R26" s="46"/>
      <c r="S26" s="10"/>
      <c r="T26" s="10"/>
    </row>
    <row r="27" spans="1:20" ht="24" customHeight="1" x14ac:dyDescent="0.35">
      <c r="A27" s="21">
        <v>20</v>
      </c>
      <c r="B27" s="22">
        <v>45380</v>
      </c>
      <c r="C27" s="23" t="s">
        <v>1384</v>
      </c>
      <c r="D27" s="24" t="s">
        <v>1411</v>
      </c>
      <c r="E27" s="23" t="s">
        <v>1392</v>
      </c>
      <c r="F27" s="25"/>
      <c r="G27" s="26">
        <v>82</v>
      </c>
      <c r="H27" s="26">
        <f t="shared" si="4"/>
        <v>1696580</v>
      </c>
      <c r="I27" s="25"/>
      <c r="J27" s="26">
        <v>430000</v>
      </c>
      <c r="K27" s="27"/>
      <c r="L27" s="27"/>
      <c r="M27" s="26"/>
      <c r="N27" s="26"/>
      <c r="O27" s="26">
        <f t="shared" si="1"/>
        <v>2126580</v>
      </c>
      <c r="P27" s="26">
        <v>4200000</v>
      </c>
      <c r="Q27" s="26">
        <f t="shared" si="2"/>
        <v>2073420</v>
      </c>
      <c r="R27" s="46"/>
      <c r="S27" s="10"/>
      <c r="T27" s="10"/>
    </row>
    <row r="28" spans="1:20" ht="24" customHeight="1" x14ac:dyDescent="0.35">
      <c r="A28" s="21"/>
      <c r="B28" s="22"/>
      <c r="C28" s="139" t="s">
        <v>44</v>
      </c>
      <c r="D28" s="140"/>
      <c r="E28" s="140"/>
      <c r="F28" s="141"/>
      <c r="G28" s="54"/>
      <c r="H28" s="53"/>
      <c r="I28" s="54"/>
      <c r="J28" s="53"/>
      <c r="K28" s="51">
        <v>1200000</v>
      </c>
      <c r="L28" s="51"/>
      <c r="M28" s="26"/>
      <c r="N28" s="26"/>
      <c r="O28" s="26">
        <f>K28+L28+M28+N28</f>
        <v>1200000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391</v>
      </c>
      <c r="D29" s="140"/>
      <c r="E29" s="140"/>
      <c r="F29" s="141"/>
      <c r="G29" s="51"/>
      <c r="H29" s="51"/>
      <c r="I29" s="52"/>
      <c r="J29" s="51"/>
      <c r="K29" s="51">
        <v>8512720</v>
      </c>
      <c r="L29" s="51"/>
      <c r="M29" s="53"/>
      <c r="N29" s="53"/>
      <c r="O29" s="26">
        <f t="shared" ref="O29:O42" si="5">K29+L29+M29+N29</f>
        <v>8512720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1506</v>
      </c>
      <c r="D30" s="140"/>
      <c r="E30" s="140"/>
      <c r="F30" s="141"/>
      <c r="G30" s="51"/>
      <c r="H30" s="51"/>
      <c r="I30" s="52"/>
      <c r="J30" s="51"/>
      <c r="K30" s="51"/>
      <c r="L30" s="51">
        <v>200000</v>
      </c>
      <c r="M30" s="53"/>
      <c r="N30" s="53"/>
      <c r="O30" s="26">
        <f t="shared" si="5"/>
        <v>200000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1507</v>
      </c>
      <c r="D31" s="140"/>
      <c r="E31" s="140"/>
      <c r="F31" s="141"/>
      <c r="G31" s="51"/>
      <c r="H31" s="51"/>
      <c r="I31" s="52"/>
      <c r="J31" s="51"/>
      <c r="K31" s="51"/>
      <c r="L31" s="51">
        <v>160000</v>
      </c>
      <c r="M31" s="53"/>
      <c r="N31" s="53"/>
      <c r="O31" s="26">
        <f t="shared" si="5"/>
        <v>160000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1508</v>
      </c>
      <c r="D32" s="140"/>
      <c r="E32" s="140"/>
      <c r="F32" s="141"/>
      <c r="G32" s="51"/>
      <c r="H32" s="51"/>
      <c r="I32" s="52"/>
      <c r="J32" s="51"/>
      <c r="K32" s="51">
        <v>228100</v>
      </c>
      <c r="L32" s="51"/>
      <c r="M32" s="53"/>
      <c r="N32" s="53"/>
      <c r="O32" s="26">
        <f t="shared" si="5"/>
        <v>228100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1509</v>
      </c>
      <c r="D33" s="140"/>
      <c r="E33" s="140"/>
      <c r="F33" s="141"/>
      <c r="G33" s="51"/>
      <c r="H33" s="51"/>
      <c r="I33" s="52"/>
      <c r="J33" s="51"/>
      <c r="K33" s="51"/>
      <c r="L33" s="51">
        <v>4300000</v>
      </c>
      <c r="M33" s="53"/>
      <c r="N33" s="53"/>
      <c r="O33" s="26">
        <f t="shared" si="5"/>
        <v>4300000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1510</v>
      </c>
      <c r="D34" s="140"/>
      <c r="E34" s="140"/>
      <c r="F34" s="141"/>
      <c r="G34" s="51"/>
      <c r="H34" s="51"/>
      <c r="I34" s="52"/>
      <c r="J34" s="51"/>
      <c r="K34" s="51"/>
      <c r="L34" s="51">
        <v>120000</v>
      </c>
      <c r="M34" s="53"/>
      <c r="N34" s="53"/>
      <c r="O34" s="26">
        <f t="shared" si="5"/>
        <v>120000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1511</v>
      </c>
      <c r="D35" s="140"/>
      <c r="E35" s="140"/>
      <c r="F35" s="141"/>
      <c r="G35" s="51"/>
      <c r="H35" s="51"/>
      <c r="I35" s="52"/>
      <c r="J35" s="51"/>
      <c r="K35" s="51"/>
      <c r="L35" s="51">
        <v>180000</v>
      </c>
      <c r="M35" s="53"/>
      <c r="N35" s="53"/>
      <c r="O35" s="26">
        <f t="shared" si="5"/>
        <v>180000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1512</v>
      </c>
      <c r="D36" s="140"/>
      <c r="E36" s="140"/>
      <c r="F36" s="141"/>
      <c r="G36" s="51"/>
      <c r="H36" s="51"/>
      <c r="I36" s="52"/>
      <c r="J36" s="51"/>
      <c r="K36" s="51"/>
      <c r="L36" s="51">
        <v>180000</v>
      </c>
      <c r="M36" s="53"/>
      <c r="N36" s="53"/>
      <c r="O36" s="26">
        <f t="shared" si="5"/>
        <v>180000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1513</v>
      </c>
      <c r="D37" s="140"/>
      <c r="E37" s="140"/>
      <c r="F37" s="141"/>
      <c r="G37" s="51"/>
      <c r="H37" s="51"/>
      <c r="I37" s="52"/>
      <c r="J37" s="51"/>
      <c r="K37" s="51"/>
      <c r="L37" s="51">
        <v>33177600</v>
      </c>
      <c r="M37" s="53"/>
      <c r="N37" s="53"/>
      <c r="O37" s="26">
        <f t="shared" si="5"/>
        <v>33177600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1514</v>
      </c>
      <c r="D38" s="140"/>
      <c r="E38" s="140"/>
      <c r="F38" s="141"/>
      <c r="G38" s="51"/>
      <c r="H38" s="51"/>
      <c r="I38" s="52"/>
      <c r="J38" s="51"/>
      <c r="K38" s="51"/>
      <c r="L38" s="51">
        <f>6048000+10000000</f>
        <v>16048000</v>
      </c>
      <c r="M38" s="53"/>
      <c r="N38" s="53"/>
      <c r="O38" s="26">
        <f t="shared" si="5"/>
        <v>16048000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1517</v>
      </c>
      <c r="D39" s="140"/>
      <c r="E39" s="140"/>
      <c r="F39" s="141"/>
      <c r="G39" s="51"/>
      <c r="H39" s="51"/>
      <c r="I39" s="52"/>
      <c r="J39" s="51"/>
      <c r="K39" s="51"/>
      <c r="L39" s="51">
        <v>10105200</v>
      </c>
      <c r="M39" s="53"/>
      <c r="N39" s="53"/>
      <c r="O39" s="26">
        <f t="shared" si="5"/>
        <v>10105200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1533</v>
      </c>
      <c r="D40" s="140"/>
      <c r="E40" s="140"/>
      <c r="F40" s="141"/>
      <c r="G40" s="51"/>
      <c r="H40" s="51"/>
      <c r="I40" s="52"/>
      <c r="J40" s="51"/>
      <c r="K40" s="51"/>
      <c r="L40" s="51">
        <v>8180000</v>
      </c>
      <c r="M40" s="53"/>
      <c r="N40" s="53"/>
      <c r="O40" s="26">
        <f t="shared" si="5"/>
        <v>8180000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1753</v>
      </c>
      <c r="D41" s="140"/>
      <c r="E41" s="140"/>
      <c r="F41" s="141"/>
      <c r="G41" s="51"/>
      <c r="H41" s="51"/>
      <c r="I41" s="52"/>
      <c r="J41" s="51"/>
      <c r="K41" s="51"/>
      <c r="L41" s="51">
        <v>1000000</v>
      </c>
      <c r="M41" s="53"/>
      <c r="N41" s="53"/>
      <c r="O41" s="26">
        <f t="shared" si="5"/>
        <v>1000000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5"/>
      <c r="C42" s="139" t="s">
        <v>556</v>
      </c>
      <c r="D42" s="140"/>
      <c r="E42" s="140"/>
      <c r="F42" s="141"/>
      <c r="G42" s="54"/>
      <c r="H42" s="53"/>
      <c r="I42" s="54"/>
      <c r="J42" s="53"/>
      <c r="K42" s="51">
        <v>8000000</v>
      </c>
      <c r="L42" s="53"/>
      <c r="M42" s="53"/>
      <c r="N42" s="53"/>
      <c r="O42" s="26">
        <f t="shared" si="5"/>
        <v>8000000</v>
      </c>
      <c r="P42" s="26"/>
      <c r="Q42" s="26"/>
      <c r="R42" s="48"/>
    </row>
    <row r="43" spans="1:20" ht="24" customHeight="1" x14ac:dyDescent="0.35">
      <c r="A43" s="136" t="s">
        <v>45</v>
      </c>
      <c r="B43" s="137"/>
      <c r="C43" s="137"/>
      <c r="D43" s="137"/>
      <c r="E43" s="137"/>
      <c r="F43" s="138"/>
      <c r="G43" s="33">
        <f>SUM(G8:G42)</f>
        <v>1781</v>
      </c>
      <c r="H43" s="34">
        <f t="shared" ref="H43:N43" si="6">SUM(H7:H42)</f>
        <v>36864270</v>
      </c>
      <c r="I43" s="34">
        <f t="shared" si="6"/>
        <v>0</v>
      </c>
      <c r="J43" s="34">
        <f t="shared" si="6"/>
        <v>15460000</v>
      </c>
      <c r="K43" s="34">
        <f t="shared" si="6"/>
        <v>17940820</v>
      </c>
      <c r="L43" s="34">
        <f t="shared" si="6"/>
        <v>73650800</v>
      </c>
      <c r="M43" s="34">
        <f t="shared" si="6"/>
        <v>0</v>
      </c>
      <c r="N43" s="34">
        <f t="shared" si="6"/>
        <v>0</v>
      </c>
      <c r="O43" s="34">
        <f>SUM(O8:O42)</f>
        <v>143915890</v>
      </c>
      <c r="P43" s="34">
        <f>SUM(P8:P42)</f>
        <v>88208485</v>
      </c>
      <c r="Q43" s="34">
        <f>P43-O43</f>
        <v>-55707405</v>
      </c>
      <c r="R43" s="50"/>
    </row>
    <row r="44" spans="1:20" x14ac:dyDescent="0.35">
      <c r="O44" s="35"/>
      <c r="Q44" s="36"/>
    </row>
    <row r="45" spans="1:20" x14ac:dyDescent="0.35">
      <c r="O45" s="37"/>
      <c r="P45" s="38" t="s">
        <v>46</v>
      </c>
      <c r="Q45" s="39">
        <f>'02.2024'!Q40+'03.2024'!Q43</f>
        <v>-19644526</v>
      </c>
    </row>
    <row r="46" spans="1:20" x14ac:dyDescent="0.35">
      <c r="O46" s="37"/>
      <c r="P46" s="38"/>
      <c r="Q46" s="39"/>
    </row>
    <row r="47" spans="1:20" x14ac:dyDescent="0.35">
      <c r="O47" s="37"/>
      <c r="P47" s="38"/>
      <c r="Q47" s="39"/>
    </row>
    <row r="48" spans="1:20" x14ac:dyDescent="0.35">
      <c r="P48" s="37"/>
      <c r="Q48" s="37"/>
      <c r="R48" s="50"/>
    </row>
    <row r="49" spans="2:18" x14ac:dyDescent="0.35">
      <c r="B49" s="8"/>
    </row>
    <row r="50" spans="2:18" x14ac:dyDescent="0.35">
      <c r="B50" s="8"/>
    </row>
    <row r="51" spans="2:18" x14ac:dyDescent="0.35">
      <c r="B51" s="8"/>
    </row>
    <row r="52" spans="2:18" x14ac:dyDescent="0.35">
      <c r="B52" s="8"/>
      <c r="H52" s="8"/>
      <c r="J52" s="8"/>
      <c r="K52" s="8"/>
      <c r="L52" s="8"/>
      <c r="M52" s="8"/>
      <c r="N52" s="8"/>
      <c r="O52" s="8"/>
      <c r="P52" s="8"/>
      <c r="Q52" s="8"/>
      <c r="R52" s="8"/>
    </row>
  </sheetData>
  <mergeCells count="35">
    <mergeCell ref="A43:F43"/>
    <mergeCell ref="C40:F40"/>
    <mergeCell ref="C41:F41"/>
    <mergeCell ref="C34:F34"/>
    <mergeCell ref="C35:F35"/>
    <mergeCell ref="C37:F37"/>
    <mergeCell ref="C38:F38"/>
    <mergeCell ref="C39:F39"/>
    <mergeCell ref="C36:F36"/>
    <mergeCell ref="N5:N6"/>
    <mergeCell ref="C42:F42"/>
    <mergeCell ref="K5:K6"/>
    <mergeCell ref="L5:L6"/>
    <mergeCell ref="C33:F33"/>
    <mergeCell ref="C31:F31"/>
    <mergeCell ref="C32:F32"/>
    <mergeCell ref="C30:F30"/>
    <mergeCell ref="C28:F28"/>
    <mergeCell ref="C29:F29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1280-455B-496C-BD97-CE6C4AD6050C}">
  <dimension ref="A1:T38"/>
  <sheetViews>
    <sheetView topLeftCell="E21" workbookViewId="0">
      <selection activeCell="J24" sqref="J24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1412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45383</v>
      </c>
      <c r="C8" s="97" t="s">
        <v>1413</v>
      </c>
      <c r="D8" s="98" t="s">
        <v>1216</v>
      </c>
      <c r="E8" s="97" t="s">
        <v>1132</v>
      </c>
      <c r="F8" s="99"/>
      <c r="G8" s="104">
        <v>62</v>
      </c>
      <c r="H8" s="104">
        <f>G8*20690</f>
        <v>1282780</v>
      </c>
      <c r="I8" s="99"/>
      <c r="J8" s="104">
        <v>430000</v>
      </c>
      <c r="K8" s="103"/>
      <c r="L8" s="103"/>
      <c r="M8" s="104"/>
      <c r="N8" s="104"/>
      <c r="O8" s="104">
        <f>H8+J8+K8+L8+M8+N8</f>
        <v>1712780</v>
      </c>
      <c r="P8" s="104">
        <v>3090000</v>
      </c>
      <c r="Q8" s="104">
        <f>P8-O8</f>
        <v>1377220</v>
      </c>
      <c r="R8" s="46"/>
      <c r="S8" s="10"/>
      <c r="T8" s="10"/>
    </row>
    <row r="9" spans="1:20" ht="24" customHeight="1" x14ac:dyDescent="0.35">
      <c r="A9" s="21">
        <v>2</v>
      </c>
      <c r="B9" s="22">
        <v>45383</v>
      </c>
      <c r="C9" s="23" t="s">
        <v>1414</v>
      </c>
      <c r="D9" s="24" t="s">
        <v>1424</v>
      </c>
      <c r="E9" s="23" t="s">
        <v>372</v>
      </c>
      <c r="F9" s="25"/>
      <c r="G9" s="26">
        <v>381</v>
      </c>
      <c r="H9" s="26">
        <f>G9*20690</f>
        <v>7882890</v>
      </c>
      <c r="I9" s="25"/>
      <c r="J9" s="26">
        <v>3126000</v>
      </c>
      <c r="K9" s="27"/>
      <c r="L9" s="27"/>
      <c r="M9" s="26"/>
      <c r="N9" s="26"/>
      <c r="O9" s="26">
        <f t="shared" ref="O9:O20" si="0">H9+J9+K9+L9+M9+N9</f>
        <v>11008890</v>
      </c>
      <c r="P9" s="26">
        <v>20300000</v>
      </c>
      <c r="Q9" s="26">
        <f t="shared" ref="Q9:Q20" si="1">P9-O9</f>
        <v>9291110</v>
      </c>
      <c r="R9" s="46"/>
      <c r="S9" s="10"/>
      <c r="T9" s="10"/>
    </row>
    <row r="10" spans="1:20" ht="24" customHeight="1" x14ac:dyDescent="0.35">
      <c r="A10" s="21">
        <v>3</v>
      </c>
      <c r="B10" s="22">
        <v>45385</v>
      </c>
      <c r="C10" s="23" t="s">
        <v>1415</v>
      </c>
      <c r="D10" s="24" t="s">
        <v>1425</v>
      </c>
      <c r="E10" s="23" t="s">
        <v>1350</v>
      </c>
      <c r="F10" s="25"/>
      <c r="G10" s="26">
        <v>94</v>
      </c>
      <c r="H10" s="26">
        <f>G10*20980</f>
        <v>1972120</v>
      </c>
      <c r="I10" s="25"/>
      <c r="J10" s="26">
        <v>790000</v>
      </c>
      <c r="K10" s="27"/>
      <c r="L10" s="27"/>
      <c r="M10" s="26"/>
      <c r="N10" s="26"/>
      <c r="O10" s="26">
        <f t="shared" si="0"/>
        <v>2762120</v>
      </c>
      <c r="P10" s="26">
        <v>4570000</v>
      </c>
      <c r="Q10" s="26">
        <f t="shared" si="1"/>
        <v>1807880</v>
      </c>
      <c r="R10" s="46"/>
      <c r="S10" s="10"/>
      <c r="T10" s="10"/>
    </row>
    <row r="11" spans="1:20" ht="24" customHeight="1" x14ac:dyDescent="0.35">
      <c r="A11" s="21">
        <v>4</v>
      </c>
      <c r="B11" s="22">
        <v>45386</v>
      </c>
      <c r="C11" s="23" t="s">
        <v>81</v>
      </c>
      <c r="D11" s="24" t="s">
        <v>1426</v>
      </c>
      <c r="E11" s="23" t="s">
        <v>1434</v>
      </c>
      <c r="F11" s="25"/>
      <c r="G11" s="26">
        <v>73</v>
      </c>
      <c r="H11" s="26">
        <f t="shared" ref="H11:H13" si="2">G11*20980</f>
        <v>1531540</v>
      </c>
      <c r="I11" s="25"/>
      <c r="J11" s="26">
        <v>530000</v>
      </c>
      <c r="K11" s="27"/>
      <c r="L11" s="27"/>
      <c r="M11" s="26"/>
      <c r="N11" s="26"/>
      <c r="O11" s="26">
        <f t="shared" si="0"/>
        <v>2061540</v>
      </c>
      <c r="P11" s="26">
        <v>3500000</v>
      </c>
      <c r="Q11" s="26">
        <f t="shared" si="1"/>
        <v>1438460</v>
      </c>
      <c r="R11" s="46"/>
      <c r="S11" s="10"/>
      <c r="T11" s="10"/>
    </row>
    <row r="12" spans="1:20" ht="24" customHeight="1" x14ac:dyDescent="0.35">
      <c r="A12" s="21">
        <v>5</v>
      </c>
      <c r="B12" s="22">
        <v>45387</v>
      </c>
      <c r="C12" s="23" t="s">
        <v>82</v>
      </c>
      <c r="D12" s="24" t="s">
        <v>1427</v>
      </c>
      <c r="E12" s="23" t="s">
        <v>1299</v>
      </c>
      <c r="F12" s="25"/>
      <c r="G12" s="26">
        <v>43</v>
      </c>
      <c r="H12" s="26">
        <f t="shared" si="2"/>
        <v>902140</v>
      </c>
      <c r="I12" s="25"/>
      <c r="J12" s="26">
        <v>340000</v>
      </c>
      <c r="K12" s="27"/>
      <c r="L12" s="27"/>
      <c r="M12" s="26"/>
      <c r="N12" s="26"/>
      <c r="O12" s="26">
        <f>H12+J12+K12+L12+M12+N12</f>
        <v>1242140</v>
      </c>
      <c r="P12" s="26">
        <v>2670000</v>
      </c>
      <c r="Q12" s="26">
        <f t="shared" si="1"/>
        <v>1427860</v>
      </c>
      <c r="R12" s="46"/>
      <c r="S12" s="10"/>
      <c r="T12" s="10"/>
    </row>
    <row r="13" spans="1:20" ht="24" customHeight="1" x14ac:dyDescent="0.35">
      <c r="A13" s="21">
        <v>6</v>
      </c>
      <c r="B13" s="22">
        <v>45390</v>
      </c>
      <c r="C13" s="23" t="s">
        <v>1416</v>
      </c>
      <c r="D13" s="24" t="s">
        <v>1428</v>
      </c>
      <c r="E13" s="23" t="s">
        <v>1435</v>
      </c>
      <c r="F13" s="25"/>
      <c r="G13" s="26">
        <v>144</v>
      </c>
      <c r="H13" s="26">
        <f t="shared" si="2"/>
        <v>3021120</v>
      </c>
      <c r="I13" s="25"/>
      <c r="J13" s="26">
        <v>1040000</v>
      </c>
      <c r="K13" s="27"/>
      <c r="L13" s="27"/>
      <c r="M13" s="26"/>
      <c r="N13" s="26"/>
      <c r="O13" s="26">
        <f>H13+J13+K13+L13+M13+N13</f>
        <v>4061120</v>
      </c>
      <c r="P13" s="26">
        <v>7150000</v>
      </c>
      <c r="Q13" s="26">
        <f t="shared" si="1"/>
        <v>3088880</v>
      </c>
      <c r="R13" s="46"/>
      <c r="S13" s="10"/>
      <c r="T13" s="10"/>
    </row>
    <row r="14" spans="1:20" ht="24" customHeight="1" x14ac:dyDescent="0.35">
      <c r="A14" s="21">
        <v>7</v>
      </c>
      <c r="B14" s="22">
        <v>45391</v>
      </c>
      <c r="C14" s="23" t="s">
        <v>1417</v>
      </c>
      <c r="D14" s="24" t="s">
        <v>1429</v>
      </c>
      <c r="E14" s="23" t="s">
        <v>1299</v>
      </c>
      <c r="F14" s="25"/>
      <c r="G14" s="26">
        <v>43</v>
      </c>
      <c r="H14" s="26">
        <f>G14*21610</f>
        <v>929230</v>
      </c>
      <c r="I14" s="25"/>
      <c r="J14" s="26">
        <v>340000</v>
      </c>
      <c r="K14" s="27"/>
      <c r="L14" s="27"/>
      <c r="M14" s="26"/>
      <c r="N14" s="26"/>
      <c r="O14" s="26">
        <f t="shared" si="0"/>
        <v>1269230</v>
      </c>
      <c r="P14" s="26">
        <v>2670000</v>
      </c>
      <c r="Q14" s="26">
        <f t="shared" si="1"/>
        <v>1400770</v>
      </c>
      <c r="R14" s="46"/>
      <c r="S14" s="10"/>
      <c r="T14" s="10"/>
    </row>
    <row r="15" spans="1:20" ht="24" customHeight="1" x14ac:dyDescent="0.35">
      <c r="A15" s="21">
        <v>8</v>
      </c>
      <c r="B15" s="22">
        <v>45392</v>
      </c>
      <c r="C15" s="23" t="s">
        <v>1418</v>
      </c>
      <c r="D15" s="24" t="s">
        <v>1430</v>
      </c>
      <c r="E15" s="23" t="s">
        <v>43</v>
      </c>
      <c r="F15" s="25"/>
      <c r="G15" s="26">
        <v>70</v>
      </c>
      <c r="H15" s="26">
        <f t="shared" ref="H15:H18" si="3">G15*21610</f>
        <v>1512700</v>
      </c>
      <c r="I15" s="25"/>
      <c r="J15" s="26">
        <v>790000</v>
      </c>
      <c r="K15" s="27"/>
      <c r="L15" s="27"/>
      <c r="M15" s="26"/>
      <c r="N15" s="26"/>
      <c r="O15" s="26">
        <f t="shared" si="0"/>
        <v>2302700</v>
      </c>
      <c r="P15" s="26">
        <v>3710000</v>
      </c>
      <c r="Q15" s="26">
        <f t="shared" si="1"/>
        <v>1407300</v>
      </c>
      <c r="R15" s="46"/>
      <c r="S15" s="10"/>
      <c r="T15" s="10"/>
    </row>
    <row r="16" spans="1:20" ht="24" customHeight="1" x14ac:dyDescent="0.35">
      <c r="A16" s="21">
        <v>9</v>
      </c>
      <c r="B16" s="22">
        <v>45394</v>
      </c>
      <c r="C16" s="23" t="s">
        <v>1419</v>
      </c>
      <c r="D16" s="24" t="s">
        <v>1431</v>
      </c>
      <c r="E16" s="23" t="s">
        <v>431</v>
      </c>
      <c r="F16" s="25"/>
      <c r="G16" s="26">
        <v>123</v>
      </c>
      <c r="H16" s="26">
        <f t="shared" si="3"/>
        <v>2658030</v>
      </c>
      <c r="I16" s="25"/>
      <c r="J16" s="26">
        <v>790000</v>
      </c>
      <c r="K16" s="27"/>
      <c r="L16" s="27"/>
      <c r="M16" s="26"/>
      <c r="N16" s="26"/>
      <c r="O16" s="26">
        <f t="shared" si="0"/>
        <v>3448030</v>
      </c>
      <c r="P16" s="26">
        <v>5570370</v>
      </c>
      <c r="Q16" s="26">
        <f t="shared" si="1"/>
        <v>2122340</v>
      </c>
      <c r="R16" s="46"/>
      <c r="S16" s="10"/>
      <c r="T16" s="10"/>
    </row>
    <row r="17" spans="1:20" ht="24" customHeight="1" x14ac:dyDescent="0.35">
      <c r="A17" s="21">
        <v>10</v>
      </c>
      <c r="B17" s="22">
        <v>45394</v>
      </c>
      <c r="C17" s="23" t="s">
        <v>1420</v>
      </c>
      <c r="D17" s="24" t="s">
        <v>265</v>
      </c>
      <c r="E17" s="23" t="s">
        <v>1436</v>
      </c>
      <c r="F17" s="25"/>
      <c r="G17" s="26">
        <v>58</v>
      </c>
      <c r="H17" s="26">
        <f t="shared" si="3"/>
        <v>1253380</v>
      </c>
      <c r="I17" s="25"/>
      <c r="J17" s="26">
        <v>430000</v>
      </c>
      <c r="K17" s="27"/>
      <c r="L17" s="27"/>
      <c r="M17" s="26"/>
      <c r="N17" s="26"/>
      <c r="O17" s="26">
        <f t="shared" si="0"/>
        <v>1683380</v>
      </c>
      <c r="P17" s="26">
        <v>3820000</v>
      </c>
      <c r="Q17" s="26">
        <f t="shared" si="1"/>
        <v>2136620</v>
      </c>
      <c r="R17" s="46"/>
      <c r="S17" s="10"/>
      <c r="T17" s="10"/>
    </row>
    <row r="18" spans="1:20" ht="24" customHeight="1" x14ac:dyDescent="0.35">
      <c r="A18" s="21">
        <v>11</v>
      </c>
      <c r="B18" s="22">
        <v>45396</v>
      </c>
      <c r="C18" s="23" t="s">
        <v>1421</v>
      </c>
      <c r="D18" s="24" t="s">
        <v>590</v>
      </c>
      <c r="E18" s="23" t="s">
        <v>1299</v>
      </c>
      <c r="F18" s="25"/>
      <c r="G18" s="26">
        <v>43</v>
      </c>
      <c r="H18" s="26">
        <f t="shared" si="3"/>
        <v>929230</v>
      </c>
      <c r="I18" s="25"/>
      <c r="J18" s="26">
        <v>340000</v>
      </c>
      <c r="K18" s="27"/>
      <c r="L18" s="27"/>
      <c r="M18" s="26"/>
      <c r="N18" s="26"/>
      <c r="O18" s="26">
        <f t="shared" si="0"/>
        <v>1269230</v>
      </c>
      <c r="P18" s="26">
        <v>2670000</v>
      </c>
      <c r="Q18" s="26">
        <f t="shared" si="1"/>
        <v>1400770</v>
      </c>
      <c r="R18" s="46"/>
      <c r="S18" s="10"/>
      <c r="T18" s="10"/>
    </row>
    <row r="19" spans="1:20" ht="24" customHeight="1" x14ac:dyDescent="0.35">
      <c r="A19" s="21">
        <v>12</v>
      </c>
      <c r="B19" s="22">
        <v>45406</v>
      </c>
      <c r="C19" s="23" t="s">
        <v>1422</v>
      </c>
      <c r="D19" s="24" t="s">
        <v>1432</v>
      </c>
      <c r="E19" s="23" t="s">
        <v>1127</v>
      </c>
      <c r="F19" s="25"/>
      <c r="G19" s="26">
        <v>368</v>
      </c>
      <c r="H19" s="26">
        <f>G19*20710</f>
        <v>7621280</v>
      </c>
      <c r="I19" s="25"/>
      <c r="J19" s="26">
        <v>3482000</v>
      </c>
      <c r="K19" s="27"/>
      <c r="L19" s="27"/>
      <c r="M19" s="26"/>
      <c r="N19" s="26"/>
      <c r="O19" s="26">
        <f t="shared" si="0"/>
        <v>11103280</v>
      </c>
      <c r="P19" s="26">
        <v>20300000</v>
      </c>
      <c r="Q19" s="26">
        <f t="shared" si="1"/>
        <v>9196720</v>
      </c>
      <c r="R19" s="46"/>
      <c r="S19" s="10"/>
      <c r="T19" s="10"/>
    </row>
    <row r="20" spans="1:20" ht="24" customHeight="1" x14ac:dyDescent="0.35">
      <c r="A20" s="21">
        <v>13</v>
      </c>
      <c r="B20" s="22">
        <v>45409</v>
      </c>
      <c r="C20" s="23" t="s">
        <v>1423</v>
      </c>
      <c r="D20" s="24" t="s">
        <v>1433</v>
      </c>
      <c r="E20" s="23" t="s">
        <v>1437</v>
      </c>
      <c r="F20" s="25"/>
      <c r="G20" s="26">
        <v>153</v>
      </c>
      <c r="H20" s="26">
        <f>G20*20710</f>
        <v>3168630</v>
      </c>
      <c r="I20" s="25"/>
      <c r="J20" s="26">
        <v>1080000</v>
      </c>
      <c r="K20" s="27"/>
      <c r="L20" s="27"/>
      <c r="M20" s="26"/>
      <c r="N20" s="26"/>
      <c r="O20" s="26">
        <f t="shared" si="0"/>
        <v>4248630</v>
      </c>
      <c r="P20" s="26">
        <v>7150000</v>
      </c>
      <c r="Q20" s="26">
        <f t="shared" si="1"/>
        <v>2901370</v>
      </c>
      <c r="R20" s="46"/>
      <c r="S20" s="10"/>
      <c r="T20" s="10"/>
    </row>
    <row r="21" spans="1:20" ht="24" customHeight="1" x14ac:dyDescent="0.35">
      <c r="A21" s="21"/>
      <c r="B21" s="22"/>
      <c r="C21" s="139" t="s">
        <v>44</v>
      </c>
      <c r="D21" s="140"/>
      <c r="E21" s="140"/>
      <c r="F21" s="141"/>
      <c r="G21" s="54"/>
      <c r="H21" s="53"/>
      <c r="I21" s="54"/>
      <c r="J21" s="53"/>
      <c r="K21" s="51">
        <v>1200000</v>
      </c>
      <c r="L21" s="51"/>
      <c r="M21" s="26"/>
      <c r="N21" s="26"/>
      <c r="O21" s="26">
        <f>K21+L21+M21+N21</f>
        <v>1200000</v>
      </c>
      <c r="P21" s="26"/>
      <c r="Q21" s="30"/>
      <c r="R21" s="46"/>
      <c r="S21" s="10"/>
      <c r="T21" s="10"/>
    </row>
    <row r="22" spans="1:20" ht="24" customHeight="1" x14ac:dyDescent="0.35">
      <c r="A22" s="25"/>
      <c r="B22" s="28"/>
      <c r="C22" s="139" t="s">
        <v>391</v>
      </c>
      <c r="D22" s="140"/>
      <c r="E22" s="140"/>
      <c r="F22" s="141"/>
      <c r="G22" s="51"/>
      <c r="H22" s="51"/>
      <c r="I22" s="52"/>
      <c r="J22" s="51"/>
      <c r="K22" s="51">
        <v>8791280</v>
      </c>
      <c r="L22" s="51"/>
      <c r="M22" s="53"/>
      <c r="N22" s="53"/>
      <c r="O22" s="26">
        <f t="shared" ref="O22:O28" si="4">K22+L22+M22+N22</f>
        <v>8791280</v>
      </c>
      <c r="P22" s="26"/>
      <c r="Q22" s="30"/>
      <c r="R22" s="46"/>
      <c r="S22" s="10"/>
      <c r="T22" s="10"/>
    </row>
    <row r="23" spans="1:20" ht="24" customHeight="1" x14ac:dyDescent="0.35">
      <c r="A23" s="25"/>
      <c r="B23" s="28"/>
      <c r="C23" s="139" t="s">
        <v>1515</v>
      </c>
      <c r="D23" s="140"/>
      <c r="E23" s="140"/>
      <c r="F23" s="141"/>
      <c r="G23" s="51"/>
      <c r="H23" s="51"/>
      <c r="I23" s="52"/>
      <c r="J23" s="51"/>
      <c r="K23" s="51"/>
      <c r="L23" s="51">
        <v>834000</v>
      </c>
      <c r="M23" s="53"/>
      <c r="N23" s="53"/>
      <c r="O23" s="26">
        <f t="shared" si="4"/>
        <v>834000</v>
      </c>
      <c r="P23" s="26"/>
      <c r="Q23" s="30"/>
      <c r="R23" s="46"/>
      <c r="S23" s="10"/>
      <c r="T23" s="10"/>
    </row>
    <row r="24" spans="1:20" ht="24" customHeight="1" x14ac:dyDescent="0.35">
      <c r="A24" s="25"/>
      <c r="B24" s="28"/>
      <c r="C24" s="139" t="s">
        <v>1516</v>
      </c>
      <c r="D24" s="140"/>
      <c r="E24" s="140"/>
      <c r="F24" s="141"/>
      <c r="G24" s="51"/>
      <c r="H24" s="51"/>
      <c r="I24" s="52"/>
      <c r="J24" s="51"/>
      <c r="K24" s="51"/>
      <c r="L24" s="51">
        <v>800000</v>
      </c>
      <c r="M24" s="53"/>
      <c r="N24" s="53"/>
      <c r="O24" s="26">
        <f t="shared" si="4"/>
        <v>800000</v>
      </c>
      <c r="P24" s="26"/>
      <c r="Q24" s="30"/>
      <c r="R24" s="46"/>
      <c r="S24" s="10"/>
      <c r="T24" s="10"/>
    </row>
    <row r="25" spans="1:20" ht="24" customHeight="1" x14ac:dyDescent="0.35">
      <c r="A25" s="25"/>
      <c r="B25" s="28"/>
      <c r="C25" s="139" t="s">
        <v>1537</v>
      </c>
      <c r="D25" s="140"/>
      <c r="E25" s="140"/>
      <c r="F25" s="141"/>
      <c r="G25" s="51"/>
      <c r="H25" s="51"/>
      <c r="I25" s="52"/>
      <c r="J25" s="51"/>
      <c r="K25" s="51"/>
      <c r="L25" s="51">
        <v>1300000</v>
      </c>
      <c r="M25" s="53"/>
      <c r="N25" s="53"/>
      <c r="O25" s="26">
        <f t="shared" si="4"/>
        <v>1300000</v>
      </c>
      <c r="P25" s="26"/>
      <c r="Q25" s="30"/>
      <c r="R25" s="46"/>
      <c r="S25" s="10"/>
      <c r="T25" s="10"/>
    </row>
    <row r="26" spans="1:20" ht="24" customHeight="1" x14ac:dyDescent="0.35">
      <c r="A26" s="25"/>
      <c r="B26" s="28"/>
      <c r="C26" s="139" t="s">
        <v>1538</v>
      </c>
      <c r="D26" s="140"/>
      <c r="E26" s="140"/>
      <c r="F26" s="141"/>
      <c r="G26" s="51"/>
      <c r="H26" s="51"/>
      <c r="I26" s="52"/>
      <c r="J26" s="51"/>
      <c r="K26" s="51"/>
      <c r="L26" s="51">
        <v>1000000</v>
      </c>
      <c r="M26" s="53"/>
      <c r="N26" s="53"/>
      <c r="O26" s="26">
        <f t="shared" si="4"/>
        <v>1000000</v>
      </c>
      <c r="P26" s="26"/>
      <c r="Q26" s="30"/>
      <c r="R26" s="46"/>
      <c r="S26" s="10"/>
      <c r="T26" s="10"/>
    </row>
    <row r="27" spans="1:20" ht="24" customHeight="1" x14ac:dyDescent="0.35">
      <c r="A27" s="25"/>
      <c r="B27" s="28"/>
      <c r="C27" s="139" t="s">
        <v>1721</v>
      </c>
      <c r="D27" s="140"/>
      <c r="E27" s="140"/>
      <c r="F27" s="141"/>
      <c r="G27" s="51"/>
      <c r="H27" s="51"/>
      <c r="I27" s="52"/>
      <c r="J27" s="51"/>
      <c r="K27" s="51"/>
      <c r="L27" s="51">
        <v>200000</v>
      </c>
      <c r="M27" s="53"/>
      <c r="N27" s="53"/>
      <c r="O27" s="26">
        <f t="shared" si="4"/>
        <v>200000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5"/>
      <c r="C28" s="139" t="s">
        <v>1761</v>
      </c>
      <c r="D28" s="140"/>
      <c r="E28" s="140"/>
      <c r="F28" s="141"/>
      <c r="G28" s="54"/>
      <c r="H28" s="53"/>
      <c r="I28" s="54"/>
      <c r="J28" s="53"/>
      <c r="K28" s="51">
        <v>3900000</v>
      </c>
      <c r="L28" s="53"/>
      <c r="M28" s="53"/>
      <c r="N28" s="53"/>
      <c r="O28" s="26">
        <f t="shared" si="4"/>
        <v>3900000</v>
      </c>
      <c r="P28" s="26"/>
      <c r="Q28" s="26"/>
      <c r="R28" s="48"/>
    </row>
    <row r="29" spans="1:20" ht="24" customHeight="1" x14ac:dyDescent="0.35">
      <c r="A29" s="136" t="s">
        <v>45</v>
      </c>
      <c r="B29" s="137"/>
      <c r="C29" s="137"/>
      <c r="D29" s="137"/>
      <c r="E29" s="137"/>
      <c r="F29" s="138"/>
      <c r="G29" s="33">
        <f>SUM(G8:G28)</f>
        <v>1655</v>
      </c>
      <c r="H29" s="34">
        <f t="shared" ref="H29:N29" si="5">SUM(H7:H28)</f>
        <v>34665070</v>
      </c>
      <c r="I29" s="34">
        <f t="shared" si="5"/>
        <v>0</v>
      </c>
      <c r="J29" s="34">
        <f t="shared" si="5"/>
        <v>13508000</v>
      </c>
      <c r="K29" s="34">
        <f t="shared" si="5"/>
        <v>13891280</v>
      </c>
      <c r="L29" s="34">
        <f t="shared" si="5"/>
        <v>4134000</v>
      </c>
      <c r="M29" s="34">
        <f t="shared" si="5"/>
        <v>0</v>
      </c>
      <c r="N29" s="34">
        <f t="shared" si="5"/>
        <v>0</v>
      </c>
      <c r="O29" s="34">
        <f>SUM(O8:O28)</f>
        <v>66198350</v>
      </c>
      <c r="P29" s="34">
        <f>SUM(P8:P28)</f>
        <v>87170370</v>
      </c>
      <c r="Q29" s="34">
        <f>P29-O29</f>
        <v>20972020</v>
      </c>
      <c r="R29" s="50"/>
    </row>
    <row r="30" spans="1:20" x14ac:dyDescent="0.35">
      <c r="O30" s="35"/>
      <c r="Q30" s="36"/>
    </row>
    <row r="31" spans="1:20" x14ac:dyDescent="0.35">
      <c r="O31" s="37"/>
      <c r="P31" s="38" t="s">
        <v>46</v>
      </c>
      <c r="Q31" s="39">
        <f>'03.2024'!Q45+'04.2024'!Q29</f>
        <v>1327494</v>
      </c>
    </row>
    <row r="32" spans="1:20" x14ac:dyDescent="0.35">
      <c r="O32" s="37"/>
      <c r="P32" s="38"/>
      <c r="Q32" s="39"/>
    </row>
    <row r="33" spans="2:18" x14ac:dyDescent="0.35">
      <c r="O33" s="37"/>
      <c r="P33" s="38"/>
      <c r="Q33" s="39"/>
    </row>
    <row r="34" spans="2:18" x14ac:dyDescent="0.35">
      <c r="P34" s="37"/>
      <c r="Q34" s="37"/>
      <c r="R34" s="50"/>
    </row>
    <row r="35" spans="2:18" x14ac:dyDescent="0.35">
      <c r="B35" s="8"/>
    </row>
    <row r="36" spans="2:18" x14ac:dyDescent="0.35">
      <c r="B36" s="8"/>
    </row>
    <row r="37" spans="2:18" x14ac:dyDescent="0.35">
      <c r="B37" s="8"/>
    </row>
    <row r="38" spans="2:18" x14ac:dyDescent="0.35">
      <c r="B38" s="8"/>
      <c r="H38" s="8"/>
      <c r="J38" s="8"/>
      <c r="K38" s="8"/>
      <c r="L38" s="8"/>
      <c r="M38" s="8"/>
      <c r="N38" s="8"/>
      <c r="O38" s="8"/>
      <c r="P38" s="8"/>
      <c r="Q38" s="8"/>
      <c r="R38" s="8"/>
    </row>
  </sheetData>
  <mergeCells count="28">
    <mergeCell ref="C28:F28"/>
    <mergeCell ref="K5:K6"/>
    <mergeCell ref="L5:L6"/>
    <mergeCell ref="O5:O6"/>
    <mergeCell ref="A29:F29"/>
    <mergeCell ref="C27:F27"/>
    <mergeCell ref="C21:F21"/>
    <mergeCell ref="C22:F22"/>
    <mergeCell ref="M5:M6"/>
    <mergeCell ref="C24:F24"/>
    <mergeCell ref="C25:F25"/>
    <mergeCell ref="C26:F26"/>
    <mergeCell ref="C23:F23"/>
    <mergeCell ref="N5:N6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P5:P6"/>
    <mergeCell ref="Q5:Q6"/>
  </mergeCells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90A6-4962-426C-9A63-A72756FB7998}">
  <dimension ref="A1:T44"/>
  <sheetViews>
    <sheetView topLeftCell="E12" workbookViewId="0">
      <selection activeCell="M32" sqref="M32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1438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45420</v>
      </c>
      <c r="C8" s="97" t="s">
        <v>1439</v>
      </c>
      <c r="D8" s="98" t="s">
        <v>1450</v>
      </c>
      <c r="E8" s="97" t="s">
        <v>372</v>
      </c>
      <c r="F8" s="99"/>
      <c r="G8" s="104">
        <v>385</v>
      </c>
      <c r="H8" s="104">
        <f>G8*20600</f>
        <v>7931000</v>
      </c>
      <c r="I8" s="99"/>
      <c r="J8" s="104">
        <v>3579000</v>
      </c>
      <c r="K8" s="103"/>
      <c r="L8" s="103"/>
      <c r="M8" s="104"/>
      <c r="N8" s="104"/>
      <c r="O8" s="104">
        <f>H8+J8+K8+L8+M8+N8</f>
        <v>11510000</v>
      </c>
      <c r="P8" s="104">
        <v>20300000</v>
      </c>
      <c r="Q8" s="104">
        <f>P8-O8</f>
        <v>8790000</v>
      </c>
      <c r="R8" s="46"/>
      <c r="S8" s="10"/>
      <c r="T8" s="10"/>
    </row>
    <row r="9" spans="1:20" ht="24" customHeight="1" x14ac:dyDescent="0.35">
      <c r="A9" s="21">
        <v>2</v>
      </c>
      <c r="B9" s="22">
        <v>45422</v>
      </c>
      <c r="C9" s="23" t="s">
        <v>1440</v>
      </c>
      <c r="D9" s="24" t="s">
        <v>1451</v>
      </c>
      <c r="E9" s="23" t="s">
        <v>1448</v>
      </c>
      <c r="F9" s="25"/>
      <c r="G9" s="26">
        <v>11</v>
      </c>
      <c r="H9" s="26">
        <f>G9*20600</f>
        <v>226600</v>
      </c>
      <c r="I9" s="25"/>
      <c r="J9" s="26">
        <v>200000</v>
      </c>
      <c r="K9" s="27"/>
      <c r="L9" s="27"/>
      <c r="M9" s="26"/>
      <c r="N9" s="26"/>
      <c r="O9" s="26">
        <f t="shared" ref="O9:O20" si="0">H9+J9+K9+L9+M9+N9</f>
        <v>426600</v>
      </c>
      <c r="P9" s="26">
        <v>1500000</v>
      </c>
      <c r="Q9" s="26">
        <f t="shared" ref="Q9:Q20" si="1">P9-O9</f>
        <v>1073400</v>
      </c>
      <c r="R9" s="46"/>
      <c r="S9" s="10"/>
      <c r="T9" s="10"/>
    </row>
    <row r="10" spans="1:20" ht="24" customHeight="1" x14ac:dyDescent="0.35">
      <c r="A10" s="21">
        <v>3</v>
      </c>
      <c r="B10" s="22">
        <v>45422</v>
      </c>
      <c r="C10" s="23" t="s">
        <v>183</v>
      </c>
      <c r="D10" s="24" t="s">
        <v>1452</v>
      </c>
      <c r="E10" s="23" t="s">
        <v>1449</v>
      </c>
      <c r="F10" s="25"/>
      <c r="G10" s="26">
        <v>89</v>
      </c>
      <c r="H10" s="26">
        <f>G10*19840</f>
        <v>1765760</v>
      </c>
      <c r="I10" s="25"/>
      <c r="J10" s="26">
        <v>790000</v>
      </c>
      <c r="K10" s="27"/>
      <c r="L10" s="27"/>
      <c r="M10" s="26"/>
      <c r="N10" s="26"/>
      <c r="O10" s="26">
        <f t="shared" si="0"/>
        <v>2555760</v>
      </c>
      <c r="P10" s="26">
        <v>4300000</v>
      </c>
      <c r="Q10" s="26">
        <f t="shared" si="1"/>
        <v>1744240</v>
      </c>
      <c r="R10" s="46"/>
      <c r="S10" s="10"/>
      <c r="T10" s="10"/>
    </row>
    <row r="11" spans="1:20" ht="24" customHeight="1" x14ac:dyDescent="0.35">
      <c r="A11" s="21">
        <v>4</v>
      </c>
      <c r="B11" s="22">
        <v>45423</v>
      </c>
      <c r="C11" s="23" t="s">
        <v>1441</v>
      </c>
      <c r="D11" s="24" t="s">
        <v>1453</v>
      </c>
      <c r="E11" s="23" t="s">
        <v>372</v>
      </c>
      <c r="F11" s="25"/>
      <c r="G11" s="26">
        <v>385</v>
      </c>
      <c r="H11" s="26">
        <f>G11*19840</f>
        <v>7638400</v>
      </c>
      <c r="I11" s="25"/>
      <c r="J11" s="26">
        <v>3761000</v>
      </c>
      <c r="K11" s="27"/>
      <c r="L11" s="27"/>
      <c r="M11" s="26"/>
      <c r="N11" s="26"/>
      <c r="O11" s="26">
        <f t="shared" si="0"/>
        <v>11399400</v>
      </c>
      <c r="P11" s="26">
        <v>20300000</v>
      </c>
      <c r="Q11" s="26">
        <f t="shared" si="1"/>
        <v>8900600</v>
      </c>
      <c r="R11" s="46"/>
      <c r="S11" s="10"/>
      <c r="T11" s="10"/>
    </row>
    <row r="12" spans="1:20" ht="24" customHeight="1" x14ac:dyDescent="0.35">
      <c r="A12" s="21">
        <v>5</v>
      </c>
      <c r="B12" s="22">
        <v>45427</v>
      </c>
      <c r="C12" s="23" t="s">
        <v>864</v>
      </c>
      <c r="D12" s="24" t="s">
        <v>1454</v>
      </c>
      <c r="E12" s="23" t="s">
        <v>227</v>
      </c>
      <c r="F12" s="25"/>
      <c r="G12" s="26">
        <v>182</v>
      </c>
      <c r="H12" s="26">
        <f>G12*19870</f>
        <v>3616340</v>
      </c>
      <c r="I12" s="25"/>
      <c r="J12" s="26">
        <v>1530000</v>
      </c>
      <c r="K12" s="27"/>
      <c r="L12" s="27"/>
      <c r="M12" s="26"/>
      <c r="N12" s="26"/>
      <c r="O12" s="26">
        <f>H12+J12+K12+L12+M12+N12</f>
        <v>5146340</v>
      </c>
      <c r="P12" s="26">
        <v>8203704</v>
      </c>
      <c r="Q12" s="26">
        <f t="shared" si="1"/>
        <v>3057364</v>
      </c>
      <c r="R12" s="46"/>
      <c r="S12" s="10"/>
      <c r="T12" s="10"/>
    </row>
    <row r="13" spans="1:20" ht="24" customHeight="1" x14ac:dyDescent="0.35">
      <c r="A13" s="21">
        <v>6</v>
      </c>
      <c r="B13" s="22">
        <v>45432</v>
      </c>
      <c r="C13" s="23" t="s">
        <v>190</v>
      </c>
      <c r="D13" s="24" t="s">
        <v>1455</v>
      </c>
      <c r="E13" s="23" t="s">
        <v>372</v>
      </c>
      <c r="F13" s="25"/>
      <c r="G13" s="26">
        <v>387</v>
      </c>
      <c r="H13" s="26">
        <f>G13*19870</f>
        <v>7689690</v>
      </c>
      <c r="I13" s="25"/>
      <c r="J13" s="26">
        <v>3918000</v>
      </c>
      <c r="K13" s="27"/>
      <c r="L13" s="27"/>
      <c r="M13" s="26"/>
      <c r="N13" s="26"/>
      <c r="O13" s="26">
        <f>H13+J13+K13+L13+M13+N13</f>
        <v>11607690</v>
      </c>
      <c r="P13" s="26">
        <v>20300000</v>
      </c>
      <c r="Q13" s="26">
        <f t="shared" si="1"/>
        <v>8692310</v>
      </c>
      <c r="R13" s="46"/>
      <c r="S13" s="10"/>
      <c r="T13" s="10"/>
    </row>
    <row r="14" spans="1:20" ht="24" customHeight="1" x14ac:dyDescent="0.35">
      <c r="A14" s="21">
        <v>7</v>
      </c>
      <c r="B14" s="22">
        <v>45433</v>
      </c>
      <c r="C14" s="23" t="s">
        <v>1442</v>
      </c>
      <c r="D14" s="24" t="s">
        <v>1456</v>
      </c>
      <c r="E14" s="23" t="s">
        <v>372</v>
      </c>
      <c r="F14" s="25"/>
      <c r="G14" s="26">
        <v>385</v>
      </c>
      <c r="H14" s="26">
        <f>G14*19830</f>
        <v>7634550</v>
      </c>
      <c r="I14" s="25"/>
      <c r="J14" s="26">
        <v>3918000</v>
      </c>
      <c r="K14" s="27"/>
      <c r="L14" s="27"/>
      <c r="M14" s="26"/>
      <c r="N14" s="26"/>
      <c r="O14" s="26">
        <f t="shared" si="0"/>
        <v>11552550</v>
      </c>
      <c r="P14" s="26">
        <v>20300000</v>
      </c>
      <c r="Q14" s="26">
        <f t="shared" si="1"/>
        <v>8747450</v>
      </c>
      <c r="R14" s="46"/>
      <c r="S14" s="10"/>
      <c r="T14" s="10"/>
    </row>
    <row r="15" spans="1:20" ht="24" customHeight="1" x14ac:dyDescent="0.35">
      <c r="A15" s="21">
        <v>8</v>
      </c>
      <c r="B15" s="22">
        <v>45436</v>
      </c>
      <c r="C15" s="23" t="s">
        <v>1443</v>
      </c>
      <c r="D15" s="24" t="s">
        <v>1457</v>
      </c>
      <c r="E15" s="23" t="s">
        <v>244</v>
      </c>
      <c r="F15" s="25"/>
      <c r="G15" s="26">
        <v>63</v>
      </c>
      <c r="H15" s="26">
        <f t="shared" ref="H15:H20" si="2">G15*19830</f>
        <v>1249290</v>
      </c>
      <c r="I15" s="25"/>
      <c r="J15" s="26">
        <v>430000</v>
      </c>
      <c r="K15" s="27"/>
      <c r="L15" s="27"/>
      <c r="M15" s="26"/>
      <c r="N15" s="26"/>
      <c r="O15" s="26">
        <f t="shared" si="0"/>
        <v>1679290</v>
      </c>
      <c r="P15" s="26">
        <v>3330000</v>
      </c>
      <c r="Q15" s="26">
        <f t="shared" si="1"/>
        <v>1650710</v>
      </c>
      <c r="R15" s="46"/>
      <c r="S15" s="10"/>
      <c r="T15" s="10"/>
    </row>
    <row r="16" spans="1:20" ht="24" customHeight="1" x14ac:dyDescent="0.35">
      <c r="A16" s="21">
        <v>9</v>
      </c>
      <c r="B16" s="22">
        <v>45436</v>
      </c>
      <c r="C16" s="23" t="s">
        <v>194</v>
      </c>
      <c r="D16" s="24" t="s">
        <v>1458</v>
      </c>
      <c r="E16" s="23" t="s">
        <v>903</v>
      </c>
      <c r="F16" s="25"/>
      <c r="G16" s="26">
        <v>101</v>
      </c>
      <c r="H16" s="26">
        <f t="shared" si="2"/>
        <v>2002830</v>
      </c>
      <c r="I16" s="25"/>
      <c r="J16" s="26">
        <v>790000</v>
      </c>
      <c r="K16" s="27"/>
      <c r="L16" s="27"/>
      <c r="M16" s="26"/>
      <c r="N16" s="26"/>
      <c r="O16" s="26">
        <f t="shared" si="0"/>
        <v>2792830</v>
      </c>
      <c r="P16" s="26">
        <v>4300000</v>
      </c>
      <c r="Q16" s="26">
        <f t="shared" si="1"/>
        <v>1507170</v>
      </c>
      <c r="R16" s="46"/>
      <c r="S16" s="10"/>
      <c r="T16" s="10"/>
    </row>
    <row r="17" spans="1:20" ht="24" customHeight="1" x14ac:dyDescent="0.35">
      <c r="A17" s="21">
        <v>10</v>
      </c>
      <c r="B17" s="22">
        <v>45438</v>
      </c>
      <c r="C17" s="23" t="s">
        <v>1444</v>
      </c>
      <c r="D17" s="24" t="s">
        <v>1459</v>
      </c>
      <c r="E17" s="23" t="s">
        <v>227</v>
      </c>
      <c r="F17" s="25"/>
      <c r="G17" s="26">
        <v>180</v>
      </c>
      <c r="H17" s="26">
        <f t="shared" si="2"/>
        <v>3569400</v>
      </c>
      <c r="I17" s="25"/>
      <c r="J17" s="26">
        <v>1530000</v>
      </c>
      <c r="K17" s="27"/>
      <c r="L17" s="27"/>
      <c r="M17" s="26"/>
      <c r="N17" s="26"/>
      <c r="O17" s="26">
        <f t="shared" si="0"/>
        <v>5099400</v>
      </c>
      <c r="P17" s="26">
        <v>8666667</v>
      </c>
      <c r="Q17" s="26">
        <f t="shared" si="1"/>
        <v>3567267</v>
      </c>
      <c r="R17" s="46"/>
      <c r="S17" s="10"/>
      <c r="T17" s="10"/>
    </row>
    <row r="18" spans="1:20" ht="24" customHeight="1" x14ac:dyDescent="0.35">
      <c r="A18" s="21">
        <v>11</v>
      </c>
      <c r="B18" s="22">
        <v>45438</v>
      </c>
      <c r="C18" s="23" t="s">
        <v>1445</v>
      </c>
      <c r="D18" s="24" t="s">
        <v>1460</v>
      </c>
      <c r="E18" s="23" t="s">
        <v>1437</v>
      </c>
      <c r="F18" s="25"/>
      <c r="G18" s="26">
        <v>153</v>
      </c>
      <c r="H18" s="26">
        <f t="shared" si="2"/>
        <v>3033990</v>
      </c>
      <c r="I18" s="25"/>
      <c r="J18" s="26">
        <v>1080000</v>
      </c>
      <c r="K18" s="27"/>
      <c r="L18" s="27"/>
      <c r="M18" s="26"/>
      <c r="N18" s="26"/>
      <c r="O18" s="26">
        <f t="shared" si="0"/>
        <v>4113990</v>
      </c>
      <c r="P18" s="26">
        <v>7150000</v>
      </c>
      <c r="Q18" s="26">
        <f t="shared" si="1"/>
        <v>3036010</v>
      </c>
      <c r="R18" s="46"/>
      <c r="S18" s="10"/>
      <c r="T18" s="10"/>
    </row>
    <row r="19" spans="1:20" ht="24" customHeight="1" x14ac:dyDescent="0.35">
      <c r="A19" s="21">
        <v>12</v>
      </c>
      <c r="B19" s="22">
        <v>45440</v>
      </c>
      <c r="C19" s="23" t="s">
        <v>1446</v>
      </c>
      <c r="D19" s="24" t="s">
        <v>1461</v>
      </c>
      <c r="E19" s="23" t="s">
        <v>372</v>
      </c>
      <c r="F19" s="25"/>
      <c r="G19" s="26">
        <v>381</v>
      </c>
      <c r="H19" s="26">
        <f t="shared" si="2"/>
        <v>7555230</v>
      </c>
      <c r="I19" s="25"/>
      <c r="J19" s="26">
        <v>3918000</v>
      </c>
      <c r="K19" s="27"/>
      <c r="L19" s="27"/>
      <c r="M19" s="26"/>
      <c r="N19" s="26"/>
      <c r="O19" s="26">
        <f t="shared" si="0"/>
        <v>11473230</v>
      </c>
      <c r="P19" s="26">
        <v>20300000</v>
      </c>
      <c r="Q19" s="26">
        <f t="shared" si="1"/>
        <v>8826770</v>
      </c>
      <c r="R19" s="46"/>
      <c r="S19" s="10"/>
      <c r="T19" s="10"/>
    </row>
    <row r="20" spans="1:20" ht="24" customHeight="1" x14ac:dyDescent="0.35">
      <c r="A20" s="21">
        <v>13</v>
      </c>
      <c r="B20" s="22">
        <v>45441</v>
      </c>
      <c r="C20" s="23" t="s">
        <v>1447</v>
      </c>
      <c r="D20" s="24" t="s">
        <v>1462</v>
      </c>
      <c r="E20" s="23" t="s">
        <v>372</v>
      </c>
      <c r="F20" s="25"/>
      <c r="G20" s="26">
        <v>379</v>
      </c>
      <c r="H20" s="26">
        <f t="shared" si="2"/>
        <v>7515570</v>
      </c>
      <c r="I20" s="25"/>
      <c r="J20" s="26">
        <v>3918000</v>
      </c>
      <c r="K20" s="27"/>
      <c r="L20" s="27"/>
      <c r="M20" s="26"/>
      <c r="N20" s="26"/>
      <c r="O20" s="26">
        <f t="shared" si="0"/>
        <v>11433570</v>
      </c>
      <c r="P20" s="26">
        <v>20300000</v>
      </c>
      <c r="Q20" s="26">
        <f t="shared" si="1"/>
        <v>8866430</v>
      </c>
      <c r="R20" s="46"/>
      <c r="S20" s="10"/>
      <c r="T20" s="10"/>
    </row>
    <row r="21" spans="1:20" ht="24" customHeight="1" x14ac:dyDescent="0.35">
      <c r="A21" s="21"/>
      <c r="B21" s="22"/>
      <c r="C21" s="139" t="s">
        <v>44</v>
      </c>
      <c r="D21" s="140"/>
      <c r="E21" s="140"/>
      <c r="F21" s="141"/>
      <c r="G21" s="54"/>
      <c r="H21" s="53"/>
      <c r="I21" s="54"/>
      <c r="J21" s="53"/>
      <c r="K21" s="51">
        <v>1200000</v>
      </c>
      <c r="L21" s="51"/>
      <c r="M21" s="26"/>
      <c r="N21" s="26"/>
      <c r="O21" s="26">
        <f>K21+L21+M21+N21</f>
        <v>1200000</v>
      </c>
      <c r="P21" s="26"/>
      <c r="Q21" s="30"/>
      <c r="R21" s="46"/>
      <c r="S21" s="10"/>
      <c r="T21" s="10"/>
    </row>
    <row r="22" spans="1:20" ht="24" customHeight="1" x14ac:dyDescent="0.35">
      <c r="A22" s="25"/>
      <c r="B22" s="28"/>
      <c r="C22" s="139" t="s">
        <v>391</v>
      </c>
      <c r="D22" s="140"/>
      <c r="E22" s="140"/>
      <c r="F22" s="141"/>
      <c r="G22" s="51"/>
      <c r="H22" s="51"/>
      <c r="I22" s="52"/>
      <c r="J22" s="51"/>
      <c r="K22" s="51">
        <v>11858560</v>
      </c>
      <c r="L22" s="51"/>
      <c r="M22" s="53"/>
      <c r="N22" s="53"/>
      <c r="O22" s="26">
        <f t="shared" ref="O22:O34" si="3">K22+L22+M22+N22</f>
        <v>11858560</v>
      </c>
      <c r="P22" s="26"/>
      <c r="Q22" s="30"/>
      <c r="R22" s="46"/>
      <c r="S22" s="10"/>
      <c r="T22" s="10"/>
    </row>
    <row r="23" spans="1:20" ht="24" customHeight="1" x14ac:dyDescent="0.35">
      <c r="A23" s="25"/>
      <c r="B23" s="28"/>
      <c r="C23" s="139" t="s">
        <v>1518</v>
      </c>
      <c r="D23" s="140"/>
      <c r="E23" s="140"/>
      <c r="F23" s="141"/>
      <c r="G23" s="51"/>
      <c r="H23" s="51"/>
      <c r="I23" s="52"/>
      <c r="J23" s="51"/>
      <c r="K23" s="51"/>
      <c r="L23" s="51">
        <v>4700000</v>
      </c>
      <c r="M23" s="53"/>
      <c r="N23" s="53"/>
      <c r="O23" s="26">
        <f t="shared" si="3"/>
        <v>4700000</v>
      </c>
      <c r="P23" s="26"/>
      <c r="Q23" s="30"/>
      <c r="R23" s="46"/>
      <c r="S23" s="10"/>
      <c r="T23" s="10"/>
    </row>
    <row r="24" spans="1:20" ht="24" customHeight="1" x14ac:dyDescent="0.35">
      <c r="A24" s="25"/>
      <c r="B24" s="28"/>
      <c r="C24" s="139" t="s">
        <v>1519</v>
      </c>
      <c r="D24" s="140"/>
      <c r="E24" s="140"/>
      <c r="F24" s="141"/>
      <c r="G24" s="51"/>
      <c r="H24" s="51"/>
      <c r="I24" s="52"/>
      <c r="J24" s="51"/>
      <c r="K24" s="51"/>
      <c r="L24" s="51">
        <v>2000000</v>
      </c>
      <c r="M24" s="53"/>
      <c r="N24" s="53"/>
      <c r="O24" s="26">
        <f t="shared" si="3"/>
        <v>2000000</v>
      </c>
      <c r="P24" s="26"/>
      <c r="Q24" s="30"/>
      <c r="R24" s="46"/>
      <c r="S24" s="10"/>
      <c r="T24" s="10"/>
    </row>
    <row r="25" spans="1:20" ht="24" customHeight="1" x14ac:dyDescent="0.35">
      <c r="A25" s="25"/>
      <c r="B25" s="28"/>
      <c r="C25" s="139" t="s">
        <v>1520</v>
      </c>
      <c r="D25" s="140"/>
      <c r="E25" s="140"/>
      <c r="F25" s="141"/>
      <c r="G25" s="51"/>
      <c r="H25" s="51"/>
      <c r="I25" s="52"/>
      <c r="J25" s="51"/>
      <c r="K25" s="51"/>
      <c r="L25" s="51">
        <v>1360000</v>
      </c>
      <c r="M25" s="53"/>
      <c r="N25" s="53"/>
      <c r="O25" s="26">
        <f t="shared" si="3"/>
        <v>1360000</v>
      </c>
      <c r="P25" s="26"/>
      <c r="Q25" s="30"/>
      <c r="R25" s="46"/>
      <c r="S25" s="10"/>
      <c r="T25" s="10"/>
    </row>
    <row r="26" spans="1:20" ht="24" customHeight="1" x14ac:dyDescent="0.35">
      <c r="A26" s="25"/>
      <c r="B26" s="28"/>
      <c r="C26" s="139" t="s">
        <v>1521</v>
      </c>
      <c r="D26" s="140"/>
      <c r="E26" s="140"/>
      <c r="F26" s="141"/>
      <c r="G26" s="51"/>
      <c r="H26" s="51"/>
      <c r="I26" s="52"/>
      <c r="J26" s="51"/>
      <c r="K26" s="51"/>
      <c r="L26" s="51"/>
      <c r="M26" s="53">
        <v>150000</v>
      </c>
      <c r="N26" s="53"/>
      <c r="O26" s="26">
        <f t="shared" si="3"/>
        <v>150000</v>
      </c>
      <c r="P26" s="26"/>
      <c r="Q26" s="30"/>
      <c r="R26" s="46"/>
      <c r="S26" s="10"/>
      <c r="T26" s="10"/>
    </row>
    <row r="27" spans="1:20" ht="24" customHeight="1" x14ac:dyDescent="0.35">
      <c r="A27" s="25"/>
      <c r="B27" s="28"/>
      <c r="C27" s="139" t="s">
        <v>1522</v>
      </c>
      <c r="D27" s="140"/>
      <c r="E27" s="140"/>
      <c r="F27" s="141"/>
      <c r="G27" s="51"/>
      <c r="H27" s="51"/>
      <c r="I27" s="52"/>
      <c r="J27" s="51"/>
      <c r="K27" s="51"/>
      <c r="L27" s="51">
        <v>600000</v>
      </c>
      <c r="M27" s="53"/>
      <c r="N27" s="53"/>
      <c r="O27" s="26">
        <f t="shared" si="3"/>
        <v>600000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1523</v>
      </c>
      <c r="D28" s="140"/>
      <c r="E28" s="140"/>
      <c r="F28" s="141"/>
      <c r="G28" s="51"/>
      <c r="H28" s="51"/>
      <c r="I28" s="52"/>
      <c r="J28" s="51"/>
      <c r="K28" s="51"/>
      <c r="L28" s="51">
        <v>8532000</v>
      </c>
      <c r="M28" s="53"/>
      <c r="N28" s="53"/>
      <c r="O28" s="26">
        <f t="shared" si="3"/>
        <v>8532000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1527</v>
      </c>
      <c r="D29" s="140"/>
      <c r="E29" s="140"/>
      <c r="F29" s="141"/>
      <c r="G29" s="51"/>
      <c r="H29" s="51"/>
      <c r="I29" s="52"/>
      <c r="J29" s="51"/>
      <c r="K29" s="51"/>
      <c r="L29" s="51"/>
      <c r="M29" s="53">
        <v>300000</v>
      </c>
      <c r="N29" s="53"/>
      <c r="O29" s="26">
        <f t="shared" si="3"/>
        <v>300000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1725</v>
      </c>
      <c r="D30" s="140"/>
      <c r="E30" s="140"/>
      <c r="F30" s="141"/>
      <c r="G30" s="51"/>
      <c r="H30" s="51"/>
      <c r="I30" s="52"/>
      <c r="J30" s="51"/>
      <c r="K30" s="51"/>
      <c r="L30" s="51"/>
      <c r="M30" s="53">
        <v>11600000</v>
      </c>
      <c r="N30" s="53"/>
      <c r="O30" s="26">
        <f t="shared" si="3"/>
        <v>11600000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1730</v>
      </c>
      <c r="D31" s="140"/>
      <c r="E31" s="140"/>
      <c r="F31" s="141"/>
      <c r="G31" s="51"/>
      <c r="H31" s="51"/>
      <c r="I31" s="52"/>
      <c r="J31" s="51"/>
      <c r="K31" s="51"/>
      <c r="L31" s="51">
        <v>2100000</v>
      </c>
      <c r="M31" s="53"/>
      <c r="N31" s="53"/>
      <c r="O31" s="26">
        <f t="shared" si="3"/>
        <v>2100000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1732</v>
      </c>
      <c r="D32" s="140"/>
      <c r="E32" s="140"/>
      <c r="F32" s="141"/>
      <c r="G32" s="51"/>
      <c r="H32" s="51"/>
      <c r="I32" s="52"/>
      <c r="J32" s="51"/>
      <c r="K32" s="51"/>
      <c r="L32" s="51">
        <v>2850000</v>
      </c>
      <c r="M32" s="53"/>
      <c r="N32" s="53"/>
      <c r="O32" s="26">
        <f t="shared" si="3"/>
        <v>2850000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1733</v>
      </c>
      <c r="D33" s="140"/>
      <c r="E33" s="140"/>
      <c r="F33" s="141"/>
      <c r="G33" s="51"/>
      <c r="H33" s="51"/>
      <c r="I33" s="52"/>
      <c r="J33" s="51"/>
      <c r="K33" s="51"/>
      <c r="L33" s="51">
        <v>3300000</v>
      </c>
      <c r="M33" s="53"/>
      <c r="N33" s="53"/>
      <c r="O33" s="26">
        <f t="shared" si="3"/>
        <v>3300000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5"/>
      <c r="C34" s="139" t="s">
        <v>1762</v>
      </c>
      <c r="D34" s="140"/>
      <c r="E34" s="140"/>
      <c r="F34" s="141"/>
      <c r="G34" s="54"/>
      <c r="H34" s="53"/>
      <c r="I34" s="54"/>
      <c r="J34" s="53"/>
      <c r="K34" s="51">
        <v>6200000</v>
      </c>
      <c r="L34" s="53"/>
      <c r="M34" s="53"/>
      <c r="N34" s="53"/>
      <c r="O34" s="26">
        <f t="shared" si="3"/>
        <v>6200000</v>
      </c>
      <c r="P34" s="26"/>
      <c r="Q34" s="26"/>
      <c r="R34" s="48"/>
    </row>
    <row r="35" spans="1:20" ht="24" customHeight="1" x14ac:dyDescent="0.35">
      <c r="A35" s="136" t="s">
        <v>45</v>
      </c>
      <c r="B35" s="137"/>
      <c r="C35" s="137"/>
      <c r="D35" s="137"/>
      <c r="E35" s="137"/>
      <c r="F35" s="138"/>
      <c r="G35" s="33">
        <f>SUM(G8:G34)</f>
        <v>3081</v>
      </c>
      <c r="H35" s="34">
        <f t="shared" ref="H35:N35" si="4">SUM(H7:H34)</f>
        <v>61428650</v>
      </c>
      <c r="I35" s="34">
        <f t="shared" si="4"/>
        <v>0</v>
      </c>
      <c r="J35" s="34">
        <f t="shared" si="4"/>
        <v>29362000</v>
      </c>
      <c r="K35" s="34">
        <f t="shared" si="4"/>
        <v>19258560</v>
      </c>
      <c r="L35" s="34">
        <f t="shared" si="4"/>
        <v>25442000</v>
      </c>
      <c r="M35" s="34">
        <f t="shared" si="4"/>
        <v>12050000</v>
      </c>
      <c r="N35" s="34">
        <f t="shared" si="4"/>
        <v>0</v>
      </c>
      <c r="O35" s="34">
        <f>SUM(O8:O34)</f>
        <v>147541210</v>
      </c>
      <c r="P35" s="34">
        <f>SUM(P8:P34)</f>
        <v>159250371</v>
      </c>
      <c r="Q35" s="34">
        <f>P35-O35</f>
        <v>11709161</v>
      </c>
      <c r="R35" s="50"/>
    </row>
    <row r="36" spans="1:20" x14ac:dyDescent="0.35">
      <c r="O36" s="35"/>
      <c r="Q36" s="36"/>
    </row>
    <row r="37" spans="1:20" x14ac:dyDescent="0.35">
      <c r="O37" s="37"/>
      <c r="P37" s="38" t="s">
        <v>46</v>
      </c>
      <c r="Q37" s="39">
        <f>'04.2024'!Q31+'05.2024'!Q35</f>
        <v>13036655</v>
      </c>
    </row>
    <row r="38" spans="1:20" x14ac:dyDescent="0.35">
      <c r="O38" s="37"/>
      <c r="P38" s="38"/>
      <c r="Q38" s="39"/>
    </row>
    <row r="39" spans="1:20" x14ac:dyDescent="0.35">
      <c r="O39" s="37"/>
      <c r="P39" s="38"/>
      <c r="Q39" s="39"/>
    </row>
    <row r="40" spans="1:20" x14ac:dyDescent="0.35">
      <c r="P40" s="37"/>
      <c r="Q40" s="37"/>
      <c r="R40" s="50"/>
    </row>
    <row r="41" spans="1:20" x14ac:dyDescent="0.35">
      <c r="B41" s="8"/>
    </row>
    <row r="42" spans="1:20" x14ac:dyDescent="0.35">
      <c r="B42" s="8"/>
    </row>
    <row r="43" spans="1:20" x14ac:dyDescent="0.35">
      <c r="B43" s="8"/>
    </row>
    <row r="44" spans="1:20" x14ac:dyDescent="0.35">
      <c r="B44" s="8"/>
      <c r="H44" s="8"/>
      <c r="J44" s="8"/>
      <c r="K44" s="8"/>
      <c r="L44" s="8"/>
      <c r="M44" s="8"/>
      <c r="N44" s="8"/>
      <c r="O44" s="8"/>
      <c r="P44" s="8"/>
      <c r="Q44" s="8"/>
      <c r="R44" s="8"/>
    </row>
  </sheetData>
  <mergeCells count="34">
    <mergeCell ref="A35:F35"/>
    <mergeCell ref="C33:F33"/>
    <mergeCell ref="C27:F27"/>
    <mergeCell ref="C28:F28"/>
    <mergeCell ref="C30:F30"/>
    <mergeCell ref="C31:F31"/>
    <mergeCell ref="C32:F32"/>
    <mergeCell ref="C29:F29"/>
    <mergeCell ref="N5:N6"/>
    <mergeCell ref="C34:F34"/>
    <mergeCell ref="K5:K6"/>
    <mergeCell ref="L5:L6"/>
    <mergeCell ref="C26:F26"/>
    <mergeCell ref="C24:F24"/>
    <mergeCell ref="C25:F25"/>
    <mergeCell ref="C23:F23"/>
    <mergeCell ref="C21:F21"/>
    <mergeCell ref="C22:F22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C889-6B46-43AA-BF9C-ED8AFD526CE2}">
  <dimension ref="A1:T53"/>
  <sheetViews>
    <sheetView topLeftCell="E40" workbookViewId="0">
      <selection activeCell="N43" sqref="N43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1463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45444</v>
      </c>
      <c r="C8" s="97" t="s">
        <v>160</v>
      </c>
      <c r="D8" s="98" t="s">
        <v>1492</v>
      </c>
      <c r="E8" s="97" t="s">
        <v>372</v>
      </c>
      <c r="F8" s="99"/>
      <c r="G8" s="104">
        <v>385</v>
      </c>
      <c r="H8" s="104">
        <f>G8*19740</f>
        <v>7599900</v>
      </c>
      <c r="I8" s="99"/>
      <c r="J8" s="104">
        <v>4025000</v>
      </c>
      <c r="K8" s="103"/>
      <c r="L8" s="103"/>
      <c r="M8" s="104"/>
      <c r="N8" s="104"/>
      <c r="O8" s="104">
        <f>H8+J8+K8+L8+M8+N8</f>
        <v>11624900</v>
      </c>
      <c r="P8" s="104">
        <v>20300000</v>
      </c>
      <c r="Q8" s="104">
        <f>P8-O8</f>
        <v>8675100</v>
      </c>
      <c r="R8" s="46"/>
      <c r="S8" s="10"/>
      <c r="T8" s="10"/>
    </row>
    <row r="9" spans="1:20" ht="24" customHeight="1" x14ac:dyDescent="0.35">
      <c r="A9" s="21">
        <v>2</v>
      </c>
      <c r="B9" s="22">
        <v>45448</v>
      </c>
      <c r="C9" s="23" t="s">
        <v>1484</v>
      </c>
      <c r="D9" s="24" t="s">
        <v>1464</v>
      </c>
      <c r="E9" s="23" t="s">
        <v>372</v>
      </c>
      <c r="F9" s="25"/>
      <c r="G9" s="26">
        <v>385</v>
      </c>
      <c r="H9" s="104">
        <f>G9*19740</f>
        <v>7599900</v>
      </c>
      <c r="I9" s="25"/>
      <c r="J9" s="26">
        <v>4025000</v>
      </c>
      <c r="K9" s="27"/>
      <c r="L9" s="27"/>
      <c r="M9" s="26"/>
      <c r="N9" s="26"/>
      <c r="O9" s="26">
        <f t="shared" ref="O9:O24" si="0">H9+J9+K9+L9+M9+N9</f>
        <v>11624900</v>
      </c>
      <c r="P9" s="26">
        <v>20300000</v>
      </c>
      <c r="Q9" s="26">
        <f t="shared" ref="Q9:Q24" si="1">P9-O9</f>
        <v>8675100</v>
      </c>
      <c r="R9" s="46"/>
      <c r="S9" s="10"/>
      <c r="T9" s="10"/>
    </row>
    <row r="10" spans="1:20" ht="24" customHeight="1" x14ac:dyDescent="0.35">
      <c r="A10" s="21">
        <v>3</v>
      </c>
      <c r="B10" s="22">
        <v>45450</v>
      </c>
      <c r="C10" s="23" t="s">
        <v>1485</v>
      </c>
      <c r="D10" s="24" t="s">
        <v>1465</v>
      </c>
      <c r="E10" s="23" t="s">
        <v>372</v>
      </c>
      <c r="F10" s="25"/>
      <c r="G10" s="26">
        <v>378</v>
      </c>
      <c r="H10" s="26">
        <f>G10*19420</f>
        <v>7340760</v>
      </c>
      <c r="I10" s="25"/>
      <c r="J10" s="26">
        <v>3971000</v>
      </c>
      <c r="K10" s="27"/>
      <c r="L10" s="27"/>
      <c r="M10" s="26"/>
      <c r="N10" s="26"/>
      <c r="O10" s="26">
        <f t="shared" si="0"/>
        <v>11311760</v>
      </c>
      <c r="P10" s="26">
        <v>20300000</v>
      </c>
      <c r="Q10" s="26">
        <f t="shared" si="1"/>
        <v>8988240</v>
      </c>
      <c r="R10" s="46"/>
      <c r="S10" s="10"/>
      <c r="T10" s="10"/>
    </row>
    <row r="11" spans="1:20" ht="24" customHeight="1" x14ac:dyDescent="0.35">
      <c r="A11" s="21">
        <v>4</v>
      </c>
      <c r="B11" s="22">
        <v>45451</v>
      </c>
      <c r="C11" s="23" t="s">
        <v>807</v>
      </c>
      <c r="D11" s="24" t="s">
        <v>1466</v>
      </c>
      <c r="E11" s="23" t="s">
        <v>1435</v>
      </c>
      <c r="F11" s="25"/>
      <c r="G11" s="26">
        <v>144</v>
      </c>
      <c r="H11" s="26">
        <f>G11*19420</f>
        <v>2796480</v>
      </c>
      <c r="I11" s="25"/>
      <c r="J11" s="26">
        <v>1190000</v>
      </c>
      <c r="K11" s="27"/>
      <c r="L11" s="27"/>
      <c r="M11" s="26"/>
      <c r="N11" s="26"/>
      <c r="O11" s="26">
        <f t="shared" si="0"/>
        <v>3986480</v>
      </c>
      <c r="P11" s="26">
        <v>7150000</v>
      </c>
      <c r="Q11" s="26">
        <f t="shared" si="1"/>
        <v>3163520</v>
      </c>
      <c r="R11" s="46"/>
      <c r="S11" s="10"/>
      <c r="T11" s="10"/>
    </row>
    <row r="12" spans="1:20" ht="24" customHeight="1" x14ac:dyDescent="0.35">
      <c r="A12" s="21">
        <v>5</v>
      </c>
      <c r="B12" s="22">
        <v>45453</v>
      </c>
      <c r="C12" s="23" t="s">
        <v>163</v>
      </c>
      <c r="D12" s="24" t="s">
        <v>1467</v>
      </c>
      <c r="E12" s="23" t="s">
        <v>227</v>
      </c>
      <c r="F12" s="25"/>
      <c r="G12" s="26">
        <v>180</v>
      </c>
      <c r="H12" s="26">
        <f t="shared" ref="H12:H16" si="2">G12*19420</f>
        <v>3495600</v>
      </c>
      <c r="I12" s="25"/>
      <c r="J12" s="26">
        <v>1530000</v>
      </c>
      <c r="K12" s="27"/>
      <c r="L12" s="27"/>
      <c r="M12" s="26"/>
      <c r="N12" s="26"/>
      <c r="O12" s="26">
        <f>H12+J12+K12+L12+M12+N12</f>
        <v>5025600</v>
      </c>
      <c r="P12" s="26">
        <v>8666667</v>
      </c>
      <c r="Q12" s="26">
        <f t="shared" si="1"/>
        <v>3641067</v>
      </c>
      <c r="R12" s="46"/>
      <c r="S12" s="10"/>
      <c r="T12" s="10"/>
    </row>
    <row r="13" spans="1:20" ht="24" customHeight="1" x14ac:dyDescent="0.35">
      <c r="A13" s="21">
        <v>6</v>
      </c>
      <c r="B13" s="22">
        <v>45454</v>
      </c>
      <c r="C13" s="23" t="s">
        <v>808</v>
      </c>
      <c r="D13" s="24" t="s">
        <v>1468</v>
      </c>
      <c r="E13" s="23" t="s">
        <v>750</v>
      </c>
      <c r="F13" s="25"/>
      <c r="G13" s="26">
        <v>59</v>
      </c>
      <c r="H13" s="26">
        <f t="shared" si="2"/>
        <v>1145780</v>
      </c>
      <c r="I13" s="25"/>
      <c r="J13" s="26">
        <v>430000</v>
      </c>
      <c r="K13" s="27"/>
      <c r="L13" s="27"/>
      <c r="M13" s="26"/>
      <c r="N13" s="26"/>
      <c r="O13" s="26">
        <f>H13+J13+K13+L13+M13+N13</f>
        <v>1575780</v>
      </c>
      <c r="P13" s="26">
        <v>3080000</v>
      </c>
      <c r="Q13" s="26">
        <f t="shared" si="1"/>
        <v>1504220</v>
      </c>
      <c r="R13" s="46"/>
      <c r="S13" s="10"/>
      <c r="T13" s="10"/>
    </row>
    <row r="14" spans="1:20" ht="24" customHeight="1" x14ac:dyDescent="0.35">
      <c r="A14" s="21">
        <v>7</v>
      </c>
      <c r="B14" s="22">
        <v>45455</v>
      </c>
      <c r="C14" s="23" t="s">
        <v>164</v>
      </c>
      <c r="D14" s="24" t="s">
        <v>1469</v>
      </c>
      <c r="E14" s="23" t="s">
        <v>227</v>
      </c>
      <c r="F14" s="25"/>
      <c r="G14" s="26">
        <v>193</v>
      </c>
      <c r="H14" s="26">
        <f t="shared" si="2"/>
        <v>3748060</v>
      </c>
      <c r="I14" s="25"/>
      <c r="J14" s="26">
        <v>1530000</v>
      </c>
      <c r="K14" s="27"/>
      <c r="L14" s="27"/>
      <c r="M14" s="26"/>
      <c r="N14" s="26"/>
      <c r="O14" s="26">
        <f t="shared" si="0"/>
        <v>5278060</v>
      </c>
      <c r="P14" s="26">
        <v>9074074</v>
      </c>
      <c r="Q14" s="26">
        <f t="shared" si="1"/>
        <v>3796014</v>
      </c>
      <c r="R14" s="46"/>
      <c r="S14" s="10"/>
      <c r="T14" s="10"/>
    </row>
    <row r="15" spans="1:20" ht="24" customHeight="1" x14ac:dyDescent="0.35">
      <c r="A15" s="21">
        <v>8</v>
      </c>
      <c r="B15" s="22">
        <v>45456</v>
      </c>
      <c r="C15" s="23" t="s">
        <v>1486</v>
      </c>
      <c r="D15" s="24" t="s">
        <v>1470</v>
      </c>
      <c r="E15" s="23" t="s">
        <v>227</v>
      </c>
      <c r="F15" s="25"/>
      <c r="G15" s="26">
        <v>180</v>
      </c>
      <c r="H15" s="26">
        <f t="shared" si="2"/>
        <v>3495600</v>
      </c>
      <c r="I15" s="25"/>
      <c r="J15" s="26">
        <v>1530000</v>
      </c>
      <c r="K15" s="27"/>
      <c r="L15" s="27"/>
      <c r="M15" s="26"/>
      <c r="N15" s="26"/>
      <c r="O15" s="26">
        <f t="shared" si="0"/>
        <v>5025600</v>
      </c>
      <c r="P15" s="26">
        <v>8666667</v>
      </c>
      <c r="Q15" s="26">
        <f t="shared" si="1"/>
        <v>3641067</v>
      </c>
      <c r="R15" s="46"/>
      <c r="S15" s="10"/>
      <c r="T15" s="10"/>
    </row>
    <row r="16" spans="1:20" ht="24" customHeight="1" x14ac:dyDescent="0.35">
      <c r="A16" s="21">
        <v>9</v>
      </c>
      <c r="B16" s="22">
        <v>45460</v>
      </c>
      <c r="C16" s="23" t="s">
        <v>1487</v>
      </c>
      <c r="D16" s="24" t="s">
        <v>1471</v>
      </c>
      <c r="E16" s="23" t="s">
        <v>1480</v>
      </c>
      <c r="F16" s="25"/>
      <c r="G16" s="26">
        <v>48</v>
      </c>
      <c r="H16" s="26">
        <f t="shared" si="2"/>
        <v>932160</v>
      </c>
      <c r="I16" s="25"/>
      <c r="J16" s="26">
        <v>340000</v>
      </c>
      <c r="K16" s="27"/>
      <c r="L16" s="27"/>
      <c r="M16" s="26"/>
      <c r="N16" s="26"/>
      <c r="O16" s="26">
        <f t="shared" si="0"/>
        <v>1272160</v>
      </c>
      <c r="P16" s="26">
        <v>3029259</v>
      </c>
      <c r="Q16" s="26">
        <f t="shared" si="1"/>
        <v>1757099</v>
      </c>
      <c r="R16" s="46"/>
      <c r="S16" s="10"/>
      <c r="T16" s="10"/>
    </row>
    <row r="17" spans="1:20" ht="24" customHeight="1" x14ac:dyDescent="0.35">
      <c r="A17" s="21">
        <v>10</v>
      </c>
      <c r="B17" s="22">
        <v>45460</v>
      </c>
      <c r="C17" s="23" t="s">
        <v>1488</v>
      </c>
      <c r="D17" s="24" t="s">
        <v>1472</v>
      </c>
      <c r="E17" s="23" t="s">
        <v>1481</v>
      </c>
      <c r="F17" s="25"/>
      <c r="G17" s="26">
        <v>98</v>
      </c>
      <c r="H17" s="26">
        <f>G17*19420</f>
        <v>1903160</v>
      </c>
      <c r="I17" s="25"/>
      <c r="J17" s="26">
        <v>790000</v>
      </c>
      <c r="K17" s="27"/>
      <c r="L17" s="27"/>
      <c r="M17" s="26"/>
      <c r="N17" s="26"/>
      <c r="O17" s="26">
        <f t="shared" si="0"/>
        <v>2693160</v>
      </c>
      <c r="P17" s="26">
        <v>4500000</v>
      </c>
      <c r="Q17" s="26">
        <f t="shared" si="1"/>
        <v>1806840</v>
      </c>
      <c r="R17" s="46"/>
      <c r="S17" s="10"/>
      <c r="T17" s="10"/>
    </row>
    <row r="18" spans="1:20" ht="24" customHeight="1" x14ac:dyDescent="0.35">
      <c r="A18" s="21">
        <v>11</v>
      </c>
      <c r="B18" s="22">
        <v>45461</v>
      </c>
      <c r="C18" s="23" t="s">
        <v>811</v>
      </c>
      <c r="D18" s="24" t="s">
        <v>1473</v>
      </c>
      <c r="E18" s="23" t="s">
        <v>227</v>
      </c>
      <c r="F18" s="25"/>
      <c r="G18" s="26">
        <v>215</v>
      </c>
      <c r="H18" s="26">
        <f>G18*19640</f>
        <v>4222600</v>
      </c>
      <c r="I18" s="25"/>
      <c r="J18" s="26">
        <v>1530000</v>
      </c>
      <c r="K18" s="27"/>
      <c r="L18" s="27"/>
      <c r="M18" s="26"/>
      <c r="N18" s="26"/>
      <c r="O18" s="26">
        <f t="shared" si="0"/>
        <v>5752600</v>
      </c>
      <c r="P18" s="26">
        <v>8666667</v>
      </c>
      <c r="Q18" s="26">
        <f t="shared" si="1"/>
        <v>2914067</v>
      </c>
      <c r="R18" s="46"/>
      <c r="S18" s="10"/>
      <c r="T18" s="10"/>
    </row>
    <row r="19" spans="1:20" ht="24" customHeight="1" x14ac:dyDescent="0.35">
      <c r="A19" s="21">
        <v>12</v>
      </c>
      <c r="B19" s="22">
        <v>45462</v>
      </c>
      <c r="C19" s="23" t="s">
        <v>1489</v>
      </c>
      <c r="D19" s="24" t="s">
        <v>1474</v>
      </c>
      <c r="E19" s="23" t="s">
        <v>1482</v>
      </c>
      <c r="F19" s="25"/>
      <c r="G19" s="26">
        <v>343</v>
      </c>
      <c r="H19" s="26">
        <f>G19*20360</f>
        <v>6983480</v>
      </c>
      <c r="I19" s="25"/>
      <c r="J19" s="26">
        <v>3918000</v>
      </c>
      <c r="K19" s="27"/>
      <c r="L19" s="27"/>
      <c r="M19" s="26"/>
      <c r="N19" s="26"/>
      <c r="O19" s="26">
        <f t="shared" si="0"/>
        <v>10901480</v>
      </c>
      <c r="P19" s="26">
        <v>19800000</v>
      </c>
      <c r="Q19" s="26">
        <f t="shared" si="1"/>
        <v>8898520</v>
      </c>
      <c r="R19" s="46"/>
      <c r="S19" s="10"/>
      <c r="T19" s="10"/>
    </row>
    <row r="20" spans="1:20" ht="24" customHeight="1" x14ac:dyDescent="0.35">
      <c r="A20" s="21">
        <v>13</v>
      </c>
      <c r="B20" s="22">
        <v>45464</v>
      </c>
      <c r="C20" s="23" t="s">
        <v>812</v>
      </c>
      <c r="D20" s="24" t="s">
        <v>1475</v>
      </c>
      <c r="E20" s="23" t="s">
        <v>372</v>
      </c>
      <c r="F20" s="25"/>
      <c r="G20" s="26">
        <v>385</v>
      </c>
      <c r="H20" s="26">
        <f t="shared" ref="H20:H22" si="3">G20*20360</f>
        <v>7838600</v>
      </c>
      <c r="I20" s="25"/>
      <c r="J20" s="26">
        <v>4025000</v>
      </c>
      <c r="K20" s="27"/>
      <c r="L20" s="27"/>
      <c r="M20" s="26"/>
      <c r="N20" s="26"/>
      <c r="O20" s="26">
        <f t="shared" si="0"/>
        <v>11863600</v>
      </c>
      <c r="P20" s="26">
        <v>20300000</v>
      </c>
      <c r="Q20" s="26">
        <f t="shared" si="1"/>
        <v>8436400</v>
      </c>
      <c r="R20" s="46"/>
      <c r="S20" s="10"/>
      <c r="T20" s="10"/>
    </row>
    <row r="21" spans="1:20" ht="24" customHeight="1" x14ac:dyDescent="0.35">
      <c r="A21" s="21">
        <v>14</v>
      </c>
      <c r="B21" s="22">
        <v>45466</v>
      </c>
      <c r="C21" s="23" t="s">
        <v>173</v>
      </c>
      <c r="D21" s="24" t="s">
        <v>1476</v>
      </c>
      <c r="E21" s="23" t="s">
        <v>877</v>
      </c>
      <c r="F21" s="25"/>
      <c r="G21" s="26">
        <v>104</v>
      </c>
      <c r="H21" s="26">
        <f t="shared" si="3"/>
        <v>2117440</v>
      </c>
      <c r="I21" s="25"/>
      <c r="J21" s="26">
        <v>790000</v>
      </c>
      <c r="K21" s="27"/>
      <c r="L21" s="27"/>
      <c r="M21" s="26"/>
      <c r="N21" s="26"/>
      <c r="O21" s="26">
        <f t="shared" si="0"/>
        <v>2907440</v>
      </c>
      <c r="P21" s="26">
        <v>4450000</v>
      </c>
      <c r="Q21" s="26">
        <f t="shared" si="1"/>
        <v>1542560</v>
      </c>
      <c r="R21" s="46"/>
      <c r="S21" s="10"/>
      <c r="T21" s="10"/>
    </row>
    <row r="22" spans="1:20" ht="24" customHeight="1" x14ac:dyDescent="0.35">
      <c r="A22" s="21">
        <v>15</v>
      </c>
      <c r="B22" s="22">
        <v>45467</v>
      </c>
      <c r="C22" s="23" t="s">
        <v>1490</v>
      </c>
      <c r="D22" s="24" t="s">
        <v>1477</v>
      </c>
      <c r="E22" s="23" t="s">
        <v>1483</v>
      </c>
      <c r="F22" s="25"/>
      <c r="G22" s="26">
        <v>392</v>
      </c>
      <c r="H22" s="26">
        <f t="shared" si="3"/>
        <v>7981120</v>
      </c>
      <c r="I22" s="25"/>
      <c r="J22" s="26">
        <v>3918000</v>
      </c>
      <c r="K22" s="27"/>
      <c r="L22" s="27"/>
      <c r="M22" s="26"/>
      <c r="N22" s="26"/>
      <c r="O22" s="26">
        <f t="shared" si="0"/>
        <v>11899120</v>
      </c>
      <c r="P22" s="26">
        <v>20950000</v>
      </c>
      <c r="Q22" s="26">
        <f t="shared" si="1"/>
        <v>9050880</v>
      </c>
      <c r="R22" s="46"/>
      <c r="S22" s="10"/>
      <c r="T22" s="10"/>
    </row>
    <row r="23" spans="1:20" ht="24" customHeight="1" x14ac:dyDescent="0.35">
      <c r="A23" s="21">
        <v>16</v>
      </c>
      <c r="B23" s="22">
        <v>45469</v>
      </c>
      <c r="C23" s="23" t="s">
        <v>799</v>
      </c>
      <c r="D23" s="24" t="s">
        <v>1478</v>
      </c>
      <c r="E23" s="23" t="s">
        <v>249</v>
      </c>
      <c r="F23" s="25"/>
      <c r="G23" s="26">
        <v>247</v>
      </c>
      <c r="H23" s="26">
        <f>G23*20680</f>
        <v>5107960</v>
      </c>
      <c r="I23" s="25"/>
      <c r="J23" s="26">
        <v>2380000</v>
      </c>
      <c r="K23" s="27"/>
      <c r="L23" s="27"/>
      <c r="M23" s="26"/>
      <c r="N23" s="26"/>
      <c r="O23" s="26">
        <f t="shared" si="0"/>
        <v>7487960</v>
      </c>
      <c r="P23" s="26">
        <v>12314815</v>
      </c>
      <c r="Q23" s="26">
        <f t="shared" si="1"/>
        <v>4826855</v>
      </c>
      <c r="R23" s="46"/>
      <c r="S23" s="10"/>
      <c r="T23" s="10"/>
    </row>
    <row r="24" spans="1:20" ht="24" customHeight="1" x14ac:dyDescent="0.35">
      <c r="A24" s="21">
        <v>17</v>
      </c>
      <c r="B24" s="22">
        <v>45469</v>
      </c>
      <c r="C24" s="23" t="s">
        <v>1491</v>
      </c>
      <c r="D24" s="24" t="s">
        <v>1479</v>
      </c>
      <c r="E24" s="23" t="s">
        <v>1483</v>
      </c>
      <c r="F24" s="25"/>
      <c r="G24" s="26">
        <v>392</v>
      </c>
      <c r="H24" s="26">
        <f>G24*20680</f>
        <v>8106560</v>
      </c>
      <c r="I24" s="25"/>
      <c r="J24" s="26">
        <v>4025000</v>
      </c>
      <c r="K24" s="27"/>
      <c r="L24" s="27"/>
      <c r="M24" s="26"/>
      <c r="N24" s="26"/>
      <c r="O24" s="26">
        <f t="shared" si="0"/>
        <v>12131560</v>
      </c>
      <c r="P24" s="26">
        <v>20950000</v>
      </c>
      <c r="Q24" s="26">
        <f t="shared" si="1"/>
        <v>8818440</v>
      </c>
      <c r="R24" s="46"/>
      <c r="S24" s="10"/>
      <c r="T24" s="10"/>
    </row>
    <row r="25" spans="1:20" ht="24" customHeight="1" x14ac:dyDescent="0.35">
      <c r="A25" s="21"/>
      <c r="B25" s="22"/>
      <c r="C25" s="139" t="s">
        <v>44</v>
      </c>
      <c r="D25" s="140"/>
      <c r="E25" s="140"/>
      <c r="F25" s="141"/>
      <c r="G25" s="54"/>
      <c r="H25" s="53"/>
      <c r="I25" s="54"/>
      <c r="J25" s="53"/>
      <c r="K25" s="51">
        <v>1200000</v>
      </c>
      <c r="L25" s="51"/>
      <c r="M25" s="26"/>
      <c r="N25" s="26"/>
      <c r="O25" s="26">
        <f>K25+L25+M25+N25</f>
        <v>1200000</v>
      </c>
      <c r="P25" s="26"/>
      <c r="Q25" s="30"/>
      <c r="R25" s="46"/>
      <c r="S25" s="10"/>
      <c r="T25" s="10"/>
    </row>
    <row r="26" spans="1:20" ht="24" customHeight="1" x14ac:dyDescent="0.35">
      <c r="A26" s="25"/>
      <c r="B26" s="28"/>
      <c r="C26" s="139" t="s">
        <v>391</v>
      </c>
      <c r="D26" s="140"/>
      <c r="E26" s="140"/>
      <c r="F26" s="141"/>
      <c r="G26" s="51"/>
      <c r="H26" s="51"/>
      <c r="I26" s="52"/>
      <c r="J26" s="51"/>
      <c r="K26" s="51">
        <v>14268480</v>
      </c>
      <c r="L26" s="51"/>
      <c r="M26" s="53"/>
      <c r="N26" s="53"/>
      <c r="O26" s="26">
        <f t="shared" ref="O26:O43" si="4">K26+L26+M26+N26</f>
        <v>14268480</v>
      </c>
      <c r="P26" s="26"/>
      <c r="Q26" s="30"/>
      <c r="R26" s="46"/>
      <c r="S26" s="10"/>
      <c r="T26" s="10"/>
    </row>
    <row r="27" spans="1:20" ht="24" customHeight="1" x14ac:dyDescent="0.35">
      <c r="A27" s="25"/>
      <c r="B27" s="28"/>
      <c r="C27" s="139" t="s">
        <v>1524</v>
      </c>
      <c r="D27" s="140"/>
      <c r="E27" s="140"/>
      <c r="F27" s="141"/>
      <c r="G27" s="51"/>
      <c r="H27" s="51"/>
      <c r="I27" s="52"/>
      <c r="J27" s="51"/>
      <c r="K27" s="51"/>
      <c r="L27" s="51">
        <v>6000000</v>
      </c>
      <c r="M27" s="53"/>
      <c r="N27" s="53"/>
      <c r="O27" s="26">
        <f t="shared" si="4"/>
        <v>6000000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1525</v>
      </c>
      <c r="D28" s="140"/>
      <c r="E28" s="140"/>
      <c r="F28" s="141"/>
      <c r="G28" s="51"/>
      <c r="H28" s="51"/>
      <c r="I28" s="52"/>
      <c r="J28" s="51"/>
      <c r="K28" s="51"/>
      <c r="L28" s="51">
        <v>2000000</v>
      </c>
      <c r="M28" s="53"/>
      <c r="N28" s="53"/>
      <c r="O28" s="26">
        <f t="shared" si="4"/>
        <v>2000000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1526</v>
      </c>
      <c r="D29" s="140"/>
      <c r="E29" s="140"/>
      <c r="F29" s="141"/>
      <c r="G29" s="51"/>
      <c r="H29" s="51"/>
      <c r="I29" s="52"/>
      <c r="J29" s="51"/>
      <c r="K29" s="51"/>
      <c r="L29" s="51">
        <v>150000</v>
      </c>
      <c r="M29" s="53"/>
      <c r="N29" s="53"/>
      <c r="O29" s="26">
        <f t="shared" si="4"/>
        <v>150000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1528</v>
      </c>
      <c r="D30" s="140"/>
      <c r="E30" s="140"/>
      <c r="F30" s="141"/>
      <c r="G30" s="51"/>
      <c r="H30" s="51"/>
      <c r="I30" s="52"/>
      <c r="J30" s="51"/>
      <c r="K30" s="51"/>
      <c r="L30" s="51">
        <v>120000</v>
      </c>
      <c r="M30" s="53"/>
      <c r="N30" s="53"/>
      <c r="O30" s="26">
        <f t="shared" si="4"/>
        <v>120000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1529</v>
      </c>
      <c r="D31" s="140"/>
      <c r="E31" s="140"/>
      <c r="F31" s="141"/>
      <c r="G31" s="51"/>
      <c r="H31" s="51"/>
      <c r="I31" s="52"/>
      <c r="J31" s="51"/>
      <c r="K31" s="51"/>
      <c r="L31" s="51">
        <v>70000</v>
      </c>
      <c r="M31" s="53"/>
      <c r="N31" s="53"/>
      <c r="O31" s="26">
        <f t="shared" si="4"/>
        <v>70000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1530</v>
      </c>
      <c r="D32" s="140"/>
      <c r="E32" s="140"/>
      <c r="F32" s="141"/>
      <c r="G32" s="51"/>
      <c r="H32" s="51"/>
      <c r="I32" s="52"/>
      <c r="J32" s="51"/>
      <c r="K32" s="51"/>
      <c r="L32" s="51">
        <v>75000</v>
      </c>
      <c r="M32" s="53"/>
      <c r="N32" s="53"/>
      <c r="O32" s="26">
        <f t="shared" si="4"/>
        <v>75000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1531</v>
      </c>
      <c r="D33" s="140"/>
      <c r="E33" s="140"/>
      <c r="F33" s="141"/>
      <c r="G33" s="51"/>
      <c r="H33" s="51"/>
      <c r="I33" s="52"/>
      <c r="J33" s="51"/>
      <c r="K33" s="51"/>
      <c r="L33" s="51">
        <v>75000</v>
      </c>
      <c r="M33" s="53"/>
      <c r="N33" s="53"/>
      <c r="O33" s="26">
        <f t="shared" si="4"/>
        <v>75000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1532</v>
      </c>
      <c r="D34" s="140"/>
      <c r="E34" s="140"/>
      <c r="F34" s="141"/>
      <c r="G34" s="51"/>
      <c r="H34" s="51"/>
      <c r="I34" s="52"/>
      <c r="J34" s="51"/>
      <c r="K34" s="51"/>
      <c r="L34" s="51">
        <v>65000</v>
      </c>
      <c r="M34" s="53"/>
      <c r="N34" s="53"/>
      <c r="O34" s="26">
        <f t="shared" si="4"/>
        <v>65000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1534</v>
      </c>
      <c r="D35" s="140"/>
      <c r="E35" s="140"/>
      <c r="F35" s="141"/>
      <c r="G35" s="51"/>
      <c r="H35" s="51"/>
      <c r="I35" s="52"/>
      <c r="J35" s="51"/>
      <c r="K35" s="51"/>
      <c r="L35" s="51">
        <v>250000</v>
      </c>
      <c r="M35" s="53"/>
      <c r="N35" s="53"/>
      <c r="O35" s="26">
        <f t="shared" si="4"/>
        <v>250000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1535</v>
      </c>
      <c r="D36" s="140"/>
      <c r="E36" s="140"/>
      <c r="F36" s="141"/>
      <c r="G36" s="51"/>
      <c r="H36" s="51"/>
      <c r="I36" s="52"/>
      <c r="J36" s="51"/>
      <c r="K36" s="51"/>
      <c r="L36" s="51">
        <v>60000</v>
      </c>
      <c r="M36" s="53"/>
      <c r="N36" s="53"/>
      <c r="O36" s="26">
        <f t="shared" si="4"/>
        <v>60000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1536</v>
      </c>
      <c r="D37" s="140"/>
      <c r="E37" s="140"/>
      <c r="F37" s="141"/>
      <c r="G37" s="51"/>
      <c r="H37" s="51"/>
      <c r="I37" s="52"/>
      <c r="J37" s="51"/>
      <c r="K37" s="51"/>
      <c r="L37" s="51">
        <v>540000</v>
      </c>
      <c r="M37" s="53"/>
      <c r="N37" s="53"/>
      <c r="O37" s="26">
        <f t="shared" si="4"/>
        <v>540000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1543</v>
      </c>
      <c r="D38" s="140"/>
      <c r="E38" s="140"/>
      <c r="F38" s="141"/>
      <c r="G38" s="51"/>
      <c r="H38" s="51"/>
      <c r="I38" s="52"/>
      <c r="J38" s="51"/>
      <c r="K38" s="51"/>
      <c r="L38" s="51">
        <v>1566000</v>
      </c>
      <c r="M38" s="53"/>
      <c r="N38" s="53"/>
      <c r="O38" s="26">
        <f t="shared" si="4"/>
        <v>1566000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1722</v>
      </c>
      <c r="D39" s="140"/>
      <c r="E39" s="140"/>
      <c r="F39" s="141"/>
      <c r="G39" s="51"/>
      <c r="H39" s="51"/>
      <c r="I39" s="52"/>
      <c r="J39" s="51"/>
      <c r="K39" s="51"/>
      <c r="L39" s="51">
        <v>250000</v>
      </c>
      <c r="M39" s="53"/>
      <c r="N39" s="53"/>
      <c r="O39" s="26">
        <f t="shared" si="4"/>
        <v>250000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1764</v>
      </c>
      <c r="D40" s="140"/>
      <c r="E40" s="140"/>
      <c r="F40" s="141"/>
      <c r="G40" s="51"/>
      <c r="H40" s="51"/>
      <c r="I40" s="52"/>
      <c r="J40" s="51"/>
      <c r="K40" s="51"/>
      <c r="L40" s="51">
        <v>2300000</v>
      </c>
      <c r="M40" s="53"/>
      <c r="N40" s="53"/>
      <c r="O40" s="26">
        <f t="shared" si="4"/>
        <v>2300000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1726</v>
      </c>
      <c r="D41" s="140"/>
      <c r="E41" s="140"/>
      <c r="F41" s="141"/>
      <c r="G41" s="51"/>
      <c r="H41" s="51"/>
      <c r="I41" s="52"/>
      <c r="J41" s="51"/>
      <c r="K41" s="51"/>
      <c r="L41" s="51"/>
      <c r="M41" s="53">
        <v>9600000</v>
      </c>
      <c r="N41" s="53"/>
      <c r="O41" s="26">
        <f t="shared" si="4"/>
        <v>9600000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1736</v>
      </c>
      <c r="D42" s="140"/>
      <c r="E42" s="140"/>
      <c r="F42" s="141"/>
      <c r="G42" s="51"/>
      <c r="H42" s="51"/>
      <c r="I42" s="52"/>
      <c r="J42" s="51"/>
      <c r="K42" s="51"/>
      <c r="L42" s="51">
        <v>1380000</v>
      </c>
      <c r="M42" s="53"/>
      <c r="N42" s="53"/>
      <c r="O42" s="26">
        <f t="shared" si="4"/>
        <v>1380000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5"/>
      <c r="C43" s="139" t="s">
        <v>556</v>
      </c>
      <c r="D43" s="140"/>
      <c r="E43" s="140"/>
      <c r="F43" s="141"/>
      <c r="G43" s="54"/>
      <c r="H43" s="53"/>
      <c r="I43" s="54"/>
      <c r="J43" s="53"/>
      <c r="K43" s="51">
        <v>8000000</v>
      </c>
      <c r="L43" s="53"/>
      <c r="M43" s="53"/>
      <c r="N43" s="53"/>
      <c r="O43" s="26">
        <f t="shared" si="4"/>
        <v>8000000</v>
      </c>
      <c r="P43" s="26"/>
      <c r="Q43" s="26"/>
      <c r="R43" s="48"/>
    </row>
    <row r="44" spans="1:20" ht="24" customHeight="1" x14ac:dyDescent="0.35">
      <c r="A44" s="136" t="s">
        <v>45</v>
      </c>
      <c r="B44" s="137"/>
      <c r="C44" s="137"/>
      <c r="D44" s="137"/>
      <c r="E44" s="137"/>
      <c r="F44" s="138"/>
      <c r="G44" s="33">
        <f>SUM(G8:G43)</f>
        <v>4128</v>
      </c>
      <c r="H44" s="34">
        <f t="shared" ref="H44:N44" si="5">SUM(H7:H43)</f>
        <v>82415160</v>
      </c>
      <c r="I44" s="34">
        <f t="shared" si="5"/>
        <v>0</v>
      </c>
      <c r="J44" s="34">
        <f t="shared" si="5"/>
        <v>39947000</v>
      </c>
      <c r="K44" s="34">
        <f t="shared" si="5"/>
        <v>23468480</v>
      </c>
      <c r="L44" s="34">
        <f t="shared" si="5"/>
        <v>14901000</v>
      </c>
      <c r="M44" s="34">
        <f t="shared" si="5"/>
        <v>9600000</v>
      </c>
      <c r="N44" s="34">
        <f t="shared" si="5"/>
        <v>0</v>
      </c>
      <c r="O44" s="34">
        <f>SUM(O8:O43)</f>
        <v>170331640</v>
      </c>
      <c r="P44" s="34">
        <f>SUM(P8:P43)</f>
        <v>212498149</v>
      </c>
      <c r="Q44" s="34">
        <f>P44-O44</f>
        <v>42166509</v>
      </c>
      <c r="R44" s="50"/>
    </row>
    <row r="45" spans="1:20" x14ac:dyDescent="0.35">
      <c r="O45" s="35"/>
      <c r="Q45" s="36"/>
    </row>
    <row r="46" spans="1:20" x14ac:dyDescent="0.35">
      <c r="O46" s="37"/>
      <c r="P46" s="38" t="s">
        <v>46</v>
      </c>
      <c r="Q46" s="39">
        <f>'05.2024'!Q37+'06.2024'!Q44</f>
        <v>55203164</v>
      </c>
    </row>
    <row r="47" spans="1:20" x14ac:dyDescent="0.35">
      <c r="O47" s="37"/>
      <c r="P47" s="38"/>
      <c r="Q47" s="39"/>
    </row>
    <row r="48" spans="1:20" x14ac:dyDescent="0.35">
      <c r="O48" s="37"/>
      <c r="P48" s="38"/>
      <c r="Q48" s="39"/>
    </row>
    <row r="49" spans="2:18" x14ac:dyDescent="0.35">
      <c r="P49" s="37"/>
      <c r="Q49" s="37"/>
      <c r="R49" s="50"/>
    </row>
    <row r="50" spans="2:18" x14ac:dyDescent="0.35">
      <c r="B50" s="8"/>
    </row>
    <row r="51" spans="2:18" x14ac:dyDescent="0.35">
      <c r="B51" s="8"/>
    </row>
    <row r="52" spans="2:18" x14ac:dyDescent="0.35">
      <c r="B52" s="8"/>
    </row>
    <row r="53" spans="2:18" x14ac:dyDescent="0.35">
      <c r="B53" s="8"/>
      <c r="H53" s="8"/>
      <c r="J53" s="8"/>
      <c r="K53" s="8"/>
      <c r="L53" s="8"/>
      <c r="M53" s="8"/>
      <c r="N53" s="8"/>
      <c r="O53" s="8"/>
      <c r="P53" s="8"/>
      <c r="Q53" s="8"/>
      <c r="R53" s="8"/>
    </row>
  </sheetData>
  <mergeCells count="39">
    <mergeCell ref="C43:F43"/>
    <mergeCell ref="A44:F44"/>
    <mergeCell ref="C37:F37"/>
    <mergeCell ref="C38:F38"/>
    <mergeCell ref="C39:F39"/>
    <mergeCell ref="C41:F41"/>
    <mergeCell ref="C42:F42"/>
    <mergeCell ref="C40:F40"/>
    <mergeCell ref="C32:F32"/>
    <mergeCell ref="C34:F34"/>
    <mergeCell ref="C35:F35"/>
    <mergeCell ref="C36:F36"/>
    <mergeCell ref="C33:F33"/>
    <mergeCell ref="N5:N6"/>
    <mergeCell ref="C31:F31"/>
    <mergeCell ref="K5:K6"/>
    <mergeCell ref="L5:L6"/>
    <mergeCell ref="C30:F30"/>
    <mergeCell ref="C28:F28"/>
    <mergeCell ref="C29:F29"/>
    <mergeCell ref="C27:F27"/>
    <mergeCell ref="C25:F25"/>
    <mergeCell ref="C26:F26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D642-802C-4DD9-87F7-575312AAF5EA}">
  <dimension ref="A1:T56"/>
  <sheetViews>
    <sheetView topLeftCell="E43" workbookViewId="0">
      <selection activeCell="L43" sqref="L43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1544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45474</v>
      </c>
      <c r="C8" s="97" t="s">
        <v>1545</v>
      </c>
      <c r="D8" s="98" t="s">
        <v>1558</v>
      </c>
      <c r="E8" s="97" t="s">
        <v>227</v>
      </c>
      <c r="F8" s="99"/>
      <c r="G8" s="104">
        <v>180</v>
      </c>
      <c r="H8" s="104">
        <f>G8*21170</f>
        <v>3810600</v>
      </c>
      <c r="I8" s="99"/>
      <c r="J8" s="104">
        <v>1530000</v>
      </c>
      <c r="K8" s="103"/>
      <c r="L8" s="103"/>
      <c r="M8" s="104"/>
      <c r="N8" s="104"/>
      <c r="O8" s="104">
        <f>H8+J8+K8+L8+M8+N8</f>
        <v>5340600</v>
      </c>
      <c r="P8" s="104">
        <v>8666667</v>
      </c>
      <c r="Q8" s="104">
        <f>P8-O8</f>
        <v>3326067</v>
      </c>
      <c r="R8" s="46"/>
      <c r="S8" s="10"/>
      <c r="T8" s="10"/>
    </row>
    <row r="9" spans="1:20" ht="24" customHeight="1" x14ac:dyDescent="0.35">
      <c r="A9" s="21">
        <v>2</v>
      </c>
      <c r="B9" s="22">
        <v>45475</v>
      </c>
      <c r="C9" s="23" t="s">
        <v>1546</v>
      </c>
      <c r="D9" s="24" t="s">
        <v>1559</v>
      </c>
      <c r="E9" s="23" t="s">
        <v>227</v>
      </c>
      <c r="F9" s="25"/>
      <c r="G9" s="26">
        <v>183</v>
      </c>
      <c r="H9" s="26">
        <f t="shared" ref="H9:H13" si="0">G9*21170</f>
        <v>3874110</v>
      </c>
      <c r="I9" s="25"/>
      <c r="J9" s="26">
        <v>1530000</v>
      </c>
      <c r="K9" s="27"/>
      <c r="L9" s="27"/>
      <c r="M9" s="26"/>
      <c r="N9" s="26"/>
      <c r="O9" s="26">
        <f t="shared" ref="O9:O28" si="1">H9+J9+K9+L9+M9+N9</f>
        <v>5404110</v>
      </c>
      <c r="P9" s="26">
        <v>8666667</v>
      </c>
      <c r="Q9" s="26">
        <f t="shared" ref="Q9:Q28" si="2">P9-O9</f>
        <v>3262557</v>
      </c>
      <c r="R9" s="46"/>
      <c r="S9" s="10"/>
      <c r="T9" s="10"/>
    </row>
    <row r="10" spans="1:20" ht="24" customHeight="1" x14ac:dyDescent="0.35">
      <c r="A10" s="21">
        <v>3</v>
      </c>
      <c r="B10" s="22">
        <v>45476</v>
      </c>
      <c r="C10" s="23" t="s">
        <v>1547</v>
      </c>
      <c r="D10" s="24" t="s">
        <v>1560</v>
      </c>
      <c r="E10" s="23" t="s">
        <v>1578</v>
      </c>
      <c r="F10" s="25"/>
      <c r="G10" s="26">
        <v>79</v>
      </c>
      <c r="H10" s="26">
        <f t="shared" si="0"/>
        <v>1672430</v>
      </c>
      <c r="I10" s="25"/>
      <c r="J10" s="26">
        <v>790000</v>
      </c>
      <c r="K10" s="27"/>
      <c r="L10" s="27"/>
      <c r="M10" s="26"/>
      <c r="N10" s="26"/>
      <c r="O10" s="26">
        <f t="shared" si="1"/>
        <v>2462430</v>
      </c>
      <c r="P10" s="26">
        <v>4090000</v>
      </c>
      <c r="Q10" s="26">
        <f t="shared" si="2"/>
        <v>1627570</v>
      </c>
      <c r="R10" s="46"/>
      <c r="S10" s="10"/>
      <c r="T10" s="10"/>
    </row>
    <row r="11" spans="1:20" ht="24" customHeight="1" x14ac:dyDescent="0.35">
      <c r="A11" s="21">
        <v>4</v>
      </c>
      <c r="B11" s="22">
        <v>45477</v>
      </c>
      <c r="C11" s="23" t="s">
        <v>1548</v>
      </c>
      <c r="D11" s="24" t="s">
        <v>1561</v>
      </c>
      <c r="E11" s="23" t="s">
        <v>1579</v>
      </c>
      <c r="F11" s="25"/>
      <c r="G11" s="26">
        <v>66</v>
      </c>
      <c r="H11" s="26">
        <f t="shared" si="0"/>
        <v>1397220</v>
      </c>
      <c r="I11" s="25"/>
      <c r="J11" s="26">
        <v>430000</v>
      </c>
      <c r="K11" s="27"/>
      <c r="L11" s="27"/>
      <c r="M11" s="26"/>
      <c r="N11" s="26"/>
      <c r="O11" s="26">
        <f t="shared" si="1"/>
        <v>1827220</v>
      </c>
      <c r="P11" s="26">
        <v>3200000</v>
      </c>
      <c r="Q11" s="26">
        <f t="shared" si="2"/>
        <v>1372780</v>
      </c>
      <c r="R11" s="46"/>
      <c r="S11" s="10"/>
      <c r="T11" s="10"/>
    </row>
    <row r="12" spans="1:20" ht="24" customHeight="1" x14ac:dyDescent="0.35">
      <c r="A12" s="21">
        <v>5</v>
      </c>
      <c r="B12" s="22">
        <v>45478</v>
      </c>
      <c r="C12" s="23" t="s">
        <v>1549</v>
      </c>
      <c r="D12" s="24" t="s">
        <v>1562</v>
      </c>
      <c r="E12" s="23" t="s">
        <v>1580</v>
      </c>
      <c r="F12" s="25"/>
      <c r="G12" s="26">
        <v>25</v>
      </c>
      <c r="H12" s="26">
        <f t="shared" si="0"/>
        <v>529250</v>
      </c>
      <c r="I12" s="25"/>
      <c r="J12" s="26">
        <v>300000</v>
      </c>
      <c r="K12" s="27"/>
      <c r="L12" s="27"/>
      <c r="M12" s="26"/>
      <c r="N12" s="26"/>
      <c r="O12" s="26">
        <f>H12+J12+K12+L12+M12+N12</f>
        <v>829250</v>
      </c>
      <c r="P12" s="26">
        <v>1600000</v>
      </c>
      <c r="Q12" s="26">
        <f t="shared" si="2"/>
        <v>770750</v>
      </c>
      <c r="R12" s="46"/>
      <c r="S12" s="10"/>
      <c r="T12" s="10"/>
    </row>
    <row r="13" spans="1:20" ht="24" customHeight="1" x14ac:dyDescent="0.35">
      <c r="A13" s="21">
        <v>6</v>
      </c>
      <c r="B13" s="22">
        <v>45479</v>
      </c>
      <c r="C13" s="23" t="s">
        <v>271</v>
      </c>
      <c r="D13" s="24" t="s">
        <v>1563</v>
      </c>
      <c r="E13" s="23" t="s">
        <v>372</v>
      </c>
      <c r="F13" s="25"/>
      <c r="G13" s="26">
        <v>385</v>
      </c>
      <c r="H13" s="26">
        <f t="shared" si="0"/>
        <v>8150450</v>
      </c>
      <c r="I13" s="25"/>
      <c r="J13" s="26">
        <v>3868000</v>
      </c>
      <c r="K13" s="27"/>
      <c r="L13" s="27"/>
      <c r="M13" s="26"/>
      <c r="N13" s="26"/>
      <c r="O13" s="26">
        <f>H13+J13+K13+L13+M13+N13</f>
        <v>12018450</v>
      </c>
      <c r="P13" s="26">
        <v>20900000</v>
      </c>
      <c r="Q13" s="26">
        <f t="shared" si="2"/>
        <v>8881550</v>
      </c>
      <c r="R13" s="46"/>
      <c r="S13" s="10"/>
      <c r="T13" s="10"/>
    </row>
    <row r="14" spans="1:20" ht="24" customHeight="1" x14ac:dyDescent="0.35">
      <c r="A14" s="21">
        <v>7</v>
      </c>
      <c r="B14" s="22">
        <v>45481</v>
      </c>
      <c r="C14" s="23" t="s">
        <v>1550</v>
      </c>
      <c r="D14" s="24" t="s">
        <v>1564</v>
      </c>
      <c r="E14" s="23" t="s">
        <v>1581</v>
      </c>
      <c r="F14" s="25"/>
      <c r="G14" s="26">
        <v>95</v>
      </c>
      <c r="H14" s="26">
        <f>G14*20830</f>
        <v>1978850</v>
      </c>
      <c r="I14" s="25"/>
      <c r="J14" s="26">
        <v>530000</v>
      </c>
      <c r="K14" s="27"/>
      <c r="L14" s="27"/>
      <c r="M14" s="26"/>
      <c r="N14" s="26"/>
      <c r="O14" s="26">
        <f t="shared" si="1"/>
        <v>2508850</v>
      </c>
      <c r="P14" s="26">
        <v>4600000</v>
      </c>
      <c r="Q14" s="26">
        <f t="shared" si="2"/>
        <v>2091150</v>
      </c>
      <c r="R14" s="46"/>
      <c r="S14" s="10"/>
      <c r="T14" s="10"/>
    </row>
    <row r="15" spans="1:20" ht="24" customHeight="1" x14ac:dyDescent="0.35">
      <c r="A15" s="21">
        <v>8</v>
      </c>
      <c r="B15" s="22">
        <v>45482</v>
      </c>
      <c r="C15" s="23" t="s">
        <v>886</v>
      </c>
      <c r="D15" s="24" t="s">
        <v>1565</v>
      </c>
      <c r="E15" s="23" t="s">
        <v>1582</v>
      </c>
      <c r="F15" s="25"/>
      <c r="G15" s="26">
        <v>98</v>
      </c>
      <c r="H15" s="26">
        <f t="shared" ref="H15:H19" si="3">G15*20830</f>
        <v>2041340</v>
      </c>
      <c r="I15" s="25"/>
      <c r="J15" s="26">
        <v>430000</v>
      </c>
      <c r="K15" s="27"/>
      <c r="L15" s="27"/>
      <c r="M15" s="26"/>
      <c r="N15" s="26"/>
      <c r="O15" s="26">
        <f t="shared" si="1"/>
        <v>2471340</v>
      </c>
      <c r="P15" s="26">
        <v>4400000</v>
      </c>
      <c r="Q15" s="26">
        <f t="shared" si="2"/>
        <v>1928660</v>
      </c>
      <c r="R15" s="46"/>
      <c r="S15" s="10"/>
      <c r="T15" s="10"/>
    </row>
    <row r="16" spans="1:20" ht="24" customHeight="1" x14ac:dyDescent="0.35">
      <c r="A16" s="21">
        <v>9</v>
      </c>
      <c r="B16" s="22">
        <v>45483</v>
      </c>
      <c r="C16" s="23" t="s">
        <v>887</v>
      </c>
      <c r="D16" s="24" t="s">
        <v>1566</v>
      </c>
      <c r="E16" s="23" t="s">
        <v>1583</v>
      </c>
      <c r="F16" s="25"/>
      <c r="G16" s="26">
        <v>48</v>
      </c>
      <c r="H16" s="26">
        <f t="shared" si="3"/>
        <v>999840</v>
      </c>
      <c r="I16" s="25"/>
      <c r="J16" s="26">
        <v>340000</v>
      </c>
      <c r="K16" s="27"/>
      <c r="L16" s="27"/>
      <c r="M16" s="26"/>
      <c r="N16" s="26"/>
      <c r="O16" s="26">
        <f t="shared" si="1"/>
        <v>1339840</v>
      </c>
      <c r="P16" s="26">
        <v>3029259</v>
      </c>
      <c r="Q16" s="26">
        <f t="shared" si="2"/>
        <v>1689419</v>
      </c>
      <c r="R16" s="46"/>
      <c r="S16" s="10"/>
      <c r="T16" s="10"/>
    </row>
    <row r="17" spans="1:20" ht="24" customHeight="1" x14ac:dyDescent="0.35">
      <c r="A17" s="21">
        <v>10</v>
      </c>
      <c r="B17" s="22">
        <v>45484</v>
      </c>
      <c r="C17" s="23" t="s">
        <v>888</v>
      </c>
      <c r="D17" s="24" t="s">
        <v>1567</v>
      </c>
      <c r="E17" s="23" t="s">
        <v>372</v>
      </c>
      <c r="F17" s="25"/>
      <c r="G17" s="26">
        <v>385</v>
      </c>
      <c r="H17" s="26">
        <f t="shared" si="3"/>
        <v>8019550</v>
      </c>
      <c r="I17" s="25"/>
      <c r="J17" s="26">
        <v>3868000</v>
      </c>
      <c r="K17" s="27"/>
      <c r="L17" s="27"/>
      <c r="M17" s="26"/>
      <c r="N17" s="26"/>
      <c r="O17" s="26">
        <f t="shared" si="1"/>
        <v>11887550</v>
      </c>
      <c r="P17" s="26">
        <v>20900000</v>
      </c>
      <c r="Q17" s="26">
        <f t="shared" si="2"/>
        <v>9012450</v>
      </c>
      <c r="R17" s="46"/>
      <c r="S17" s="10"/>
      <c r="T17" s="10"/>
    </row>
    <row r="18" spans="1:20" ht="24" customHeight="1" x14ac:dyDescent="0.35">
      <c r="A18" s="21">
        <v>11</v>
      </c>
      <c r="B18" s="22">
        <v>45485</v>
      </c>
      <c r="C18" s="23" t="s">
        <v>889</v>
      </c>
      <c r="D18" s="24" t="s">
        <v>1568</v>
      </c>
      <c r="E18" s="23" t="s">
        <v>372</v>
      </c>
      <c r="F18" s="25"/>
      <c r="G18" s="26">
        <v>382</v>
      </c>
      <c r="H18" s="26">
        <f t="shared" si="3"/>
        <v>7957060</v>
      </c>
      <c r="I18" s="25"/>
      <c r="J18" s="26">
        <v>4025000</v>
      </c>
      <c r="K18" s="27"/>
      <c r="L18" s="27"/>
      <c r="M18" s="26"/>
      <c r="N18" s="26"/>
      <c r="O18" s="26">
        <f t="shared" si="1"/>
        <v>11982060</v>
      </c>
      <c r="P18" s="26">
        <v>20900000</v>
      </c>
      <c r="Q18" s="26">
        <f t="shared" si="2"/>
        <v>8917940</v>
      </c>
      <c r="R18" s="46"/>
      <c r="S18" s="10"/>
      <c r="T18" s="10"/>
    </row>
    <row r="19" spans="1:20" ht="24" customHeight="1" x14ac:dyDescent="0.35">
      <c r="A19" s="21">
        <v>12</v>
      </c>
      <c r="B19" s="22">
        <v>45488</v>
      </c>
      <c r="C19" s="23" t="s">
        <v>278</v>
      </c>
      <c r="D19" s="24" t="s">
        <v>1569</v>
      </c>
      <c r="E19" s="23" t="s">
        <v>61</v>
      </c>
      <c r="F19" s="25"/>
      <c r="G19" s="26">
        <v>273</v>
      </c>
      <c r="H19" s="26">
        <f t="shared" si="3"/>
        <v>5686590</v>
      </c>
      <c r="I19" s="25"/>
      <c r="J19" s="26">
        <v>3187000</v>
      </c>
      <c r="K19" s="27"/>
      <c r="L19" s="27"/>
      <c r="M19" s="26"/>
      <c r="N19" s="26"/>
      <c r="O19" s="26">
        <f t="shared" si="1"/>
        <v>8873590</v>
      </c>
      <c r="P19" s="26">
        <v>14600000</v>
      </c>
      <c r="Q19" s="26">
        <f t="shared" si="2"/>
        <v>5726410</v>
      </c>
      <c r="R19" s="46"/>
      <c r="S19" s="10"/>
      <c r="T19" s="10"/>
    </row>
    <row r="20" spans="1:20" ht="24" customHeight="1" x14ac:dyDescent="0.35">
      <c r="A20" s="21">
        <v>13</v>
      </c>
      <c r="B20" s="22">
        <v>45491</v>
      </c>
      <c r="C20" s="23" t="s">
        <v>1551</v>
      </c>
      <c r="D20" s="24" t="s">
        <v>1570</v>
      </c>
      <c r="E20" s="23" t="s">
        <v>1584</v>
      </c>
      <c r="F20" s="25"/>
      <c r="G20" s="26">
        <v>254</v>
      </c>
      <c r="H20" s="26">
        <f>G20*20500</f>
        <v>5207000</v>
      </c>
      <c r="I20" s="25"/>
      <c r="J20" s="26">
        <v>2380000</v>
      </c>
      <c r="K20" s="27"/>
      <c r="L20" s="27"/>
      <c r="M20" s="26"/>
      <c r="N20" s="26"/>
      <c r="O20" s="26">
        <f t="shared" si="1"/>
        <v>7587000</v>
      </c>
      <c r="P20" s="26">
        <v>12777778</v>
      </c>
      <c r="Q20" s="26">
        <f t="shared" si="2"/>
        <v>5190778</v>
      </c>
      <c r="R20" s="46"/>
      <c r="S20" s="10"/>
      <c r="T20" s="10"/>
    </row>
    <row r="21" spans="1:20" ht="24" customHeight="1" x14ac:dyDescent="0.35">
      <c r="A21" s="21">
        <v>14</v>
      </c>
      <c r="B21" s="22">
        <v>45492</v>
      </c>
      <c r="C21" s="23" t="s">
        <v>1552</v>
      </c>
      <c r="D21" s="24" t="s">
        <v>1571</v>
      </c>
      <c r="E21" s="23" t="s">
        <v>903</v>
      </c>
      <c r="F21" s="25"/>
      <c r="G21" s="26">
        <v>81</v>
      </c>
      <c r="H21" s="26">
        <f t="shared" ref="H21:H22" si="4">G21*20500</f>
        <v>1660500</v>
      </c>
      <c r="I21" s="25"/>
      <c r="J21" s="26">
        <v>790000</v>
      </c>
      <c r="K21" s="27"/>
      <c r="L21" s="27"/>
      <c r="M21" s="26"/>
      <c r="N21" s="26"/>
      <c r="O21" s="26">
        <f t="shared" si="1"/>
        <v>2450500</v>
      </c>
      <c r="P21" s="26">
        <v>3760000</v>
      </c>
      <c r="Q21" s="26">
        <f t="shared" si="2"/>
        <v>1309500</v>
      </c>
      <c r="R21" s="46"/>
      <c r="S21" s="10"/>
      <c r="T21" s="10"/>
    </row>
    <row r="22" spans="1:20" ht="24" customHeight="1" x14ac:dyDescent="0.35">
      <c r="A22" s="21">
        <v>15</v>
      </c>
      <c r="B22" s="22">
        <v>45493</v>
      </c>
      <c r="C22" s="23" t="s">
        <v>280</v>
      </c>
      <c r="D22" s="24" t="s">
        <v>1572</v>
      </c>
      <c r="E22" s="23" t="s">
        <v>1585</v>
      </c>
      <c r="F22" s="25"/>
      <c r="G22" s="26">
        <v>170</v>
      </c>
      <c r="H22" s="26">
        <f t="shared" si="4"/>
        <v>3485000</v>
      </c>
      <c r="I22" s="25"/>
      <c r="J22" s="26">
        <v>1190000</v>
      </c>
      <c r="K22" s="27"/>
      <c r="L22" s="27"/>
      <c r="M22" s="26"/>
      <c r="N22" s="26"/>
      <c r="O22" s="26">
        <f t="shared" si="1"/>
        <v>4675000</v>
      </c>
      <c r="P22" s="26">
        <v>7250000</v>
      </c>
      <c r="Q22" s="26">
        <f t="shared" si="2"/>
        <v>2575000</v>
      </c>
      <c r="R22" s="46"/>
      <c r="S22" s="10"/>
      <c r="T22" s="10"/>
    </row>
    <row r="23" spans="1:20" ht="24" customHeight="1" x14ac:dyDescent="0.35">
      <c r="A23" s="21">
        <v>16</v>
      </c>
      <c r="B23" s="22">
        <v>45495</v>
      </c>
      <c r="C23" s="23" t="s">
        <v>1553</v>
      </c>
      <c r="D23" s="24" t="s">
        <v>1573</v>
      </c>
      <c r="E23" s="23" t="s">
        <v>903</v>
      </c>
      <c r="F23" s="25"/>
      <c r="G23" s="26">
        <v>0</v>
      </c>
      <c r="H23" s="26"/>
      <c r="I23" s="25"/>
      <c r="J23" s="26">
        <v>1590000</v>
      </c>
      <c r="K23" s="27"/>
      <c r="L23" s="27"/>
      <c r="M23" s="26"/>
      <c r="N23" s="26"/>
      <c r="O23" s="26">
        <f t="shared" si="1"/>
        <v>1590000</v>
      </c>
      <c r="P23" s="26">
        <v>4000000</v>
      </c>
      <c r="Q23" s="26">
        <f t="shared" si="2"/>
        <v>2410000</v>
      </c>
      <c r="R23" s="46"/>
      <c r="S23" s="10"/>
      <c r="T23" s="10"/>
    </row>
    <row r="24" spans="1:20" ht="24" customHeight="1" x14ac:dyDescent="0.35">
      <c r="A24" s="21">
        <v>17</v>
      </c>
      <c r="B24" s="22">
        <v>45495</v>
      </c>
      <c r="C24" s="23" t="s">
        <v>1554</v>
      </c>
      <c r="D24" s="24" t="s">
        <v>1573</v>
      </c>
      <c r="E24" s="23" t="s">
        <v>1586</v>
      </c>
      <c r="F24" s="25"/>
      <c r="G24" s="26">
        <v>137</v>
      </c>
      <c r="H24" s="26">
        <f>G24*20190</f>
        <v>2766030</v>
      </c>
      <c r="I24" s="25"/>
      <c r="J24" s="26"/>
      <c r="K24" s="27"/>
      <c r="L24" s="27"/>
      <c r="M24" s="26"/>
      <c r="N24" s="26"/>
      <c r="O24" s="26">
        <f t="shared" si="1"/>
        <v>2766030</v>
      </c>
      <c r="P24" s="26">
        <v>3500000</v>
      </c>
      <c r="Q24" s="26">
        <f t="shared" si="2"/>
        <v>733970</v>
      </c>
      <c r="R24" s="46"/>
      <c r="S24" s="10"/>
      <c r="T24" s="10"/>
    </row>
    <row r="25" spans="1:20" ht="24" customHeight="1" x14ac:dyDescent="0.35">
      <c r="A25" s="21">
        <v>18</v>
      </c>
      <c r="B25" s="22">
        <v>45497</v>
      </c>
      <c r="C25" s="23" t="s">
        <v>1555</v>
      </c>
      <c r="D25" s="24" t="s">
        <v>1574</v>
      </c>
      <c r="E25" s="23" t="s">
        <v>1587</v>
      </c>
      <c r="F25" s="25"/>
      <c r="G25" s="26">
        <v>75</v>
      </c>
      <c r="H25" s="26">
        <f t="shared" ref="H25:H28" si="5">G25*20190</f>
        <v>1514250</v>
      </c>
      <c r="I25" s="25"/>
      <c r="J25" s="26">
        <v>430000</v>
      </c>
      <c r="K25" s="27"/>
      <c r="L25" s="27"/>
      <c r="M25" s="26"/>
      <c r="N25" s="26"/>
      <c r="O25" s="26">
        <f t="shared" si="1"/>
        <v>1944250</v>
      </c>
      <c r="P25" s="26">
        <v>3100000</v>
      </c>
      <c r="Q25" s="26">
        <f t="shared" si="2"/>
        <v>1155750</v>
      </c>
      <c r="R25" s="46"/>
      <c r="S25" s="10"/>
      <c r="T25" s="10"/>
    </row>
    <row r="26" spans="1:20" ht="24" customHeight="1" x14ac:dyDescent="0.35">
      <c r="A26" s="21">
        <v>19</v>
      </c>
      <c r="B26" s="22">
        <v>45500</v>
      </c>
      <c r="C26" s="23" t="s">
        <v>1556</v>
      </c>
      <c r="D26" s="24" t="s">
        <v>1575</v>
      </c>
      <c r="E26" s="23" t="s">
        <v>61</v>
      </c>
      <c r="F26" s="25"/>
      <c r="G26" s="26">
        <v>273</v>
      </c>
      <c r="H26" s="26">
        <f t="shared" si="5"/>
        <v>5511870</v>
      </c>
      <c r="I26" s="25"/>
      <c r="J26" s="26">
        <v>3031000</v>
      </c>
      <c r="K26" s="27"/>
      <c r="L26" s="27"/>
      <c r="M26" s="26"/>
      <c r="N26" s="26"/>
      <c r="O26" s="26">
        <f t="shared" si="1"/>
        <v>8542870</v>
      </c>
      <c r="P26" s="26">
        <v>14600000</v>
      </c>
      <c r="Q26" s="26">
        <f t="shared" si="2"/>
        <v>6057130</v>
      </c>
      <c r="R26" s="46"/>
      <c r="S26" s="10"/>
      <c r="T26" s="10"/>
    </row>
    <row r="27" spans="1:20" ht="24" customHeight="1" x14ac:dyDescent="0.35">
      <c r="A27" s="21">
        <v>20</v>
      </c>
      <c r="B27" s="22">
        <v>45500</v>
      </c>
      <c r="C27" s="23" t="s">
        <v>1557</v>
      </c>
      <c r="D27" s="24" t="s">
        <v>1576</v>
      </c>
      <c r="E27" s="23" t="s">
        <v>1483</v>
      </c>
      <c r="F27" s="25"/>
      <c r="G27" s="26">
        <v>385</v>
      </c>
      <c r="H27" s="26">
        <f t="shared" si="5"/>
        <v>7773150</v>
      </c>
      <c r="I27" s="25"/>
      <c r="J27" s="26">
        <v>3868000</v>
      </c>
      <c r="K27" s="27"/>
      <c r="L27" s="27"/>
      <c r="M27" s="26"/>
      <c r="N27" s="26"/>
      <c r="O27" s="26">
        <f t="shared" si="1"/>
        <v>11641150</v>
      </c>
      <c r="P27" s="26">
        <v>21550000</v>
      </c>
      <c r="Q27" s="26">
        <f t="shared" si="2"/>
        <v>9908850</v>
      </c>
      <c r="R27" s="46"/>
      <c r="S27" s="10"/>
      <c r="T27" s="10"/>
    </row>
    <row r="28" spans="1:20" ht="24" customHeight="1" x14ac:dyDescent="0.35">
      <c r="A28" s="21">
        <v>21</v>
      </c>
      <c r="B28" s="22">
        <v>45504</v>
      </c>
      <c r="C28" s="23" t="s">
        <v>898</v>
      </c>
      <c r="D28" s="24" t="s">
        <v>1577</v>
      </c>
      <c r="E28" s="23" t="s">
        <v>431</v>
      </c>
      <c r="F28" s="25"/>
      <c r="G28" s="26">
        <v>123</v>
      </c>
      <c r="H28" s="26">
        <f t="shared" si="5"/>
        <v>2483370</v>
      </c>
      <c r="I28" s="25"/>
      <c r="J28" s="26">
        <v>790000</v>
      </c>
      <c r="K28" s="27"/>
      <c r="L28" s="27"/>
      <c r="M28" s="26"/>
      <c r="N28" s="26"/>
      <c r="O28" s="26">
        <f t="shared" si="1"/>
        <v>3273370</v>
      </c>
      <c r="P28" s="26">
        <v>5570370</v>
      </c>
      <c r="Q28" s="26">
        <f t="shared" si="2"/>
        <v>2297000</v>
      </c>
      <c r="R28" s="46"/>
      <c r="S28" s="10"/>
      <c r="T28" s="10"/>
    </row>
    <row r="29" spans="1:20" ht="24" customHeight="1" x14ac:dyDescent="0.35">
      <c r="A29" s="21"/>
      <c r="B29" s="22"/>
      <c r="C29" s="23"/>
      <c r="D29" s="24"/>
      <c r="E29" s="23"/>
      <c r="F29" s="25"/>
      <c r="G29" s="26"/>
      <c r="H29" s="26"/>
      <c r="I29" s="25"/>
      <c r="J29" s="26"/>
      <c r="K29" s="27"/>
      <c r="L29" s="27"/>
      <c r="M29" s="26"/>
      <c r="N29" s="26"/>
      <c r="O29" s="26"/>
      <c r="P29" s="26"/>
      <c r="Q29" s="26"/>
      <c r="R29" s="46"/>
      <c r="S29" s="10"/>
      <c r="T29" s="10"/>
    </row>
    <row r="30" spans="1:20" ht="24" customHeight="1" x14ac:dyDescent="0.35">
      <c r="A30" s="21"/>
      <c r="B30" s="22"/>
      <c r="C30" s="139" t="s">
        <v>44</v>
      </c>
      <c r="D30" s="140"/>
      <c r="E30" s="140"/>
      <c r="F30" s="141"/>
      <c r="G30" s="54"/>
      <c r="H30" s="53"/>
      <c r="I30" s="54"/>
      <c r="J30" s="53"/>
      <c r="K30" s="51">
        <v>1200000</v>
      </c>
      <c r="L30" s="51"/>
      <c r="M30" s="26"/>
      <c r="N30" s="26"/>
      <c r="O30" s="26">
        <f>K30+L30+M30+N30</f>
        <v>1200000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391</v>
      </c>
      <c r="D31" s="140"/>
      <c r="E31" s="140"/>
      <c r="F31" s="141"/>
      <c r="G31" s="51"/>
      <c r="H31" s="51"/>
      <c r="I31" s="52"/>
      <c r="J31" s="51"/>
      <c r="K31" s="51">
        <v>14419200</v>
      </c>
      <c r="L31" s="51"/>
      <c r="M31" s="53"/>
      <c r="N31" s="53"/>
      <c r="O31" s="26">
        <f t="shared" ref="O31:O46" si="6">K31+L31+M31+N31</f>
        <v>14419200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1710</v>
      </c>
      <c r="D32" s="140"/>
      <c r="E32" s="140"/>
      <c r="F32" s="141"/>
      <c r="G32" s="51"/>
      <c r="H32" s="51"/>
      <c r="I32" s="52"/>
      <c r="J32" s="51"/>
      <c r="K32" s="51"/>
      <c r="L32" s="51">
        <v>470000</v>
      </c>
      <c r="M32" s="53"/>
      <c r="N32" s="53"/>
      <c r="O32" s="26">
        <f t="shared" si="6"/>
        <v>470000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1711</v>
      </c>
      <c r="D33" s="140"/>
      <c r="E33" s="140"/>
      <c r="F33" s="141"/>
      <c r="G33" s="51"/>
      <c r="H33" s="51"/>
      <c r="I33" s="52"/>
      <c r="J33" s="51"/>
      <c r="K33" s="51"/>
      <c r="L33" s="51">
        <v>1690200</v>
      </c>
      <c r="M33" s="53"/>
      <c r="N33" s="53"/>
      <c r="O33" s="26">
        <f t="shared" si="6"/>
        <v>1690200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1712</v>
      </c>
      <c r="D34" s="140"/>
      <c r="E34" s="140"/>
      <c r="F34" s="141"/>
      <c r="G34" s="51"/>
      <c r="H34" s="51"/>
      <c r="I34" s="52"/>
      <c r="J34" s="51"/>
      <c r="K34" s="51"/>
      <c r="L34" s="51">
        <v>200000</v>
      </c>
      <c r="M34" s="53"/>
      <c r="N34" s="53"/>
      <c r="O34" s="26">
        <f t="shared" si="6"/>
        <v>200000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1713</v>
      </c>
      <c r="D35" s="140"/>
      <c r="E35" s="140"/>
      <c r="F35" s="141"/>
      <c r="G35" s="51"/>
      <c r="H35" s="51"/>
      <c r="I35" s="52"/>
      <c r="J35" s="51"/>
      <c r="K35" s="51"/>
      <c r="L35" s="51">
        <v>300000</v>
      </c>
      <c r="M35" s="53"/>
      <c r="N35" s="53"/>
      <c r="O35" s="26">
        <f t="shared" si="6"/>
        <v>300000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1714</v>
      </c>
      <c r="D36" s="140"/>
      <c r="E36" s="140"/>
      <c r="F36" s="141"/>
      <c r="G36" s="51"/>
      <c r="H36" s="51"/>
      <c r="I36" s="52"/>
      <c r="J36" s="51"/>
      <c r="K36" s="51"/>
      <c r="L36" s="51">
        <v>200000</v>
      </c>
      <c r="M36" s="53"/>
      <c r="N36" s="53"/>
      <c r="O36" s="26">
        <f t="shared" si="6"/>
        <v>200000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1715</v>
      </c>
      <c r="D37" s="140"/>
      <c r="E37" s="140"/>
      <c r="F37" s="141"/>
      <c r="G37" s="51"/>
      <c r="H37" s="51"/>
      <c r="I37" s="52"/>
      <c r="J37" s="51"/>
      <c r="K37" s="51"/>
      <c r="L37" s="51"/>
      <c r="M37" s="53">
        <v>400000</v>
      </c>
      <c r="N37" s="53"/>
      <c r="O37" s="26">
        <f t="shared" si="6"/>
        <v>400000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1716</v>
      </c>
      <c r="D38" s="140"/>
      <c r="E38" s="140"/>
      <c r="F38" s="141"/>
      <c r="G38" s="51"/>
      <c r="H38" s="51"/>
      <c r="I38" s="52"/>
      <c r="J38" s="51"/>
      <c r="K38" s="51"/>
      <c r="L38" s="51">
        <v>200000</v>
      </c>
      <c r="M38" s="53"/>
      <c r="N38" s="53"/>
      <c r="O38" s="26">
        <f t="shared" si="6"/>
        <v>200000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1717</v>
      </c>
      <c r="D39" s="140"/>
      <c r="E39" s="140"/>
      <c r="F39" s="141"/>
      <c r="G39" s="51"/>
      <c r="H39" s="51"/>
      <c r="I39" s="52"/>
      <c r="J39" s="51"/>
      <c r="K39" s="51"/>
      <c r="L39" s="51">
        <v>1100000</v>
      </c>
      <c r="M39" s="53"/>
      <c r="N39" s="53"/>
      <c r="O39" s="26">
        <f t="shared" si="6"/>
        <v>1100000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1718</v>
      </c>
      <c r="D40" s="140"/>
      <c r="E40" s="140"/>
      <c r="F40" s="141"/>
      <c r="G40" s="51"/>
      <c r="H40" s="51"/>
      <c r="I40" s="52"/>
      <c r="J40" s="51"/>
      <c r="K40" s="51"/>
      <c r="L40" s="51"/>
      <c r="M40" s="53">
        <v>150000</v>
      </c>
      <c r="N40" s="53"/>
      <c r="O40" s="26">
        <f t="shared" si="6"/>
        <v>150000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1723</v>
      </c>
      <c r="D41" s="140"/>
      <c r="E41" s="140"/>
      <c r="F41" s="141"/>
      <c r="G41" s="51"/>
      <c r="H41" s="51"/>
      <c r="I41" s="52"/>
      <c r="J41" s="51"/>
      <c r="K41" s="51"/>
      <c r="L41" s="51">
        <v>250000</v>
      </c>
      <c r="M41" s="53"/>
      <c r="N41" s="53"/>
      <c r="O41" s="26">
        <f t="shared" si="6"/>
        <v>250000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1724</v>
      </c>
      <c r="D42" s="140"/>
      <c r="E42" s="140"/>
      <c r="F42" s="141"/>
      <c r="G42" s="51"/>
      <c r="H42" s="51"/>
      <c r="I42" s="52"/>
      <c r="J42" s="51"/>
      <c r="K42" s="51"/>
      <c r="L42" s="51">
        <v>350000</v>
      </c>
      <c r="M42" s="53"/>
      <c r="N42" s="53"/>
      <c r="O42" s="26">
        <f t="shared" si="6"/>
        <v>350000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8"/>
      <c r="C43" s="139" t="s">
        <v>1729</v>
      </c>
      <c r="D43" s="140"/>
      <c r="E43" s="140"/>
      <c r="F43" s="141"/>
      <c r="G43" s="51"/>
      <c r="H43" s="51"/>
      <c r="I43" s="52"/>
      <c r="J43" s="51"/>
      <c r="K43" s="51"/>
      <c r="L43" s="51">
        <v>3600000</v>
      </c>
      <c r="M43" s="53"/>
      <c r="N43" s="53"/>
      <c r="O43" s="26">
        <f t="shared" si="6"/>
        <v>3600000</v>
      </c>
      <c r="P43" s="26"/>
      <c r="Q43" s="30"/>
      <c r="R43" s="46"/>
      <c r="S43" s="10"/>
      <c r="T43" s="10"/>
    </row>
    <row r="44" spans="1:20" ht="24" customHeight="1" x14ac:dyDescent="0.35">
      <c r="A44" s="25"/>
      <c r="B44" s="28"/>
      <c r="C44" s="139" t="s">
        <v>1731</v>
      </c>
      <c r="D44" s="140"/>
      <c r="E44" s="140"/>
      <c r="F44" s="141"/>
      <c r="G44" s="51"/>
      <c r="H44" s="51"/>
      <c r="I44" s="52"/>
      <c r="J44" s="51"/>
      <c r="K44" s="51"/>
      <c r="L44" s="51"/>
      <c r="M44" s="53">
        <v>9880000</v>
      </c>
      <c r="N44" s="53"/>
      <c r="O44" s="26">
        <f t="shared" si="6"/>
        <v>9880000</v>
      </c>
      <c r="P44" s="26"/>
      <c r="Q44" s="30"/>
      <c r="R44" s="46"/>
      <c r="S44" s="10"/>
      <c r="T44" s="10"/>
    </row>
    <row r="45" spans="1:20" ht="24" customHeight="1" x14ac:dyDescent="0.35">
      <c r="A45" s="25"/>
      <c r="B45" s="28"/>
      <c r="C45" s="139" t="s">
        <v>1744</v>
      </c>
      <c r="D45" s="140"/>
      <c r="E45" s="140"/>
      <c r="F45" s="141"/>
      <c r="G45" s="51"/>
      <c r="H45" s="51"/>
      <c r="I45" s="52"/>
      <c r="J45" s="51"/>
      <c r="K45" s="51"/>
      <c r="L45" s="51">
        <v>14364000</v>
      </c>
      <c r="M45" s="53"/>
      <c r="N45" s="53"/>
      <c r="O45" s="26">
        <f t="shared" si="6"/>
        <v>14364000</v>
      </c>
      <c r="P45" s="26"/>
      <c r="Q45" s="30"/>
      <c r="R45" s="46"/>
      <c r="S45" s="10"/>
      <c r="T45" s="10"/>
    </row>
    <row r="46" spans="1:20" ht="24" customHeight="1" x14ac:dyDescent="0.35">
      <c r="A46" s="25"/>
      <c r="B46" s="25"/>
      <c r="C46" s="139" t="s">
        <v>1249</v>
      </c>
      <c r="D46" s="140"/>
      <c r="E46" s="140"/>
      <c r="F46" s="141"/>
      <c r="G46" s="54"/>
      <c r="H46" s="53"/>
      <c r="I46" s="54"/>
      <c r="J46" s="53"/>
      <c r="K46" s="51">
        <v>7700000</v>
      </c>
      <c r="L46" s="53"/>
      <c r="M46" s="53"/>
      <c r="N46" s="53"/>
      <c r="O46" s="26">
        <f t="shared" si="6"/>
        <v>7700000</v>
      </c>
      <c r="P46" s="26"/>
      <c r="Q46" s="26"/>
      <c r="R46" s="48"/>
    </row>
    <row r="47" spans="1:20" ht="24" customHeight="1" x14ac:dyDescent="0.35">
      <c r="A47" s="136" t="s">
        <v>45</v>
      </c>
      <c r="B47" s="137"/>
      <c r="C47" s="137"/>
      <c r="D47" s="137"/>
      <c r="E47" s="137"/>
      <c r="F47" s="138"/>
      <c r="G47" s="33">
        <f>SUM(G8:G46)</f>
        <v>3697</v>
      </c>
      <c r="H47" s="34">
        <f t="shared" ref="H47:N47" si="7">SUM(H7:H46)</f>
        <v>76518460</v>
      </c>
      <c r="I47" s="34">
        <f t="shared" si="7"/>
        <v>0</v>
      </c>
      <c r="J47" s="34">
        <f t="shared" si="7"/>
        <v>34897000</v>
      </c>
      <c r="K47" s="34">
        <f t="shared" si="7"/>
        <v>23319200</v>
      </c>
      <c r="L47" s="34">
        <f t="shared" si="7"/>
        <v>22724200</v>
      </c>
      <c r="M47" s="34">
        <f t="shared" si="7"/>
        <v>10430000</v>
      </c>
      <c r="N47" s="34">
        <f t="shared" si="7"/>
        <v>0</v>
      </c>
      <c r="O47" s="34">
        <f>SUM(O8:O46)</f>
        <v>167888860</v>
      </c>
      <c r="P47" s="34">
        <f>SUM(P8:P46)</f>
        <v>191660741</v>
      </c>
      <c r="Q47" s="34">
        <f>P47-O47</f>
        <v>23771881</v>
      </c>
      <c r="R47" s="50"/>
    </row>
    <row r="48" spans="1:20" x14ac:dyDescent="0.35">
      <c r="O48" s="35"/>
      <c r="Q48" s="36"/>
    </row>
    <row r="49" spans="2:18" x14ac:dyDescent="0.35">
      <c r="O49" s="37"/>
      <c r="P49" s="38" t="s">
        <v>46</v>
      </c>
      <c r="Q49" s="39">
        <f>'06.2024'!Q46+'07.2024'!Q47</f>
        <v>78975045</v>
      </c>
    </row>
    <row r="50" spans="2:18" x14ac:dyDescent="0.35">
      <c r="O50" s="37"/>
      <c r="P50" s="38"/>
      <c r="Q50" s="39"/>
    </row>
    <row r="51" spans="2:18" x14ac:dyDescent="0.35">
      <c r="O51" s="37"/>
      <c r="P51" s="38"/>
      <c r="Q51" s="39"/>
    </row>
    <row r="52" spans="2:18" x14ac:dyDescent="0.35">
      <c r="P52" s="37"/>
      <c r="Q52" s="37"/>
      <c r="R52" s="50"/>
    </row>
    <row r="53" spans="2:18" x14ac:dyDescent="0.35">
      <c r="B53" s="8"/>
    </row>
    <row r="54" spans="2:18" x14ac:dyDescent="0.35">
      <c r="B54" s="8"/>
    </row>
    <row r="55" spans="2:18" x14ac:dyDescent="0.35">
      <c r="B55" s="8"/>
    </row>
    <row r="56" spans="2:18" x14ac:dyDescent="0.35">
      <c r="B56" s="8"/>
      <c r="H56" s="8"/>
      <c r="J56" s="8"/>
      <c r="K56" s="8"/>
      <c r="L56" s="8"/>
      <c r="M56" s="8"/>
      <c r="N56" s="8"/>
      <c r="O56" s="8"/>
      <c r="P56" s="8"/>
      <c r="Q56" s="8"/>
      <c r="R56" s="8"/>
    </row>
  </sheetData>
  <mergeCells count="37">
    <mergeCell ref="C37:F37"/>
    <mergeCell ref="A47:F47"/>
    <mergeCell ref="C44:F44"/>
    <mergeCell ref="C45:F45"/>
    <mergeCell ref="C39:F39"/>
    <mergeCell ref="C40:F40"/>
    <mergeCell ref="C41:F41"/>
    <mergeCell ref="C42:F42"/>
    <mergeCell ref="C43:F43"/>
    <mergeCell ref="C46:F46"/>
    <mergeCell ref="C38:F38"/>
    <mergeCell ref="N5:N6"/>
    <mergeCell ref="C36:F36"/>
    <mergeCell ref="K5:K6"/>
    <mergeCell ref="L5:L6"/>
    <mergeCell ref="C35:F35"/>
    <mergeCell ref="C33:F33"/>
    <mergeCell ref="C34:F34"/>
    <mergeCell ref="C32:F32"/>
    <mergeCell ref="C30:F30"/>
    <mergeCell ref="C31:F31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5563-A526-4618-A64E-3769C1A4DB84}">
  <dimension ref="A1:T53"/>
  <sheetViews>
    <sheetView topLeftCell="E35" workbookViewId="0">
      <selection activeCell="N40" sqref="N40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1544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45505</v>
      </c>
      <c r="C8" s="97" t="s">
        <v>324</v>
      </c>
      <c r="D8" s="98" t="s">
        <v>1609</v>
      </c>
      <c r="E8" s="97" t="s">
        <v>372</v>
      </c>
      <c r="F8" s="99"/>
      <c r="G8" s="104">
        <v>385</v>
      </c>
      <c r="H8" s="104">
        <f>G8*19870</f>
        <v>7649950</v>
      </c>
      <c r="I8" s="99"/>
      <c r="J8" s="104">
        <v>3419000</v>
      </c>
      <c r="K8" s="103"/>
      <c r="L8" s="103"/>
      <c r="M8" s="104"/>
      <c r="N8" s="104"/>
      <c r="O8" s="104">
        <f>H8+J8+K8+L8+M8+N8</f>
        <v>11068950</v>
      </c>
      <c r="P8" s="104">
        <v>20900000</v>
      </c>
      <c r="Q8" s="104">
        <f>P8-O8</f>
        <v>9831050</v>
      </c>
      <c r="R8" s="46"/>
      <c r="S8" s="10"/>
      <c r="T8" s="10"/>
    </row>
    <row r="9" spans="1:20" ht="24" customHeight="1" x14ac:dyDescent="0.35">
      <c r="A9" s="21">
        <v>2</v>
      </c>
      <c r="B9" s="22">
        <v>45507</v>
      </c>
      <c r="C9" s="23" t="s">
        <v>930</v>
      </c>
      <c r="D9" s="24" t="s">
        <v>1610</v>
      </c>
      <c r="E9" s="23" t="s">
        <v>903</v>
      </c>
      <c r="F9" s="25"/>
      <c r="G9" s="26">
        <v>0</v>
      </c>
      <c r="H9" s="26">
        <f t="shared" ref="H9:H12" si="0">G9*19870</f>
        <v>0</v>
      </c>
      <c r="I9" s="25"/>
      <c r="J9" s="26">
        <v>1090000</v>
      </c>
      <c r="K9" s="27"/>
      <c r="L9" s="27"/>
      <c r="M9" s="26"/>
      <c r="N9" s="26"/>
      <c r="O9" s="26">
        <f t="shared" ref="O9:O30" si="1">H9+J9+K9+L9+M9+N9</f>
        <v>1090000</v>
      </c>
      <c r="P9" s="26">
        <v>4000000</v>
      </c>
      <c r="Q9" s="26">
        <f t="shared" ref="Q9:Q30" si="2">P9-O9</f>
        <v>2910000</v>
      </c>
      <c r="R9" s="46"/>
      <c r="S9" s="10"/>
      <c r="T9" s="10"/>
    </row>
    <row r="10" spans="1:20" ht="24" customHeight="1" x14ac:dyDescent="0.35">
      <c r="A10" s="21">
        <v>3</v>
      </c>
      <c r="B10" s="22">
        <v>45507</v>
      </c>
      <c r="C10" s="23" t="s">
        <v>1588</v>
      </c>
      <c r="D10" s="24" t="s">
        <v>1610</v>
      </c>
      <c r="E10" s="23" t="s">
        <v>1629</v>
      </c>
      <c r="F10" s="25"/>
      <c r="G10" s="26">
        <v>126</v>
      </c>
      <c r="H10" s="26">
        <f t="shared" si="0"/>
        <v>2503620</v>
      </c>
      <c r="I10" s="25"/>
      <c r="J10" s="26"/>
      <c r="K10" s="27"/>
      <c r="L10" s="27"/>
      <c r="M10" s="26"/>
      <c r="N10" s="26"/>
      <c r="O10" s="26">
        <f t="shared" si="1"/>
        <v>2503620</v>
      </c>
      <c r="P10" s="26">
        <v>3100000</v>
      </c>
      <c r="Q10" s="26">
        <f t="shared" si="2"/>
        <v>596380</v>
      </c>
      <c r="R10" s="46"/>
      <c r="S10" s="10"/>
      <c r="T10" s="10"/>
    </row>
    <row r="11" spans="1:20" ht="24" customHeight="1" x14ac:dyDescent="0.35">
      <c r="A11" s="21">
        <v>4</v>
      </c>
      <c r="B11" s="22">
        <v>45509</v>
      </c>
      <c r="C11" s="23" t="s">
        <v>1589</v>
      </c>
      <c r="D11" s="24" t="s">
        <v>1611</v>
      </c>
      <c r="E11" s="23" t="s">
        <v>903</v>
      </c>
      <c r="F11" s="25"/>
      <c r="G11" s="26">
        <v>0</v>
      </c>
      <c r="H11" s="26">
        <f t="shared" si="0"/>
        <v>0</v>
      </c>
      <c r="I11" s="25"/>
      <c r="J11" s="26">
        <v>1090000</v>
      </c>
      <c r="K11" s="27"/>
      <c r="L11" s="27"/>
      <c r="M11" s="26"/>
      <c r="N11" s="26"/>
      <c r="O11" s="26">
        <f t="shared" si="1"/>
        <v>1090000</v>
      </c>
      <c r="P11" s="26">
        <v>4000000</v>
      </c>
      <c r="Q11" s="26">
        <f t="shared" si="2"/>
        <v>2910000</v>
      </c>
      <c r="R11" s="46"/>
      <c r="S11" s="10"/>
      <c r="T11" s="10"/>
    </row>
    <row r="12" spans="1:20" ht="24" customHeight="1" x14ac:dyDescent="0.35">
      <c r="A12" s="21">
        <v>5</v>
      </c>
      <c r="B12" s="22">
        <v>45509</v>
      </c>
      <c r="C12" s="23" t="s">
        <v>1590</v>
      </c>
      <c r="D12" s="24" t="s">
        <v>1611</v>
      </c>
      <c r="E12" s="23" t="s">
        <v>1629</v>
      </c>
      <c r="F12" s="25"/>
      <c r="G12" s="26">
        <v>126</v>
      </c>
      <c r="H12" s="26">
        <f t="shared" si="0"/>
        <v>2503620</v>
      </c>
      <c r="I12" s="25"/>
      <c r="J12" s="118"/>
      <c r="K12" s="27"/>
      <c r="L12" s="27"/>
      <c r="M12" s="26"/>
      <c r="N12" s="26"/>
      <c r="O12" s="26">
        <f t="shared" si="1"/>
        <v>2503620</v>
      </c>
      <c r="P12" s="26">
        <v>3100000</v>
      </c>
      <c r="Q12" s="26">
        <f t="shared" si="2"/>
        <v>596380</v>
      </c>
      <c r="R12" s="46"/>
      <c r="S12" s="10"/>
      <c r="T12" s="10"/>
    </row>
    <row r="13" spans="1:20" ht="24" customHeight="1" x14ac:dyDescent="0.35">
      <c r="A13" s="21">
        <v>6</v>
      </c>
      <c r="B13" s="22">
        <v>45510</v>
      </c>
      <c r="C13" s="23" t="s">
        <v>1591</v>
      </c>
      <c r="D13" s="24" t="s">
        <v>1612</v>
      </c>
      <c r="E13" s="23" t="s">
        <v>457</v>
      </c>
      <c r="F13" s="25"/>
      <c r="G13" s="26">
        <v>94</v>
      </c>
      <c r="H13" s="26">
        <f>G13*19870</f>
        <v>1867780</v>
      </c>
      <c r="I13" s="25"/>
      <c r="J13" s="26">
        <v>430000</v>
      </c>
      <c r="K13" s="27"/>
      <c r="L13" s="27"/>
      <c r="M13" s="26"/>
      <c r="N13" s="26"/>
      <c r="O13" s="26">
        <f t="shared" si="1"/>
        <v>2297780</v>
      </c>
      <c r="P13" s="26">
        <v>4200000</v>
      </c>
      <c r="Q13" s="26">
        <f t="shared" si="2"/>
        <v>1902220</v>
      </c>
      <c r="R13" s="46"/>
      <c r="S13" s="10"/>
      <c r="T13" s="10"/>
    </row>
    <row r="14" spans="1:20" ht="24" customHeight="1" x14ac:dyDescent="0.35">
      <c r="A14" s="21">
        <v>7</v>
      </c>
      <c r="B14" s="22">
        <v>45511</v>
      </c>
      <c r="C14" s="23" t="s">
        <v>1592</v>
      </c>
      <c r="D14" s="24" t="s">
        <v>1613</v>
      </c>
      <c r="E14" s="23" t="s">
        <v>1630</v>
      </c>
      <c r="F14" s="25"/>
      <c r="G14" s="26">
        <v>102</v>
      </c>
      <c r="H14" s="26">
        <f>G14*19140</f>
        <v>1952280</v>
      </c>
      <c r="I14" s="25"/>
      <c r="J14" s="26">
        <v>790000</v>
      </c>
      <c r="K14" s="27"/>
      <c r="L14" s="27"/>
      <c r="M14" s="26"/>
      <c r="N14" s="26"/>
      <c r="O14" s="26">
        <f t="shared" si="1"/>
        <v>2742280</v>
      </c>
      <c r="P14" s="26">
        <v>4400000</v>
      </c>
      <c r="Q14" s="26">
        <f t="shared" si="2"/>
        <v>1657720</v>
      </c>
      <c r="R14" s="46"/>
      <c r="S14" s="10"/>
      <c r="T14" s="10"/>
    </row>
    <row r="15" spans="1:20" ht="24" customHeight="1" x14ac:dyDescent="0.35">
      <c r="A15" s="21">
        <v>8</v>
      </c>
      <c r="B15" s="22">
        <v>45512</v>
      </c>
      <c r="C15" s="23" t="s">
        <v>1593</v>
      </c>
      <c r="D15" s="24" t="s">
        <v>1614</v>
      </c>
      <c r="E15" s="23" t="s">
        <v>61</v>
      </c>
      <c r="F15" s="25"/>
      <c r="G15" s="26">
        <v>273</v>
      </c>
      <c r="H15" s="26">
        <f t="shared" ref="H15:H18" si="3">G15*19140</f>
        <v>5225220</v>
      </c>
      <c r="I15" s="25"/>
      <c r="J15" s="26">
        <v>3032000</v>
      </c>
      <c r="K15" s="27"/>
      <c r="L15" s="27"/>
      <c r="M15" s="26"/>
      <c r="N15" s="26"/>
      <c r="O15" s="26">
        <f t="shared" si="1"/>
        <v>8257220</v>
      </c>
      <c r="P15" s="26">
        <v>14600000</v>
      </c>
      <c r="Q15" s="26">
        <f t="shared" si="2"/>
        <v>6342780</v>
      </c>
      <c r="R15" s="46"/>
      <c r="S15" s="10"/>
      <c r="T15" s="10"/>
    </row>
    <row r="16" spans="1:20" ht="24" customHeight="1" x14ac:dyDescent="0.35">
      <c r="A16" s="21">
        <v>9</v>
      </c>
      <c r="B16" s="22">
        <v>45513</v>
      </c>
      <c r="C16" s="23" t="s">
        <v>1594</v>
      </c>
      <c r="D16" s="24" t="s">
        <v>1615</v>
      </c>
      <c r="E16" s="23" t="s">
        <v>1631</v>
      </c>
      <c r="F16" s="25"/>
      <c r="G16" s="26">
        <v>103</v>
      </c>
      <c r="H16" s="26">
        <f t="shared" si="3"/>
        <v>1971420</v>
      </c>
      <c r="I16" s="25"/>
      <c r="J16" s="26">
        <v>430000</v>
      </c>
      <c r="K16" s="27"/>
      <c r="L16" s="27"/>
      <c r="M16" s="26"/>
      <c r="N16" s="26"/>
      <c r="O16" s="26">
        <f t="shared" si="1"/>
        <v>2401420</v>
      </c>
      <c r="P16" s="26">
        <v>4300000</v>
      </c>
      <c r="Q16" s="26">
        <f t="shared" si="2"/>
        <v>1898580</v>
      </c>
      <c r="R16" s="46"/>
      <c r="S16" s="10"/>
      <c r="T16" s="10"/>
    </row>
    <row r="17" spans="1:20" ht="24" customHeight="1" x14ac:dyDescent="0.35">
      <c r="A17" s="21">
        <v>10</v>
      </c>
      <c r="B17" s="22">
        <v>45516</v>
      </c>
      <c r="C17" s="23" t="s">
        <v>1595</v>
      </c>
      <c r="D17" s="24" t="s">
        <v>1616</v>
      </c>
      <c r="E17" s="23" t="s">
        <v>227</v>
      </c>
      <c r="F17" s="25"/>
      <c r="G17" s="26">
        <v>196</v>
      </c>
      <c r="H17" s="26">
        <f t="shared" si="3"/>
        <v>3751440</v>
      </c>
      <c r="I17" s="25"/>
      <c r="J17" s="26">
        <v>1530000</v>
      </c>
      <c r="K17" s="27"/>
      <c r="L17" s="27"/>
      <c r="M17" s="26"/>
      <c r="N17" s="26"/>
      <c r="O17" s="26">
        <f t="shared" si="1"/>
        <v>5281440</v>
      </c>
      <c r="P17" s="26">
        <v>9074074</v>
      </c>
      <c r="Q17" s="26">
        <f t="shared" si="2"/>
        <v>3792634</v>
      </c>
      <c r="R17" s="46"/>
      <c r="S17" s="10"/>
      <c r="T17" s="10"/>
    </row>
    <row r="18" spans="1:20" ht="24" customHeight="1" x14ac:dyDescent="0.35">
      <c r="A18" s="21">
        <v>11</v>
      </c>
      <c r="B18" s="22">
        <v>45517</v>
      </c>
      <c r="C18" s="23" t="s">
        <v>1596</v>
      </c>
      <c r="D18" s="24" t="s">
        <v>1617</v>
      </c>
      <c r="E18" s="23" t="s">
        <v>227</v>
      </c>
      <c r="F18" s="25"/>
      <c r="G18" s="26">
        <v>183</v>
      </c>
      <c r="H18" s="26">
        <f t="shared" si="3"/>
        <v>3502620</v>
      </c>
      <c r="I18" s="25"/>
      <c r="J18" s="26">
        <v>1530000</v>
      </c>
      <c r="K18" s="27"/>
      <c r="L18" s="27"/>
      <c r="M18" s="26"/>
      <c r="N18" s="26"/>
      <c r="O18" s="26">
        <f t="shared" si="1"/>
        <v>5032620</v>
      </c>
      <c r="P18" s="26">
        <v>8666667</v>
      </c>
      <c r="Q18" s="26">
        <f t="shared" si="2"/>
        <v>3634047</v>
      </c>
      <c r="R18" s="46"/>
      <c r="S18" s="10"/>
      <c r="T18" s="10"/>
    </row>
    <row r="19" spans="1:20" ht="24" customHeight="1" x14ac:dyDescent="0.35">
      <c r="A19" s="21">
        <v>12</v>
      </c>
      <c r="B19" s="22">
        <v>45518</v>
      </c>
      <c r="C19" s="23" t="s">
        <v>1597</v>
      </c>
      <c r="D19" s="24" t="s">
        <v>1618</v>
      </c>
      <c r="E19" s="23" t="s">
        <v>372</v>
      </c>
      <c r="F19" s="25"/>
      <c r="G19" s="26">
        <v>385</v>
      </c>
      <c r="H19" s="26">
        <f>G19*19230</f>
        <v>7403550</v>
      </c>
      <c r="I19" s="25"/>
      <c r="J19" s="26">
        <v>3808000</v>
      </c>
      <c r="K19" s="27"/>
      <c r="L19" s="27"/>
      <c r="M19" s="26"/>
      <c r="N19" s="26"/>
      <c r="O19" s="26">
        <f t="shared" si="1"/>
        <v>11211550</v>
      </c>
      <c r="P19" s="26">
        <v>20900000</v>
      </c>
      <c r="Q19" s="26">
        <f t="shared" si="2"/>
        <v>9688450</v>
      </c>
      <c r="R19" s="46"/>
      <c r="S19" s="10"/>
      <c r="T19" s="10"/>
    </row>
    <row r="20" spans="1:20" ht="24" customHeight="1" x14ac:dyDescent="0.35">
      <c r="A20" s="21">
        <v>13</v>
      </c>
      <c r="B20" s="22">
        <v>45523</v>
      </c>
      <c r="C20" s="23" t="s">
        <v>1598</v>
      </c>
      <c r="D20" s="24" t="s">
        <v>1619</v>
      </c>
      <c r="E20" s="23" t="s">
        <v>1632</v>
      </c>
      <c r="F20" s="25"/>
      <c r="G20" s="26">
        <v>56</v>
      </c>
      <c r="H20" s="26">
        <f t="shared" ref="H20:H22" si="4">G20*19230</f>
        <v>1076880</v>
      </c>
      <c r="I20" s="25"/>
      <c r="J20" s="26">
        <v>430000</v>
      </c>
      <c r="K20" s="27"/>
      <c r="L20" s="27"/>
      <c r="M20" s="26"/>
      <c r="N20" s="26"/>
      <c r="O20" s="26">
        <f t="shared" si="1"/>
        <v>1506880</v>
      </c>
      <c r="P20" s="26">
        <v>3090000</v>
      </c>
      <c r="Q20" s="26">
        <f t="shared" si="2"/>
        <v>1583120</v>
      </c>
      <c r="R20" s="46"/>
      <c r="S20" s="10"/>
      <c r="T20" s="10"/>
    </row>
    <row r="21" spans="1:20" ht="24" customHeight="1" x14ac:dyDescent="0.35">
      <c r="A21" s="21">
        <v>14</v>
      </c>
      <c r="B21" s="22">
        <v>45524</v>
      </c>
      <c r="C21" s="23" t="s">
        <v>1599</v>
      </c>
      <c r="D21" s="24" t="s">
        <v>1620</v>
      </c>
      <c r="E21" s="23" t="s">
        <v>1633</v>
      </c>
      <c r="F21" s="25"/>
      <c r="G21" s="26">
        <v>0</v>
      </c>
      <c r="H21" s="26">
        <f t="shared" si="4"/>
        <v>0</v>
      </c>
      <c r="I21" s="25"/>
      <c r="J21" s="26">
        <v>1290000</v>
      </c>
      <c r="K21" s="27"/>
      <c r="L21" s="27"/>
      <c r="M21" s="26"/>
      <c r="N21" s="26"/>
      <c r="O21" s="26">
        <f t="shared" si="1"/>
        <v>1290000</v>
      </c>
      <c r="P21" s="26">
        <v>4000000</v>
      </c>
      <c r="Q21" s="26">
        <f t="shared" si="2"/>
        <v>2710000</v>
      </c>
      <c r="R21" s="46"/>
      <c r="S21" s="10"/>
      <c r="T21" s="10"/>
    </row>
    <row r="22" spans="1:20" ht="24" customHeight="1" x14ac:dyDescent="0.35">
      <c r="A22" s="21">
        <v>15</v>
      </c>
      <c r="B22" s="22">
        <v>45524</v>
      </c>
      <c r="C22" s="23" t="s">
        <v>1600</v>
      </c>
      <c r="D22" s="24" t="s">
        <v>1620</v>
      </c>
      <c r="E22" s="23" t="s">
        <v>835</v>
      </c>
      <c r="F22" s="25"/>
      <c r="G22" s="26">
        <v>95</v>
      </c>
      <c r="H22" s="26">
        <f t="shared" si="4"/>
        <v>1826850</v>
      </c>
      <c r="I22" s="25"/>
      <c r="J22" s="118"/>
      <c r="K22" s="27"/>
      <c r="L22" s="27"/>
      <c r="M22" s="26"/>
      <c r="N22" s="26"/>
      <c r="O22" s="26">
        <f t="shared" si="1"/>
        <v>1826850</v>
      </c>
      <c r="P22" s="26">
        <v>2800000</v>
      </c>
      <c r="Q22" s="26">
        <f t="shared" si="2"/>
        <v>973150</v>
      </c>
      <c r="R22" s="46"/>
      <c r="S22" s="10"/>
      <c r="T22" s="10"/>
    </row>
    <row r="23" spans="1:20" ht="24" customHeight="1" x14ac:dyDescent="0.35">
      <c r="A23" s="21">
        <v>16</v>
      </c>
      <c r="B23" s="22">
        <v>45526</v>
      </c>
      <c r="C23" s="23" t="s">
        <v>1601</v>
      </c>
      <c r="D23" s="24" t="s">
        <v>1621</v>
      </c>
      <c r="E23" s="23" t="s">
        <v>372</v>
      </c>
      <c r="F23" s="25"/>
      <c r="G23" s="26">
        <v>381</v>
      </c>
      <c r="H23" s="26">
        <f>G23*18770</f>
        <v>7151370</v>
      </c>
      <c r="I23" s="25"/>
      <c r="J23" s="26">
        <v>3808000</v>
      </c>
      <c r="K23" s="27"/>
      <c r="L23" s="27"/>
      <c r="M23" s="26"/>
      <c r="N23" s="26"/>
      <c r="O23" s="26">
        <f t="shared" si="1"/>
        <v>10959370</v>
      </c>
      <c r="P23" s="26">
        <v>20900000</v>
      </c>
      <c r="Q23" s="26">
        <f t="shared" si="2"/>
        <v>9940630</v>
      </c>
      <c r="R23" s="46"/>
      <c r="S23" s="10"/>
      <c r="T23" s="10"/>
    </row>
    <row r="24" spans="1:20" ht="24" customHeight="1" x14ac:dyDescent="0.35">
      <c r="A24" s="21">
        <v>17</v>
      </c>
      <c r="B24" s="22">
        <v>45528</v>
      </c>
      <c r="C24" s="23" t="s">
        <v>1602</v>
      </c>
      <c r="D24" s="24" t="s">
        <v>1622</v>
      </c>
      <c r="E24" s="23" t="s">
        <v>1483</v>
      </c>
      <c r="F24" s="25"/>
      <c r="G24" s="26">
        <v>389</v>
      </c>
      <c r="H24" s="26">
        <f t="shared" ref="H24:H30" si="5">G24*18770</f>
        <v>7301530</v>
      </c>
      <c r="I24" s="25"/>
      <c r="J24" s="26">
        <v>3868000</v>
      </c>
      <c r="K24" s="27"/>
      <c r="L24" s="27"/>
      <c r="M24" s="26"/>
      <c r="N24" s="26"/>
      <c r="O24" s="26">
        <f t="shared" si="1"/>
        <v>11169530</v>
      </c>
      <c r="P24" s="26">
        <v>21550000</v>
      </c>
      <c r="Q24" s="26">
        <f t="shared" si="2"/>
        <v>10380470</v>
      </c>
      <c r="R24" s="46"/>
      <c r="S24" s="10"/>
      <c r="T24" s="10"/>
    </row>
    <row r="25" spans="1:20" ht="24" customHeight="1" x14ac:dyDescent="0.35">
      <c r="A25" s="21">
        <v>18</v>
      </c>
      <c r="B25" s="22">
        <v>45530</v>
      </c>
      <c r="C25" s="23" t="s">
        <v>1603</v>
      </c>
      <c r="D25" s="24" t="s">
        <v>1623</v>
      </c>
      <c r="E25" s="23" t="s">
        <v>522</v>
      </c>
      <c r="F25" s="25"/>
      <c r="G25" s="26">
        <v>103</v>
      </c>
      <c r="H25" s="26">
        <f t="shared" si="5"/>
        <v>1933310</v>
      </c>
      <c r="I25" s="25"/>
      <c r="J25" s="26">
        <v>790000</v>
      </c>
      <c r="K25" s="27"/>
      <c r="L25" s="27"/>
      <c r="M25" s="26"/>
      <c r="N25" s="26"/>
      <c r="O25" s="26">
        <f t="shared" si="1"/>
        <v>2723310</v>
      </c>
      <c r="P25" s="26">
        <v>5300000</v>
      </c>
      <c r="Q25" s="26">
        <f t="shared" si="2"/>
        <v>2576690</v>
      </c>
      <c r="R25" s="46"/>
      <c r="S25" s="10"/>
      <c r="T25" s="10"/>
    </row>
    <row r="26" spans="1:20" ht="24" customHeight="1" x14ac:dyDescent="0.35">
      <c r="A26" s="21">
        <v>19</v>
      </c>
      <c r="B26" s="22">
        <v>45531</v>
      </c>
      <c r="C26" s="23" t="s">
        <v>1604</v>
      </c>
      <c r="D26" s="24" t="s">
        <v>1624</v>
      </c>
      <c r="E26" s="23" t="s">
        <v>1634</v>
      </c>
      <c r="F26" s="25"/>
      <c r="G26" s="26">
        <v>339</v>
      </c>
      <c r="H26" s="26">
        <f t="shared" si="5"/>
        <v>6363030</v>
      </c>
      <c r="I26" s="25"/>
      <c r="J26" s="26">
        <v>3148000</v>
      </c>
      <c r="K26" s="27"/>
      <c r="L26" s="27"/>
      <c r="M26" s="26"/>
      <c r="N26" s="26"/>
      <c r="O26" s="26">
        <f t="shared" si="1"/>
        <v>9511030</v>
      </c>
      <c r="P26" s="26">
        <v>17300000</v>
      </c>
      <c r="Q26" s="26">
        <f t="shared" si="2"/>
        <v>7788970</v>
      </c>
      <c r="R26" s="46"/>
      <c r="S26" s="10"/>
      <c r="T26" s="10"/>
    </row>
    <row r="27" spans="1:20" ht="24" customHeight="1" x14ac:dyDescent="0.35">
      <c r="A27" s="21">
        <v>20</v>
      </c>
      <c r="B27" s="22">
        <v>45532</v>
      </c>
      <c r="C27" s="23" t="s">
        <v>1605</v>
      </c>
      <c r="D27" s="24" t="s">
        <v>1625</v>
      </c>
      <c r="E27" s="23" t="s">
        <v>903</v>
      </c>
      <c r="F27" s="25"/>
      <c r="G27" s="26">
        <v>88</v>
      </c>
      <c r="H27" s="26">
        <f t="shared" si="5"/>
        <v>1651760</v>
      </c>
      <c r="I27" s="25"/>
      <c r="J27" s="26">
        <v>790000</v>
      </c>
      <c r="K27" s="27"/>
      <c r="L27" s="27"/>
      <c r="M27" s="26"/>
      <c r="N27" s="26"/>
      <c r="O27" s="26">
        <f t="shared" si="1"/>
        <v>2441760</v>
      </c>
      <c r="P27" s="26">
        <v>4000000</v>
      </c>
      <c r="Q27" s="26">
        <f t="shared" si="2"/>
        <v>1558240</v>
      </c>
      <c r="R27" s="46"/>
      <c r="S27" s="10"/>
      <c r="T27" s="10"/>
    </row>
    <row r="28" spans="1:20" ht="24" customHeight="1" x14ac:dyDescent="0.35">
      <c r="A28" s="21">
        <v>21</v>
      </c>
      <c r="B28" s="22">
        <v>45533</v>
      </c>
      <c r="C28" s="23" t="s">
        <v>1606</v>
      </c>
      <c r="D28" s="24" t="s">
        <v>1626</v>
      </c>
      <c r="E28" s="23" t="s">
        <v>1635</v>
      </c>
      <c r="F28" s="25"/>
      <c r="G28" s="26">
        <v>100</v>
      </c>
      <c r="H28" s="26">
        <f t="shared" si="5"/>
        <v>1877000</v>
      </c>
      <c r="I28" s="25"/>
      <c r="J28" s="26">
        <v>790000</v>
      </c>
      <c r="K28" s="27"/>
      <c r="L28" s="27"/>
      <c r="M28" s="26"/>
      <c r="N28" s="26"/>
      <c r="O28" s="26">
        <f t="shared" si="1"/>
        <v>2667000</v>
      </c>
      <c r="P28" s="26">
        <v>4600000</v>
      </c>
      <c r="Q28" s="26">
        <f t="shared" si="2"/>
        <v>1933000</v>
      </c>
      <c r="R28" s="46"/>
      <c r="S28" s="10"/>
      <c r="T28" s="10"/>
    </row>
    <row r="29" spans="1:20" ht="24" customHeight="1" x14ac:dyDescent="0.35">
      <c r="A29" s="21">
        <v>22</v>
      </c>
      <c r="B29" s="22">
        <v>45534</v>
      </c>
      <c r="C29" s="23" t="s">
        <v>1607</v>
      </c>
      <c r="D29" s="24" t="s">
        <v>1627</v>
      </c>
      <c r="E29" s="23" t="s">
        <v>227</v>
      </c>
      <c r="F29" s="25"/>
      <c r="G29" s="26">
        <v>193</v>
      </c>
      <c r="H29" s="26">
        <f t="shared" si="5"/>
        <v>3622610</v>
      </c>
      <c r="I29" s="25"/>
      <c r="J29" s="26">
        <v>1530000</v>
      </c>
      <c r="K29" s="27"/>
      <c r="L29" s="27"/>
      <c r="M29" s="26"/>
      <c r="N29" s="26"/>
      <c r="O29" s="26">
        <f t="shared" si="1"/>
        <v>5152610</v>
      </c>
      <c r="P29" s="26">
        <v>9074074</v>
      </c>
      <c r="Q29" s="26">
        <f t="shared" si="2"/>
        <v>3921464</v>
      </c>
      <c r="R29" s="46"/>
      <c r="S29" s="10"/>
      <c r="T29" s="10"/>
    </row>
    <row r="30" spans="1:20" ht="24" customHeight="1" x14ac:dyDescent="0.35">
      <c r="A30" s="21">
        <v>23</v>
      </c>
      <c r="B30" s="22">
        <v>45535</v>
      </c>
      <c r="C30" s="23" t="s">
        <v>1608</v>
      </c>
      <c r="D30" s="24" t="s">
        <v>1628</v>
      </c>
      <c r="E30" s="23" t="s">
        <v>1636</v>
      </c>
      <c r="F30" s="25"/>
      <c r="G30" s="26">
        <v>92</v>
      </c>
      <c r="H30" s="26">
        <f t="shared" si="5"/>
        <v>1726840</v>
      </c>
      <c r="I30" s="25"/>
      <c r="J30" s="26">
        <v>790000</v>
      </c>
      <c r="K30" s="27"/>
      <c r="L30" s="27"/>
      <c r="M30" s="26"/>
      <c r="N30" s="26"/>
      <c r="O30" s="26">
        <f t="shared" si="1"/>
        <v>2516840</v>
      </c>
      <c r="P30" s="26">
        <v>4100000</v>
      </c>
      <c r="Q30" s="26">
        <f t="shared" si="2"/>
        <v>1583160</v>
      </c>
      <c r="R30" s="46"/>
      <c r="S30" s="10"/>
      <c r="T30" s="10"/>
    </row>
    <row r="31" spans="1:20" ht="24" customHeight="1" x14ac:dyDescent="0.35">
      <c r="A31" s="21"/>
      <c r="B31" s="22"/>
      <c r="C31" s="139" t="s">
        <v>44</v>
      </c>
      <c r="D31" s="140"/>
      <c r="E31" s="140"/>
      <c r="F31" s="141"/>
      <c r="G31" s="54"/>
      <c r="H31" s="53"/>
      <c r="I31" s="54"/>
      <c r="J31" s="53"/>
      <c r="K31" s="51">
        <v>1200000</v>
      </c>
      <c r="L31" s="51"/>
      <c r="M31" s="26"/>
      <c r="N31" s="26"/>
      <c r="O31" s="26">
        <f>K31+L31+M31+N31</f>
        <v>1200000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391</v>
      </c>
      <c r="D32" s="140"/>
      <c r="E32" s="140"/>
      <c r="F32" s="141"/>
      <c r="G32" s="51"/>
      <c r="H32" s="51"/>
      <c r="I32" s="52"/>
      <c r="J32" s="51"/>
      <c r="K32" s="51">
        <v>16116880</v>
      </c>
      <c r="L32" s="51"/>
      <c r="M32" s="53"/>
      <c r="N32" s="53"/>
      <c r="O32" s="26">
        <f t="shared" ref="O32:O43" si="6">K32+L32+M32+N32</f>
        <v>16116880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1719</v>
      </c>
      <c r="D33" s="140"/>
      <c r="E33" s="140"/>
      <c r="F33" s="141"/>
      <c r="G33" s="51"/>
      <c r="H33" s="51"/>
      <c r="I33" s="52"/>
      <c r="J33" s="51"/>
      <c r="K33" s="51"/>
      <c r="L33" s="51">
        <v>1350000</v>
      </c>
      <c r="M33" s="53"/>
      <c r="N33" s="53"/>
      <c r="O33" s="26">
        <f t="shared" si="6"/>
        <v>1350000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1720</v>
      </c>
      <c r="D34" s="140"/>
      <c r="E34" s="140"/>
      <c r="F34" s="141"/>
      <c r="G34" s="51"/>
      <c r="H34" s="51"/>
      <c r="I34" s="52"/>
      <c r="J34" s="51"/>
      <c r="K34" s="51"/>
      <c r="L34" s="51"/>
      <c r="M34" s="53"/>
      <c r="N34" s="53">
        <v>120000</v>
      </c>
      <c r="O34" s="26">
        <f t="shared" si="6"/>
        <v>120000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1727</v>
      </c>
      <c r="D35" s="140"/>
      <c r="E35" s="140"/>
      <c r="F35" s="141"/>
      <c r="G35" s="51"/>
      <c r="H35" s="51"/>
      <c r="I35" s="52"/>
      <c r="J35" s="51"/>
      <c r="K35" s="51"/>
      <c r="L35" s="51">
        <v>1600000</v>
      </c>
      <c r="M35" s="53"/>
      <c r="N35" s="53"/>
      <c r="O35" s="26">
        <f t="shared" si="6"/>
        <v>1600000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1728</v>
      </c>
      <c r="D36" s="140"/>
      <c r="E36" s="140"/>
      <c r="F36" s="141"/>
      <c r="G36" s="51"/>
      <c r="H36" s="51"/>
      <c r="I36" s="52"/>
      <c r="J36" s="51"/>
      <c r="K36" s="51"/>
      <c r="L36" s="51">
        <v>60000</v>
      </c>
      <c r="M36" s="53"/>
      <c r="N36" s="53"/>
      <c r="O36" s="26">
        <f t="shared" si="6"/>
        <v>60000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1734</v>
      </c>
      <c r="D37" s="140"/>
      <c r="E37" s="140"/>
      <c r="F37" s="141"/>
      <c r="G37" s="51"/>
      <c r="H37" s="51"/>
      <c r="I37" s="52"/>
      <c r="J37" s="51"/>
      <c r="K37" s="51"/>
      <c r="L37" s="51">
        <v>200000</v>
      </c>
      <c r="M37" s="53"/>
      <c r="N37" s="53"/>
      <c r="O37" s="26">
        <f t="shared" si="6"/>
        <v>200000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1735</v>
      </c>
      <c r="D38" s="140"/>
      <c r="E38" s="140"/>
      <c r="F38" s="141"/>
      <c r="G38" s="51"/>
      <c r="H38" s="51"/>
      <c r="I38" s="52"/>
      <c r="J38" s="51"/>
      <c r="K38" s="51"/>
      <c r="L38" s="51"/>
      <c r="M38" s="53">
        <v>9800000</v>
      </c>
      <c r="N38" s="53"/>
      <c r="O38" s="26">
        <f t="shared" si="6"/>
        <v>9800000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1739</v>
      </c>
      <c r="D39" s="140"/>
      <c r="E39" s="140"/>
      <c r="F39" s="141"/>
      <c r="G39" s="51"/>
      <c r="H39" s="51"/>
      <c r="I39" s="52"/>
      <c r="J39" s="51"/>
      <c r="K39" s="51"/>
      <c r="L39" s="51">
        <v>453600</v>
      </c>
      <c r="M39" s="53"/>
      <c r="N39" s="53"/>
      <c r="O39" s="26">
        <f t="shared" si="6"/>
        <v>453600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1741</v>
      </c>
      <c r="D40" s="140"/>
      <c r="E40" s="140"/>
      <c r="F40" s="141"/>
      <c r="G40" s="51"/>
      <c r="H40" s="51"/>
      <c r="I40" s="52"/>
      <c r="J40" s="51"/>
      <c r="K40" s="51"/>
      <c r="L40" s="51">
        <v>300000</v>
      </c>
      <c r="M40" s="53"/>
      <c r="N40" s="53"/>
      <c r="O40" s="26">
        <f t="shared" si="6"/>
        <v>300000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1742</v>
      </c>
      <c r="D41" s="140"/>
      <c r="E41" s="140"/>
      <c r="F41" s="141"/>
      <c r="G41" s="51"/>
      <c r="H41" s="51"/>
      <c r="I41" s="52"/>
      <c r="J41" s="51"/>
      <c r="K41" s="51"/>
      <c r="L41" s="51">
        <v>700000</v>
      </c>
      <c r="M41" s="53"/>
      <c r="N41" s="53"/>
      <c r="O41" s="26">
        <f t="shared" si="6"/>
        <v>700000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1745</v>
      </c>
      <c r="D42" s="140"/>
      <c r="E42" s="140"/>
      <c r="F42" s="141"/>
      <c r="G42" s="51"/>
      <c r="H42" s="51"/>
      <c r="I42" s="52"/>
      <c r="J42" s="51"/>
      <c r="K42" s="51"/>
      <c r="L42" s="51">
        <v>3020000</v>
      </c>
      <c r="M42" s="53"/>
      <c r="N42" s="53"/>
      <c r="O42" s="26">
        <f t="shared" si="6"/>
        <v>3020000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5"/>
      <c r="C43" s="139" t="s">
        <v>1760</v>
      </c>
      <c r="D43" s="140"/>
      <c r="E43" s="140"/>
      <c r="F43" s="141"/>
      <c r="G43" s="54"/>
      <c r="H43" s="53"/>
      <c r="I43" s="54"/>
      <c r="J43" s="53"/>
      <c r="K43" s="51">
        <v>8600000</v>
      </c>
      <c r="L43" s="53"/>
      <c r="M43" s="53"/>
      <c r="N43" s="53"/>
      <c r="O43" s="26">
        <f t="shared" si="6"/>
        <v>8600000</v>
      </c>
      <c r="P43" s="26"/>
      <c r="Q43" s="26"/>
      <c r="R43" s="48"/>
    </row>
    <row r="44" spans="1:20" ht="24" customHeight="1" x14ac:dyDescent="0.35">
      <c r="A44" s="136" t="s">
        <v>45</v>
      </c>
      <c r="B44" s="137"/>
      <c r="C44" s="137"/>
      <c r="D44" s="137"/>
      <c r="E44" s="137"/>
      <c r="F44" s="138"/>
      <c r="G44" s="33">
        <f>SUM(G8:G43)</f>
        <v>3809</v>
      </c>
      <c r="H44" s="34">
        <f t="shared" ref="H44:N44" si="7">SUM(H7:H43)</f>
        <v>72862680</v>
      </c>
      <c r="I44" s="34">
        <f t="shared" si="7"/>
        <v>0</v>
      </c>
      <c r="J44" s="34">
        <f t="shared" si="7"/>
        <v>34383000</v>
      </c>
      <c r="K44" s="34">
        <f t="shared" si="7"/>
        <v>25916880</v>
      </c>
      <c r="L44" s="34">
        <f t="shared" si="7"/>
        <v>7683600</v>
      </c>
      <c r="M44" s="34">
        <f t="shared" si="7"/>
        <v>9800000</v>
      </c>
      <c r="N44" s="34">
        <f t="shared" si="7"/>
        <v>120000</v>
      </c>
      <c r="O44" s="34">
        <f>SUM(O8:O43)</f>
        <v>150766160</v>
      </c>
      <c r="P44" s="34">
        <f>SUM(P8:P43)</f>
        <v>197954815</v>
      </c>
      <c r="Q44" s="34">
        <f>P44-O44</f>
        <v>47188655</v>
      </c>
      <c r="R44" s="50"/>
    </row>
    <row r="45" spans="1:20" x14ac:dyDescent="0.35">
      <c r="O45" s="35"/>
      <c r="Q45" s="36"/>
    </row>
    <row r="46" spans="1:20" x14ac:dyDescent="0.35">
      <c r="O46" s="37"/>
      <c r="P46" s="38" t="s">
        <v>46</v>
      </c>
      <c r="Q46" s="39">
        <f>'07.2024'!Q49+'08.2024'!Q44</f>
        <v>126163700</v>
      </c>
    </row>
    <row r="47" spans="1:20" x14ac:dyDescent="0.35">
      <c r="O47" s="37"/>
      <c r="P47" s="38"/>
      <c r="Q47" s="39"/>
    </row>
    <row r="48" spans="1:20" x14ac:dyDescent="0.35">
      <c r="O48" s="37"/>
      <c r="P48" s="38"/>
      <c r="Q48" s="39"/>
    </row>
    <row r="49" spans="2:18" x14ac:dyDescent="0.35">
      <c r="P49" s="37"/>
      <c r="Q49" s="37"/>
      <c r="R49" s="50"/>
    </row>
    <row r="50" spans="2:18" x14ac:dyDescent="0.35">
      <c r="B50" s="8"/>
    </row>
    <row r="51" spans="2:18" x14ac:dyDescent="0.35">
      <c r="B51" s="8"/>
    </row>
    <row r="52" spans="2:18" x14ac:dyDescent="0.35">
      <c r="B52" s="8"/>
    </row>
    <row r="53" spans="2:18" x14ac:dyDescent="0.35">
      <c r="B53" s="8"/>
      <c r="H53" s="8"/>
      <c r="J53" s="8"/>
      <c r="K53" s="8"/>
      <c r="L53" s="8"/>
      <c r="M53" s="8"/>
      <c r="N53" s="8"/>
      <c r="O53" s="8"/>
      <c r="P53" s="8"/>
      <c r="Q53" s="8"/>
      <c r="R53" s="8"/>
    </row>
  </sheetData>
  <mergeCells count="33">
    <mergeCell ref="C38:F38"/>
    <mergeCell ref="A44:F44"/>
    <mergeCell ref="C40:F40"/>
    <mergeCell ref="C41:F41"/>
    <mergeCell ref="C42:F42"/>
    <mergeCell ref="C43:F43"/>
    <mergeCell ref="C39:F39"/>
    <mergeCell ref="N5:N6"/>
    <mergeCell ref="C37:F37"/>
    <mergeCell ref="K5:K6"/>
    <mergeCell ref="L5:L6"/>
    <mergeCell ref="C36:F36"/>
    <mergeCell ref="C34:F34"/>
    <mergeCell ref="C35:F35"/>
    <mergeCell ref="C33:F33"/>
    <mergeCell ref="C31:F31"/>
    <mergeCell ref="C32:F32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4591-0AE5-4C99-9CAC-F71E45A47C8C}">
  <dimension ref="A1:T50"/>
  <sheetViews>
    <sheetView topLeftCell="E36" workbookViewId="0">
      <selection activeCell="L40" sqref="L40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28.7265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1654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45538</v>
      </c>
      <c r="C8" s="97" t="s">
        <v>1637</v>
      </c>
      <c r="D8" s="98" t="s">
        <v>1655</v>
      </c>
      <c r="E8" s="97" t="s">
        <v>1437</v>
      </c>
      <c r="F8" s="99"/>
      <c r="G8" s="104">
        <v>156</v>
      </c>
      <c r="H8" s="104">
        <f>G8*18470</f>
        <v>2881320</v>
      </c>
      <c r="I8" s="99"/>
      <c r="J8" s="104">
        <v>1190000</v>
      </c>
      <c r="K8" s="103"/>
      <c r="L8" s="103"/>
      <c r="M8" s="104"/>
      <c r="N8" s="104"/>
      <c r="O8" s="104">
        <f>H8+J8+K8+L8+M8+N8</f>
        <v>4071320</v>
      </c>
      <c r="P8" s="104">
        <v>7150000</v>
      </c>
      <c r="Q8" s="104">
        <f>P8-O8</f>
        <v>3078680</v>
      </c>
      <c r="R8" s="46"/>
      <c r="S8" s="10"/>
      <c r="T8" s="10"/>
    </row>
    <row r="9" spans="1:20" ht="24" customHeight="1" x14ac:dyDescent="0.35">
      <c r="A9" s="21">
        <v>2</v>
      </c>
      <c r="B9" s="22">
        <v>45540</v>
      </c>
      <c r="C9" s="23" t="s">
        <v>1638</v>
      </c>
      <c r="D9" s="24" t="s">
        <v>1656</v>
      </c>
      <c r="E9" s="23" t="s">
        <v>1708</v>
      </c>
      <c r="F9" s="25"/>
      <c r="G9" s="26">
        <v>84</v>
      </c>
      <c r="H9" s="26">
        <f>G9*18470</f>
        <v>1551480</v>
      </c>
      <c r="I9" s="25"/>
      <c r="J9" s="26">
        <v>430000</v>
      </c>
      <c r="K9" s="27"/>
      <c r="L9" s="27"/>
      <c r="M9" s="26"/>
      <c r="N9" s="26"/>
      <c r="O9" s="26">
        <f t="shared" ref="O9:O23" si="0">H9+J9+K9+L9+M9+N9</f>
        <v>1981480</v>
      </c>
      <c r="P9" s="26">
        <v>4387037</v>
      </c>
      <c r="Q9" s="26">
        <f t="shared" ref="Q9:Q24" si="1">P9-O9</f>
        <v>2405557</v>
      </c>
      <c r="R9" s="46"/>
      <c r="S9" s="10"/>
      <c r="T9" s="10"/>
    </row>
    <row r="10" spans="1:20" ht="24" customHeight="1" x14ac:dyDescent="0.35">
      <c r="A10" s="21">
        <v>3</v>
      </c>
      <c r="B10" s="22">
        <v>45541</v>
      </c>
      <c r="C10" s="23" t="s">
        <v>1639</v>
      </c>
      <c r="D10" s="24" t="s">
        <v>1657</v>
      </c>
      <c r="E10" s="23" t="s">
        <v>372</v>
      </c>
      <c r="F10" s="25"/>
      <c r="G10" s="26">
        <v>388</v>
      </c>
      <c r="H10" s="26">
        <f>G10*18090</f>
        <v>7018920</v>
      </c>
      <c r="I10" s="25"/>
      <c r="J10" s="26">
        <v>3868000</v>
      </c>
      <c r="K10" s="27"/>
      <c r="L10" s="27"/>
      <c r="M10" s="26"/>
      <c r="N10" s="26"/>
      <c r="O10" s="26">
        <f t="shared" si="0"/>
        <v>10886920</v>
      </c>
      <c r="P10" s="26">
        <v>20900000</v>
      </c>
      <c r="Q10" s="26">
        <f t="shared" si="1"/>
        <v>10013080</v>
      </c>
      <c r="R10" s="46"/>
      <c r="S10" s="10"/>
      <c r="T10" s="10"/>
    </row>
    <row r="11" spans="1:20" ht="24" customHeight="1" x14ac:dyDescent="0.35">
      <c r="A11" s="21">
        <v>4</v>
      </c>
      <c r="B11" s="22">
        <v>45541</v>
      </c>
      <c r="C11" s="23" t="s">
        <v>1640</v>
      </c>
      <c r="D11" s="24" t="s">
        <v>1658</v>
      </c>
      <c r="E11" s="23" t="s">
        <v>431</v>
      </c>
      <c r="F11" s="25"/>
      <c r="G11" s="26">
        <v>114</v>
      </c>
      <c r="H11" s="26">
        <f>G11*18090</f>
        <v>2062260</v>
      </c>
      <c r="I11" s="25"/>
      <c r="J11" s="26">
        <v>790000</v>
      </c>
      <c r="K11" s="27"/>
      <c r="L11" s="27"/>
      <c r="M11" s="26"/>
      <c r="N11" s="26"/>
      <c r="O11" s="26">
        <f t="shared" si="0"/>
        <v>2852260</v>
      </c>
      <c r="P11" s="26">
        <v>4800000</v>
      </c>
      <c r="Q11" s="26">
        <f t="shared" si="1"/>
        <v>1947740</v>
      </c>
      <c r="R11" s="46"/>
      <c r="S11" s="10"/>
      <c r="T11" s="10"/>
    </row>
    <row r="12" spans="1:20" ht="24" customHeight="1" x14ac:dyDescent="0.35">
      <c r="A12" s="21">
        <v>5</v>
      </c>
      <c r="B12" s="22">
        <v>45544</v>
      </c>
      <c r="C12" s="23" t="s">
        <v>1641</v>
      </c>
      <c r="D12" s="24" t="s">
        <v>1659</v>
      </c>
      <c r="E12" s="23" t="s">
        <v>651</v>
      </c>
      <c r="F12" s="25"/>
      <c r="G12" s="26">
        <v>146</v>
      </c>
      <c r="H12" s="26">
        <f>G12*17160</f>
        <v>2505360</v>
      </c>
      <c r="I12" s="25"/>
      <c r="J12" s="26">
        <v>1190000</v>
      </c>
      <c r="K12" s="27"/>
      <c r="L12" s="27"/>
      <c r="M12" s="26"/>
      <c r="N12" s="26"/>
      <c r="O12" s="26">
        <f t="shared" si="0"/>
        <v>3695360</v>
      </c>
      <c r="P12" s="26">
        <v>6700000</v>
      </c>
      <c r="Q12" s="26">
        <f t="shared" si="1"/>
        <v>3004640</v>
      </c>
      <c r="R12" s="46"/>
      <c r="S12" s="10"/>
      <c r="T12" s="10"/>
    </row>
    <row r="13" spans="1:20" ht="24" customHeight="1" x14ac:dyDescent="0.35">
      <c r="A13" s="21">
        <v>6</v>
      </c>
      <c r="B13" s="22">
        <v>45547</v>
      </c>
      <c r="C13" s="23" t="s">
        <v>1642</v>
      </c>
      <c r="D13" s="24" t="s">
        <v>1660</v>
      </c>
      <c r="E13" s="23" t="s">
        <v>249</v>
      </c>
      <c r="F13" s="25"/>
      <c r="G13" s="26">
        <v>247</v>
      </c>
      <c r="H13" s="26">
        <f t="shared" ref="H13:H17" si="2">G13*17160</f>
        <v>4238520</v>
      </c>
      <c r="I13" s="25"/>
      <c r="J13" s="26">
        <v>2380000</v>
      </c>
      <c r="K13" s="27"/>
      <c r="L13" s="27"/>
      <c r="M13" s="26"/>
      <c r="N13" s="26"/>
      <c r="O13" s="26">
        <f t="shared" si="0"/>
        <v>6618520</v>
      </c>
      <c r="P13" s="26">
        <v>12500000</v>
      </c>
      <c r="Q13" s="26">
        <f t="shared" si="1"/>
        <v>5881480</v>
      </c>
      <c r="R13" s="46"/>
      <c r="S13" s="10"/>
      <c r="T13" s="10"/>
    </row>
    <row r="14" spans="1:20" ht="24" customHeight="1" x14ac:dyDescent="0.35">
      <c r="A14" s="21">
        <v>7</v>
      </c>
      <c r="B14" s="22">
        <v>45548</v>
      </c>
      <c r="C14" s="23" t="s">
        <v>1643</v>
      </c>
      <c r="D14" s="24" t="s">
        <v>1661</v>
      </c>
      <c r="E14" s="23" t="s">
        <v>227</v>
      </c>
      <c r="F14" s="25"/>
      <c r="G14" s="26">
        <v>187</v>
      </c>
      <c r="H14" s="26">
        <f t="shared" si="2"/>
        <v>3208920</v>
      </c>
      <c r="I14" s="25"/>
      <c r="J14" s="26">
        <v>1530000</v>
      </c>
      <c r="K14" s="27"/>
      <c r="L14" s="27"/>
      <c r="M14" s="26"/>
      <c r="N14" s="26"/>
      <c r="O14" s="26">
        <f t="shared" si="0"/>
        <v>4738920</v>
      </c>
      <c r="P14" s="26">
        <v>8296296</v>
      </c>
      <c r="Q14" s="26">
        <f t="shared" si="1"/>
        <v>3557376</v>
      </c>
      <c r="R14" s="46"/>
      <c r="S14" s="10"/>
      <c r="T14" s="10"/>
    </row>
    <row r="15" spans="1:20" ht="24" customHeight="1" x14ac:dyDescent="0.35">
      <c r="A15" s="21">
        <v>8</v>
      </c>
      <c r="B15" s="22">
        <v>45549</v>
      </c>
      <c r="C15" s="23" t="s">
        <v>1644</v>
      </c>
      <c r="D15" s="24" t="s">
        <v>1662</v>
      </c>
      <c r="E15" s="23" t="s">
        <v>43</v>
      </c>
      <c r="F15" s="25"/>
      <c r="G15" s="26">
        <v>69</v>
      </c>
      <c r="H15" s="26">
        <f t="shared" si="2"/>
        <v>1184040</v>
      </c>
      <c r="I15" s="25"/>
      <c r="J15" s="26">
        <v>790000</v>
      </c>
      <c r="K15" s="27"/>
      <c r="L15" s="27"/>
      <c r="M15" s="26"/>
      <c r="N15" s="26"/>
      <c r="O15" s="26">
        <f t="shared" si="0"/>
        <v>1974040</v>
      </c>
      <c r="P15" s="26">
        <v>3710000</v>
      </c>
      <c r="Q15" s="26">
        <f t="shared" si="1"/>
        <v>1735960</v>
      </c>
      <c r="R15" s="46"/>
      <c r="S15" s="10"/>
      <c r="T15" s="10"/>
    </row>
    <row r="16" spans="1:20" ht="24" customHeight="1" x14ac:dyDescent="0.35">
      <c r="A16" s="21">
        <v>9</v>
      </c>
      <c r="B16" s="22">
        <v>45551</v>
      </c>
      <c r="C16" s="23" t="s">
        <v>1645</v>
      </c>
      <c r="D16" s="24" t="s">
        <v>1663</v>
      </c>
      <c r="E16" s="23" t="s">
        <v>431</v>
      </c>
      <c r="F16" s="25"/>
      <c r="G16" s="26">
        <v>110</v>
      </c>
      <c r="H16" s="26">
        <f t="shared" si="2"/>
        <v>1887600</v>
      </c>
      <c r="I16" s="25"/>
      <c r="J16" s="26">
        <v>790000</v>
      </c>
      <c r="K16" s="27"/>
      <c r="L16" s="27"/>
      <c r="M16" s="26"/>
      <c r="N16" s="26"/>
      <c r="O16" s="26">
        <f t="shared" si="0"/>
        <v>2677600</v>
      </c>
      <c r="P16" s="26">
        <v>4900000</v>
      </c>
      <c r="Q16" s="26">
        <f t="shared" si="1"/>
        <v>2222400</v>
      </c>
      <c r="R16" s="46"/>
      <c r="S16" s="10"/>
      <c r="T16" s="10"/>
    </row>
    <row r="17" spans="1:20" ht="24" customHeight="1" x14ac:dyDescent="0.35">
      <c r="A17" s="21">
        <v>10</v>
      </c>
      <c r="B17" s="22">
        <v>45552</v>
      </c>
      <c r="C17" s="23" t="s">
        <v>1646</v>
      </c>
      <c r="D17" s="24" t="s">
        <v>1664</v>
      </c>
      <c r="E17" s="23" t="s">
        <v>372</v>
      </c>
      <c r="F17" s="25"/>
      <c r="G17" s="26">
        <v>385</v>
      </c>
      <c r="H17" s="26">
        <f t="shared" si="2"/>
        <v>6606600</v>
      </c>
      <c r="I17" s="25"/>
      <c r="J17" s="26">
        <v>2719000</v>
      </c>
      <c r="K17" s="27"/>
      <c r="L17" s="27"/>
      <c r="M17" s="26"/>
      <c r="N17" s="26"/>
      <c r="O17" s="26">
        <f t="shared" si="0"/>
        <v>9325600</v>
      </c>
      <c r="P17" s="26">
        <v>20900000</v>
      </c>
      <c r="Q17" s="26">
        <f t="shared" si="1"/>
        <v>11574400</v>
      </c>
      <c r="R17" s="46"/>
      <c r="S17" s="10"/>
      <c r="T17" s="10"/>
    </row>
    <row r="18" spans="1:20" ht="24" customHeight="1" x14ac:dyDescent="0.35">
      <c r="A18" s="21">
        <v>11</v>
      </c>
      <c r="B18" s="22">
        <v>45554</v>
      </c>
      <c r="C18" s="23" t="s">
        <v>1647</v>
      </c>
      <c r="D18" s="24" t="s">
        <v>1665</v>
      </c>
      <c r="E18" s="23" t="s">
        <v>1127</v>
      </c>
      <c r="F18" s="25"/>
      <c r="G18" s="26">
        <v>369</v>
      </c>
      <c r="H18" s="26">
        <f>G18*17040</f>
        <v>6287760</v>
      </c>
      <c r="I18" s="25"/>
      <c r="J18" s="26">
        <v>3761000</v>
      </c>
      <c r="K18" s="27"/>
      <c r="L18" s="27"/>
      <c r="M18" s="26"/>
      <c r="N18" s="26"/>
      <c r="O18" s="26">
        <f t="shared" si="0"/>
        <v>10048760</v>
      </c>
      <c r="P18" s="26">
        <v>20900000</v>
      </c>
      <c r="Q18" s="26">
        <f t="shared" si="1"/>
        <v>10851240</v>
      </c>
      <c r="R18" s="46"/>
      <c r="S18" s="10"/>
      <c r="T18" s="10"/>
    </row>
    <row r="19" spans="1:20" ht="24" customHeight="1" x14ac:dyDescent="0.35">
      <c r="A19" s="21">
        <v>12</v>
      </c>
      <c r="B19" s="22">
        <v>45556</v>
      </c>
      <c r="C19" s="23" t="s">
        <v>1648</v>
      </c>
      <c r="D19" s="24" t="s">
        <v>1666</v>
      </c>
      <c r="E19" s="23" t="s">
        <v>372</v>
      </c>
      <c r="F19" s="25"/>
      <c r="G19" s="26">
        <v>385</v>
      </c>
      <c r="H19" s="26">
        <f t="shared" ref="H19:H21" si="3">G19*17040</f>
        <v>6560400</v>
      </c>
      <c r="I19" s="25"/>
      <c r="J19" s="26">
        <v>3748000</v>
      </c>
      <c r="K19" s="27"/>
      <c r="L19" s="27"/>
      <c r="M19" s="26"/>
      <c r="N19" s="26"/>
      <c r="O19" s="26">
        <f t="shared" si="0"/>
        <v>10308400</v>
      </c>
      <c r="P19" s="26">
        <v>20900000</v>
      </c>
      <c r="Q19" s="26">
        <f t="shared" si="1"/>
        <v>10591600</v>
      </c>
      <c r="R19" s="46"/>
      <c r="S19" s="10"/>
      <c r="T19" s="10"/>
    </row>
    <row r="20" spans="1:20" ht="24" customHeight="1" x14ac:dyDescent="0.35">
      <c r="A20" s="21">
        <v>13</v>
      </c>
      <c r="B20" s="22">
        <v>45558</v>
      </c>
      <c r="C20" s="23" t="s">
        <v>1649</v>
      </c>
      <c r="D20" s="24" t="s">
        <v>1667</v>
      </c>
      <c r="E20" s="23" t="s">
        <v>1585</v>
      </c>
      <c r="F20" s="25"/>
      <c r="G20" s="26">
        <v>152</v>
      </c>
      <c r="H20" s="26">
        <f t="shared" si="3"/>
        <v>2590080</v>
      </c>
      <c r="I20" s="25"/>
      <c r="J20" s="26">
        <v>1190000</v>
      </c>
      <c r="K20" s="27"/>
      <c r="L20" s="27"/>
      <c r="M20" s="26"/>
      <c r="N20" s="26"/>
      <c r="O20" s="26">
        <f t="shared" si="0"/>
        <v>3780080</v>
      </c>
      <c r="P20" s="26">
        <v>6700000</v>
      </c>
      <c r="Q20" s="26">
        <f t="shared" si="1"/>
        <v>2919920</v>
      </c>
      <c r="R20" s="46"/>
      <c r="S20" s="10"/>
      <c r="T20" s="10"/>
    </row>
    <row r="21" spans="1:20" ht="24" customHeight="1" x14ac:dyDescent="0.35">
      <c r="A21" s="21">
        <v>14</v>
      </c>
      <c r="B21" s="22">
        <v>45559</v>
      </c>
      <c r="C21" s="23" t="s">
        <v>1650</v>
      </c>
      <c r="D21" s="24" t="s">
        <v>1668</v>
      </c>
      <c r="E21" s="23" t="s">
        <v>372</v>
      </c>
      <c r="F21" s="25"/>
      <c r="G21" s="26">
        <v>385</v>
      </c>
      <c r="H21" s="26">
        <f t="shared" si="3"/>
        <v>6560400</v>
      </c>
      <c r="I21" s="25"/>
      <c r="J21" s="26">
        <v>3748000</v>
      </c>
      <c r="K21" s="27"/>
      <c r="L21" s="27"/>
      <c r="M21" s="26"/>
      <c r="N21" s="26"/>
      <c r="O21" s="26">
        <f t="shared" si="0"/>
        <v>10308400</v>
      </c>
      <c r="P21" s="26">
        <v>20900000</v>
      </c>
      <c r="Q21" s="26">
        <f t="shared" si="1"/>
        <v>10591600</v>
      </c>
      <c r="R21" s="46"/>
      <c r="S21" s="10"/>
      <c r="T21" s="10"/>
    </row>
    <row r="22" spans="1:20" ht="24" customHeight="1" x14ac:dyDescent="0.35">
      <c r="A22" s="21">
        <v>15</v>
      </c>
      <c r="B22" s="22">
        <v>45561</v>
      </c>
      <c r="C22" s="23" t="s">
        <v>1651</v>
      </c>
      <c r="D22" s="24" t="s">
        <v>1669</v>
      </c>
      <c r="E22" s="23" t="s">
        <v>1585</v>
      </c>
      <c r="F22" s="25"/>
      <c r="G22" s="26">
        <v>164</v>
      </c>
      <c r="H22" s="26">
        <f>G22*17500</f>
        <v>2870000</v>
      </c>
      <c r="I22" s="25"/>
      <c r="J22" s="26">
        <v>1136000</v>
      </c>
      <c r="K22" s="27"/>
      <c r="L22" s="27"/>
      <c r="M22" s="26"/>
      <c r="N22" s="26"/>
      <c r="O22" s="26">
        <f t="shared" si="0"/>
        <v>4006000</v>
      </c>
      <c r="P22" s="26">
        <v>7000000</v>
      </c>
      <c r="Q22" s="26">
        <f t="shared" si="1"/>
        <v>2994000</v>
      </c>
      <c r="R22" s="46"/>
      <c r="S22" s="10"/>
      <c r="T22" s="10"/>
    </row>
    <row r="23" spans="1:20" ht="24" customHeight="1" x14ac:dyDescent="0.35">
      <c r="A23" s="21">
        <v>16</v>
      </c>
      <c r="B23" s="22">
        <v>45562</v>
      </c>
      <c r="C23" s="23" t="s">
        <v>1652</v>
      </c>
      <c r="D23" s="24" t="s">
        <v>1670</v>
      </c>
      <c r="E23" s="23" t="s">
        <v>1709</v>
      </c>
      <c r="F23" s="25"/>
      <c r="G23" s="26">
        <v>78</v>
      </c>
      <c r="H23" s="26">
        <f t="shared" ref="H23" si="4">G23*17500</f>
        <v>1365000</v>
      </c>
      <c r="I23" s="25"/>
      <c r="J23" s="26">
        <v>790000</v>
      </c>
      <c r="K23" s="27"/>
      <c r="L23" s="27"/>
      <c r="M23" s="26"/>
      <c r="N23" s="26"/>
      <c r="O23" s="26">
        <f t="shared" si="0"/>
        <v>2155000</v>
      </c>
      <c r="P23" s="26">
        <v>3930000</v>
      </c>
      <c r="Q23" s="26">
        <f t="shared" si="1"/>
        <v>1775000</v>
      </c>
      <c r="R23" s="46"/>
      <c r="S23" s="10"/>
      <c r="T23" s="10"/>
    </row>
    <row r="24" spans="1:20" ht="24" customHeight="1" x14ac:dyDescent="0.35">
      <c r="A24" s="21">
        <v>17</v>
      </c>
      <c r="B24" s="22">
        <v>45565</v>
      </c>
      <c r="C24" s="23" t="s">
        <v>1653</v>
      </c>
      <c r="D24" s="24" t="s">
        <v>1671</v>
      </c>
      <c r="E24" s="23" t="s">
        <v>372</v>
      </c>
      <c r="F24" s="25"/>
      <c r="G24" s="26">
        <v>385</v>
      </c>
      <c r="H24" s="26">
        <f>G24*17500</f>
        <v>6737500</v>
      </c>
      <c r="I24" s="25"/>
      <c r="J24" s="26">
        <v>3748000</v>
      </c>
      <c r="K24" s="27"/>
      <c r="L24" s="27"/>
      <c r="M24" s="26"/>
      <c r="N24" s="26"/>
      <c r="O24" s="26">
        <f>H24+J24+K24+L24+M24+N24</f>
        <v>10485500</v>
      </c>
      <c r="P24" s="26">
        <v>20900000</v>
      </c>
      <c r="Q24" s="26">
        <f t="shared" si="1"/>
        <v>10414500</v>
      </c>
      <c r="R24" s="46"/>
      <c r="S24" s="10"/>
      <c r="T24" s="10"/>
    </row>
    <row r="25" spans="1:20" ht="24" customHeight="1" x14ac:dyDescent="0.35">
      <c r="A25" s="21"/>
      <c r="B25" s="22"/>
      <c r="C25" s="139" t="s">
        <v>44</v>
      </c>
      <c r="D25" s="140"/>
      <c r="E25" s="140"/>
      <c r="F25" s="141"/>
      <c r="G25" s="54"/>
      <c r="H25" s="53"/>
      <c r="I25" s="54"/>
      <c r="J25" s="53"/>
      <c r="K25" s="51"/>
      <c r="L25" s="51">
        <v>1200000</v>
      </c>
      <c r="M25" s="26"/>
      <c r="N25" s="26"/>
      <c r="O25" s="26">
        <f>K25+L25+M25+N25</f>
        <v>1200000</v>
      </c>
      <c r="P25" s="26"/>
      <c r="Q25" s="30"/>
      <c r="R25" s="46"/>
      <c r="S25" s="10"/>
      <c r="T25" s="10"/>
    </row>
    <row r="26" spans="1:20" ht="24" customHeight="1" x14ac:dyDescent="0.35">
      <c r="A26" s="25"/>
      <c r="B26" s="28"/>
      <c r="C26" s="139" t="s">
        <v>391</v>
      </c>
      <c r="D26" s="140"/>
      <c r="E26" s="140"/>
      <c r="F26" s="141"/>
      <c r="G26" s="51"/>
      <c r="H26" s="51"/>
      <c r="I26" s="52"/>
      <c r="J26" s="51"/>
      <c r="K26" s="51">
        <v>16408840</v>
      </c>
      <c r="L26" s="51"/>
      <c r="M26" s="53"/>
      <c r="N26" s="53"/>
      <c r="O26" s="26">
        <f t="shared" ref="O26:O40" si="5">K26+L26+M26+N26</f>
        <v>16408840</v>
      </c>
      <c r="P26" s="26"/>
      <c r="Q26" s="30"/>
      <c r="R26" s="46"/>
      <c r="S26" s="10"/>
      <c r="T26" s="10"/>
    </row>
    <row r="27" spans="1:20" ht="24" customHeight="1" x14ac:dyDescent="0.35">
      <c r="A27" s="25"/>
      <c r="B27" s="28"/>
      <c r="C27" s="66" t="s">
        <v>1763</v>
      </c>
      <c r="D27" s="67"/>
      <c r="E27" s="67"/>
      <c r="F27" s="63"/>
      <c r="G27" s="51"/>
      <c r="H27" s="51"/>
      <c r="I27" s="52"/>
      <c r="J27" s="51"/>
      <c r="K27" s="51">
        <v>300000</v>
      </c>
      <c r="L27" s="51"/>
      <c r="M27" s="53"/>
      <c r="N27" s="53"/>
      <c r="O27" s="26">
        <f t="shared" si="5"/>
        <v>300000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1737</v>
      </c>
      <c r="D28" s="140"/>
      <c r="E28" s="140"/>
      <c r="F28" s="141"/>
      <c r="G28" s="51"/>
      <c r="H28" s="51"/>
      <c r="I28" s="52"/>
      <c r="J28" s="51"/>
      <c r="K28" s="51"/>
      <c r="L28" s="51">
        <v>1000000</v>
      </c>
      <c r="M28" s="53"/>
      <c r="N28" s="53"/>
      <c r="O28" s="26">
        <f t="shared" si="5"/>
        <v>1000000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1738</v>
      </c>
      <c r="D29" s="140"/>
      <c r="E29" s="140"/>
      <c r="F29" s="141"/>
      <c r="G29" s="51"/>
      <c r="H29" s="51"/>
      <c r="I29" s="52"/>
      <c r="J29" s="51"/>
      <c r="K29" s="51"/>
      <c r="L29" s="51">
        <v>700000</v>
      </c>
      <c r="M29" s="53"/>
      <c r="N29" s="53"/>
      <c r="O29" s="26">
        <f t="shared" si="5"/>
        <v>700000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1740</v>
      </c>
      <c r="D30" s="140"/>
      <c r="E30" s="140"/>
      <c r="F30" s="141"/>
      <c r="G30" s="51"/>
      <c r="H30" s="51"/>
      <c r="I30" s="52"/>
      <c r="J30" s="51"/>
      <c r="K30" s="51"/>
      <c r="L30" s="51">
        <v>702000</v>
      </c>
      <c r="M30" s="53"/>
      <c r="N30" s="53"/>
      <c r="O30" s="26">
        <f t="shared" si="5"/>
        <v>702000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1743</v>
      </c>
      <c r="D31" s="140"/>
      <c r="E31" s="140"/>
      <c r="F31" s="141"/>
      <c r="G31" s="51"/>
      <c r="H31" s="51"/>
      <c r="I31" s="52"/>
      <c r="J31" s="51"/>
      <c r="K31" s="51"/>
      <c r="L31" s="51">
        <v>1600000</v>
      </c>
      <c r="M31" s="53"/>
      <c r="N31" s="53"/>
      <c r="O31" s="26">
        <f t="shared" si="5"/>
        <v>1600000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1746</v>
      </c>
      <c r="D32" s="140"/>
      <c r="E32" s="140"/>
      <c r="F32" s="141"/>
      <c r="G32" s="51"/>
      <c r="H32" s="51"/>
      <c r="I32" s="52"/>
      <c r="J32" s="51"/>
      <c r="K32" s="51"/>
      <c r="L32" s="51">
        <v>350000</v>
      </c>
      <c r="M32" s="53"/>
      <c r="N32" s="53"/>
      <c r="O32" s="26">
        <f t="shared" si="5"/>
        <v>350000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1747</v>
      </c>
      <c r="D33" s="140"/>
      <c r="E33" s="140"/>
      <c r="F33" s="141"/>
      <c r="G33" s="51"/>
      <c r="H33" s="51"/>
      <c r="I33" s="52"/>
      <c r="J33" s="51"/>
      <c r="K33" s="51"/>
      <c r="L33" s="51">
        <v>820000</v>
      </c>
      <c r="M33" s="53"/>
      <c r="N33" s="53"/>
      <c r="O33" s="26">
        <f t="shared" si="5"/>
        <v>820000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1748</v>
      </c>
      <c r="D34" s="140"/>
      <c r="E34" s="140"/>
      <c r="F34" s="141"/>
      <c r="G34" s="51"/>
      <c r="H34" s="51"/>
      <c r="I34" s="52"/>
      <c r="J34" s="51"/>
      <c r="K34" s="51"/>
      <c r="L34" s="51">
        <v>1850000</v>
      </c>
      <c r="M34" s="53"/>
      <c r="N34" s="53"/>
      <c r="O34" s="26">
        <f t="shared" si="5"/>
        <v>1850000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1751</v>
      </c>
      <c r="D35" s="140"/>
      <c r="E35" s="140"/>
      <c r="F35" s="141"/>
      <c r="G35" s="51"/>
      <c r="H35" s="51"/>
      <c r="I35" s="52"/>
      <c r="J35" s="51"/>
      <c r="K35" s="51"/>
      <c r="L35" s="51"/>
      <c r="M35" s="53">
        <v>9880000</v>
      </c>
      <c r="N35" s="53"/>
      <c r="O35" s="26">
        <f t="shared" si="5"/>
        <v>9880000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1754</v>
      </c>
      <c r="D36" s="140"/>
      <c r="E36" s="140"/>
      <c r="F36" s="141"/>
      <c r="G36" s="51"/>
      <c r="H36" s="51"/>
      <c r="I36" s="52"/>
      <c r="J36" s="51"/>
      <c r="K36" s="51"/>
      <c r="L36" s="51">
        <v>1580000</v>
      </c>
      <c r="M36" s="53"/>
      <c r="N36" s="53"/>
      <c r="O36" s="26">
        <f t="shared" si="5"/>
        <v>1580000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1755</v>
      </c>
      <c r="D37" s="140"/>
      <c r="E37" s="140"/>
      <c r="F37" s="141"/>
      <c r="G37" s="51"/>
      <c r="H37" s="51"/>
      <c r="I37" s="52"/>
      <c r="J37" s="51"/>
      <c r="K37" s="51"/>
      <c r="L37" s="51">
        <v>200000</v>
      </c>
      <c r="M37" s="53"/>
      <c r="N37" s="53"/>
      <c r="O37" s="26">
        <f t="shared" si="5"/>
        <v>200000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1881</v>
      </c>
      <c r="D38" s="140"/>
      <c r="E38" s="140"/>
      <c r="F38" s="141"/>
      <c r="G38" s="51"/>
      <c r="H38" s="51"/>
      <c r="I38" s="52"/>
      <c r="J38" s="51"/>
      <c r="K38" s="51"/>
      <c r="L38" s="51">
        <v>3100000</v>
      </c>
      <c r="M38" s="53"/>
      <c r="N38" s="53"/>
      <c r="O38" s="26">
        <f t="shared" si="5"/>
        <v>3100000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1757</v>
      </c>
      <c r="D39" s="140"/>
      <c r="E39" s="140"/>
      <c r="F39" s="141"/>
      <c r="G39" s="51"/>
      <c r="H39" s="51"/>
      <c r="I39" s="52"/>
      <c r="J39" s="51"/>
      <c r="K39" s="51"/>
      <c r="L39" s="51">
        <v>150000</v>
      </c>
      <c r="M39" s="53"/>
      <c r="N39" s="53"/>
      <c r="O39" s="26">
        <f t="shared" si="5"/>
        <v>150000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5"/>
      <c r="C40" s="139" t="s">
        <v>1249</v>
      </c>
      <c r="D40" s="140"/>
      <c r="E40" s="140"/>
      <c r="F40" s="141"/>
      <c r="G40" s="54"/>
      <c r="H40" s="53"/>
      <c r="I40" s="54"/>
      <c r="J40" s="53"/>
      <c r="K40" s="51">
        <v>7700000</v>
      </c>
      <c r="L40" s="53"/>
      <c r="M40" s="53"/>
      <c r="N40" s="53"/>
      <c r="O40" s="26">
        <f t="shared" si="5"/>
        <v>7700000</v>
      </c>
      <c r="P40" s="26"/>
      <c r="Q40" s="26"/>
      <c r="R40" s="48"/>
    </row>
    <row r="41" spans="1:20" ht="24" customHeight="1" x14ac:dyDescent="0.35">
      <c r="A41" s="136" t="s">
        <v>45</v>
      </c>
      <c r="B41" s="137"/>
      <c r="C41" s="137"/>
      <c r="D41" s="137"/>
      <c r="E41" s="137"/>
      <c r="F41" s="138"/>
      <c r="G41" s="33">
        <f>SUM(G8:G40)</f>
        <v>3804</v>
      </c>
      <c r="H41" s="34">
        <f t="shared" ref="H41:N41" si="6">SUM(H7:H40)</f>
        <v>66116160</v>
      </c>
      <c r="I41" s="34">
        <f t="shared" si="6"/>
        <v>0</v>
      </c>
      <c r="J41" s="34">
        <f t="shared" si="6"/>
        <v>33798000</v>
      </c>
      <c r="K41" s="34">
        <f t="shared" si="6"/>
        <v>24408840</v>
      </c>
      <c r="L41" s="34">
        <f t="shared" si="6"/>
        <v>13252000</v>
      </c>
      <c r="M41" s="34">
        <f t="shared" si="6"/>
        <v>9880000</v>
      </c>
      <c r="N41" s="34">
        <f t="shared" si="6"/>
        <v>0</v>
      </c>
      <c r="O41" s="34">
        <f>SUM(O8:O40)</f>
        <v>147455000</v>
      </c>
      <c r="P41" s="34">
        <f>SUM(P8:P40)</f>
        <v>195473333</v>
      </c>
      <c r="Q41" s="34">
        <f>P41-O41</f>
        <v>48018333</v>
      </c>
      <c r="R41" s="50"/>
    </row>
    <row r="42" spans="1:20" x14ac:dyDescent="0.35">
      <c r="O42" s="35"/>
      <c r="Q42" s="36"/>
    </row>
    <row r="43" spans="1:20" x14ac:dyDescent="0.35">
      <c r="O43" s="37"/>
      <c r="P43" s="38" t="s">
        <v>46</v>
      </c>
      <c r="Q43" s="39">
        <f>'08.2024'!Q46+'09.2024'!Q41</f>
        <v>174182033</v>
      </c>
    </row>
    <row r="44" spans="1:20" x14ac:dyDescent="0.35">
      <c r="O44" s="37"/>
      <c r="P44" s="38"/>
      <c r="Q44" s="39"/>
    </row>
    <row r="45" spans="1:20" x14ac:dyDescent="0.35">
      <c r="O45" s="37"/>
      <c r="P45" s="38"/>
      <c r="Q45" s="39"/>
    </row>
    <row r="46" spans="1:20" x14ac:dyDescent="0.35">
      <c r="P46" s="37"/>
      <c r="Q46" s="37"/>
      <c r="R46" s="50"/>
    </row>
    <row r="47" spans="1:20" x14ac:dyDescent="0.35">
      <c r="B47" s="8"/>
    </row>
    <row r="48" spans="1:20" x14ac:dyDescent="0.35">
      <c r="B48" s="8"/>
    </row>
    <row r="49" spans="2:18" x14ac:dyDescent="0.35">
      <c r="B49" s="8"/>
    </row>
    <row r="50" spans="2:18" x14ac:dyDescent="0.35">
      <c r="B50" s="8"/>
      <c r="H50" s="8"/>
      <c r="J50" s="8"/>
      <c r="K50" s="8"/>
      <c r="L50" s="8"/>
      <c r="M50" s="8"/>
      <c r="N50" s="8"/>
      <c r="O50" s="8"/>
      <c r="P50" s="8"/>
      <c r="Q50" s="8"/>
      <c r="R50" s="8"/>
    </row>
  </sheetData>
  <mergeCells count="35">
    <mergeCell ref="C33:F33"/>
    <mergeCell ref="A41:F41"/>
    <mergeCell ref="C35:F35"/>
    <mergeCell ref="C36:F36"/>
    <mergeCell ref="C37:F37"/>
    <mergeCell ref="C40:F40"/>
    <mergeCell ref="C34:F34"/>
    <mergeCell ref="C38:F38"/>
    <mergeCell ref="C39:F39"/>
    <mergeCell ref="N5:N6"/>
    <mergeCell ref="C32:F32"/>
    <mergeCell ref="K5:K6"/>
    <mergeCell ref="L5:L6"/>
    <mergeCell ref="C31:F31"/>
    <mergeCell ref="C29:F29"/>
    <mergeCell ref="C30:F30"/>
    <mergeCell ref="C28:F28"/>
    <mergeCell ref="C25:F25"/>
    <mergeCell ref="C26:F26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O5:O6"/>
    <mergeCell ref="P5:P6"/>
    <mergeCell ref="Q5:Q6"/>
    <mergeCell ref="M5:M6"/>
  </mergeCell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0F5A-E048-4206-8454-4BC27DC69CF3}">
  <dimension ref="A1:T50"/>
  <sheetViews>
    <sheetView topLeftCell="F34" workbookViewId="0">
      <selection activeCell="Q28" sqref="Q28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30.81640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1769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45567</v>
      </c>
      <c r="C8" s="97" t="s">
        <v>1672</v>
      </c>
      <c r="D8" s="98" t="s">
        <v>1686</v>
      </c>
      <c r="E8" s="97" t="s">
        <v>372</v>
      </c>
      <c r="F8" s="99"/>
      <c r="G8" s="104">
        <v>375</v>
      </c>
      <c r="H8" s="104">
        <f>G8*17400</f>
        <v>6525000</v>
      </c>
      <c r="I8" s="99"/>
      <c r="J8" s="104">
        <v>3748000</v>
      </c>
      <c r="K8" s="103"/>
      <c r="L8" s="103"/>
      <c r="M8" s="104"/>
      <c r="N8" s="104"/>
      <c r="O8" s="104">
        <f>H8+J8+K8+L8+M8+N8</f>
        <v>10273000</v>
      </c>
      <c r="P8" s="104">
        <v>20900000</v>
      </c>
      <c r="Q8" s="104">
        <f>P8-O8</f>
        <v>10627000</v>
      </c>
      <c r="R8" s="46"/>
      <c r="S8" s="10"/>
      <c r="T8" s="10"/>
    </row>
    <row r="9" spans="1:20" ht="24" customHeight="1" x14ac:dyDescent="0.35">
      <c r="A9" s="21">
        <v>2</v>
      </c>
      <c r="B9" s="22">
        <v>45569</v>
      </c>
      <c r="C9" s="23" t="s">
        <v>1673</v>
      </c>
      <c r="D9" s="24" t="s">
        <v>1687</v>
      </c>
      <c r="E9" s="23" t="s">
        <v>227</v>
      </c>
      <c r="F9" s="25"/>
      <c r="G9" s="26">
        <v>180</v>
      </c>
      <c r="H9" s="26">
        <f t="shared" ref="H9:H11" si="0">G9*17400</f>
        <v>3132000</v>
      </c>
      <c r="I9" s="25"/>
      <c r="J9" s="26">
        <v>1530000</v>
      </c>
      <c r="K9" s="27"/>
      <c r="L9" s="27"/>
      <c r="M9" s="26"/>
      <c r="N9" s="26"/>
      <c r="O9" s="26">
        <f>H9+J9+K9+L9+M9+N9</f>
        <v>4662000</v>
      </c>
      <c r="P9" s="26">
        <v>8296296</v>
      </c>
      <c r="Q9" s="26">
        <f t="shared" ref="Q9:Q28" si="1">P9-O9</f>
        <v>3634296</v>
      </c>
      <c r="R9" s="46"/>
      <c r="S9" s="10"/>
      <c r="T9" s="10"/>
    </row>
    <row r="10" spans="1:20" ht="24" customHeight="1" x14ac:dyDescent="0.35">
      <c r="A10" s="21">
        <v>3</v>
      </c>
      <c r="B10" s="22">
        <v>45570</v>
      </c>
      <c r="C10" s="23" t="s">
        <v>1674</v>
      </c>
      <c r="D10" s="24" t="s">
        <v>1688</v>
      </c>
      <c r="E10" s="23" t="s">
        <v>431</v>
      </c>
      <c r="F10" s="25"/>
      <c r="G10" s="26">
        <v>123</v>
      </c>
      <c r="H10" s="26">
        <f t="shared" si="0"/>
        <v>2140200</v>
      </c>
      <c r="I10" s="25"/>
      <c r="J10" s="26">
        <v>790000</v>
      </c>
      <c r="K10" s="27"/>
      <c r="L10" s="27"/>
      <c r="M10" s="26"/>
      <c r="N10" s="26"/>
      <c r="O10" s="26">
        <f t="shared" ref="O10:O28" si="2">H10+J10+K10+L10+M10+N10</f>
        <v>2930200</v>
      </c>
      <c r="P10" s="26">
        <v>6187037</v>
      </c>
      <c r="Q10" s="26">
        <f t="shared" si="1"/>
        <v>3256837</v>
      </c>
      <c r="R10" s="46"/>
      <c r="S10" s="10"/>
      <c r="T10" s="10"/>
    </row>
    <row r="11" spans="1:20" ht="24" customHeight="1" x14ac:dyDescent="0.35">
      <c r="A11" s="21">
        <v>4</v>
      </c>
      <c r="B11" s="22">
        <v>45572</v>
      </c>
      <c r="C11" s="23" t="s">
        <v>1675</v>
      </c>
      <c r="D11" s="24" t="s">
        <v>1689</v>
      </c>
      <c r="E11" s="23" t="s">
        <v>372</v>
      </c>
      <c r="F11" s="25"/>
      <c r="G11" s="26">
        <v>385</v>
      </c>
      <c r="H11" s="26">
        <f t="shared" si="0"/>
        <v>6699000</v>
      </c>
      <c r="I11" s="25"/>
      <c r="J11" s="26">
        <v>3748000</v>
      </c>
      <c r="K11" s="27"/>
      <c r="L11" s="27"/>
      <c r="M11" s="26"/>
      <c r="N11" s="26"/>
      <c r="O11" s="26">
        <f t="shared" si="2"/>
        <v>10447000</v>
      </c>
      <c r="P11" s="26">
        <v>20900000</v>
      </c>
      <c r="Q11" s="26">
        <f t="shared" si="1"/>
        <v>10453000</v>
      </c>
      <c r="R11" s="46"/>
      <c r="S11" s="10"/>
      <c r="T11" s="10"/>
    </row>
    <row r="12" spans="1:20" ht="24" customHeight="1" x14ac:dyDescent="0.35">
      <c r="A12" s="21">
        <v>5</v>
      </c>
      <c r="B12" s="22">
        <v>45573</v>
      </c>
      <c r="C12" s="23" t="s">
        <v>1676</v>
      </c>
      <c r="D12" s="24" t="s">
        <v>1690</v>
      </c>
      <c r="E12" s="23" t="s">
        <v>243</v>
      </c>
      <c r="F12" s="25"/>
      <c r="G12" s="26">
        <v>180</v>
      </c>
      <c r="H12" s="26">
        <f>G12*18500</f>
        <v>3330000</v>
      </c>
      <c r="I12" s="25"/>
      <c r="J12" s="26">
        <v>1530000</v>
      </c>
      <c r="K12" s="27"/>
      <c r="L12" s="27"/>
      <c r="M12" s="26"/>
      <c r="N12" s="26"/>
      <c r="O12" s="26">
        <f t="shared" si="2"/>
        <v>4860000</v>
      </c>
      <c r="P12" s="26">
        <v>10185185</v>
      </c>
      <c r="Q12" s="26">
        <f t="shared" si="1"/>
        <v>5325185</v>
      </c>
      <c r="R12" s="46"/>
      <c r="S12" s="10"/>
      <c r="T12" s="10"/>
    </row>
    <row r="13" spans="1:20" ht="24" customHeight="1" x14ac:dyDescent="0.35">
      <c r="A13" s="21">
        <v>6</v>
      </c>
      <c r="B13" s="22">
        <v>45574</v>
      </c>
      <c r="C13" s="23" t="s">
        <v>1677</v>
      </c>
      <c r="D13" s="24" t="s">
        <v>1691</v>
      </c>
      <c r="E13" s="23" t="s">
        <v>1706</v>
      </c>
      <c r="F13" s="25"/>
      <c r="G13" s="26">
        <v>78</v>
      </c>
      <c r="H13" s="26">
        <f t="shared" ref="H13:H17" si="3">G13*18500</f>
        <v>1443000</v>
      </c>
      <c r="I13" s="25"/>
      <c r="J13" s="26">
        <v>790000</v>
      </c>
      <c r="K13" s="27"/>
      <c r="L13" s="27"/>
      <c r="M13" s="26"/>
      <c r="N13" s="26"/>
      <c r="O13" s="26">
        <f t="shared" si="2"/>
        <v>2233000</v>
      </c>
      <c r="P13" s="26">
        <v>3720000</v>
      </c>
      <c r="Q13" s="26">
        <f t="shared" si="1"/>
        <v>1487000</v>
      </c>
      <c r="R13" s="46"/>
      <c r="S13" s="10"/>
      <c r="T13" s="10"/>
    </row>
    <row r="14" spans="1:20" ht="24" customHeight="1" x14ac:dyDescent="0.35">
      <c r="A14" s="21">
        <v>7</v>
      </c>
      <c r="B14" s="22">
        <v>45575</v>
      </c>
      <c r="C14" s="23" t="s">
        <v>1678</v>
      </c>
      <c r="D14" s="24" t="s">
        <v>1692</v>
      </c>
      <c r="E14" s="23" t="s">
        <v>372</v>
      </c>
      <c r="F14" s="25"/>
      <c r="G14" s="26">
        <v>385</v>
      </c>
      <c r="H14" s="26">
        <f t="shared" si="3"/>
        <v>7122500</v>
      </c>
      <c r="I14" s="25"/>
      <c r="J14" s="26">
        <v>3748000</v>
      </c>
      <c r="K14" s="27"/>
      <c r="L14" s="27"/>
      <c r="M14" s="26"/>
      <c r="N14" s="26"/>
      <c r="O14" s="26">
        <f t="shared" si="2"/>
        <v>10870500</v>
      </c>
      <c r="P14" s="26">
        <v>20900000</v>
      </c>
      <c r="Q14" s="26">
        <f t="shared" si="1"/>
        <v>10029500</v>
      </c>
      <c r="R14" s="46"/>
      <c r="S14" s="10"/>
      <c r="T14" s="10"/>
    </row>
    <row r="15" spans="1:20" ht="24" customHeight="1" x14ac:dyDescent="0.35">
      <c r="A15" s="21">
        <v>8</v>
      </c>
      <c r="B15" s="22">
        <v>45579</v>
      </c>
      <c r="C15" s="23" t="s">
        <v>446</v>
      </c>
      <c r="D15" s="24" t="s">
        <v>1693</v>
      </c>
      <c r="E15" s="23" t="s">
        <v>43</v>
      </c>
      <c r="F15" s="25"/>
      <c r="G15" s="26">
        <v>0</v>
      </c>
      <c r="H15" s="26">
        <f t="shared" si="3"/>
        <v>0</v>
      </c>
      <c r="I15" s="25"/>
      <c r="J15" s="26">
        <v>1830000</v>
      </c>
      <c r="K15" s="27"/>
      <c r="L15" s="27"/>
      <c r="M15" s="26"/>
      <c r="N15" s="26"/>
      <c r="O15" s="26">
        <f t="shared" si="2"/>
        <v>1830000</v>
      </c>
      <c r="P15" s="26">
        <v>3570000</v>
      </c>
      <c r="Q15" s="26">
        <f t="shared" si="1"/>
        <v>1740000</v>
      </c>
      <c r="R15" s="46"/>
      <c r="S15" s="10"/>
      <c r="T15" s="10"/>
    </row>
    <row r="16" spans="1:20" ht="24" customHeight="1" x14ac:dyDescent="0.35">
      <c r="A16" s="21">
        <v>9</v>
      </c>
      <c r="B16" s="22">
        <v>45579</v>
      </c>
      <c r="C16" s="23" t="s">
        <v>1679</v>
      </c>
      <c r="D16" s="24" t="s">
        <v>1693</v>
      </c>
      <c r="E16" s="23" t="s">
        <v>1707</v>
      </c>
      <c r="F16" s="25"/>
      <c r="G16" s="26">
        <v>174</v>
      </c>
      <c r="H16" s="26">
        <f t="shared" si="3"/>
        <v>3219000</v>
      </c>
      <c r="I16" s="25"/>
      <c r="J16" s="117"/>
      <c r="K16" s="27"/>
      <c r="L16" s="27"/>
      <c r="M16" s="26"/>
      <c r="N16" s="26"/>
      <c r="O16" s="26">
        <f t="shared" si="2"/>
        <v>3219000</v>
      </c>
      <c r="P16" s="26">
        <v>5433889</v>
      </c>
      <c r="Q16" s="26">
        <f t="shared" si="1"/>
        <v>2214889</v>
      </c>
      <c r="R16" s="46"/>
      <c r="S16" s="10"/>
      <c r="T16" s="10"/>
    </row>
    <row r="17" spans="1:20" ht="24" customHeight="1" x14ac:dyDescent="0.35">
      <c r="A17" s="21">
        <v>10</v>
      </c>
      <c r="B17" s="22">
        <v>45580</v>
      </c>
      <c r="C17" s="23" t="s">
        <v>447</v>
      </c>
      <c r="D17" s="24" t="s">
        <v>1694</v>
      </c>
      <c r="E17" s="23" t="s">
        <v>43</v>
      </c>
      <c r="F17" s="25"/>
      <c r="G17" s="26">
        <v>69</v>
      </c>
      <c r="H17" s="26">
        <f t="shared" si="3"/>
        <v>1276500</v>
      </c>
      <c r="I17" s="25"/>
      <c r="J17" s="26">
        <v>610000</v>
      </c>
      <c r="K17" s="27"/>
      <c r="L17" s="27"/>
      <c r="M17" s="26"/>
      <c r="N17" s="26"/>
      <c r="O17" s="26">
        <f t="shared" si="2"/>
        <v>1886500</v>
      </c>
      <c r="P17" s="26">
        <v>3570000</v>
      </c>
      <c r="Q17" s="26">
        <f t="shared" si="1"/>
        <v>1683500</v>
      </c>
      <c r="R17" s="46"/>
      <c r="S17" s="10"/>
      <c r="T17" s="10"/>
    </row>
    <row r="18" spans="1:20" ht="24" customHeight="1" x14ac:dyDescent="0.35">
      <c r="A18" s="21">
        <v>11</v>
      </c>
      <c r="B18" s="22">
        <v>45581</v>
      </c>
      <c r="C18" s="23" t="s">
        <v>1680</v>
      </c>
      <c r="D18" s="24" t="s">
        <v>1695</v>
      </c>
      <c r="E18" s="23" t="s">
        <v>750</v>
      </c>
      <c r="F18" s="25"/>
      <c r="G18" s="26">
        <v>59</v>
      </c>
      <c r="H18" s="26">
        <f>G18*18500</f>
        <v>1091500</v>
      </c>
      <c r="I18" s="25"/>
      <c r="J18" s="26">
        <v>430000</v>
      </c>
      <c r="K18" s="27"/>
      <c r="L18" s="27"/>
      <c r="M18" s="26"/>
      <c r="N18" s="26"/>
      <c r="O18" s="26">
        <f t="shared" si="2"/>
        <v>1521500</v>
      </c>
      <c r="P18" s="26">
        <v>2960000</v>
      </c>
      <c r="Q18" s="26">
        <f t="shared" si="1"/>
        <v>1438500</v>
      </c>
      <c r="R18" s="46"/>
      <c r="S18" s="10"/>
      <c r="T18" s="10"/>
    </row>
    <row r="19" spans="1:20" ht="24" customHeight="1" x14ac:dyDescent="0.35">
      <c r="A19" s="21">
        <v>12</v>
      </c>
      <c r="B19" s="22">
        <v>45582</v>
      </c>
      <c r="C19" s="23" t="s">
        <v>1681</v>
      </c>
      <c r="D19" s="24" t="s">
        <v>1696</v>
      </c>
      <c r="E19" s="23" t="s">
        <v>372</v>
      </c>
      <c r="F19" s="25"/>
      <c r="G19" s="26">
        <v>373</v>
      </c>
      <c r="H19" s="26">
        <f>G19*18320</f>
        <v>6833360</v>
      </c>
      <c r="I19" s="25"/>
      <c r="J19" s="26">
        <v>4148000</v>
      </c>
      <c r="K19" s="27"/>
      <c r="L19" s="27"/>
      <c r="M19" s="26"/>
      <c r="N19" s="26"/>
      <c r="O19" s="26">
        <f t="shared" si="2"/>
        <v>10981360</v>
      </c>
      <c r="P19" s="26">
        <v>22100000</v>
      </c>
      <c r="Q19" s="26">
        <f t="shared" si="1"/>
        <v>11118640</v>
      </c>
      <c r="R19" s="46"/>
      <c r="S19" s="10"/>
      <c r="T19" s="10"/>
    </row>
    <row r="20" spans="1:20" ht="24" customHeight="1" x14ac:dyDescent="0.35">
      <c r="A20" s="21">
        <v>13</v>
      </c>
      <c r="B20" s="22">
        <v>45585</v>
      </c>
      <c r="C20" s="23" t="s">
        <v>450</v>
      </c>
      <c r="D20" s="24" t="s">
        <v>1697</v>
      </c>
      <c r="E20" s="23" t="s">
        <v>611</v>
      </c>
      <c r="F20" s="25"/>
      <c r="G20" s="26">
        <v>260</v>
      </c>
      <c r="H20" s="26">
        <f t="shared" ref="H20:H22" si="4">G20*18320</f>
        <v>4763200</v>
      </c>
      <c r="I20" s="25"/>
      <c r="J20" s="26">
        <v>1930000</v>
      </c>
      <c r="K20" s="27"/>
      <c r="L20" s="27"/>
      <c r="M20" s="26"/>
      <c r="N20" s="26"/>
      <c r="O20" s="26">
        <f t="shared" si="2"/>
        <v>6693200</v>
      </c>
      <c r="P20" s="26">
        <v>12400000</v>
      </c>
      <c r="Q20" s="26">
        <f t="shared" si="1"/>
        <v>5706800</v>
      </c>
      <c r="R20" s="46"/>
      <c r="S20" s="10"/>
      <c r="T20" s="10"/>
    </row>
    <row r="21" spans="1:20" ht="24" customHeight="1" x14ac:dyDescent="0.35">
      <c r="A21" s="21">
        <v>14</v>
      </c>
      <c r="B21" s="22">
        <v>45586</v>
      </c>
      <c r="C21" s="23" t="s">
        <v>1682</v>
      </c>
      <c r="D21" s="24" t="s">
        <v>1698</v>
      </c>
      <c r="E21" s="23" t="s">
        <v>104</v>
      </c>
      <c r="F21" s="25"/>
      <c r="G21" s="26">
        <v>76</v>
      </c>
      <c r="H21" s="26">
        <f t="shared" si="4"/>
        <v>1392320</v>
      </c>
      <c r="I21" s="25"/>
      <c r="J21" s="26">
        <v>790000</v>
      </c>
      <c r="K21" s="27"/>
      <c r="L21" s="27"/>
      <c r="M21" s="26"/>
      <c r="N21" s="26"/>
      <c r="O21" s="26">
        <f t="shared" si="2"/>
        <v>2182320</v>
      </c>
      <c r="P21" s="26">
        <v>4467778</v>
      </c>
      <c r="Q21" s="26">
        <f t="shared" si="1"/>
        <v>2285458</v>
      </c>
      <c r="R21" s="46"/>
      <c r="S21" s="10"/>
      <c r="T21" s="10"/>
    </row>
    <row r="22" spans="1:20" ht="24" customHeight="1" x14ac:dyDescent="0.35">
      <c r="A22" s="21">
        <v>15</v>
      </c>
      <c r="B22" s="22">
        <v>45588</v>
      </c>
      <c r="C22" s="23" t="s">
        <v>1683</v>
      </c>
      <c r="D22" s="24" t="s">
        <v>1699</v>
      </c>
      <c r="E22" s="23" t="s">
        <v>975</v>
      </c>
      <c r="F22" s="25"/>
      <c r="G22" s="26">
        <v>92</v>
      </c>
      <c r="H22" s="26">
        <f t="shared" si="4"/>
        <v>1685440</v>
      </c>
      <c r="I22" s="25"/>
      <c r="J22" s="26">
        <v>790000</v>
      </c>
      <c r="K22" s="27"/>
      <c r="L22" s="27"/>
      <c r="M22" s="26"/>
      <c r="N22" s="26"/>
      <c r="O22" s="26">
        <f t="shared" si="2"/>
        <v>2475440</v>
      </c>
      <c r="P22" s="26">
        <v>4490741</v>
      </c>
      <c r="Q22" s="26">
        <f t="shared" si="1"/>
        <v>2015301</v>
      </c>
      <c r="R22" s="46"/>
      <c r="S22" s="10"/>
      <c r="T22" s="10"/>
    </row>
    <row r="23" spans="1:20" ht="24" customHeight="1" x14ac:dyDescent="0.35">
      <c r="A23" s="21">
        <v>16</v>
      </c>
      <c r="B23" s="22">
        <v>45589</v>
      </c>
      <c r="C23" s="23" t="s">
        <v>1102</v>
      </c>
      <c r="D23" s="24" t="s">
        <v>1700</v>
      </c>
      <c r="E23" s="23" t="s">
        <v>1127</v>
      </c>
      <c r="F23" s="25"/>
      <c r="G23" s="26">
        <v>365</v>
      </c>
      <c r="H23" s="26">
        <f>G23*18050</f>
        <v>6588250</v>
      </c>
      <c r="I23" s="25"/>
      <c r="J23" s="26">
        <v>3126000</v>
      </c>
      <c r="K23" s="27"/>
      <c r="L23" s="27"/>
      <c r="M23" s="26"/>
      <c r="N23" s="26"/>
      <c r="O23" s="26">
        <f t="shared" si="2"/>
        <v>9714250</v>
      </c>
      <c r="P23" s="26">
        <v>20900000</v>
      </c>
      <c r="Q23" s="26">
        <f t="shared" si="1"/>
        <v>11185750</v>
      </c>
      <c r="R23" s="46"/>
      <c r="S23" s="10"/>
      <c r="T23" s="10"/>
    </row>
    <row r="24" spans="1:20" ht="24" customHeight="1" x14ac:dyDescent="0.35">
      <c r="A24" s="21">
        <v>17</v>
      </c>
      <c r="B24" s="22">
        <v>45591</v>
      </c>
      <c r="C24" s="23" t="s">
        <v>1104</v>
      </c>
      <c r="D24" s="24" t="s">
        <v>1701</v>
      </c>
      <c r="E24" s="23" t="s">
        <v>112</v>
      </c>
      <c r="F24" s="25"/>
      <c r="G24" s="26">
        <v>254</v>
      </c>
      <c r="H24" s="26">
        <f t="shared" ref="H24:H27" si="5">G24*18050</f>
        <v>4584700</v>
      </c>
      <c r="I24" s="25"/>
      <c r="J24" s="26">
        <v>2380000</v>
      </c>
      <c r="K24" s="27"/>
      <c r="L24" s="27"/>
      <c r="M24" s="26"/>
      <c r="N24" s="26"/>
      <c r="O24" s="26">
        <f t="shared" si="2"/>
        <v>6964700</v>
      </c>
      <c r="P24" s="26">
        <v>12962963</v>
      </c>
      <c r="Q24" s="26">
        <f t="shared" si="1"/>
        <v>5998263</v>
      </c>
      <c r="R24" s="46"/>
      <c r="S24" s="10"/>
      <c r="T24" s="10"/>
    </row>
    <row r="25" spans="1:20" ht="24" customHeight="1" x14ac:dyDescent="0.35">
      <c r="A25" s="21">
        <v>18</v>
      </c>
      <c r="B25" s="22">
        <v>45593</v>
      </c>
      <c r="C25" s="23" t="s">
        <v>1684</v>
      </c>
      <c r="D25" s="24" t="s">
        <v>1702</v>
      </c>
      <c r="E25" s="23" t="s">
        <v>43</v>
      </c>
      <c r="F25" s="25"/>
      <c r="G25" s="26">
        <v>69</v>
      </c>
      <c r="H25" s="26">
        <f t="shared" si="5"/>
        <v>1245450</v>
      </c>
      <c r="I25" s="25"/>
      <c r="J25" s="26">
        <v>610000</v>
      </c>
      <c r="K25" s="27"/>
      <c r="L25" s="27"/>
      <c r="M25" s="26"/>
      <c r="N25" s="26"/>
      <c r="O25" s="26">
        <f t="shared" si="2"/>
        <v>1855450</v>
      </c>
      <c r="P25" s="26">
        <v>3570000</v>
      </c>
      <c r="Q25" s="26">
        <f t="shared" si="1"/>
        <v>1714550</v>
      </c>
      <c r="R25" s="46"/>
      <c r="S25" s="10"/>
      <c r="T25" s="10"/>
    </row>
    <row r="26" spans="1:20" ht="24" customHeight="1" thickBot="1" x14ac:dyDescent="0.4">
      <c r="A26" s="21">
        <v>19</v>
      </c>
      <c r="B26" s="22">
        <v>45594</v>
      </c>
      <c r="C26" s="23" t="s">
        <v>455</v>
      </c>
      <c r="D26" s="24" t="s">
        <v>1703</v>
      </c>
      <c r="E26" s="23" t="s">
        <v>903</v>
      </c>
      <c r="F26" s="25"/>
      <c r="G26" s="26">
        <v>83</v>
      </c>
      <c r="H26" s="26">
        <f t="shared" si="5"/>
        <v>1498150</v>
      </c>
      <c r="I26" s="25"/>
      <c r="J26" s="26">
        <v>790000</v>
      </c>
      <c r="K26" s="27"/>
      <c r="L26" s="27"/>
      <c r="M26" s="26"/>
      <c r="N26" s="26"/>
      <c r="O26" s="26">
        <f t="shared" si="2"/>
        <v>2288150</v>
      </c>
      <c r="P26" s="26">
        <v>3800000</v>
      </c>
      <c r="Q26" s="26">
        <f t="shared" si="1"/>
        <v>1511850</v>
      </c>
      <c r="R26" s="46"/>
      <c r="S26" s="10"/>
      <c r="T26" s="10"/>
    </row>
    <row r="27" spans="1:20" ht="24" customHeight="1" thickBot="1" x14ac:dyDescent="0.3">
      <c r="A27" s="21">
        <v>20</v>
      </c>
      <c r="B27" s="22">
        <v>45595</v>
      </c>
      <c r="C27" s="23" t="s">
        <v>1107</v>
      </c>
      <c r="D27" s="24" t="s">
        <v>1704</v>
      </c>
      <c r="E27" s="23" t="s">
        <v>227</v>
      </c>
      <c r="F27" s="25"/>
      <c r="G27" s="26">
        <v>180</v>
      </c>
      <c r="H27" s="26">
        <f t="shared" si="5"/>
        <v>3249000</v>
      </c>
      <c r="I27" s="25"/>
      <c r="J27" s="26">
        <v>1530000</v>
      </c>
      <c r="K27" s="27"/>
      <c r="L27" s="27"/>
      <c r="M27" s="26"/>
      <c r="N27" s="26"/>
      <c r="O27" s="26">
        <f t="shared" si="2"/>
        <v>4779000</v>
      </c>
      <c r="P27" s="119">
        <v>8296296</v>
      </c>
      <c r="Q27" s="26">
        <f t="shared" si="1"/>
        <v>3517296</v>
      </c>
      <c r="R27" s="46"/>
      <c r="S27" s="10"/>
      <c r="T27" s="10"/>
    </row>
    <row r="28" spans="1:20" ht="24" customHeight="1" thickBot="1" x14ac:dyDescent="0.3">
      <c r="A28" s="21">
        <v>21</v>
      </c>
      <c r="B28" s="22">
        <v>45596</v>
      </c>
      <c r="C28" s="23" t="s">
        <v>1685</v>
      </c>
      <c r="D28" s="24" t="s">
        <v>1705</v>
      </c>
      <c r="E28" s="23" t="s">
        <v>227</v>
      </c>
      <c r="F28" s="25"/>
      <c r="G28" s="26">
        <v>180</v>
      </c>
      <c r="H28" s="26">
        <f>G28*18140</f>
        <v>3265200</v>
      </c>
      <c r="I28" s="25"/>
      <c r="J28" s="26">
        <v>1530000</v>
      </c>
      <c r="K28" s="27"/>
      <c r="L28" s="27"/>
      <c r="M28" s="26"/>
      <c r="N28" s="26"/>
      <c r="O28" s="26">
        <f t="shared" si="2"/>
        <v>4795200</v>
      </c>
      <c r="P28" s="119">
        <v>8296296</v>
      </c>
      <c r="Q28" s="26">
        <f t="shared" si="1"/>
        <v>3501096</v>
      </c>
      <c r="R28" s="46"/>
      <c r="S28" s="10"/>
      <c r="T28" s="10"/>
    </row>
    <row r="29" spans="1:20" ht="24" customHeight="1" x14ac:dyDescent="0.35">
      <c r="A29" s="21"/>
      <c r="B29" s="22"/>
      <c r="C29" s="139" t="s">
        <v>44</v>
      </c>
      <c r="D29" s="140"/>
      <c r="E29" s="140"/>
      <c r="F29" s="141"/>
      <c r="G29" s="54"/>
      <c r="H29" s="53"/>
      <c r="I29" s="54"/>
      <c r="J29" s="53"/>
      <c r="K29" s="51"/>
      <c r="L29" s="51">
        <v>1200000</v>
      </c>
      <c r="M29" s="26"/>
      <c r="N29" s="26"/>
      <c r="O29" s="26">
        <f>K29+L29+M29+N29</f>
        <v>1200000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391</v>
      </c>
      <c r="D30" s="140"/>
      <c r="E30" s="140"/>
      <c r="F30" s="141"/>
      <c r="G30" s="51"/>
      <c r="H30" s="51"/>
      <c r="I30" s="52"/>
      <c r="J30" s="51"/>
      <c r="K30" s="51">
        <v>15677920</v>
      </c>
      <c r="L30" s="51"/>
      <c r="M30" s="53"/>
      <c r="N30" s="53"/>
      <c r="O30" s="26">
        <f t="shared" ref="O30:O40" si="6">K30+L30+M30+N30</f>
        <v>15677920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1749</v>
      </c>
      <c r="D31" s="140"/>
      <c r="E31" s="140"/>
      <c r="F31" s="141"/>
      <c r="G31" s="51"/>
      <c r="H31" s="51"/>
      <c r="I31" s="52"/>
      <c r="J31" s="51"/>
      <c r="K31" s="51"/>
      <c r="L31" s="51">
        <v>300000</v>
      </c>
      <c r="M31" s="53"/>
      <c r="N31" s="53"/>
      <c r="O31" s="26">
        <f t="shared" si="6"/>
        <v>300000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1750</v>
      </c>
      <c r="D32" s="140"/>
      <c r="E32" s="140"/>
      <c r="F32" s="141"/>
      <c r="G32" s="51"/>
      <c r="H32" s="51"/>
      <c r="I32" s="52"/>
      <c r="J32" s="51"/>
      <c r="K32" s="51"/>
      <c r="L32" s="51">
        <v>500000</v>
      </c>
      <c r="M32" s="53"/>
      <c r="N32" s="53"/>
      <c r="O32" s="26">
        <f t="shared" si="6"/>
        <v>500000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1752</v>
      </c>
      <c r="D33" s="140"/>
      <c r="E33" s="140"/>
      <c r="F33" s="141"/>
      <c r="G33" s="51"/>
      <c r="H33" s="51"/>
      <c r="I33" s="52"/>
      <c r="J33" s="51"/>
      <c r="K33" s="51"/>
      <c r="L33" s="51">
        <v>700000</v>
      </c>
      <c r="M33" s="53"/>
      <c r="N33" s="53"/>
      <c r="O33" s="26">
        <f t="shared" si="6"/>
        <v>700000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1756</v>
      </c>
      <c r="D34" s="140"/>
      <c r="E34" s="140"/>
      <c r="F34" s="141"/>
      <c r="G34" s="51"/>
      <c r="H34" s="51"/>
      <c r="I34" s="52"/>
      <c r="J34" s="51"/>
      <c r="K34" s="51"/>
      <c r="L34" s="51">
        <f>734400/4</f>
        <v>183600</v>
      </c>
      <c r="M34" s="53"/>
      <c r="N34" s="53"/>
      <c r="O34" s="26">
        <f t="shared" si="6"/>
        <v>183600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1758</v>
      </c>
      <c r="D35" s="140"/>
      <c r="E35" s="140"/>
      <c r="F35" s="141"/>
      <c r="G35" s="51"/>
      <c r="H35" s="51"/>
      <c r="I35" s="52"/>
      <c r="J35" s="51"/>
      <c r="K35" s="51"/>
      <c r="L35" s="51">
        <v>1944000</v>
      </c>
      <c r="M35" s="53"/>
      <c r="N35" s="53"/>
      <c r="O35" s="26">
        <f t="shared" si="6"/>
        <v>1944000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1759</v>
      </c>
      <c r="D36" s="140"/>
      <c r="E36" s="140"/>
      <c r="F36" s="141"/>
      <c r="G36" s="51"/>
      <c r="H36" s="51"/>
      <c r="I36" s="52"/>
      <c r="J36" s="51"/>
      <c r="K36" s="51"/>
      <c r="L36" s="51">
        <v>5770000</v>
      </c>
      <c r="M36" s="53"/>
      <c r="N36" s="53"/>
      <c r="O36" s="26">
        <f t="shared" si="6"/>
        <v>5770000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1879</v>
      </c>
      <c r="D37" s="140"/>
      <c r="E37" s="140"/>
      <c r="F37" s="141"/>
      <c r="G37" s="51"/>
      <c r="H37" s="51"/>
      <c r="I37" s="52"/>
      <c r="J37" s="51"/>
      <c r="K37" s="51"/>
      <c r="L37" s="51">
        <v>6415200</v>
      </c>
      <c r="M37" s="53"/>
      <c r="N37" s="53"/>
      <c r="O37" s="26">
        <f t="shared" si="6"/>
        <v>6415200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1880</v>
      </c>
      <c r="D38" s="140"/>
      <c r="E38" s="140"/>
      <c r="F38" s="141"/>
      <c r="G38" s="51"/>
      <c r="H38" s="51"/>
      <c r="I38" s="52"/>
      <c r="J38" s="51"/>
      <c r="K38" s="51"/>
      <c r="L38" s="51">
        <v>900000</v>
      </c>
      <c r="M38" s="53"/>
      <c r="N38" s="53"/>
      <c r="O38" s="26">
        <f t="shared" si="6"/>
        <v>900000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1896</v>
      </c>
      <c r="D39" s="140"/>
      <c r="E39" s="140"/>
      <c r="F39" s="141"/>
      <c r="G39" s="51"/>
      <c r="H39" s="51"/>
      <c r="I39" s="52"/>
      <c r="J39" s="51"/>
      <c r="K39" s="51"/>
      <c r="L39" s="51"/>
      <c r="M39" s="53">
        <v>4900000</v>
      </c>
      <c r="N39" s="53"/>
      <c r="O39" s="26">
        <f t="shared" si="6"/>
        <v>4900000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5"/>
      <c r="C40" s="139" t="s">
        <v>1760</v>
      </c>
      <c r="D40" s="140"/>
      <c r="E40" s="140"/>
      <c r="F40" s="141"/>
      <c r="G40" s="54"/>
      <c r="H40" s="53"/>
      <c r="I40" s="54"/>
      <c r="J40" s="53"/>
      <c r="K40" s="51">
        <v>8600000</v>
      </c>
      <c r="L40" s="53"/>
      <c r="M40" s="53"/>
      <c r="N40" s="53"/>
      <c r="O40" s="26">
        <f t="shared" si="6"/>
        <v>8600000</v>
      </c>
      <c r="P40" s="26"/>
      <c r="Q40" s="26"/>
      <c r="R40" s="48"/>
    </row>
    <row r="41" spans="1:20" ht="24" customHeight="1" x14ac:dyDescent="0.35">
      <c r="A41" s="136" t="s">
        <v>45</v>
      </c>
      <c r="B41" s="137"/>
      <c r="C41" s="137"/>
      <c r="D41" s="137"/>
      <c r="E41" s="137"/>
      <c r="F41" s="138"/>
      <c r="G41" s="33">
        <f>SUM(G8:G40)</f>
        <v>3940</v>
      </c>
      <c r="H41" s="34">
        <f t="shared" ref="H41:N41" si="7">SUM(H7:H40)</f>
        <v>71083770</v>
      </c>
      <c r="I41" s="34">
        <f t="shared" si="7"/>
        <v>0</v>
      </c>
      <c r="J41" s="34">
        <f t="shared" si="7"/>
        <v>36378000</v>
      </c>
      <c r="K41" s="34">
        <f t="shared" si="7"/>
        <v>24277920</v>
      </c>
      <c r="L41" s="34">
        <f t="shared" si="7"/>
        <v>17912800</v>
      </c>
      <c r="M41" s="34">
        <f t="shared" si="7"/>
        <v>4900000</v>
      </c>
      <c r="N41" s="34">
        <f t="shared" si="7"/>
        <v>0</v>
      </c>
      <c r="O41" s="34">
        <f>SUM(O8:O40)</f>
        <v>154552490</v>
      </c>
      <c r="P41" s="120">
        <f>SUM(P8:P40)</f>
        <v>207906481</v>
      </c>
      <c r="Q41" s="34">
        <f>P41-O41</f>
        <v>53353991</v>
      </c>
      <c r="R41" s="50"/>
    </row>
    <row r="42" spans="1:20" x14ac:dyDescent="0.35">
      <c r="O42" s="35"/>
      <c r="Q42" s="36"/>
    </row>
    <row r="43" spans="1:20" x14ac:dyDescent="0.35">
      <c r="O43" s="37"/>
      <c r="P43" s="38" t="s">
        <v>46</v>
      </c>
      <c r="Q43" s="39">
        <f>'09.2024'!Q43+'10.2024'!Q41</f>
        <v>227536024</v>
      </c>
    </row>
    <row r="44" spans="1:20" x14ac:dyDescent="0.35">
      <c r="O44" s="37"/>
      <c r="P44" s="38"/>
      <c r="Q44" s="39"/>
    </row>
    <row r="45" spans="1:20" x14ac:dyDescent="0.35">
      <c r="O45" s="37"/>
      <c r="P45" s="38"/>
      <c r="Q45" s="39"/>
    </row>
    <row r="46" spans="1:20" x14ac:dyDescent="0.35">
      <c r="P46" s="37"/>
      <c r="Q46" s="37"/>
      <c r="R46" s="50"/>
    </row>
    <row r="47" spans="1:20" x14ac:dyDescent="0.35">
      <c r="B47" s="8"/>
    </row>
    <row r="48" spans="1:20" x14ac:dyDescent="0.35">
      <c r="B48" s="8"/>
    </row>
    <row r="49" spans="2:18" x14ac:dyDescent="0.35">
      <c r="B49" s="8"/>
    </row>
    <row r="50" spans="2:18" x14ac:dyDescent="0.35">
      <c r="B50" s="8"/>
      <c r="H50" s="8"/>
      <c r="J50" s="8"/>
      <c r="K50" s="8"/>
      <c r="L50" s="8"/>
      <c r="M50" s="8"/>
      <c r="N50" s="8"/>
      <c r="O50" s="8"/>
      <c r="P50" s="8"/>
      <c r="Q50" s="8"/>
      <c r="R50" s="8"/>
    </row>
  </sheetData>
  <mergeCells count="32">
    <mergeCell ref="C36:F36"/>
    <mergeCell ref="A41:F41"/>
    <mergeCell ref="C40:F40"/>
    <mergeCell ref="C32:F32"/>
    <mergeCell ref="C33:F33"/>
    <mergeCell ref="C34:F34"/>
    <mergeCell ref="C35:F35"/>
    <mergeCell ref="C37:F37"/>
    <mergeCell ref="C38:F38"/>
    <mergeCell ref="C39:F39"/>
    <mergeCell ref="C31:F31"/>
    <mergeCell ref="I5:I6"/>
    <mergeCell ref="J5:J6"/>
    <mergeCell ref="K5:K6"/>
    <mergeCell ref="L5:L6"/>
    <mergeCell ref="C29:F29"/>
    <mergeCell ref="C30:F30"/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3B43C-10D8-4946-BB31-4F71447ADEA7}">
  <dimension ref="A1:T53"/>
  <sheetViews>
    <sheetView topLeftCell="F40" workbookViewId="0">
      <selection activeCell="L42" sqref="L42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30.81640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1768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45597</v>
      </c>
      <c r="C8" s="97" t="s">
        <v>1770</v>
      </c>
      <c r="D8" s="98" t="s">
        <v>1788</v>
      </c>
      <c r="E8" s="97" t="s">
        <v>43</v>
      </c>
      <c r="F8" s="99"/>
      <c r="G8" s="104">
        <v>69</v>
      </c>
      <c r="H8" s="104">
        <f>G8*18910</f>
        <v>1304790</v>
      </c>
      <c r="I8" s="99"/>
      <c r="J8" s="104">
        <v>790000</v>
      </c>
      <c r="K8" s="103"/>
      <c r="L8" s="103"/>
      <c r="M8" s="104"/>
      <c r="N8" s="104"/>
      <c r="O8" s="104">
        <f>H8+J8+K8+L8+M8+N8</f>
        <v>2094790</v>
      </c>
      <c r="P8" s="104">
        <v>3570000</v>
      </c>
      <c r="Q8" s="104">
        <f>P8-O8</f>
        <v>1475210</v>
      </c>
      <c r="R8" s="46"/>
      <c r="S8" s="10"/>
      <c r="T8" s="10"/>
    </row>
    <row r="9" spans="1:20" ht="24" customHeight="1" x14ac:dyDescent="0.35">
      <c r="A9" s="21">
        <v>2</v>
      </c>
      <c r="B9" s="22">
        <v>45600</v>
      </c>
      <c r="C9" s="23" t="s">
        <v>1771</v>
      </c>
      <c r="D9" s="24" t="s">
        <v>1789</v>
      </c>
      <c r="E9" s="23" t="s">
        <v>750</v>
      </c>
      <c r="F9" s="25"/>
      <c r="G9" s="26">
        <v>59</v>
      </c>
      <c r="H9" s="26">
        <f t="shared" ref="H9:H11" si="0">G9*18910</f>
        <v>1115690</v>
      </c>
      <c r="I9" s="25"/>
      <c r="J9" s="26">
        <v>430000</v>
      </c>
      <c r="K9" s="27"/>
      <c r="L9" s="27"/>
      <c r="M9" s="26"/>
      <c r="N9" s="26"/>
      <c r="O9" s="26">
        <f>H9+J9+K9+L9+M9+N9</f>
        <v>1545690</v>
      </c>
      <c r="P9" s="26">
        <v>2960000</v>
      </c>
      <c r="Q9" s="26">
        <f t="shared" ref="Q9:Q26" si="1">P9-O9</f>
        <v>1414310</v>
      </c>
      <c r="R9" s="46"/>
      <c r="S9" s="10"/>
      <c r="T9" s="10"/>
    </row>
    <row r="10" spans="1:20" ht="24" customHeight="1" x14ac:dyDescent="0.35">
      <c r="A10" s="21">
        <v>3</v>
      </c>
      <c r="B10" s="22">
        <v>45601</v>
      </c>
      <c r="C10" s="23" t="s">
        <v>1772</v>
      </c>
      <c r="D10" s="24" t="s">
        <v>1790</v>
      </c>
      <c r="E10" s="23" t="s">
        <v>1806</v>
      </c>
      <c r="F10" s="25"/>
      <c r="G10" s="26">
        <v>81</v>
      </c>
      <c r="H10" s="26">
        <f t="shared" si="0"/>
        <v>1531710</v>
      </c>
      <c r="I10" s="25"/>
      <c r="J10" s="26">
        <v>790000</v>
      </c>
      <c r="K10" s="27"/>
      <c r="L10" s="27"/>
      <c r="M10" s="26"/>
      <c r="N10" s="26"/>
      <c r="O10" s="26">
        <f t="shared" ref="O10:O26" si="2">H10+J10+K10+L10+M10+N10</f>
        <v>2321710</v>
      </c>
      <c r="P10" s="26">
        <v>4266296</v>
      </c>
      <c r="Q10" s="26">
        <f t="shared" si="1"/>
        <v>1944586</v>
      </c>
      <c r="R10" s="46"/>
      <c r="S10" s="10"/>
      <c r="T10" s="10"/>
    </row>
    <row r="11" spans="1:20" ht="24" customHeight="1" x14ac:dyDescent="0.35">
      <c r="A11" s="21">
        <v>4</v>
      </c>
      <c r="B11" s="22">
        <v>45602</v>
      </c>
      <c r="C11" s="23" t="s">
        <v>1773</v>
      </c>
      <c r="D11" s="24" t="s">
        <v>1791</v>
      </c>
      <c r="E11" s="23" t="s">
        <v>750</v>
      </c>
      <c r="F11" s="25"/>
      <c r="G11" s="26">
        <v>63</v>
      </c>
      <c r="H11" s="26">
        <f t="shared" si="0"/>
        <v>1191330</v>
      </c>
      <c r="I11" s="25"/>
      <c r="J11" s="26">
        <v>430000</v>
      </c>
      <c r="K11" s="27"/>
      <c r="L11" s="27"/>
      <c r="M11" s="26"/>
      <c r="N11" s="26"/>
      <c r="O11" s="26">
        <f t="shared" si="2"/>
        <v>1621330</v>
      </c>
      <c r="P11" s="26">
        <v>3030000</v>
      </c>
      <c r="Q11" s="26">
        <f t="shared" si="1"/>
        <v>1408670</v>
      </c>
      <c r="R11" s="46"/>
      <c r="S11" s="10"/>
      <c r="T11" s="10"/>
    </row>
    <row r="12" spans="1:20" ht="24" customHeight="1" x14ac:dyDescent="0.35">
      <c r="A12" s="21">
        <v>5</v>
      </c>
      <c r="B12" s="22">
        <v>45603</v>
      </c>
      <c r="C12" s="23" t="s">
        <v>1774</v>
      </c>
      <c r="D12" s="24" t="s">
        <v>1792</v>
      </c>
      <c r="E12" s="23" t="s">
        <v>249</v>
      </c>
      <c r="F12" s="25"/>
      <c r="G12" s="26">
        <v>244</v>
      </c>
      <c r="H12" s="26">
        <f>G12*18910</f>
        <v>4614040</v>
      </c>
      <c r="I12" s="25"/>
      <c r="J12" s="26">
        <v>2380000</v>
      </c>
      <c r="K12" s="27"/>
      <c r="L12" s="27"/>
      <c r="M12" s="26"/>
      <c r="N12" s="26"/>
      <c r="O12" s="26">
        <f t="shared" si="2"/>
        <v>6994040</v>
      </c>
      <c r="P12" s="26">
        <v>12037037</v>
      </c>
      <c r="Q12" s="26">
        <f t="shared" si="1"/>
        <v>5042997</v>
      </c>
      <c r="R12" s="46"/>
      <c r="S12" s="10"/>
      <c r="T12" s="10"/>
    </row>
    <row r="13" spans="1:20" ht="24" customHeight="1" x14ac:dyDescent="0.35">
      <c r="A13" s="21">
        <v>6</v>
      </c>
      <c r="B13" s="22">
        <v>45604</v>
      </c>
      <c r="C13" s="23" t="s">
        <v>1775</v>
      </c>
      <c r="D13" s="24" t="s">
        <v>1793</v>
      </c>
      <c r="E13" s="23" t="s">
        <v>1807</v>
      </c>
      <c r="F13" s="25"/>
      <c r="G13" s="26">
        <v>46</v>
      </c>
      <c r="H13" s="26">
        <f t="shared" ref="H13:H14" si="3">G13*18910</f>
        <v>869860</v>
      </c>
      <c r="I13" s="25"/>
      <c r="J13" s="26">
        <v>340000</v>
      </c>
      <c r="K13" s="27"/>
      <c r="L13" s="27"/>
      <c r="M13" s="26"/>
      <c r="N13" s="26"/>
      <c r="O13" s="26">
        <f t="shared" si="2"/>
        <v>1209860</v>
      </c>
      <c r="P13" s="26">
        <v>3100000</v>
      </c>
      <c r="Q13" s="26">
        <f t="shared" si="1"/>
        <v>1890140</v>
      </c>
      <c r="R13" s="46"/>
      <c r="S13" s="10"/>
      <c r="T13" s="10"/>
    </row>
    <row r="14" spans="1:20" ht="24" customHeight="1" x14ac:dyDescent="0.35">
      <c r="A14" s="21">
        <v>7</v>
      </c>
      <c r="B14" s="22">
        <v>45605</v>
      </c>
      <c r="C14" s="23" t="s">
        <v>1776</v>
      </c>
      <c r="D14" s="24" t="s">
        <v>1794</v>
      </c>
      <c r="E14" s="23" t="s">
        <v>43</v>
      </c>
      <c r="F14" s="25"/>
      <c r="G14" s="26">
        <v>69</v>
      </c>
      <c r="H14" s="26">
        <f t="shared" si="3"/>
        <v>1304790</v>
      </c>
      <c r="I14" s="25"/>
      <c r="J14" s="26">
        <v>790000</v>
      </c>
      <c r="K14" s="27"/>
      <c r="L14" s="27"/>
      <c r="M14" s="26"/>
      <c r="N14" s="26"/>
      <c r="O14" s="26">
        <f t="shared" si="2"/>
        <v>2094790</v>
      </c>
      <c r="P14" s="26">
        <v>3570000</v>
      </c>
      <c r="Q14" s="26">
        <f t="shared" si="1"/>
        <v>1475210</v>
      </c>
      <c r="R14" s="46"/>
      <c r="S14" s="10"/>
      <c r="T14" s="10"/>
    </row>
    <row r="15" spans="1:20" ht="24" customHeight="1" x14ac:dyDescent="0.35">
      <c r="A15" s="21">
        <v>8</v>
      </c>
      <c r="B15" s="22">
        <v>45607</v>
      </c>
      <c r="C15" s="23" t="s">
        <v>1777</v>
      </c>
      <c r="D15" s="24" t="s">
        <v>1795</v>
      </c>
      <c r="E15" s="23" t="s">
        <v>1808</v>
      </c>
      <c r="F15" s="25"/>
      <c r="G15" s="26">
        <v>110</v>
      </c>
      <c r="H15" s="26">
        <f>G15*18570</f>
        <v>2042700</v>
      </c>
      <c r="I15" s="25"/>
      <c r="J15" s="26">
        <v>1090000</v>
      </c>
      <c r="K15" s="27"/>
      <c r="L15" s="27"/>
      <c r="M15" s="26"/>
      <c r="N15" s="26"/>
      <c r="O15" s="26">
        <f t="shared" si="2"/>
        <v>3132700</v>
      </c>
      <c r="P15" s="26">
        <v>3570000</v>
      </c>
      <c r="Q15" s="26">
        <f t="shared" si="1"/>
        <v>437300</v>
      </c>
      <c r="R15" s="46"/>
      <c r="S15" s="10"/>
      <c r="T15" s="10"/>
    </row>
    <row r="16" spans="1:20" ht="24" customHeight="1" x14ac:dyDescent="0.35">
      <c r="A16" s="21">
        <v>9</v>
      </c>
      <c r="B16" s="22">
        <v>45607</v>
      </c>
      <c r="C16" s="23" t="s">
        <v>1778</v>
      </c>
      <c r="D16" s="24" t="s">
        <v>1795</v>
      </c>
      <c r="E16" s="23" t="s">
        <v>1809</v>
      </c>
      <c r="F16" s="25"/>
      <c r="G16" s="26"/>
      <c r="H16" s="26">
        <f t="shared" ref="H16:H21" si="4">G16*18570</f>
        <v>0</v>
      </c>
      <c r="I16" s="25"/>
      <c r="J16" s="117"/>
      <c r="K16" s="27"/>
      <c r="L16" s="27"/>
      <c r="M16" s="26"/>
      <c r="N16" s="26"/>
      <c r="O16" s="26">
        <f t="shared" si="2"/>
        <v>0</v>
      </c>
      <c r="P16" s="26">
        <v>1782000</v>
      </c>
      <c r="Q16" s="26">
        <f t="shared" si="1"/>
        <v>1782000</v>
      </c>
      <c r="R16" s="46"/>
      <c r="S16" s="10"/>
      <c r="T16" s="10"/>
    </row>
    <row r="17" spans="1:20" ht="24" customHeight="1" x14ac:dyDescent="0.35">
      <c r="A17" s="21">
        <v>10</v>
      </c>
      <c r="B17" s="22">
        <v>45608</v>
      </c>
      <c r="C17" s="23" t="s">
        <v>1779</v>
      </c>
      <c r="D17" s="24" t="s">
        <v>1796</v>
      </c>
      <c r="E17" s="23" t="s">
        <v>457</v>
      </c>
      <c r="F17" s="25"/>
      <c r="G17" s="26">
        <v>83</v>
      </c>
      <c r="H17" s="26">
        <f t="shared" si="4"/>
        <v>1541310</v>
      </c>
      <c r="I17" s="25"/>
      <c r="J17" s="117">
        <v>710000</v>
      </c>
      <c r="K17" s="27"/>
      <c r="L17" s="27"/>
      <c r="M17" s="26"/>
      <c r="N17" s="26"/>
      <c r="O17" s="26">
        <f t="shared" si="2"/>
        <v>2251310</v>
      </c>
      <c r="P17" s="26">
        <v>3700000</v>
      </c>
      <c r="Q17" s="26">
        <f t="shared" si="1"/>
        <v>1448690</v>
      </c>
      <c r="R17" s="46"/>
      <c r="S17" s="10"/>
      <c r="T17" s="10"/>
    </row>
    <row r="18" spans="1:20" ht="24" customHeight="1" x14ac:dyDescent="0.35">
      <c r="A18" s="21">
        <v>11</v>
      </c>
      <c r="B18" s="22">
        <v>45609</v>
      </c>
      <c r="C18" s="23" t="s">
        <v>1175</v>
      </c>
      <c r="D18" s="24" t="s">
        <v>1797</v>
      </c>
      <c r="E18" s="23" t="s">
        <v>43</v>
      </c>
      <c r="F18" s="25"/>
      <c r="G18" s="26">
        <v>69</v>
      </c>
      <c r="H18" s="26">
        <f t="shared" si="4"/>
        <v>1281330</v>
      </c>
      <c r="I18" s="25"/>
      <c r="J18" s="26">
        <v>790000</v>
      </c>
      <c r="K18" s="27"/>
      <c r="L18" s="27"/>
      <c r="M18" s="26"/>
      <c r="N18" s="26"/>
      <c r="O18" s="26">
        <f t="shared" si="2"/>
        <v>2071330</v>
      </c>
      <c r="P18" s="26">
        <v>3680000</v>
      </c>
      <c r="Q18" s="26">
        <f t="shared" si="1"/>
        <v>1608670</v>
      </c>
      <c r="R18" s="46"/>
      <c r="S18" s="10"/>
      <c r="T18" s="10"/>
    </row>
    <row r="19" spans="1:20" ht="24" customHeight="1" x14ac:dyDescent="0.35">
      <c r="A19" s="21">
        <v>12</v>
      </c>
      <c r="B19" s="22">
        <v>45610</v>
      </c>
      <c r="C19" s="23" t="s">
        <v>1780</v>
      </c>
      <c r="D19" s="24" t="s">
        <v>1798</v>
      </c>
      <c r="E19" s="23" t="s">
        <v>1810</v>
      </c>
      <c r="F19" s="25"/>
      <c r="G19" s="26">
        <v>77</v>
      </c>
      <c r="H19" s="26">
        <f t="shared" si="4"/>
        <v>1429890</v>
      </c>
      <c r="I19" s="25"/>
      <c r="J19" s="26">
        <v>990000</v>
      </c>
      <c r="K19" s="27"/>
      <c r="L19" s="27"/>
      <c r="M19" s="26"/>
      <c r="N19" s="26"/>
      <c r="O19" s="26">
        <f t="shared" si="2"/>
        <v>2419890</v>
      </c>
      <c r="P19" s="26">
        <v>5600000</v>
      </c>
      <c r="Q19" s="26">
        <f t="shared" si="1"/>
        <v>3180110</v>
      </c>
      <c r="R19" s="46"/>
      <c r="S19" s="10"/>
      <c r="T19" s="10"/>
    </row>
    <row r="20" spans="1:20" ht="24" customHeight="1" x14ac:dyDescent="0.35">
      <c r="A20" s="21">
        <v>13</v>
      </c>
      <c r="B20" s="22">
        <v>45612</v>
      </c>
      <c r="C20" s="23" t="s">
        <v>1781</v>
      </c>
      <c r="D20" s="24" t="s">
        <v>1799</v>
      </c>
      <c r="E20" s="23" t="s">
        <v>111</v>
      </c>
      <c r="F20" s="25"/>
      <c r="G20" s="26">
        <v>73</v>
      </c>
      <c r="H20" s="26">
        <f t="shared" si="4"/>
        <v>1355610</v>
      </c>
      <c r="I20" s="25"/>
      <c r="J20" s="26">
        <v>790000</v>
      </c>
      <c r="K20" s="27"/>
      <c r="L20" s="27"/>
      <c r="M20" s="26"/>
      <c r="N20" s="26"/>
      <c r="O20" s="26">
        <f t="shared" si="2"/>
        <v>2145610</v>
      </c>
      <c r="P20" s="26">
        <v>3600000</v>
      </c>
      <c r="Q20" s="26">
        <f t="shared" si="1"/>
        <v>1454390</v>
      </c>
      <c r="R20" s="46"/>
      <c r="S20" s="10"/>
      <c r="T20" s="10"/>
    </row>
    <row r="21" spans="1:20" ht="24" customHeight="1" x14ac:dyDescent="0.35">
      <c r="A21" s="21">
        <v>14</v>
      </c>
      <c r="B21" s="22">
        <v>45613</v>
      </c>
      <c r="C21" s="23" t="s">
        <v>1782</v>
      </c>
      <c r="D21" s="24" t="s">
        <v>1800</v>
      </c>
      <c r="E21" s="23" t="s">
        <v>372</v>
      </c>
      <c r="F21" s="25"/>
      <c r="G21" s="26">
        <v>383</v>
      </c>
      <c r="H21" s="26">
        <f t="shared" si="4"/>
        <v>7112310</v>
      </c>
      <c r="I21" s="25"/>
      <c r="J21" s="26">
        <v>3748000</v>
      </c>
      <c r="K21" s="27"/>
      <c r="L21" s="27"/>
      <c r="M21" s="26"/>
      <c r="N21" s="26"/>
      <c r="O21" s="26">
        <f t="shared" si="2"/>
        <v>10860310</v>
      </c>
      <c r="P21" s="26">
        <v>20400000</v>
      </c>
      <c r="Q21" s="26">
        <f t="shared" si="1"/>
        <v>9539690</v>
      </c>
      <c r="R21" s="46"/>
      <c r="S21" s="10"/>
      <c r="T21" s="10"/>
    </row>
    <row r="22" spans="1:20" ht="24" customHeight="1" x14ac:dyDescent="0.35">
      <c r="A22" s="21">
        <v>15</v>
      </c>
      <c r="B22" s="22">
        <v>45616</v>
      </c>
      <c r="C22" s="23" t="s">
        <v>1783</v>
      </c>
      <c r="D22" s="24" t="s">
        <v>1801</v>
      </c>
      <c r="E22" s="23" t="s">
        <v>1811</v>
      </c>
      <c r="F22" s="25"/>
      <c r="G22" s="26">
        <v>150</v>
      </c>
      <c r="H22" s="26">
        <f>G22*18500</f>
        <v>2775000</v>
      </c>
      <c r="I22" s="25"/>
      <c r="J22" s="26">
        <v>930000</v>
      </c>
      <c r="K22" s="27"/>
      <c r="L22" s="27"/>
      <c r="M22" s="26"/>
      <c r="N22" s="26"/>
      <c r="O22" s="26">
        <f t="shared" si="2"/>
        <v>3705000</v>
      </c>
      <c r="P22" s="26">
        <v>5800000</v>
      </c>
      <c r="Q22" s="26">
        <f t="shared" si="1"/>
        <v>2095000</v>
      </c>
      <c r="R22" s="46"/>
      <c r="S22" s="10"/>
      <c r="T22" s="10"/>
    </row>
    <row r="23" spans="1:20" ht="24" customHeight="1" x14ac:dyDescent="0.35">
      <c r="A23" s="21">
        <v>16</v>
      </c>
      <c r="B23" s="22">
        <v>45617</v>
      </c>
      <c r="C23" s="23" t="s">
        <v>1784</v>
      </c>
      <c r="D23" s="24" t="s">
        <v>1802</v>
      </c>
      <c r="E23" s="23" t="s">
        <v>1812</v>
      </c>
      <c r="F23" s="25"/>
      <c r="G23" s="26">
        <v>91</v>
      </c>
      <c r="H23" s="26">
        <f t="shared" ref="H23:H26" si="5">G23*18500</f>
        <v>1683500</v>
      </c>
      <c r="I23" s="25"/>
      <c r="J23" s="26">
        <v>790000</v>
      </c>
      <c r="K23" s="27"/>
      <c r="L23" s="27"/>
      <c r="M23" s="26"/>
      <c r="N23" s="26"/>
      <c r="O23" s="26">
        <f t="shared" si="2"/>
        <v>2473500</v>
      </c>
      <c r="P23" s="26">
        <v>4400000</v>
      </c>
      <c r="Q23" s="26">
        <f t="shared" si="1"/>
        <v>1926500</v>
      </c>
      <c r="R23" s="46"/>
      <c r="S23" s="10"/>
      <c r="T23" s="10"/>
    </row>
    <row r="24" spans="1:20" ht="24" customHeight="1" x14ac:dyDescent="0.35">
      <c r="A24" s="21">
        <v>17</v>
      </c>
      <c r="B24" s="22">
        <v>45618</v>
      </c>
      <c r="C24" s="23" t="s">
        <v>1785</v>
      </c>
      <c r="D24" s="24" t="s">
        <v>1803</v>
      </c>
      <c r="E24" s="23" t="s">
        <v>1813</v>
      </c>
      <c r="F24" s="25"/>
      <c r="G24" s="26">
        <v>140</v>
      </c>
      <c r="H24" s="26">
        <f t="shared" si="5"/>
        <v>2590000</v>
      </c>
      <c r="I24" s="25"/>
      <c r="J24" s="26">
        <v>930000</v>
      </c>
      <c r="K24" s="27"/>
      <c r="L24" s="27"/>
      <c r="M24" s="26"/>
      <c r="N24" s="26"/>
      <c r="O24" s="26">
        <f t="shared" si="2"/>
        <v>3520000</v>
      </c>
      <c r="P24" s="26">
        <v>5800000</v>
      </c>
      <c r="Q24" s="26">
        <f t="shared" si="1"/>
        <v>2280000</v>
      </c>
      <c r="R24" s="46"/>
      <c r="S24" s="10"/>
      <c r="T24" s="10"/>
    </row>
    <row r="25" spans="1:20" ht="24" customHeight="1" x14ac:dyDescent="0.35">
      <c r="A25" s="21">
        <v>18</v>
      </c>
      <c r="B25" s="22">
        <v>45619</v>
      </c>
      <c r="C25" s="23" t="s">
        <v>1786</v>
      </c>
      <c r="D25" s="24" t="s">
        <v>1804</v>
      </c>
      <c r="E25" s="23" t="s">
        <v>43</v>
      </c>
      <c r="F25" s="25"/>
      <c r="G25" s="26">
        <v>69</v>
      </c>
      <c r="H25" s="26">
        <f t="shared" si="5"/>
        <v>1276500</v>
      </c>
      <c r="I25" s="25"/>
      <c r="J25" s="26">
        <v>790000</v>
      </c>
      <c r="K25" s="27"/>
      <c r="L25" s="27"/>
      <c r="M25" s="26"/>
      <c r="N25" s="26"/>
      <c r="O25" s="26">
        <f t="shared" si="2"/>
        <v>2066500</v>
      </c>
      <c r="P25" s="26">
        <v>3680000</v>
      </c>
      <c r="Q25" s="26">
        <f t="shared" si="1"/>
        <v>1613500</v>
      </c>
      <c r="R25" s="46"/>
      <c r="S25" s="10"/>
      <c r="T25" s="10"/>
    </row>
    <row r="26" spans="1:20" ht="24" customHeight="1" x14ac:dyDescent="0.35">
      <c r="A26" s="21">
        <v>19</v>
      </c>
      <c r="B26" s="22">
        <v>45625</v>
      </c>
      <c r="C26" s="23" t="s">
        <v>1787</v>
      </c>
      <c r="D26" s="24" t="s">
        <v>1805</v>
      </c>
      <c r="E26" s="23" t="s">
        <v>227</v>
      </c>
      <c r="F26" s="25"/>
      <c r="G26" s="26">
        <v>184</v>
      </c>
      <c r="H26" s="26">
        <f t="shared" si="5"/>
        <v>3404000</v>
      </c>
      <c r="I26" s="25"/>
      <c r="J26" s="26">
        <v>1530000</v>
      </c>
      <c r="K26" s="27"/>
      <c r="L26" s="27"/>
      <c r="M26" s="26"/>
      <c r="N26" s="26"/>
      <c r="O26" s="26">
        <f t="shared" si="2"/>
        <v>4934000</v>
      </c>
      <c r="P26" s="26">
        <v>8296296</v>
      </c>
      <c r="Q26" s="26">
        <f t="shared" si="1"/>
        <v>3362296</v>
      </c>
      <c r="R26" s="46"/>
      <c r="S26" s="10"/>
      <c r="T26" s="10"/>
    </row>
    <row r="27" spans="1:20" ht="24" customHeight="1" x14ac:dyDescent="0.35">
      <c r="A27" s="21"/>
      <c r="B27" s="22"/>
      <c r="C27" s="139" t="s">
        <v>44</v>
      </c>
      <c r="D27" s="140"/>
      <c r="E27" s="140"/>
      <c r="F27" s="141"/>
      <c r="G27" s="54"/>
      <c r="H27" s="53"/>
      <c r="I27" s="54"/>
      <c r="J27" s="53"/>
      <c r="K27" s="51"/>
      <c r="L27" s="51">
        <v>1200000</v>
      </c>
      <c r="M27" s="26"/>
      <c r="N27" s="26"/>
      <c r="O27" s="26">
        <f>K27+L27+M27+N27</f>
        <v>1200000</v>
      </c>
      <c r="P27" s="26"/>
      <c r="Q27" s="30"/>
      <c r="R27" s="46"/>
      <c r="S27" s="10"/>
      <c r="T27" s="10"/>
    </row>
    <row r="28" spans="1:20" ht="24" customHeight="1" x14ac:dyDescent="0.35">
      <c r="A28" s="25"/>
      <c r="B28" s="28"/>
      <c r="C28" s="139" t="s">
        <v>391</v>
      </c>
      <c r="D28" s="140"/>
      <c r="E28" s="140"/>
      <c r="F28" s="141"/>
      <c r="G28" s="51"/>
      <c r="H28" s="51"/>
      <c r="I28" s="52"/>
      <c r="J28" s="51"/>
      <c r="K28" s="51">
        <v>8525760</v>
      </c>
      <c r="L28" s="51"/>
      <c r="M28" s="53"/>
      <c r="N28" s="53"/>
      <c r="O28" s="26">
        <f t="shared" ref="O28:O43" si="6">K28+L28+M28+N28</f>
        <v>8525760</v>
      </c>
      <c r="P28" s="26"/>
      <c r="Q28" s="30"/>
      <c r="R28" s="46"/>
      <c r="S28" s="10"/>
      <c r="T28" s="10"/>
    </row>
    <row r="29" spans="1:20" ht="24" customHeight="1" x14ac:dyDescent="0.35">
      <c r="A29" s="25"/>
      <c r="B29" s="28"/>
      <c r="C29" s="139" t="s">
        <v>1876</v>
      </c>
      <c r="D29" s="140"/>
      <c r="E29" s="140"/>
      <c r="F29" s="141"/>
      <c r="G29" s="51"/>
      <c r="H29" s="51"/>
      <c r="I29" s="52"/>
      <c r="J29" s="51"/>
      <c r="K29" s="51"/>
      <c r="L29" s="51">
        <v>2200000</v>
      </c>
      <c r="M29" s="53"/>
      <c r="N29" s="53"/>
      <c r="O29" s="26">
        <f t="shared" si="6"/>
        <v>2200000</v>
      </c>
      <c r="P29" s="26"/>
      <c r="Q29" s="30"/>
      <c r="R29" s="46"/>
      <c r="S29" s="10"/>
      <c r="T29" s="10"/>
    </row>
    <row r="30" spans="1:20" ht="24" customHeight="1" x14ac:dyDescent="0.35">
      <c r="A30" s="25"/>
      <c r="B30" s="28"/>
      <c r="C30" s="139" t="s">
        <v>1877</v>
      </c>
      <c r="D30" s="140"/>
      <c r="E30" s="140"/>
      <c r="F30" s="141"/>
      <c r="G30" s="51"/>
      <c r="H30" s="51"/>
      <c r="I30" s="52"/>
      <c r="J30" s="51"/>
      <c r="K30" s="51"/>
      <c r="L30" s="51">
        <v>2786400</v>
      </c>
      <c r="M30" s="53"/>
      <c r="N30" s="53"/>
      <c r="O30" s="26">
        <f t="shared" si="6"/>
        <v>2786400</v>
      </c>
      <c r="P30" s="26"/>
      <c r="Q30" s="30"/>
      <c r="R30" s="46"/>
      <c r="S30" s="10"/>
      <c r="T30" s="10"/>
    </row>
    <row r="31" spans="1:20" ht="24" customHeight="1" x14ac:dyDescent="0.35">
      <c r="A31" s="25"/>
      <c r="B31" s="28"/>
      <c r="C31" s="139" t="s">
        <v>1878</v>
      </c>
      <c r="D31" s="140"/>
      <c r="E31" s="140"/>
      <c r="F31" s="141"/>
      <c r="G31" s="51"/>
      <c r="H31" s="51"/>
      <c r="I31" s="52"/>
      <c r="J31" s="51"/>
      <c r="K31" s="51"/>
      <c r="L31" s="51">
        <v>200000</v>
      </c>
      <c r="M31" s="53"/>
      <c r="N31" s="53"/>
      <c r="O31" s="26">
        <f t="shared" si="6"/>
        <v>200000</v>
      </c>
      <c r="P31" s="26"/>
      <c r="Q31" s="30"/>
      <c r="R31" s="46"/>
      <c r="S31" s="10"/>
      <c r="T31" s="10"/>
    </row>
    <row r="32" spans="1:20" ht="24" customHeight="1" x14ac:dyDescent="0.35">
      <c r="A32" s="25"/>
      <c r="B32" s="28"/>
      <c r="C32" s="139" t="s">
        <v>1882</v>
      </c>
      <c r="D32" s="140"/>
      <c r="E32" s="140"/>
      <c r="F32" s="141"/>
      <c r="G32" s="51"/>
      <c r="H32" s="51"/>
      <c r="I32" s="52"/>
      <c r="J32" s="51"/>
      <c r="K32" s="51">
        <v>9056000</v>
      </c>
      <c r="L32" s="51"/>
      <c r="M32" s="53"/>
      <c r="N32" s="53"/>
      <c r="O32" s="26">
        <f t="shared" si="6"/>
        <v>9056000</v>
      </c>
      <c r="P32" s="26"/>
      <c r="Q32" s="30"/>
      <c r="R32" s="46"/>
      <c r="S32" s="10"/>
      <c r="T32" s="10"/>
    </row>
    <row r="33" spans="1:20" ht="24" customHeight="1" x14ac:dyDescent="0.35">
      <c r="A33" s="25"/>
      <c r="B33" s="28"/>
      <c r="C33" s="139" t="s">
        <v>1883</v>
      </c>
      <c r="D33" s="140"/>
      <c r="E33" s="140"/>
      <c r="F33" s="141"/>
      <c r="G33" s="51"/>
      <c r="H33" s="51"/>
      <c r="I33" s="52"/>
      <c r="J33" s="51"/>
      <c r="K33" s="51"/>
      <c r="L33" s="51">
        <v>100000</v>
      </c>
      <c r="M33" s="53"/>
      <c r="N33" s="53"/>
      <c r="O33" s="26">
        <f t="shared" si="6"/>
        <v>100000</v>
      </c>
      <c r="P33" s="26"/>
      <c r="Q33" s="30"/>
      <c r="R33" s="46"/>
      <c r="S33" s="10"/>
      <c r="T33" s="10"/>
    </row>
    <row r="34" spans="1:20" ht="24" customHeight="1" x14ac:dyDescent="0.35">
      <c r="A34" s="25"/>
      <c r="B34" s="28"/>
      <c r="C34" s="139" t="s">
        <v>1884</v>
      </c>
      <c r="D34" s="140"/>
      <c r="E34" s="140"/>
      <c r="F34" s="141"/>
      <c r="G34" s="51"/>
      <c r="H34" s="51"/>
      <c r="I34" s="52"/>
      <c r="J34" s="51"/>
      <c r="K34" s="51"/>
      <c r="L34" s="51">
        <v>340000</v>
      </c>
      <c r="M34" s="53"/>
      <c r="N34" s="53"/>
      <c r="O34" s="26">
        <f t="shared" si="6"/>
        <v>340000</v>
      </c>
      <c r="P34" s="26"/>
      <c r="Q34" s="30"/>
      <c r="R34" s="46"/>
      <c r="S34" s="10"/>
      <c r="T34" s="10"/>
    </row>
    <row r="35" spans="1:20" ht="24" customHeight="1" x14ac:dyDescent="0.35">
      <c r="A35" s="25"/>
      <c r="B35" s="28"/>
      <c r="C35" s="139" t="s">
        <v>1885</v>
      </c>
      <c r="D35" s="140"/>
      <c r="E35" s="140"/>
      <c r="F35" s="141"/>
      <c r="G35" s="51"/>
      <c r="H35" s="51"/>
      <c r="I35" s="52"/>
      <c r="J35" s="51"/>
      <c r="K35" s="51"/>
      <c r="L35" s="51"/>
      <c r="M35" s="53">
        <v>230000</v>
      </c>
      <c r="N35" s="53"/>
      <c r="O35" s="26">
        <f t="shared" si="6"/>
        <v>230000</v>
      </c>
      <c r="P35" s="26"/>
      <c r="Q35" s="30"/>
      <c r="R35" s="46"/>
      <c r="S35" s="10"/>
      <c r="T35" s="10"/>
    </row>
    <row r="36" spans="1:20" ht="24" customHeight="1" x14ac:dyDescent="0.35">
      <c r="A36" s="25"/>
      <c r="B36" s="28"/>
      <c r="C36" s="139" t="s">
        <v>1886</v>
      </c>
      <c r="D36" s="140"/>
      <c r="E36" s="140"/>
      <c r="F36" s="141"/>
      <c r="G36" s="51"/>
      <c r="H36" s="51"/>
      <c r="I36" s="52"/>
      <c r="J36" s="51"/>
      <c r="K36" s="51"/>
      <c r="L36" s="51"/>
      <c r="M36" s="53"/>
      <c r="N36" s="53">
        <v>702000</v>
      </c>
      <c r="O36" s="26">
        <f t="shared" si="6"/>
        <v>702000</v>
      </c>
      <c r="P36" s="26"/>
      <c r="Q36" s="30"/>
      <c r="R36" s="46"/>
      <c r="S36" s="10"/>
      <c r="T36" s="10"/>
    </row>
    <row r="37" spans="1:20" ht="24" customHeight="1" x14ac:dyDescent="0.35">
      <c r="A37" s="25"/>
      <c r="B37" s="28"/>
      <c r="C37" s="139" t="s">
        <v>1887</v>
      </c>
      <c r="D37" s="140"/>
      <c r="E37" s="140"/>
      <c r="F37" s="141"/>
      <c r="G37" s="51"/>
      <c r="H37" s="51"/>
      <c r="I37" s="52"/>
      <c r="J37" s="51"/>
      <c r="K37" s="51"/>
      <c r="L37" s="51">
        <v>432000</v>
      </c>
      <c r="M37" s="53"/>
      <c r="N37" s="53"/>
      <c r="O37" s="26">
        <f t="shared" si="6"/>
        <v>432000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1890</v>
      </c>
      <c r="D38" s="140"/>
      <c r="E38" s="140"/>
      <c r="F38" s="141"/>
      <c r="G38" s="51"/>
      <c r="H38" s="51"/>
      <c r="I38" s="52"/>
      <c r="J38" s="51"/>
      <c r="K38" s="51"/>
      <c r="L38" s="51">
        <v>400000</v>
      </c>
      <c r="M38" s="53"/>
      <c r="N38" s="53"/>
      <c r="O38" s="26">
        <f t="shared" si="6"/>
        <v>400000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1891</v>
      </c>
      <c r="D39" s="140"/>
      <c r="E39" s="140"/>
      <c r="F39" s="141"/>
      <c r="G39" s="51"/>
      <c r="H39" s="51"/>
      <c r="I39" s="52"/>
      <c r="J39" s="51"/>
      <c r="K39" s="51"/>
      <c r="L39" s="51">
        <v>1150000</v>
      </c>
      <c r="M39" s="53"/>
      <c r="N39" s="53"/>
      <c r="O39" s="26">
        <f t="shared" si="6"/>
        <v>1150000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1892</v>
      </c>
      <c r="D40" s="140"/>
      <c r="E40" s="140"/>
      <c r="F40" s="141"/>
      <c r="G40" s="51"/>
      <c r="H40" s="51"/>
      <c r="I40" s="52"/>
      <c r="J40" s="51"/>
      <c r="K40" s="51"/>
      <c r="L40" s="51">
        <v>4850000</v>
      </c>
      <c r="M40" s="53"/>
      <c r="N40" s="53"/>
      <c r="O40" s="26">
        <f t="shared" si="6"/>
        <v>4850000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1895</v>
      </c>
      <c r="D41" s="140"/>
      <c r="E41" s="140"/>
      <c r="F41" s="141"/>
      <c r="G41" s="51"/>
      <c r="H41" s="51"/>
      <c r="I41" s="52"/>
      <c r="J41" s="51"/>
      <c r="K41" s="51"/>
      <c r="L41" s="51">
        <v>500000</v>
      </c>
      <c r="M41" s="53"/>
      <c r="N41" s="53"/>
      <c r="O41" s="26">
        <f t="shared" si="6"/>
        <v>500000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1898</v>
      </c>
      <c r="D42" s="140"/>
      <c r="E42" s="140"/>
      <c r="F42" s="141"/>
      <c r="G42" s="51"/>
      <c r="H42" s="51"/>
      <c r="I42" s="52"/>
      <c r="J42" s="51"/>
      <c r="K42" s="51"/>
      <c r="L42" s="51">
        <v>3942000</v>
      </c>
      <c r="M42" s="53"/>
      <c r="N42" s="53"/>
      <c r="O42" s="26">
        <f t="shared" si="6"/>
        <v>3942000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5"/>
      <c r="C43" s="139" t="s">
        <v>1901</v>
      </c>
      <c r="D43" s="140"/>
      <c r="E43" s="140"/>
      <c r="F43" s="141"/>
      <c r="G43" s="54"/>
      <c r="H43" s="53"/>
      <c r="I43" s="54"/>
      <c r="J43" s="53"/>
      <c r="K43" s="51">
        <v>6500000</v>
      </c>
      <c r="L43" s="53"/>
      <c r="M43" s="53"/>
      <c r="N43" s="53"/>
      <c r="O43" s="26">
        <f t="shared" si="6"/>
        <v>6500000</v>
      </c>
      <c r="P43" s="26"/>
      <c r="Q43" s="26"/>
      <c r="R43" s="48"/>
    </row>
    <row r="44" spans="1:20" ht="24" customHeight="1" x14ac:dyDescent="0.35">
      <c r="A44" s="136" t="s">
        <v>45</v>
      </c>
      <c r="B44" s="137"/>
      <c r="C44" s="137"/>
      <c r="D44" s="137"/>
      <c r="E44" s="137"/>
      <c r="F44" s="138"/>
      <c r="G44" s="33">
        <f>SUM(G8:G43)</f>
        <v>2060</v>
      </c>
      <c r="H44" s="34">
        <f t="shared" ref="H44:N44" si="7">SUM(H7:H43)</f>
        <v>38424360</v>
      </c>
      <c r="I44" s="34">
        <f t="shared" si="7"/>
        <v>0</v>
      </c>
      <c r="J44" s="34">
        <f t="shared" si="7"/>
        <v>19038000</v>
      </c>
      <c r="K44" s="34">
        <f t="shared" si="7"/>
        <v>24081760</v>
      </c>
      <c r="L44" s="34">
        <f t="shared" si="7"/>
        <v>18100400</v>
      </c>
      <c r="M44" s="34">
        <f t="shared" si="7"/>
        <v>230000</v>
      </c>
      <c r="N44" s="34">
        <f t="shared" si="7"/>
        <v>702000</v>
      </c>
      <c r="O44" s="34">
        <f>SUM(O8:O43)</f>
        <v>100576520</v>
      </c>
      <c r="P44" s="34">
        <f>SUM(P8:P43)</f>
        <v>102841629</v>
      </c>
      <c r="Q44" s="34">
        <f>P44-O44</f>
        <v>2265109</v>
      </c>
      <c r="R44" s="50"/>
    </row>
    <row r="45" spans="1:20" x14ac:dyDescent="0.35">
      <c r="O45" s="35"/>
      <c r="Q45" s="36"/>
    </row>
    <row r="46" spans="1:20" x14ac:dyDescent="0.35">
      <c r="O46" s="37"/>
      <c r="P46" s="38" t="s">
        <v>46</v>
      </c>
      <c r="Q46" s="39">
        <f>'10.2024'!Q43+'11.2024'!Q44</f>
        <v>229801133</v>
      </c>
    </row>
    <row r="47" spans="1:20" x14ac:dyDescent="0.35">
      <c r="O47" s="37"/>
      <c r="P47" s="38"/>
      <c r="Q47" s="39"/>
    </row>
    <row r="48" spans="1:20" x14ac:dyDescent="0.35">
      <c r="O48" s="37"/>
      <c r="P48" s="38"/>
      <c r="Q48" s="39"/>
    </row>
    <row r="49" spans="2:18" x14ac:dyDescent="0.35">
      <c r="P49" s="37"/>
      <c r="Q49" s="37"/>
      <c r="R49" s="50"/>
    </row>
    <row r="50" spans="2:18" x14ac:dyDescent="0.35">
      <c r="B50" s="8"/>
    </row>
    <row r="51" spans="2:18" x14ac:dyDescent="0.35">
      <c r="B51" s="8"/>
    </row>
    <row r="52" spans="2:18" x14ac:dyDescent="0.35">
      <c r="B52" s="8"/>
    </row>
    <row r="53" spans="2:18" x14ac:dyDescent="0.35">
      <c r="B53" s="8"/>
      <c r="H53" s="8"/>
      <c r="J53" s="8"/>
      <c r="K53" s="8"/>
      <c r="L53" s="8"/>
      <c r="M53" s="8"/>
      <c r="N53" s="8"/>
      <c r="O53" s="8"/>
      <c r="P53" s="8"/>
      <c r="Q53" s="8"/>
      <c r="R53" s="8"/>
    </row>
  </sheetData>
  <mergeCells count="37"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  <mergeCell ref="C29:F29"/>
    <mergeCell ref="I5:I6"/>
    <mergeCell ref="J5:J6"/>
    <mergeCell ref="K5:K6"/>
    <mergeCell ref="L5:L6"/>
    <mergeCell ref="C27:F27"/>
    <mergeCell ref="C28:F28"/>
    <mergeCell ref="C43:F43"/>
    <mergeCell ref="A44:F44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</mergeCells>
  <pageMargins left="0.7" right="0.7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75C7-BCD8-4D87-BA54-69818FFD01CD}">
  <dimension ref="A1:T57"/>
  <sheetViews>
    <sheetView tabSelected="1" topLeftCell="F24" workbookViewId="0">
      <selection activeCell="S37" sqref="S37"/>
    </sheetView>
  </sheetViews>
  <sheetFormatPr defaultColWidth="9.1796875" defaultRowHeight="13" x14ac:dyDescent="0.35"/>
  <cols>
    <col min="1" max="1" width="4.54296875" style="8" customWidth="1"/>
    <col min="2" max="2" width="10.26953125" style="9" customWidth="1"/>
    <col min="3" max="3" width="29.54296875" style="8" customWidth="1"/>
    <col min="4" max="4" width="14.7265625" style="8" customWidth="1"/>
    <col min="5" max="5" width="30.81640625" style="8" customWidth="1"/>
    <col min="6" max="6" width="11.54296875" style="8" customWidth="1"/>
    <col min="7" max="7" width="6.54296875" style="8" customWidth="1"/>
    <col min="8" max="8" width="11" style="10" customWidth="1"/>
    <col min="9" max="9" width="9.1796875" style="8"/>
    <col min="10" max="10" width="9.7265625" style="10" customWidth="1"/>
    <col min="11" max="11" width="10.1796875" style="10" customWidth="1"/>
    <col min="12" max="12" width="9.453125" style="10" customWidth="1"/>
    <col min="13" max="13" width="10.453125" style="10" customWidth="1"/>
    <col min="14" max="14" width="9.54296875" style="10" customWidth="1"/>
    <col min="15" max="15" width="10.7265625" style="10" customWidth="1"/>
    <col min="16" max="16" width="12.54296875" style="10" customWidth="1"/>
    <col min="17" max="17" width="10.453125" style="10" customWidth="1"/>
    <col min="18" max="18" width="9.7265625" style="41" customWidth="1"/>
    <col min="19" max="16384" width="9.1796875" style="8"/>
  </cols>
  <sheetData>
    <row r="1" spans="1:20" ht="22.5" x14ac:dyDescent="0.35">
      <c r="A1" s="126" t="s">
        <v>25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</row>
    <row r="2" spans="1:20" ht="15.5" x14ac:dyDescent="0.35">
      <c r="A2" s="127" t="s">
        <v>47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</row>
    <row r="3" spans="1:20" ht="15.5" x14ac:dyDescent="0.35">
      <c r="A3" s="127" t="s">
        <v>1875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5" spans="1:20" s="43" customFormat="1" ht="25.5" customHeight="1" x14ac:dyDescent="0.35">
      <c r="A5" s="157" t="s">
        <v>0</v>
      </c>
      <c r="B5" s="159" t="s">
        <v>26</v>
      </c>
      <c r="C5" s="157" t="s">
        <v>27</v>
      </c>
      <c r="D5" s="157" t="s">
        <v>28</v>
      </c>
      <c r="E5" s="161" t="s">
        <v>29</v>
      </c>
      <c r="F5" s="161" t="s">
        <v>30</v>
      </c>
      <c r="G5" s="136" t="s">
        <v>31</v>
      </c>
      <c r="H5" s="138"/>
      <c r="I5" s="157" t="s">
        <v>37</v>
      </c>
      <c r="J5" s="165" t="s">
        <v>38</v>
      </c>
      <c r="K5" s="165" t="s">
        <v>39</v>
      </c>
      <c r="L5" s="165" t="s">
        <v>40</v>
      </c>
      <c r="M5" s="165" t="s">
        <v>41</v>
      </c>
      <c r="N5" s="165" t="s">
        <v>42</v>
      </c>
      <c r="O5" s="163" t="s">
        <v>32</v>
      </c>
      <c r="P5" s="163" t="s">
        <v>33</v>
      </c>
      <c r="Q5" s="163" t="s">
        <v>34</v>
      </c>
      <c r="R5" s="42"/>
    </row>
    <row r="6" spans="1:20" s="43" customFormat="1" x14ac:dyDescent="0.35">
      <c r="A6" s="158"/>
      <c r="B6" s="160"/>
      <c r="C6" s="158"/>
      <c r="D6" s="158"/>
      <c r="E6" s="162"/>
      <c r="F6" s="162"/>
      <c r="G6" s="111" t="s">
        <v>35</v>
      </c>
      <c r="H6" s="112" t="s">
        <v>36</v>
      </c>
      <c r="I6" s="158"/>
      <c r="J6" s="166"/>
      <c r="K6" s="166"/>
      <c r="L6" s="166"/>
      <c r="M6" s="166"/>
      <c r="N6" s="166"/>
      <c r="O6" s="164"/>
      <c r="P6" s="164"/>
      <c r="Q6" s="164"/>
      <c r="R6" s="42"/>
    </row>
    <row r="7" spans="1:20" ht="24" customHeight="1" x14ac:dyDescent="0.35">
      <c r="A7" s="87"/>
      <c r="B7" s="113"/>
      <c r="C7" s="89"/>
      <c r="D7" s="90"/>
      <c r="E7" s="90"/>
      <c r="F7" s="87"/>
      <c r="G7" s="92"/>
      <c r="H7" s="114"/>
      <c r="I7" s="114"/>
      <c r="J7" s="92"/>
      <c r="K7" s="92"/>
      <c r="L7" s="92"/>
      <c r="M7" s="92"/>
      <c r="N7" s="92"/>
      <c r="O7" s="92"/>
      <c r="P7" s="92"/>
      <c r="Q7" s="92"/>
    </row>
    <row r="8" spans="1:20" ht="24" customHeight="1" x14ac:dyDescent="0.35">
      <c r="A8" s="95">
        <v>1</v>
      </c>
      <c r="B8" s="96">
        <v>45628</v>
      </c>
      <c r="C8" s="97" t="s">
        <v>1814</v>
      </c>
      <c r="D8" s="98" t="s">
        <v>1840</v>
      </c>
      <c r="E8" s="97" t="s">
        <v>1709</v>
      </c>
      <c r="F8" s="99"/>
      <c r="G8" s="104">
        <v>76</v>
      </c>
      <c r="H8" s="104">
        <f>G8*18770</f>
        <v>1426520</v>
      </c>
      <c r="I8" s="99"/>
      <c r="J8" s="104">
        <v>790000</v>
      </c>
      <c r="K8" s="103"/>
      <c r="L8" s="103"/>
      <c r="M8" s="104"/>
      <c r="N8" s="104"/>
      <c r="O8" s="104">
        <f>H8+J8+K8+L8+M8+N8</f>
        <v>2216520</v>
      </c>
      <c r="P8" s="104">
        <v>4050000</v>
      </c>
      <c r="Q8" s="104">
        <f>P8-O8</f>
        <v>1833480</v>
      </c>
      <c r="R8" s="46"/>
      <c r="S8" s="10"/>
      <c r="T8" s="10"/>
    </row>
    <row r="9" spans="1:20" ht="24" customHeight="1" x14ac:dyDescent="0.35">
      <c r="A9" s="21">
        <v>2</v>
      </c>
      <c r="B9" s="22">
        <v>45629</v>
      </c>
      <c r="C9" s="23" t="s">
        <v>1815</v>
      </c>
      <c r="D9" s="24" t="s">
        <v>1841</v>
      </c>
      <c r="E9" s="23" t="s">
        <v>750</v>
      </c>
      <c r="F9" s="25"/>
      <c r="G9" s="26">
        <v>59</v>
      </c>
      <c r="H9" s="26">
        <f t="shared" ref="H9:H11" si="0">G9*18770</f>
        <v>1107430</v>
      </c>
      <c r="I9" s="25"/>
      <c r="J9" s="26">
        <v>430000</v>
      </c>
      <c r="K9" s="27"/>
      <c r="L9" s="27"/>
      <c r="M9" s="26"/>
      <c r="N9" s="26"/>
      <c r="O9" s="26">
        <f>H9+J9+K9+L9+M9+N9</f>
        <v>1537430</v>
      </c>
      <c r="P9" s="26">
        <v>3050000</v>
      </c>
      <c r="Q9" s="26">
        <f t="shared" ref="Q9:Q36" si="1">P9-O9</f>
        <v>1512570</v>
      </c>
      <c r="R9" s="46"/>
      <c r="S9" s="10"/>
      <c r="T9" s="10"/>
    </row>
    <row r="10" spans="1:20" ht="24" customHeight="1" x14ac:dyDescent="0.35">
      <c r="A10" s="21">
        <v>3</v>
      </c>
      <c r="B10" s="22">
        <v>45629</v>
      </c>
      <c r="C10" s="23" t="s">
        <v>1816</v>
      </c>
      <c r="D10" s="24" t="s">
        <v>1842</v>
      </c>
      <c r="E10" s="23" t="s">
        <v>1578</v>
      </c>
      <c r="F10" s="25"/>
      <c r="G10" s="26">
        <v>76</v>
      </c>
      <c r="H10" s="26">
        <f t="shared" si="0"/>
        <v>1426520</v>
      </c>
      <c r="I10" s="25"/>
      <c r="J10" s="26">
        <v>990000</v>
      </c>
      <c r="K10" s="27"/>
      <c r="L10" s="27"/>
      <c r="M10" s="26"/>
      <c r="N10" s="26"/>
      <c r="O10" s="26">
        <f t="shared" ref="O10:O36" si="2">H10+J10+K10+L10+M10+N10</f>
        <v>2416520</v>
      </c>
      <c r="P10" s="26">
        <v>4050000</v>
      </c>
      <c r="Q10" s="26">
        <f t="shared" si="1"/>
        <v>1633480</v>
      </c>
      <c r="R10" s="46"/>
      <c r="S10" s="10"/>
      <c r="T10" s="10"/>
    </row>
    <row r="11" spans="1:20" ht="24" customHeight="1" x14ac:dyDescent="0.35">
      <c r="A11" s="21">
        <v>4</v>
      </c>
      <c r="B11" s="22">
        <v>45630</v>
      </c>
      <c r="C11" s="23" t="s">
        <v>1817</v>
      </c>
      <c r="D11" s="24" t="s">
        <v>1843</v>
      </c>
      <c r="E11" s="23" t="s">
        <v>750</v>
      </c>
      <c r="F11" s="25"/>
      <c r="G11" s="26">
        <v>58</v>
      </c>
      <c r="H11" s="26">
        <f t="shared" si="0"/>
        <v>1088660</v>
      </c>
      <c r="I11" s="25"/>
      <c r="J11" s="26">
        <v>430000</v>
      </c>
      <c r="K11" s="27"/>
      <c r="L11" s="27"/>
      <c r="M11" s="26"/>
      <c r="N11" s="26"/>
      <c r="O11" s="26">
        <f t="shared" si="2"/>
        <v>1518660</v>
      </c>
      <c r="P11" s="26">
        <v>3050000</v>
      </c>
      <c r="Q11" s="26">
        <f t="shared" si="1"/>
        <v>1531340</v>
      </c>
      <c r="R11" s="46"/>
      <c r="S11" s="10"/>
      <c r="T11" s="10"/>
    </row>
    <row r="12" spans="1:20" ht="24" customHeight="1" x14ac:dyDescent="0.35">
      <c r="A12" s="21">
        <v>5</v>
      </c>
      <c r="B12" s="22">
        <v>45631</v>
      </c>
      <c r="C12" s="23" t="s">
        <v>1818</v>
      </c>
      <c r="D12" s="24" t="s">
        <v>1844</v>
      </c>
      <c r="E12" s="23" t="s">
        <v>431</v>
      </c>
      <c r="F12" s="25"/>
      <c r="G12" s="26">
        <v>123</v>
      </c>
      <c r="H12" s="26">
        <f>G12*18380</f>
        <v>2260740</v>
      </c>
      <c r="I12" s="25"/>
      <c r="J12" s="26">
        <v>790000</v>
      </c>
      <c r="K12" s="27"/>
      <c r="L12" s="27"/>
      <c r="M12" s="26"/>
      <c r="N12" s="26"/>
      <c r="O12" s="26">
        <f t="shared" si="2"/>
        <v>3050740</v>
      </c>
      <c r="P12" s="26">
        <v>5270370</v>
      </c>
      <c r="Q12" s="26">
        <f t="shared" si="1"/>
        <v>2219630</v>
      </c>
      <c r="R12" s="46"/>
      <c r="S12" s="10"/>
      <c r="T12" s="10"/>
    </row>
    <row r="13" spans="1:20" ht="24" customHeight="1" x14ac:dyDescent="0.35">
      <c r="A13" s="21">
        <v>6</v>
      </c>
      <c r="B13" s="22">
        <v>45632</v>
      </c>
      <c r="C13" s="23" t="s">
        <v>1819</v>
      </c>
      <c r="D13" s="24" t="s">
        <v>1845</v>
      </c>
      <c r="E13" s="23" t="s">
        <v>1867</v>
      </c>
      <c r="F13" s="25"/>
      <c r="G13" s="26">
        <v>101</v>
      </c>
      <c r="H13" s="26">
        <f t="shared" ref="H13:H17" si="3">G13*18380</f>
        <v>1856380</v>
      </c>
      <c r="I13" s="25"/>
      <c r="J13" s="26">
        <v>790000</v>
      </c>
      <c r="K13" s="27"/>
      <c r="L13" s="27"/>
      <c r="M13" s="26"/>
      <c r="N13" s="26"/>
      <c r="O13" s="26">
        <f t="shared" si="2"/>
        <v>2646380</v>
      </c>
      <c r="P13" s="26">
        <v>4300000</v>
      </c>
      <c r="Q13" s="26">
        <f t="shared" si="1"/>
        <v>1653620</v>
      </c>
      <c r="R13" s="46"/>
      <c r="S13" s="10"/>
      <c r="T13" s="10"/>
    </row>
    <row r="14" spans="1:20" ht="24" customHeight="1" x14ac:dyDescent="0.35">
      <c r="A14" s="21">
        <v>7</v>
      </c>
      <c r="B14" s="22">
        <v>45633</v>
      </c>
      <c r="C14" s="23" t="s">
        <v>1820</v>
      </c>
      <c r="D14" s="24" t="s">
        <v>1846</v>
      </c>
      <c r="E14" s="23" t="s">
        <v>111</v>
      </c>
      <c r="F14" s="25"/>
      <c r="G14" s="26">
        <v>158</v>
      </c>
      <c r="H14" s="26">
        <f t="shared" si="3"/>
        <v>2904040</v>
      </c>
      <c r="I14" s="25"/>
      <c r="J14" s="26">
        <v>1490000</v>
      </c>
      <c r="K14" s="27"/>
      <c r="L14" s="27"/>
      <c r="M14" s="26"/>
      <c r="N14" s="26"/>
      <c r="O14" s="26">
        <f t="shared" si="2"/>
        <v>4394040</v>
      </c>
      <c r="P14" s="26">
        <v>3600000</v>
      </c>
      <c r="Q14" s="26">
        <f t="shared" si="1"/>
        <v>-794040</v>
      </c>
      <c r="R14" s="46"/>
      <c r="S14" s="10"/>
      <c r="T14" s="10"/>
    </row>
    <row r="15" spans="1:20" ht="24" customHeight="1" x14ac:dyDescent="0.35">
      <c r="A15" s="21">
        <v>8</v>
      </c>
      <c r="B15" s="22">
        <v>45633</v>
      </c>
      <c r="C15" s="23" t="s">
        <v>1821</v>
      </c>
      <c r="D15" s="24" t="s">
        <v>1846</v>
      </c>
      <c r="E15" s="23" t="s">
        <v>1868</v>
      </c>
      <c r="F15" s="25"/>
      <c r="G15" s="26"/>
      <c r="H15" s="26">
        <f t="shared" si="3"/>
        <v>0</v>
      </c>
      <c r="I15" s="25"/>
      <c r="J15" s="26"/>
      <c r="K15" s="27"/>
      <c r="L15" s="27"/>
      <c r="M15" s="26"/>
      <c r="N15" s="26"/>
      <c r="O15" s="26">
        <f t="shared" si="2"/>
        <v>0</v>
      </c>
      <c r="P15" s="26">
        <v>4100000</v>
      </c>
      <c r="Q15" s="26">
        <f t="shared" si="1"/>
        <v>4100000</v>
      </c>
      <c r="R15" s="46"/>
      <c r="S15" s="10"/>
      <c r="T15" s="10"/>
    </row>
    <row r="16" spans="1:20" ht="24" customHeight="1" x14ac:dyDescent="0.35">
      <c r="A16" s="21">
        <v>9</v>
      </c>
      <c r="B16" s="22">
        <v>45635</v>
      </c>
      <c r="C16" s="23" t="s">
        <v>1822</v>
      </c>
      <c r="D16" s="24" t="s">
        <v>1847</v>
      </c>
      <c r="E16" s="23" t="s">
        <v>1869</v>
      </c>
      <c r="F16" s="25"/>
      <c r="G16" s="26">
        <v>247</v>
      </c>
      <c r="H16" s="26">
        <f t="shared" si="3"/>
        <v>4539860</v>
      </c>
      <c r="I16" s="25"/>
      <c r="J16" s="26">
        <v>2380000</v>
      </c>
      <c r="K16" s="27"/>
      <c r="L16" s="27"/>
      <c r="M16" s="26"/>
      <c r="N16" s="26"/>
      <c r="O16" s="26">
        <f t="shared" si="2"/>
        <v>6919860</v>
      </c>
      <c r="P16" s="26">
        <v>12500000</v>
      </c>
      <c r="Q16" s="26">
        <f t="shared" si="1"/>
        <v>5580140</v>
      </c>
      <c r="R16" s="46"/>
      <c r="S16" s="10"/>
      <c r="T16" s="10"/>
    </row>
    <row r="17" spans="1:20" ht="24" customHeight="1" x14ac:dyDescent="0.35">
      <c r="A17" s="21">
        <v>10</v>
      </c>
      <c r="B17" s="22">
        <v>45636</v>
      </c>
      <c r="C17" s="23" t="s">
        <v>1823</v>
      </c>
      <c r="D17" s="24" t="s">
        <v>1848</v>
      </c>
      <c r="E17" s="23" t="s">
        <v>1870</v>
      </c>
      <c r="F17" s="25"/>
      <c r="G17" s="26">
        <v>60</v>
      </c>
      <c r="H17" s="26">
        <f t="shared" si="3"/>
        <v>1102800</v>
      </c>
      <c r="I17" s="25"/>
      <c r="J17" s="26">
        <v>430000</v>
      </c>
      <c r="K17" s="27"/>
      <c r="L17" s="27"/>
      <c r="M17" s="26"/>
      <c r="N17" s="26"/>
      <c r="O17" s="26">
        <f t="shared" si="2"/>
        <v>1532800</v>
      </c>
      <c r="P17" s="26">
        <v>3060000</v>
      </c>
      <c r="Q17" s="26">
        <f t="shared" si="1"/>
        <v>1527200</v>
      </c>
      <c r="R17" s="46"/>
      <c r="S17" s="10"/>
      <c r="T17" s="10"/>
    </row>
    <row r="18" spans="1:20" ht="24" customHeight="1" x14ac:dyDescent="0.35">
      <c r="A18" s="21">
        <v>11</v>
      </c>
      <c r="B18" s="22">
        <v>45637</v>
      </c>
      <c r="C18" s="23" t="s">
        <v>1824</v>
      </c>
      <c r="D18" s="24" t="s">
        <v>1849</v>
      </c>
      <c r="E18" s="23" t="s">
        <v>43</v>
      </c>
      <c r="F18" s="25"/>
      <c r="G18" s="26">
        <v>69</v>
      </c>
      <c r="H18" s="26">
        <f>G18*18250</f>
        <v>1259250</v>
      </c>
      <c r="I18" s="25"/>
      <c r="J18" s="117">
        <v>790000</v>
      </c>
      <c r="K18" s="27"/>
      <c r="L18" s="27"/>
      <c r="M18" s="26"/>
      <c r="N18" s="26"/>
      <c r="O18" s="26">
        <f t="shared" si="2"/>
        <v>2049250</v>
      </c>
      <c r="P18" s="26">
        <v>3680000</v>
      </c>
      <c r="Q18" s="26">
        <f t="shared" si="1"/>
        <v>1630750</v>
      </c>
      <c r="R18" s="46"/>
      <c r="S18" s="10"/>
      <c r="T18" s="10"/>
    </row>
    <row r="19" spans="1:20" ht="24" customHeight="1" x14ac:dyDescent="0.35">
      <c r="A19" s="21">
        <v>12</v>
      </c>
      <c r="B19" s="22">
        <v>45638</v>
      </c>
      <c r="C19" s="23" t="s">
        <v>1825</v>
      </c>
      <c r="D19" s="24" t="s">
        <v>1850</v>
      </c>
      <c r="E19" s="23" t="s">
        <v>227</v>
      </c>
      <c r="F19" s="25"/>
      <c r="G19" s="26">
        <v>180</v>
      </c>
      <c r="H19" s="26">
        <f t="shared" ref="H19:H23" si="4">G19*18250</f>
        <v>3285000</v>
      </c>
      <c r="I19" s="25"/>
      <c r="J19" s="26">
        <v>1530000</v>
      </c>
      <c r="K19" s="27"/>
      <c r="L19" s="27"/>
      <c r="M19" s="26"/>
      <c r="N19" s="26"/>
      <c r="O19" s="26">
        <f t="shared" si="2"/>
        <v>4815000</v>
      </c>
      <c r="P19" s="26">
        <v>8296296</v>
      </c>
      <c r="Q19" s="26">
        <f t="shared" si="1"/>
        <v>3481296</v>
      </c>
      <c r="R19" s="46"/>
      <c r="S19" s="10"/>
      <c r="T19" s="10"/>
    </row>
    <row r="20" spans="1:20" ht="24" customHeight="1" x14ac:dyDescent="0.35">
      <c r="A20" s="21">
        <v>13</v>
      </c>
      <c r="B20" s="22">
        <v>45639</v>
      </c>
      <c r="C20" s="23" t="s">
        <v>573</v>
      </c>
      <c r="D20" s="24" t="s">
        <v>1851</v>
      </c>
      <c r="E20" s="23" t="s">
        <v>227</v>
      </c>
      <c r="F20" s="25"/>
      <c r="G20" s="26">
        <v>183</v>
      </c>
      <c r="H20" s="26">
        <f t="shared" si="4"/>
        <v>3339750</v>
      </c>
      <c r="I20" s="25"/>
      <c r="J20" s="26">
        <v>1530000</v>
      </c>
      <c r="K20" s="27"/>
      <c r="L20" s="27"/>
      <c r="M20" s="26"/>
      <c r="N20" s="26"/>
      <c r="O20" s="26">
        <f t="shared" si="2"/>
        <v>4869750</v>
      </c>
      <c r="P20" s="26">
        <v>8296296</v>
      </c>
      <c r="Q20" s="26">
        <f t="shared" si="1"/>
        <v>3426546</v>
      </c>
      <c r="R20" s="46"/>
      <c r="S20" s="10"/>
      <c r="T20" s="10"/>
    </row>
    <row r="21" spans="1:20" ht="24" customHeight="1" x14ac:dyDescent="0.35">
      <c r="A21" s="21">
        <v>14</v>
      </c>
      <c r="B21" s="22">
        <v>45640</v>
      </c>
      <c r="C21" s="23" t="s">
        <v>574</v>
      </c>
      <c r="D21" s="24" t="s">
        <v>1852</v>
      </c>
      <c r="E21" s="23" t="s">
        <v>750</v>
      </c>
      <c r="F21" s="25"/>
      <c r="G21" s="26">
        <v>59</v>
      </c>
      <c r="H21" s="26">
        <f t="shared" si="4"/>
        <v>1076750</v>
      </c>
      <c r="I21" s="25"/>
      <c r="J21" s="26">
        <v>430000</v>
      </c>
      <c r="K21" s="27"/>
      <c r="L21" s="27"/>
      <c r="M21" s="26"/>
      <c r="N21" s="26"/>
      <c r="O21" s="26">
        <f t="shared" si="2"/>
        <v>1506750</v>
      </c>
      <c r="P21" s="26">
        <v>3050000</v>
      </c>
      <c r="Q21" s="26">
        <f t="shared" si="1"/>
        <v>1543250</v>
      </c>
      <c r="R21" s="46"/>
      <c r="S21" s="10"/>
      <c r="T21" s="10"/>
    </row>
    <row r="22" spans="1:20" ht="24" customHeight="1" x14ac:dyDescent="0.35">
      <c r="A22" s="21">
        <v>15</v>
      </c>
      <c r="B22" s="22">
        <v>45641</v>
      </c>
      <c r="C22" s="23" t="s">
        <v>1826</v>
      </c>
      <c r="D22" s="24" t="s">
        <v>1853</v>
      </c>
      <c r="E22" s="23" t="s">
        <v>1871</v>
      </c>
      <c r="F22" s="25"/>
      <c r="G22" s="26">
        <v>152</v>
      </c>
      <c r="H22" s="26">
        <f t="shared" si="4"/>
        <v>2774000</v>
      </c>
      <c r="I22" s="25"/>
      <c r="J22" s="26">
        <v>1070000</v>
      </c>
      <c r="K22" s="27"/>
      <c r="L22" s="27"/>
      <c r="M22" s="26"/>
      <c r="N22" s="26"/>
      <c r="O22" s="26">
        <f t="shared" si="2"/>
        <v>3844000</v>
      </c>
      <c r="P22" s="26">
        <v>7000000</v>
      </c>
      <c r="Q22" s="26">
        <f t="shared" si="1"/>
        <v>3156000</v>
      </c>
      <c r="R22" s="46"/>
      <c r="S22" s="10"/>
      <c r="T22" s="10"/>
    </row>
    <row r="23" spans="1:20" ht="24" customHeight="1" x14ac:dyDescent="0.35">
      <c r="A23" s="21">
        <v>16</v>
      </c>
      <c r="B23" s="22">
        <v>45643</v>
      </c>
      <c r="C23" s="23" t="s">
        <v>1827</v>
      </c>
      <c r="D23" s="24" t="s">
        <v>1854</v>
      </c>
      <c r="E23" s="23" t="s">
        <v>431</v>
      </c>
      <c r="F23" s="25"/>
      <c r="G23" s="26">
        <v>126</v>
      </c>
      <c r="H23" s="26">
        <f t="shared" si="4"/>
        <v>2299500</v>
      </c>
      <c r="I23" s="25"/>
      <c r="J23" s="26">
        <v>790000</v>
      </c>
      <c r="K23" s="27"/>
      <c r="L23" s="27"/>
      <c r="M23" s="26"/>
      <c r="N23" s="26"/>
      <c r="O23" s="26">
        <f t="shared" si="2"/>
        <v>3089500</v>
      </c>
      <c r="P23" s="26">
        <v>5670370</v>
      </c>
      <c r="Q23" s="26">
        <f t="shared" si="1"/>
        <v>2580870</v>
      </c>
      <c r="R23" s="46"/>
      <c r="S23" s="10"/>
      <c r="T23" s="10"/>
    </row>
    <row r="24" spans="1:20" ht="24" customHeight="1" x14ac:dyDescent="0.35">
      <c r="A24" s="21">
        <v>17</v>
      </c>
      <c r="B24" s="22">
        <v>45644</v>
      </c>
      <c r="C24" s="23" t="s">
        <v>1828</v>
      </c>
      <c r="D24" s="24" t="s">
        <v>1855</v>
      </c>
      <c r="E24" s="23" t="s">
        <v>750</v>
      </c>
      <c r="F24" s="25"/>
      <c r="G24" s="26">
        <v>101</v>
      </c>
      <c r="H24" s="26">
        <f>G24*18730</f>
        <v>1891730</v>
      </c>
      <c r="I24" s="25"/>
      <c r="J24" s="26">
        <v>1090000</v>
      </c>
      <c r="K24" s="27"/>
      <c r="L24" s="27"/>
      <c r="M24" s="26"/>
      <c r="N24" s="26"/>
      <c r="O24" s="26">
        <f t="shared" si="2"/>
        <v>2981730</v>
      </c>
      <c r="P24" s="26">
        <v>3050000</v>
      </c>
      <c r="Q24" s="26">
        <f t="shared" si="1"/>
        <v>68270</v>
      </c>
      <c r="R24" s="46"/>
      <c r="S24" s="10"/>
      <c r="T24" s="10"/>
    </row>
    <row r="25" spans="1:20" ht="24" customHeight="1" x14ac:dyDescent="0.35">
      <c r="A25" s="21">
        <v>18</v>
      </c>
      <c r="B25" s="22">
        <v>45644</v>
      </c>
      <c r="C25" s="23" t="s">
        <v>1829</v>
      </c>
      <c r="D25" s="24" t="s">
        <v>1855</v>
      </c>
      <c r="E25" s="23" t="s">
        <v>1872</v>
      </c>
      <c r="F25" s="25"/>
      <c r="G25" s="26"/>
      <c r="H25" s="26">
        <f t="shared" ref="H25:H30" si="5">G25*18730</f>
        <v>0</v>
      </c>
      <c r="I25" s="25"/>
      <c r="J25" s="26"/>
      <c r="K25" s="27"/>
      <c r="L25" s="27"/>
      <c r="M25" s="26"/>
      <c r="N25" s="26"/>
      <c r="O25" s="26">
        <f t="shared" si="2"/>
        <v>0</v>
      </c>
      <c r="P25" s="26">
        <v>2634889</v>
      </c>
      <c r="Q25" s="26">
        <f t="shared" si="1"/>
        <v>2634889</v>
      </c>
      <c r="R25" s="46"/>
      <c r="S25" s="10"/>
      <c r="T25" s="10"/>
    </row>
    <row r="26" spans="1:20" ht="24" customHeight="1" x14ac:dyDescent="0.35">
      <c r="A26" s="21">
        <v>19</v>
      </c>
      <c r="B26" s="22">
        <v>45645</v>
      </c>
      <c r="C26" s="23" t="s">
        <v>1830</v>
      </c>
      <c r="D26" s="24" t="s">
        <v>1856</v>
      </c>
      <c r="E26" s="23" t="s">
        <v>431</v>
      </c>
      <c r="F26" s="25"/>
      <c r="G26" s="26">
        <v>123</v>
      </c>
      <c r="H26" s="26">
        <f t="shared" si="5"/>
        <v>2303790</v>
      </c>
      <c r="I26" s="25"/>
      <c r="J26" s="26">
        <v>790000</v>
      </c>
      <c r="K26" s="27"/>
      <c r="L26" s="27"/>
      <c r="M26" s="26"/>
      <c r="N26" s="26"/>
      <c r="O26" s="26">
        <f t="shared" si="2"/>
        <v>3093790</v>
      </c>
      <c r="P26" s="26">
        <v>5270370</v>
      </c>
      <c r="Q26" s="26">
        <f t="shared" si="1"/>
        <v>2176580</v>
      </c>
      <c r="R26" s="46"/>
      <c r="S26" s="10"/>
      <c r="T26" s="10"/>
    </row>
    <row r="27" spans="1:20" ht="24" customHeight="1" x14ac:dyDescent="0.35">
      <c r="A27" s="21">
        <v>20</v>
      </c>
      <c r="B27" s="22">
        <v>45646</v>
      </c>
      <c r="C27" s="23" t="s">
        <v>1831</v>
      </c>
      <c r="D27" s="24" t="s">
        <v>1857</v>
      </c>
      <c r="E27" s="23" t="s">
        <v>1873</v>
      </c>
      <c r="F27" s="25"/>
      <c r="G27" s="26">
        <v>64</v>
      </c>
      <c r="H27" s="26">
        <f t="shared" si="5"/>
        <v>1198720</v>
      </c>
      <c r="I27" s="25"/>
      <c r="J27" s="26">
        <v>790000</v>
      </c>
      <c r="K27" s="27"/>
      <c r="L27" s="27"/>
      <c r="M27" s="26"/>
      <c r="N27" s="26"/>
      <c r="O27" s="26">
        <f t="shared" si="2"/>
        <v>1988720</v>
      </c>
      <c r="P27" s="26">
        <v>3510000</v>
      </c>
      <c r="Q27" s="26">
        <f t="shared" si="1"/>
        <v>1521280</v>
      </c>
      <c r="R27" s="46"/>
      <c r="S27" s="10"/>
      <c r="T27" s="10"/>
    </row>
    <row r="28" spans="1:20" ht="24" customHeight="1" x14ac:dyDescent="0.35">
      <c r="A28" s="21">
        <v>21</v>
      </c>
      <c r="B28" s="22">
        <v>45647</v>
      </c>
      <c r="C28" s="23" t="s">
        <v>1832</v>
      </c>
      <c r="D28" s="24" t="s">
        <v>1858</v>
      </c>
      <c r="E28" s="23" t="s">
        <v>873</v>
      </c>
      <c r="F28" s="25"/>
      <c r="G28" s="26">
        <v>81</v>
      </c>
      <c r="H28" s="26">
        <f>G28*18730</f>
        <v>1517130</v>
      </c>
      <c r="I28" s="25"/>
      <c r="J28" s="26">
        <v>790000</v>
      </c>
      <c r="K28" s="27"/>
      <c r="L28" s="27"/>
      <c r="M28" s="26"/>
      <c r="N28" s="26"/>
      <c r="O28" s="26">
        <f t="shared" si="2"/>
        <v>2307130</v>
      </c>
      <c r="P28" s="26">
        <v>4386296</v>
      </c>
      <c r="Q28" s="26">
        <f t="shared" si="1"/>
        <v>2079166</v>
      </c>
      <c r="R28" s="46"/>
      <c r="S28" s="10"/>
      <c r="T28" s="10"/>
    </row>
    <row r="29" spans="1:20" ht="24" customHeight="1" x14ac:dyDescent="0.35">
      <c r="A29" s="21">
        <v>22</v>
      </c>
      <c r="B29" s="22">
        <v>45649</v>
      </c>
      <c r="C29" s="23" t="s">
        <v>1833</v>
      </c>
      <c r="D29" s="24" t="s">
        <v>1859</v>
      </c>
      <c r="E29" s="23" t="s">
        <v>227</v>
      </c>
      <c r="F29" s="25"/>
      <c r="G29" s="26">
        <v>180</v>
      </c>
      <c r="H29" s="26">
        <f t="shared" si="5"/>
        <v>3371400</v>
      </c>
      <c r="I29" s="25"/>
      <c r="J29" s="26">
        <v>1470000</v>
      </c>
      <c r="K29" s="27"/>
      <c r="L29" s="27"/>
      <c r="M29" s="26"/>
      <c r="N29" s="26"/>
      <c r="O29" s="26">
        <f t="shared" si="2"/>
        <v>4841400</v>
      </c>
      <c r="P29" s="26">
        <v>8296296</v>
      </c>
      <c r="Q29" s="26">
        <f t="shared" si="1"/>
        <v>3454896</v>
      </c>
      <c r="R29" s="46"/>
      <c r="S29" s="10"/>
      <c r="T29" s="10"/>
    </row>
    <row r="30" spans="1:20" ht="24" customHeight="1" x14ac:dyDescent="0.35">
      <c r="A30" s="21">
        <v>23</v>
      </c>
      <c r="B30" s="22">
        <v>45651</v>
      </c>
      <c r="C30" s="23" t="s">
        <v>1834</v>
      </c>
      <c r="D30" s="24" t="s">
        <v>1860</v>
      </c>
      <c r="E30" s="23" t="s">
        <v>972</v>
      </c>
      <c r="F30" s="25"/>
      <c r="G30" s="26">
        <v>68</v>
      </c>
      <c r="H30" s="26">
        <f t="shared" si="5"/>
        <v>1273640</v>
      </c>
      <c r="I30" s="25"/>
      <c r="J30" s="26">
        <v>430000</v>
      </c>
      <c r="K30" s="27"/>
      <c r="L30" s="27"/>
      <c r="M30" s="26"/>
      <c r="N30" s="26"/>
      <c r="O30" s="26">
        <f t="shared" si="2"/>
        <v>1703640</v>
      </c>
      <c r="P30" s="26">
        <v>3400000</v>
      </c>
      <c r="Q30" s="26">
        <f t="shared" si="1"/>
        <v>1696360</v>
      </c>
      <c r="R30" s="46"/>
      <c r="S30" s="10"/>
      <c r="T30" s="10"/>
    </row>
    <row r="31" spans="1:20" ht="24" customHeight="1" x14ac:dyDescent="0.35">
      <c r="A31" s="21">
        <v>24</v>
      </c>
      <c r="B31" s="22">
        <v>45652</v>
      </c>
      <c r="C31" s="23" t="s">
        <v>1835</v>
      </c>
      <c r="D31" s="24" t="s">
        <v>1861</v>
      </c>
      <c r="E31" s="23" t="s">
        <v>1585</v>
      </c>
      <c r="F31" s="25"/>
      <c r="G31" s="26">
        <v>167</v>
      </c>
      <c r="H31" s="26">
        <f>G31*18630</f>
        <v>3111210</v>
      </c>
      <c r="I31" s="25"/>
      <c r="J31" s="26">
        <v>1070000</v>
      </c>
      <c r="K31" s="27"/>
      <c r="L31" s="27"/>
      <c r="M31" s="26"/>
      <c r="N31" s="26"/>
      <c r="O31" s="26">
        <f t="shared" si="2"/>
        <v>4181210</v>
      </c>
      <c r="P31" s="26">
        <v>6900000</v>
      </c>
      <c r="Q31" s="26">
        <f t="shared" si="1"/>
        <v>2718790</v>
      </c>
      <c r="R31" s="46"/>
      <c r="S31" s="10"/>
      <c r="T31" s="10"/>
    </row>
    <row r="32" spans="1:20" ht="24" customHeight="1" x14ac:dyDescent="0.35">
      <c r="A32" s="21">
        <v>25</v>
      </c>
      <c r="B32" s="22">
        <v>45653</v>
      </c>
      <c r="C32" s="23" t="s">
        <v>1201</v>
      </c>
      <c r="D32" s="24" t="s">
        <v>1862</v>
      </c>
      <c r="E32" s="23" t="s">
        <v>227</v>
      </c>
      <c r="F32" s="25"/>
      <c r="G32" s="26">
        <v>180</v>
      </c>
      <c r="H32" s="26">
        <f t="shared" ref="H32:H36" si="6">G32*18630</f>
        <v>3353400</v>
      </c>
      <c r="I32" s="25"/>
      <c r="J32" s="26">
        <v>1530000</v>
      </c>
      <c r="K32" s="27"/>
      <c r="L32" s="27"/>
      <c r="M32" s="26"/>
      <c r="N32" s="26"/>
      <c r="O32" s="26">
        <f t="shared" si="2"/>
        <v>4883400</v>
      </c>
      <c r="P32" s="26">
        <v>8296296</v>
      </c>
      <c r="Q32" s="26">
        <f t="shared" si="1"/>
        <v>3412896</v>
      </c>
      <c r="R32" s="46"/>
      <c r="S32" s="10"/>
      <c r="T32" s="10"/>
    </row>
    <row r="33" spans="1:20" ht="24" customHeight="1" x14ac:dyDescent="0.35">
      <c r="A33" s="21">
        <v>26</v>
      </c>
      <c r="B33" s="22">
        <v>45654</v>
      </c>
      <c r="C33" s="23" t="s">
        <v>1836</v>
      </c>
      <c r="D33" s="24" t="s">
        <v>1863</v>
      </c>
      <c r="E33" s="23" t="s">
        <v>1299</v>
      </c>
      <c r="F33" s="25"/>
      <c r="G33" s="26">
        <v>43</v>
      </c>
      <c r="H33" s="26">
        <f t="shared" si="6"/>
        <v>801090</v>
      </c>
      <c r="I33" s="25"/>
      <c r="J33" s="26">
        <v>400000</v>
      </c>
      <c r="K33" s="27"/>
      <c r="L33" s="27"/>
      <c r="M33" s="26"/>
      <c r="N33" s="26"/>
      <c r="O33" s="26">
        <f t="shared" si="2"/>
        <v>1201090</v>
      </c>
      <c r="P33" s="26">
        <v>2650000</v>
      </c>
      <c r="Q33" s="26">
        <f t="shared" si="1"/>
        <v>1448910</v>
      </c>
      <c r="R33" s="46"/>
      <c r="S33" s="10"/>
      <c r="T33" s="10"/>
    </row>
    <row r="34" spans="1:20" ht="24" customHeight="1" x14ac:dyDescent="0.35">
      <c r="A34" s="21">
        <v>27</v>
      </c>
      <c r="B34" s="22">
        <v>45655</v>
      </c>
      <c r="C34" s="23" t="s">
        <v>1837</v>
      </c>
      <c r="D34" s="24" t="s">
        <v>1864</v>
      </c>
      <c r="E34" s="23" t="s">
        <v>1874</v>
      </c>
      <c r="F34" s="25"/>
      <c r="G34" s="26">
        <v>163</v>
      </c>
      <c r="H34" s="26">
        <f t="shared" si="6"/>
        <v>3036690</v>
      </c>
      <c r="I34" s="25"/>
      <c r="J34" s="26">
        <v>1190000</v>
      </c>
      <c r="K34" s="27"/>
      <c r="L34" s="27"/>
      <c r="M34" s="26"/>
      <c r="N34" s="26"/>
      <c r="O34" s="26">
        <f t="shared" si="2"/>
        <v>4226690</v>
      </c>
      <c r="P34" s="26">
        <v>6900000</v>
      </c>
      <c r="Q34" s="26">
        <f t="shared" si="1"/>
        <v>2673310</v>
      </c>
      <c r="R34" s="46"/>
      <c r="S34" s="10"/>
      <c r="T34" s="10"/>
    </row>
    <row r="35" spans="1:20" ht="24" customHeight="1" x14ac:dyDescent="0.35">
      <c r="A35" s="21">
        <v>28</v>
      </c>
      <c r="B35" s="22">
        <v>45656</v>
      </c>
      <c r="C35" s="23" t="s">
        <v>1838</v>
      </c>
      <c r="D35" s="24" t="s">
        <v>1865</v>
      </c>
      <c r="E35" s="23" t="s">
        <v>431</v>
      </c>
      <c r="F35" s="25"/>
      <c r="G35" s="26">
        <v>110</v>
      </c>
      <c r="H35" s="26">
        <f t="shared" si="6"/>
        <v>2049300</v>
      </c>
      <c r="I35" s="25"/>
      <c r="J35" s="26">
        <v>790000</v>
      </c>
      <c r="K35" s="27"/>
      <c r="L35" s="27"/>
      <c r="M35" s="26"/>
      <c r="N35" s="26"/>
      <c r="O35" s="26">
        <f t="shared" si="2"/>
        <v>2839300</v>
      </c>
      <c r="P35" s="26">
        <v>4900000</v>
      </c>
      <c r="Q35" s="26">
        <f t="shared" si="1"/>
        <v>2060700</v>
      </c>
      <c r="R35" s="46"/>
      <c r="S35" s="10"/>
      <c r="T35" s="10"/>
    </row>
    <row r="36" spans="1:20" ht="24" customHeight="1" x14ac:dyDescent="0.35">
      <c r="A36" s="21">
        <v>29</v>
      </c>
      <c r="B36" s="22">
        <v>45657</v>
      </c>
      <c r="C36" s="23" t="s">
        <v>1839</v>
      </c>
      <c r="D36" s="24" t="s">
        <v>1866</v>
      </c>
      <c r="E36" s="23" t="s">
        <v>1585</v>
      </c>
      <c r="F36" s="25"/>
      <c r="G36" s="26">
        <v>160</v>
      </c>
      <c r="H36" s="26">
        <f t="shared" si="6"/>
        <v>2980800</v>
      </c>
      <c r="I36" s="25"/>
      <c r="J36" s="26">
        <v>1070000</v>
      </c>
      <c r="K36" s="27"/>
      <c r="L36" s="27"/>
      <c r="M36" s="26"/>
      <c r="N36" s="26"/>
      <c r="O36" s="26">
        <f t="shared" si="2"/>
        <v>4050800</v>
      </c>
      <c r="P36" s="26">
        <v>6900000</v>
      </c>
      <c r="Q36" s="26">
        <f t="shared" si="1"/>
        <v>2849200</v>
      </c>
      <c r="R36" s="46"/>
      <c r="S36" s="10"/>
      <c r="T36" s="10"/>
    </row>
    <row r="37" spans="1:20" ht="24" customHeight="1" x14ac:dyDescent="0.35">
      <c r="A37" s="21"/>
      <c r="B37" s="22"/>
      <c r="C37" s="139" t="s">
        <v>44</v>
      </c>
      <c r="D37" s="140"/>
      <c r="E37" s="140"/>
      <c r="F37" s="141"/>
      <c r="G37" s="54"/>
      <c r="H37" s="53"/>
      <c r="I37" s="54"/>
      <c r="J37" s="26"/>
      <c r="K37" s="51"/>
      <c r="L37" s="51">
        <v>1200000</v>
      </c>
      <c r="M37" s="26"/>
      <c r="N37" s="26"/>
      <c r="O37" s="26">
        <f>K37+L37+M37+N37</f>
        <v>1200000</v>
      </c>
      <c r="P37" s="26"/>
      <c r="Q37" s="30"/>
      <c r="R37" s="46"/>
      <c r="S37" s="10"/>
      <c r="T37" s="10"/>
    </row>
    <row r="38" spans="1:20" ht="24" customHeight="1" x14ac:dyDescent="0.35">
      <c r="A38" s="25"/>
      <c r="B38" s="28"/>
      <c r="C38" s="139" t="s">
        <v>391</v>
      </c>
      <c r="D38" s="140"/>
      <c r="E38" s="140"/>
      <c r="F38" s="141"/>
      <c r="G38" s="51"/>
      <c r="H38" s="51"/>
      <c r="I38" s="52"/>
      <c r="J38" s="51"/>
      <c r="K38" s="51">
        <v>10780160</v>
      </c>
      <c r="L38" s="51"/>
      <c r="M38" s="53"/>
      <c r="N38" s="53"/>
      <c r="O38" s="26">
        <f t="shared" ref="O38:O46" si="7">K38+L38+M38+N38</f>
        <v>10780160</v>
      </c>
      <c r="P38" s="26"/>
      <c r="Q38" s="30"/>
      <c r="R38" s="46"/>
      <c r="S38" s="10"/>
      <c r="T38" s="10"/>
    </row>
    <row r="39" spans="1:20" ht="24" customHeight="1" x14ac:dyDescent="0.35">
      <c r="A39" s="25"/>
      <c r="B39" s="28"/>
      <c r="C39" s="139" t="s">
        <v>1888</v>
      </c>
      <c r="D39" s="140"/>
      <c r="E39" s="140"/>
      <c r="F39" s="141"/>
      <c r="G39" s="51"/>
      <c r="H39" s="51"/>
      <c r="I39" s="52"/>
      <c r="J39" s="51"/>
      <c r="K39" s="51"/>
      <c r="L39" s="51">
        <v>120000</v>
      </c>
      <c r="M39" s="53"/>
      <c r="N39" s="53"/>
      <c r="O39" s="26">
        <f t="shared" si="7"/>
        <v>120000</v>
      </c>
      <c r="P39" s="26"/>
      <c r="Q39" s="30"/>
      <c r="R39" s="46"/>
      <c r="S39" s="10"/>
      <c r="T39" s="10"/>
    </row>
    <row r="40" spans="1:20" ht="24" customHeight="1" x14ac:dyDescent="0.35">
      <c r="A40" s="25"/>
      <c r="B40" s="28"/>
      <c r="C40" s="139" t="s">
        <v>1889</v>
      </c>
      <c r="D40" s="140"/>
      <c r="E40" s="140"/>
      <c r="F40" s="141"/>
      <c r="G40" s="51"/>
      <c r="H40" s="51"/>
      <c r="I40" s="52"/>
      <c r="J40" s="51"/>
      <c r="K40" s="51"/>
      <c r="L40" s="51">
        <v>1400000</v>
      </c>
      <c r="M40" s="53"/>
      <c r="N40" s="53"/>
      <c r="O40" s="26">
        <f t="shared" si="7"/>
        <v>1400000</v>
      </c>
      <c r="P40" s="26"/>
      <c r="Q40" s="30"/>
      <c r="R40" s="46"/>
      <c r="S40" s="10"/>
      <c r="T40" s="10"/>
    </row>
    <row r="41" spans="1:20" ht="24" customHeight="1" x14ac:dyDescent="0.35">
      <c r="A41" s="25"/>
      <c r="B41" s="28"/>
      <c r="C41" s="139" t="s">
        <v>1893</v>
      </c>
      <c r="D41" s="140"/>
      <c r="E41" s="140"/>
      <c r="F41" s="141"/>
      <c r="G41" s="51"/>
      <c r="H41" s="51"/>
      <c r="I41" s="52"/>
      <c r="J41" s="51"/>
      <c r="K41" s="51"/>
      <c r="L41" s="51">
        <v>850000</v>
      </c>
      <c r="M41" s="53"/>
      <c r="N41" s="53"/>
      <c r="O41" s="26">
        <f t="shared" si="7"/>
        <v>850000</v>
      </c>
      <c r="P41" s="26"/>
      <c r="Q41" s="30"/>
      <c r="R41" s="46"/>
      <c r="S41" s="10"/>
      <c r="T41" s="10"/>
    </row>
    <row r="42" spans="1:20" ht="24" customHeight="1" x14ac:dyDescent="0.35">
      <c r="A42" s="25"/>
      <c r="B42" s="28"/>
      <c r="C42" s="139" t="s">
        <v>1894</v>
      </c>
      <c r="D42" s="140"/>
      <c r="E42" s="140"/>
      <c r="F42" s="141"/>
      <c r="G42" s="51"/>
      <c r="H42" s="51"/>
      <c r="I42" s="52"/>
      <c r="J42" s="51"/>
      <c r="K42" s="51">
        <v>5280000</v>
      </c>
      <c r="L42" s="51"/>
      <c r="M42" s="53"/>
      <c r="N42" s="53"/>
      <c r="O42" s="26">
        <f t="shared" si="7"/>
        <v>5280000</v>
      </c>
      <c r="P42" s="26"/>
      <c r="Q42" s="30"/>
      <c r="R42" s="46"/>
      <c r="S42" s="10"/>
      <c r="T42" s="10"/>
    </row>
    <row r="43" spans="1:20" ht="24" customHeight="1" x14ac:dyDescent="0.35">
      <c r="A43" s="25"/>
      <c r="B43" s="28"/>
      <c r="C43" s="139" t="s">
        <v>1897</v>
      </c>
      <c r="D43" s="140"/>
      <c r="E43" s="140"/>
      <c r="F43" s="141"/>
      <c r="G43" s="51"/>
      <c r="H43" s="51"/>
      <c r="I43" s="52"/>
      <c r="J43" s="51"/>
      <c r="K43" s="51"/>
      <c r="L43" s="51"/>
      <c r="M43" s="53"/>
      <c r="N43" s="53">
        <f>13500000/4</f>
        <v>3375000</v>
      </c>
      <c r="O43" s="26">
        <f t="shared" si="7"/>
        <v>3375000</v>
      </c>
      <c r="P43" s="26"/>
      <c r="Q43" s="30"/>
      <c r="R43" s="46"/>
      <c r="S43" s="10"/>
      <c r="T43" s="10"/>
    </row>
    <row r="44" spans="1:20" ht="24" customHeight="1" x14ac:dyDescent="0.35">
      <c r="A44" s="25"/>
      <c r="B44" s="28"/>
      <c r="C44" s="139" t="s">
        <v>1899</v>
      </c>
      <c r="D44" s="140"/>
      <c r="E44" s="140"/>
      <c r="F44" s="141"/>
      <c r="G44" s="51"/>
      <c r="H44" s="51"/>
      <c r="I44" s="52"/>
      <c r="J44" s="51"/>
      <c r="K44" s="51"/>
      <c r="L44" s="51">
        <v>500000</v>
      </c>
      <c r="M44" s="53"/>
      <c r="N44" s="53"/>
      <c r="O44" s="26">
        <f t="shared" si="7"/>
        <v>500000</v>
      </c>
      <c r="P44" s="26"/>
      <c r="Q44" s="30"/>
      <c r="R44" s="46"/>
      <c r="S44" s="10"/>
      <c r="T44" s="10"/>
    </row>
    <row r="45" spans="1:20" ht="24" customHeight="1" x14ac:dyDescent="0.35">
      <c r="A45" s="25"/>
      <c r="B45" s="28"/>
      <c r="C45" s="139" t="s">
        <v>1900</v>
      </c>
      <c r="D45" s="140"/>
      <c r="E45" s="140"/>
      <c r="F45" s="141"/>
      <c r="G45" s="51"/>
      <c r="H45" s="51"/>
      <c r="I45" s="52"/>
      <c r="J45" s="51"/>
      <c r="K45" s="51"/>
      <c r="L45" s="51">
        <v>400000</v>
      </c>
      <c r="M45" s="53"/>
      <c r="N45" s="53"/>
      <c r="O45" s="26">
        <f t="shared" si="7"/>
        <v>400000</v>
      </c>
      <c r="P45" s="26"/>
      <c r="Q45" s="30"/>
      <c r="R45" s="46"/>
      <c r="S45" s="10"/>
      <c r="T45" s="10"/>
    </row>
    <row r="46" spans="1:20" ht="24" customHeight="1" x14ac:dyDescent="0.35">
      <c r="A46" s="25"/>
      <c r="B46" s="25"/>
      <c r="C46" s="139" t="s">
        <v>390</v>
      </c>
      <c r="D46" s="140"/>
      <c r="E46" s="140"/>
      <c r="F46" s="141"/>
      <c r="G46" s="54"/>
      <c r="H46" s="53"/>
      <c r="I46" s="54"/>
      <c r="J46" s="53"/>
      <c r="K46" s="51">
        <v>8300000</v>
      </c>
      <c r="L46" s="53"/>
      <c r="M46" s="53"/>
      <c r="N46" s="53"/>
      <c r="O46" s="26">
        <f t="shared" si="7"/>
        <v>8300000</v>
      </c>
      <c r="P46" s="26"/>
      <c r="Q46" s="26"/>
      <c r="R46" s="48"/>
    </row>
    <row r="47" spans="1:20" ht="24" customHeight="1" x14ac:dyDescent="0.35">
      <c r="A47" s="136" t="s">
        <v>45</v>
      </c>
      <c r="B47" s="137"/>
      <c r="C47" s="137"/>
      <c r="D47" s="137"/>
      <c r="E47" s="137"/>
      <c r="F47" s="138"/>
      <c r="G47" s="33">
        <f>SUM(G8:G46)</f>
        <v>3167</v>
      </c>
      <c r="H47" s="34">
        <f t="shared" ref="H47:N47" si="8">SUM(H7:H46)</f>
        <v>58636100</v>
      </c>
      <c r="I47" s="34">
        <f t="shared" si="8"/>
        <v>0</v>
      </c>
      <c r="J47" s="34">
        <f t="shared" si="8"/>
        <v>26070000</v>
      </c>
      <c r="K47" s="34">
        <f t="shared" si="8"/>
        <v>24360160</v>
      </c>
      <c r="L47" s="34">
        <f t="shared" si="8"/>
        <v>4470000</v>
      </c>
      <c r="M47" s="34">
        <f t="shared" si="8"/>
        <v>0</v>
      </c>
      <c r="N47" s="34">
        <f t="shared" si="8"/>
        <v>3375000</v>
      </c>
      <c r="O47" s="34">
        <f>SUM(O8:O46)</f>
        <v>116911260</v>
      </c>
      <c r="P47" s="34">
        <f>SUM(P8:P46)</f>
        <v>150117479</v>
      </c>
      <c r="Q47" s="34">
        <f>P47-O47</f>
        <v>33206219</v>
      </c>
      <c r="R47" s="50"/>
    </row>
    <row r="48" spans="1:20" x14ac:dyDescent="0.35">
      <c r="O48" s="35"/>
      <c r="Q48" s="36"/>
    </row>
    <row r="49" spans="2:18" x14ac:dyDescent="0.35">
      <c r="O49" s="37"/>
      <c r="P49" s="38" t="s">
        <v>46</v>
      </c>
      <c r="Q49" s="39">
        <f>'11.2024'!Q46+'12.2024'!Q47</f>
        <v>263007352</v>
      </c>
    </row>
    <row r="50" spans="2:18" x14ac:dyDescent="0.35">
      <c r="O50" s="37"/>
      <c r="P50" s="38" t="s">
        <v>633</v>
      </c>
      <c r="Q50" s="39">
        <v>24000000</v>
      </c>
    </row>
    <row r="51" spans="2:18" x14ac:dyDescent="0.35">
      <c r="O51" s="37"/>
      <c r="P51" s="38" t="s">
        <v>634</v>
      </c>
      <c r="Q51" s="39">
        <f>Q49-Q50</f>
        <v>239007352</v>
      </c>
    </row>
    <row r="52" spans="2:18" x14ac:dyDescent="0.35">
      <c r="P52" s="37" t="s">
        <v>635</v>
      </c>
      <c r="Q52" s="37">
        <f>Q51*29.55%</f>
        <v>70626672.516000003</v>
      </c>
      <c r="R52" s="50"/>
    </row>
    <row r="53" spans="2:18" x14ac:dyDescent="0.35">
      <c r="B53" s="8"/>
    </row>
    <row r="54" spans="2:18" x14ac:dyDescent="0.35">
      <c r="B54" s="8"/>
    </row>
    <row r="55" spans="2:18" x14ac:dyDescent="0.35">
      <c r="B55" s="8"/>
    </row>
    <row r="56" spans="2:18" x14ac:dyDescent="0.35">
      <c r="B56" s="8"/>
    </row>
    <row r="57" spans="2:18" x14ac:dyDescent="0.35">
      <c r="B57" s="8"/>
      <c r="H57" s="8"/>
      <c r="J57" s="8"/>
      <c r="K57" s="8"/>
      <c r="L57" s="8"/>
      <c r="M57" s="8"/>
      <c r="N57" s="8"/>
      <c r="O57" s="8"/>
      <c r="P57" s="8"/>
      <c r="Q57" s="8"/>
      <c r="R57" s="8"/>
    </row>
  </sheetData>
  <mergeCells count="30">
    <mergeCell ref="A1:Q1"/>
    <mergeCell ref="A2:Q2"/>
    <mergeCell ref="A3:Q3"/>
    <mergeCell ref="A5:A6"/>
    <mergeCell ref="B5:B6"/>
    <mergeCell ref="C5:C6"/>
    <mergeCell ref="D5:D6"/>
    <mergeCell ref="E5:E6"/>
    <mergeCell ref="F5:F6"/>
    <mergeCell ref="G5:H5"/>
    <mergeCell ref="O5:O6"/>
    <mergeCell ref="P5:P6"/>
    <mergeCell ref="Q5:Q6"/>
    <mergeCell ref="M5:M6"/>
    <mergeCell ref="N5:N6"/>
    <mergeCell ref="C39:F39"/>
    <mergeCell ref="I5:I6"/>
    <mergeCell ref="J5:J6"/>
    <mergeCell ref="K5:K6"/>
    <mergeCell ref="L5:L6"/>
    <mergeCell ref="C37:F37"/>
    <mergeCell ref="C38:F38"/>
    <mergeCell ref="C46:F46"/>
    <mergeCell ref="A47:F47"/>
    <mergeCell ref="C40:F40"/>
    <mergeCell ref="C41:F41"/>
    <mergeCell ref="C42:F42"/>
    <mergeCell ref="C43:F43"/>
    <mergeCell ref="C44:F44"/>
    <mergeCell ref="C45:F4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CHI PHI BAN DAU</vt:lpstr>
      <vt:lpstr>03.2022</vt:lpstr>
      <vt:lpstr>04.2022</vt:lpstr>
      <vt:lpstr>05.2022</vt:lpstr>
      <vt:lpstr>06.2022</vt:lpstr>
      <vt:lpstr>07.2022</vt:lpstr>
      <vt:lpstr>08.2022</vt:lpstr>
      <vt:lpstr>09.2022</vt:lpstr>
      <vt:lpstr>10.2022</vt:lpstr>
      <vt:lpstr>11.2022</vt:lpstr>
      <vt:lpstr>12.2022</vt:lpstr>
      <vt:lpstr>01.2023</vt:lpstr>
      <vt:lpstr>02.2023</vt:lpstr>
      <vt:lpstr>03.2023</vt:lpstr>
      <vt:lpstr>04.2023</vt:lpstr>
      <vt:lpstr>05.2023</vt:lpstr>
      <vt:lpstr>06.2023</vt:lpstr>
      <vt:lpstr>07.2023</vt:lpstr>
      <vt:lpstr>08.2023</vt:lpstr>
      <vt:lpstr>09.2023</vt:lpstr>
      <vt:lpstr>10.2023</vt:lpstr>
      <vt:lpstr>11.2023</vt:lpstr>
      <vt:lpstr>12.2023</vt:lpstr>
      <vt:lpstr>01.2024</vt:lpstr>
      <vt:lpstr>02.2024</vt:lpstr>
      <vt:lpstr>03.2024</vt:lpstr>
      <vt:lpstr>04.2024</vt:lpstr>
      <vt:lpstr>05.2024</vt:lpstr>
      <vt:lpstr>06.2024</vt:lpstr>
      <vt:lpstr>07.2024</vt:lpstr>
      <vt:lpstr>08.2024</vt:lpstr>
      <vt:lpstr>09.2024</vt:lpstr>
      <vt:lpstr>10.2024</vt:lpstr>
      <vt:lpstr>11.2024</vt:lpstr>
      <vt:lpstr>12.2024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Phan Kim Phung</cp:lastModifiedBy>
  <dcterms:created xsi:type="dcterms:W3CDTF">2015-04-14T07:20:02Z</dcterms:created>
  <dcterms:modified xsi:type="dcterms:W3CDTF">2025-01-24T07:56:42Z</dcterms:modified>
</cp:coreProperties>
</file>